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mc:AlternateContent xmlns:mc="http://schemas.openxmlformats.org/markup-compatibility/2006">
    <mc:Choice Requires="x15">
      <x15ac:absPath xmlns:x15ac="http://schemas.microsoft.com/office/spreadsheetml/2010/11/ac" url="C:\Users\Priyanshi\Downloads\Projects+Learnings\Projects\"/>
    </mc:Choice>
  </mc:AlternateContent>
  <xr:revisionPtr revIDLastSave="0" documentId="13_ncr:1_{4AD0A402-63C0-4783-94B0-736AC3003C85}" xr6:coauthVersionLast="47" xr6:coauthVersionMax="47" xr10:uidLastSave="{00000000-0000-0000-0000-000000000000}"/>
  <bookViews>
    <workbookView xWindow="-96" yWindow="0" windowWidth="11712" windowHeight="12336" tabRatio="894" firstSheet="10" activeTab="22" xr2:uid="{00000000-000D-0000-FFFF-FFFF00000000}"/>
  </bookViews>
  <sheets>
    <sheet name="Teaser" sheetId="26" r:id="rId1"/>
    <sheet name="Global, Indian And Industry " sheetId="29" r:id="rId2"/>
    <sheet name="Financials&gt;&gt;" sheetId="9" r:id="rId3"/>
    <sheet name="Historicial Financials" sheetId="8" r:id="rId4"/>
    <sheet name="Common Size Statement" sheetId="15" r:id="rId5"/>
    <sheet name="Ratio Analysis" sheetId="11" r:id="rId6"/>
    <sheet name="Forecasting" sheetId="12" r:id="rId7"/>
    <sheet name="Beta &amp; WACC Inputs" sheetId="14" r:id="rId8"/>
    <sheet name="WACC" sheetId="13" r:id="rId9"/>
    <sheet name="Intrinsic Growth" sheetId="17" r:id="rId10"/>
    <sheet name="DCF" sheetId="18" r:id="rId11"/>
    <sheet name="Relative Comps" sheetId="19" r:id="rId12"/>
    <sheet name="Football Field Analysis" sheetId="21" state="hidden" r:id="rId13"/>
    <sheet name="Historical VAR" sheetId="22" state="hidden" r:id="rId14"/>
    <sheet name="MonteCarlo VAR" sheetId="25" state="hidden" r:id="rId15"/>
    <sheet name="Data &gt;&gt;" sheetId="7" r:id="rId16"/>
    <sheet name="Data Sheet" sheetId="6" r:id="rId17"/>
    <sheet name="Profit and Loss" sheetId="28" r:id="rId18"/>
    <sheet name="Data for IG" sheetId="16" r:id="rId19"/>
    <sheet name="Cashflow" sheetId="10" r:id="rId20"/>
    <sheet name="Data_Relative Comps" sheetId="20" r:id="rId21"/>
    <sheet name="Data_One Pager" sheetId="27" r:id="rId22"/>
    <sheet name="Economic One pager Input" sheetId="30" r:id="rId23"/>
  </sheets>
  <externalReferences>
    <externalReference r:id="rId24"/>
  </externalReferences>
  <definedNames>
    <definedName name="_xlnm._FilterDatabase" localSheetId="13" hidden="1">'Historical VAR'!$A$3:$E$2333</definedName>
    <definedName name="_xlnm._FilterDatabase" localSheetId="14" hidden="1">'MonteCarlo VAR'!$A$3:$E$2333</definedName>
    <definedName name="_xlchart.v1.0" hidden="1">'MonteCarlo VAR'!$F$4:$F$10003</definedName>
    <definedName name="_xlchart.v1.1" hidden="1">'MonteCarlo VAR'!$G$3</definedName>
    <definedName name="_xlchart.v1.2" hidden="1">'MonteCarlo VAR'!$G$4:$G$10003</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UPDATE">'Data Sheet'!$E$1</definedName>
    <definedName name="Waterfall">"Waterfall"</definedName>
  </definedNames>
  <calcPr calcId="191029" iterate="1"/>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36" i="18" l="1"/>
  <c r="K18" i="18"/>
  <c r="K19" i="18" s="1"/>
  <c r="K20" i="18" s="1"/>
  <c r="K21" i="18" s="1"/>
  <c r="K22" i="18" s="1"/>
  <c r="N16" i="18"/>
  <c r="O16" i="18" s="1"/>
  <c r="P16" i="18" s="1"/>
  <c r="M16" i="18"/>
  <c r="C6" i="13" l="1"/>
  <c r="C15" i="13"/>
  <c r="D29" i="12"/>
  <c r="E29" i="12"/>
  <c r="F29" i="12"/>
  <c r="G29" i="12"/>
  <c r="C29" i="12"/>
  <c r="D28" i="12"/>
  <c r="E28" i="12"/>
  <c r="F28" i="12"/>
  <c r="G28" i="12"/>
  <c r="C28" i="12"/>
  <c r="D27" i="12"/>
  <c r="E27" i="12"/>
  <c r="F27" i="12"/>
  <c r="G27" i="12"/>
  <c r="C27" i="12"/>
  <c r="D26" i="12"/>
  <c r="E26" i="12"/>
  <c r="F26" i="12"/>
  <c r="G26" i="12"/>
  <c r="C26" i="12"/>
  <c r="D25" i="12"/>
  <c r="E25" i="12"/>
  <c r="F25" i="12"/>
  <c r="G25" i="12"/>
  <c r="C25" i="12"/>
  <c r="D4" i="12"/>
  <c r="E4" i="12"/>
  <c r="F4" i="12"/>
  <c r="G4" i="12"/>
  <c r="H4" i="12" s="1"/>
  <c r="H6" i="12" s="1"/>
  <c r="H7" i="12" s="1"/>
  <c r="C4" i="12"/>
  <c r="G3" i="12"/>
  <c r="H3" i="12" s="1"/>
  <c r="I3" i="12" s="1"/>
  <c r="J3" i="12" s="1"/>
  <c r="K3" i="12" s="1"/>
  <c r="L3" i="12" s="1"/>
  <c r="D3" i="12"/>
  <c r="E3" i="12"/>
  <c r="F3" i="12"/>
  <c r="C3" i="12"/>
  <c r="E4" i="8"/>
  <c r="E39" i="26"/>
  <c r="E40" i="26"/>
  <c r="E41" i="26"/>
  <c r="E42" i="26"/>
  <c r="E43" i="26"/>
  <c r="E44" i="26"/>
  <c r="E45" i="26"/>
  <c r="E46" i="26"/>
  <c r="E47" i="26"/>
  <c r="E48" i="26"/>
  <c r="E38" i="26"/>
  <c r="I26" i="30"/>
  <c r="M8" i="19"/>
  <c r="M9" i="19"/>
  <c r="M10" i="19"/>
  <c r="M11" i="19"/>
  <c r="M12" i="19"/>
  <c r="M13" i="19"/>
  <c r="M7" i="19"/>
  <c r="K8" i="19"/>
  <c r="K9" i="19"/>
  <c r="K10" i="19"/>
  <c r="K11" i="19"/>
  <c r="K12" i="19"/>
  <c r="K13" i="19"/>
  <c r="K7" i="19"/>
  <c r="G12" i="20"/>
  <c r="L8" i="19" s="1"/>
  <c r="G13" i="20"/>
  <c r="L9" i="19" s="1"/>
  <c r="G14" i="20"/>
  <c r="L10" i="19" s="1"/>
  <c r="G15" i="20"/>
  <c r="L11" i="19" s="1"/>
  <c r="G16" i="20"/>
  <c r="L12" i="19" s="1"/>
  <c r="G17" i="20"/>
  <c r="L13" i="19" s="1"/>
  <c r="G11" i="20"/>
  <c r="L7" i="19" s="1"/>
  <c r="E8" i="19"/>
  <c r="E9" i="19"/>
  <c r="E10" i="19"/>
  <c r="E11" i="19"/>
  <c r="E12" i="19"/>
  <c r="E13" i="19"/>
  <c r="E7" i="19"/>
  <c r="D8" i="19"/>
  <c r="D9" i="19"/>
  <c r="D10" i="19"/>
  <c r="D11" i="19"/>
  <c r="D12" i="19"/>
  <c r="D13" i="19"/>
  <c r="D7" i="19"/>
  <c r="B8" i="19"/>
  <c r="B9" i="19"/>
  <c r="B10" i="19"/>
  <c r="B11" i="19"/>
  <c r="B12" i="19"/>
  <c r="B13" i="19"/>
  <c r="B7" i="19"/>
  <c r="D37" i="17"/>
  <c r="C21" i="17"/>
  <c r="D21" i="17"/>
  <c r="E21" i="17"/>
  <c r="F21" i="17"/>
  <c r="G21" i="17"/>
  <c r="H21" i="17"/>
  <c r="I21" i="17"/>
  <c r="C22" i="17"/>
  <c r="D22" i="17"/>
  <c r="E22" i="17"/>
  <c r="F22" i="17"/>
  <c r="G22" i="17"/>
  <c r="H22" i="17"/>
  <c r="I22" i="17"/>
  <c r="C23" i="17"/>
  <c r="D23" i="17"/>
  <c r="E23" i="17"/>
  <c r="F23" i="17"/>
  <c r="G23" i="17"/>
  <c r="H23" i="17"/>
  <c r="I23" i="17"/>
  <c r="C24" i="17"/>
  <c r="D24" i="17"/>
  <c r="E24" i="17"/>
  <c r="F24" i="17"/>
  <c r="G24" i="17"/>
  <c r="H24" i="17"/>
  <c r="I24" i="17"/>
  <c r="C25" i="17"/>
  <c r="D25" i="17"/>
  <c r="E25" i="17"/>
  <c r="F25" i="17"/>
  <c r="G25" i="17"/>
  <c r="H25" i="17"/>
  <c r="I25" i="17"/>
  <c r="C26" i="17"/>
  <c r="D26" i="17"/>
  <c r="E26" i="17"/>
  <c r="F26" i="17"/>
  <c r="G26" i="17"/>
  <c r="H26" i="17"/>
  <c r="I26" i="17"/>
  <c r="C27" i="17"/>
  <c r="D27" i="17"/>
  <c r="E27" i="17"/>
  <c r="F27" i="17"/>
  <c r="G27" i="17"/>
  <c r="H27" i="17"/>
  <c r="I27" i="17"/>
  <c r="D20" i="17"/>
  <c r="E20" i="17"/>
  <c r="F20" i="17"/>
  <c r="G20" i="17"/>
  <c r="H20" i="17"/>
  <c r="I20" i="17"/>
  <c r="C20" i="17"/>
  <c r="C13" i="17"/>
  <c r="D13" i="17"/>
  <c r="E13" i="17"/>
  <c r="F13" i="17"/>
  <c r="G13" i="17"/>
  <c r="H13" i="17"/>
  <c r="I13" i="17"/>
  <c r="D12" i="17"/>
  <c r="E12" i="17"/>
  <c r="F12" i="17"/>
  <c r="G12" i="17"/>
  <c r="H12" i="17"/>
  <c r="I12" i="17"/>
  <c r="C12" i="17"/>
  <c r="D16" i="16"/>
  <c r="E16" i="16"/>
  <c r="F16" i="16"/>
  <c r="G16" i="16"/>
  <c r="H16" i="16"/>
  <c r="I16" i="16"/>
  <c r="C16" i="16"/>
  <c r="D27" i="16"/>
  <c r="E27" i="16"/>
  <c r="F27" i="16"/>
  <c r="G27" i="16"/>
  <c r="H27" i="16"/>
  <c r="I27" i="16"/>
  <c r="C27" i="16"/>
  <c r="G36" i="13"/>
  <c r="G37" i="13"/>
  <c r="G38" i="13"/>
  <c r="G39" i="13"/>
  <c r="G35" i="13"/>
  <c r="F42" i="13"/>
  <c r="F41" i="13"/>
  <c r="H36" i="13"/>
  <c r="H37" i="13"/>
  <c r="H38" i="13"/>
  <c r="H39" i="13"/>
  <c r="H35" i="13"/>
  <c r="AV8" i="14"/>
  <c r="AV9" i="14"/>
  <c r="AV10" i="14"/>
  <c r="AV11" i="14"/>
  <c r="AV12" i="14"/>
  <c r="AV13" i="14"/>
  <c r="AV14" i="14"/>
  <c r="AV15" i="14"/>
  <c r="AV16" i="14"/>
  <c r="AV17" i="14"/>
  <c r="AV18" i="14"/>
  <c r="AV19" i="14"/>
  <c r="AV20" i="14"/>
  <c r="AV21" i="14"/>
  <c r="AV22" i="14"/>
  <c r="AV23" i="14"/>
  <c r="AV24" i="14"/>
  <c r="AV25" i="14"/>
  <c r="AV26" i="14"/>
  <c r="AV27" i="14"/>
  <c r="AV28" i="14"/>
  <c r="AV29" i="14"/>
  <c r="AV30" i="14"/>
  <c r="AV31" i="14"/>
  <c r="AV32" i="14"/>
  <c r="AV33" i="14"/>
  <c r="AV34" i="14"/>
  <c r="AV35" i="14"/>
  <c r="AV36" i="14"/>
  <c r="AV37" i="14"/>
  <c r="AV38" i="14"/>
  <c r="AV39" i="14"/>
  <c r="AV40" i="14"/>
  <c r="AV41" i="14"/>
  <c r="AV42" i="14"/>
  <c r="AV43" i="14"/>
  <c r="AV44" i="14"/>
  <c r="AV45" i="14"/>
  <c r="AV46" i="14"/>
  <c r="AV47" i="14"/>
  <c r="AV48" i="14"/>
  <c r="AV49" i="14"/>
  <c r="AV50" i="14"/>
  <c r="AV51" i="14"/>
  <c r="AV52" i="14"/>
  <c r="AV53" i="14"/>
  <c r="AV54" i="14"/>
  <c r="AV55" i="14"/>
  <c r="AV56" i="14"/>
  <c r="AV57" i="14"/>
  <c r="AV58" i="14"/>
  <c r="AV59" i="14"/>
  <c r="AV60" i="14"/>
  <c r="AV61" i="14"/>
  <c r="AV62" i="14"/>
  <c r="AV63" i="14"/>
  <c r="AV64" i="14"/>
  <c r="AV65" i="14"/>
  <c r="AV66" i="14"/>
  <c r="AV67" i="14"/>
  <c r="AV68" i="14"/>
  <c r="AV69" i="14"/>
  <c r="AV70" i="14"/>
  <c r="AV71" i="14"/>
  <c r="AV72" i="14"/>
  <c r="AV73" i="14"/>
  <c r="AV74" i="14"/>
  <c r="AV75" i="14"/>
  <c r="AV76" i="14"/>
  <c r="AV77" i="14"/>
  <c r="AV78" i="14"/>
  <c r="AV79" i="14"/>
  <c r="AV80" i="14"/>
  <c r="AV81" i="14"/>
  <c r="AV82" i="14"/>
  <c r="AV83" i="14"/>
  <c r="AV84" i="14"/>
  <c r="AV85" i="14"/>
  <c r="AV86" i="14"/>
  <c r="AV87" i="14"/>
  <c r="AV88" i="14"/>
  <c r="AV89" i="14"/>
  <c r="AV90" i="14"/>
  <c r="AV91" i="14"/>
  <c r="AV92" i="14"/>
  <c r="AV93" i="14"/>
  <c r="AV94" i="14"/>
  <c r="AV95" i="14"/>
  <c r="AV96" i="14"/>
  <c r="AV97" i="14"/>
  <c r="AV98" i="14"/>
  <c r="AV99" i="14"/>
  <c r="AV100" i="14"/>
  <c r="AV101" i="14"/>
  <c r="AV102" i="14"/>
  <c r="AV103" i="14"/>
  <c r="AV104" i="14"/>
  <c r="AV105" i="14"/>
  <c r="AV106" i="14"/>
  <c r="AV107" i="14"/>
  <c r="AV108" i="14"/>
  <c r="AV109" i="14"/>
  <c r="AV110" i="14"/>
  <c r="AV111" i="14"/>
  <c r="AV112" i="14"/>
  <c r="AV113" i="14"/>
  <c r="AV114" i="14"/>
  <c r="AV115" i="14"/>
  <c r="AV116" i="14"/>
  <c r="AV117" i="14"/>
  <c r="AV118" i="14"/>
  <c r="AV119" i="14"/>
  <c r="AV120" i="14"/>
  <c r="AV121" i="14"/>
  <c r="AV122" i="14"/>
  <c r="AV123" i="14"/>
  <c r="AV124" i="14"/>
  <c r="AV125" i="14"/>
  <c r="AV126" i="14"/>
  <c r="AV127" i="14"/>
  <c r="AV128" i="14"/>
  <c r="AV129" i="14"/>
  <c r="AV130" i="14"/>
  <c r="AV131" i="14"/>
  <c r="AV132" i="14"/>
  <c r="AV133" i="14"/>
  <c r="AV134" i="14"/>
  <c r="AV135" i="14"/>
  <c r="AV136" i="14"/>
  <c r="AV137" i="14"/>
  <c r="AV138" i="14"/>
  <c r="AV139" i="14"/>
  <c r="AV140" i="14"/>
  <c r="AV141" i="14"/>
  <c r="AV142" i="14"/>
  <c r="AV143" i="14"/>
  <c r="AV144" i="14"/>
  <c r="AV145" i="14"/>
  <c r="AV146" i="14"/>
  <c r="AV147" i="14"/>
  <c r="AV148" i="14"/>
  <c r="AV149" i="14"/>
  <c r="AV150" i="14"/>
  <c r="AV151" i="14"/>
  <c r="AV152" i="14"/>
  <c r="AV153" i="14"/>
  <c r="AV154" i="14"/>
  <c r="AV155" i="14"/>
  <c r="AV156" i="14"/>
  <c r="AV157" i="14"/>
  <c r="AV158" i="14"/>
  <c r="AV159" i="14"/>
  <c r="AV160" i="14"/>
  <c r="AV161" i="14"/>
  <c r="AV162" i="14"/>
  <c r="AV163" i="14"/>
  <c r="AV164" i="14"/>
  <c r="AV165" i="14"/>
  <c r="AV166" i="14"/>
  <c r="AV167" i="14"/>
  <c r="AV168" i="14"/>
  <c r="AV169" i="14"/>
  <c r="AV170" i="14"/>
  <c r="AV171" i="14"/>
  <c r="AV172" i="14"/>
  <c r="AV173" i="14"/>
  <c r="AV174" i="14"/>
  <c r="AV175" i="14"/>
  <c r="AV176" i="14"/>
  <c r="AV177" i="14"/>
  <c r="AV178" i="14"/>
  <c r="AV179" i="14"/>
  <c r="AV180" i="14"/>
  <c r="AV181" i="14"/>
  <c r="AV182" i="14"/>
  <c r="AV183" i="14"/>
  <c r="AV184" i="14"/>
  <c r="AV185" i="14"/>
  <c r="AV186" i="14"/>
  <c r="AV187" i="14"/>
  <c r="AV188" i="14"/>
  <c r="AV189" i="14"/>
  <c r="AV190" i="14"/>
  <c r="AV191" i="14"/>
  <c r="AV192" i="14"/>
  <c r="AV193" i="14"/>
  <c r="AV194" i="14"/>
  <c r="AV195" i="14"/>
  <c r="AV196" i="14"/>
  <c r="AV197" i="14"/>
  <c r="AV198" i="14"/>
  <c r="AV199" i="14"/>
  <c r="AV200" i="14"/>
  <c r="AV201" i="14"/>
  <c r="AV202" i="14"/>
  <c r="AV203" i="14"/>
  <c r="AV204" i="14"/>
  <c r="AV205" i="14"/>
  <c r="AV206" i="14"/>
  <c r="AV207" i="14"/>
  <c r="AV208" i="14"/>
  <c r="AV209" i="14"/>
  <c r="AV210" i="14"/>
  <c r="AV211" i="14"/>
  <c r="AV212" i="14"/>
  <c r="AV213" i="14"/>
  <c r="AV214" i="14"/>
  <c r="AV7" i="14"/>
  <c r="AO8" i="14"/>
  <c r="AO9" i="14"/>
  <c r="AO10" i="14"/>
  <c r="AO11" i="14"/>
  <c r="AO12" i="14"/>
  <c r="AO13" i="14"/>
  <c r="AO14" i="14"/>
  <c r="AO15" i="14"/>
  <c r="AO16" i="14"/>
  <c r="AO17" i="14"/>
  <c r="AO18" i="14"/>
  <c r="AO19" i="14"/>
  <c r="AO20" i="14"/>
  <c r="AO21" i="14"/>
  <c r="AO22" i="14"/>
  <c r="AO23" i="14"/>
  <c r="AO24" i="14"/>
  <c r="AO25" i="14"/>
  <c r="AO26" i="14"/>
  <c r="AO27" i="14"/>
  <c r="AO28" i="14"/>
  <c r="AO29" i="14"/>
  <c r="AO30" i="14"/>
  <c r="AO31" i="14"/>
  <c r="AO32" i="14"/>
  <c r="AO33" i="14"/>
  <c r="AO34" i="14"/>
  <c r="AO35" i="14"/>
  <c r="AO36" i="14"/>
  <c r="AO37" i="14"/>
  <c r="AO38" i="14"/>
  <c r="AO39" i="14"/>
  <c r="AO40" i="14"/>
  <c r="AO41" i="14"/>
  <c r="AO42" i="14"/>
  <c r="AO43" i="14"/>
  <c r="AO44" i="14"/>
  <c r="AO45" i="14"/>
  <c r="AO46" i="14"/>
  <c r="AO47" i="14"/>
  <c r="AO48" i="14"/>
  <c r="AO49" i="14"/>
  <c r="AO50" i="14"/>
  <c r="AO51" i="14"/>
  <c r="AO52" i="14"/>
  <c r="AO53" i="14"/>
  <c r="AO54" i="14"/>
  <c r="AO55" i="14"/>
  <c r="AO56" i="14"/>
  <c r="AO57" i="14"/>
  <c r="AO58" i="14"/>
  <c r="AO59" i="14"/>
  <c r="AO60" i="14"/>
  <c r="AO61" i="14"/>
  <c r="AO62" i="14"/>
  <c r="AO63" i="14"/>
  <c r="AO64" i="14"/>
  <c r="AO65" i="14"/>
  <c r="AO66" i="14"/>
  <c r="AO67" i="14"/>
  <c r="AO68" i="14"/>
  <c r="AO69" i="14"/>
  <c r="AO70" i="14"/>
  <c r="AO71" i="14"/>
  <c r="AO72" i="14"/>
  <c r="AO73" i="14"/>
  <c r="AO74" i="14"/>
  <c r="AO75" i="14"/>
  <c r="AO76" i="14"/>
  <c r="AO77" i="14"/>
  <c r="AO78" i="14"/>
  <c r="AO79" i="14"/>
  <c r="AO80" i="14"/>
  <c r="AO81" i="14"/>
  <c r="AO82" i="14"/>
  <c r="AO83" i="14"/>
  <c r="AO84" i="14"/>
  <c r="AO85" i="14"/>
  <c r="AO86" i="14"/>
  <c r="AO87" i="14"/>
  <c r="AO88" i="14"/>
  <c r="AO89" i="14"/>
  <c r="AO90" i="14"/>
  <c r="AO91" i="14"/>
  <c r="AO92" i="14"/>
  <c r="AO93" i="14"/>
  <c r="AO94" i="14"/>
  <c r="AO95" i="14"/>
  <c r="AO96" i="14"/>
  <c r="AO97" i="14"/>
  <c r="AO98" i="14"/>
  <c r="AO99" i="14"/>
  <c r="AO100" i="14"/>
  <c r="AO101" i="14"/>
  <c r="AO102" i="14"/>
  <c r="AO103" i="14"/>
  <c r="AO104" i="14"/>
  <c r="AO105" i="14"/>
  <c r="AO106" i="14"/>
  <c r="AO107" i="14"/>
  <c r="AO108" i="14"/>
  <c r="AO109" i="14"/>
  <c r="AO110" i="14"/>
  <c r="AO111" i="14"/>
  <c r="AO112" i="14"/>
  <c r="AO113" i="14"/>
  <c r="AO114" i="14"/>
  <c r="AO115" i="14"/>
  <c r="AO116" i="14"/>
  <c r="AO117" i="14"/>
  <c r="AO118" i="14"/>
  <c r="AO119" i="14"/>
  <c r="AO120" i="14"/>
  <c r="AO121" i="14"/>
  <c r="AO122" i="14"/>
  <c r="AO123" i="14"/>
  <c r="AO124" i="14"/>
  <c r="AO125" i="14"/>
  <c r="AO126" i="14"/>
  <c r="AO127" i="14"/>
  <c r="AO128" i="14"/>
  <c r="AO129" i="14"/>
  <c r="AO130" i="14"/>
  <c r="AO131" i="14"/>
  <c r="AO132" i="14"/>
  <c r="AO133" i="14"/>
  <c r="AO134" i="14"/>
  <c r="AO135" i="14"/>
  <c r="AO136" i="14"/>
  <c r="AO137" i="14"/>
  <c r="AO138" i="14"/>
  <c r="AO139" i="14"/>
  <c r="AO140" i="14"/>
  <c r="AO141" i="14"/>
  <c r="AO142" i="14"/>
  <c r="AO143" i="14"/>
  <c r="AO144" i="14"/>
  <c r="AO145" i="14"/>
  <c r="AO146" i="14"/>
  <c r="AO147" i="14"/>
  <c r="AO148" i="14"/>
  <c r="AO149" i="14"/>
  <c r="AO150" i="14"/>
  <c r="AO151" i="14"/>
  <c r="AO152" i="14"/>
  <c r="AO153" i="14"/>
  <c r="AO154" i="14"/>
  <c r="AO155" i="14"/>
  <c r="AO156" i="14"/>
  <c r="AO157" i="14"/>
  <c r="AO158" i="14"/>
  <c r="AO159" i="14"/>
  <c r="AO160" i="14"/>
  <c r="AO161" i="14"/>
  <c r="AO162" i="14"/>
  <c r="AO163" i="14"/>
  <c r="AO164" i="14"/>
  <c r="AO165" i="14"/>
  <c r="AO166" i="14"/>
  <c r="AO167" i="14"/>
  <c r="AO168" i="14"/>
  <c r="AO169" i="14"/>
  <c r="AO170" i="14"/>
  <c r="AO171" i="14"/>
  <c r="AO172" i="14"/>
  <c r="AO173" i="14"/>
  <c r="AO174" i="14"/>
  <c r="AO175" i="14"/>
  <c r="AO176" i="14"/>
  <c r="AO177" i="14"/>
  <c r="AO178" i="14"/>
  <c r="AO179" i="14"/>
  <c r="AO180" i="14"/>
  <c r="AO181" i="14"/>
  <c r="AO182" i="14"/>
  <c r="AO183" i="14"/>
  <c r="AO184" i="14"/>
  <c r="AO185" i="14"/>
  <c r="AO186" i="14"/>
  <c r="AO187" i="14"/>
  <c r="AO188" i="14"/>
  <c r="AO189" i="14"/>
  <c r="AO190" i="14"/>
  <c r="AO191" i="14"/>
  <c r="AO192" i="14"/>
  <c r="AO193" i="14"/>
  <c r="AO194" i="14"/>
  <c r="AO195" i="14"/>
  <c r="AO196" i="14"/>
  <c r="AO197" i="14"/>
  <c r="AO198" i="14"/>
  <c r="AO199" i="14"/>
  <c r="AO200" i="14"/>
  <c r="AO201" i="14"/>
  <c r="AO202" i="14"/>
  <c r="AO203" i="14"/>
  <c r="AO204" i="14"/>
  <c r="AO205" i="14"/>
  <c r="AO206" i="14"/>
  <c r="AO207" i="14"/>
  <c r="AO208" i="14"/>
  <c r="AO209" i="14"/>
  <c r="AO210" i="14"/>
  <c r="AO211" i="14"/>
  <c r="AO212" i="14"/>
  <c r="AO213" i="14"/>
  <c r="AO214" i="14"/>
  <c r="AO7" i="14"/>
  <c r="AH8" i="14"/>
  <c r="AH9" i="14"/>
  <c r="AH10" i="14"/>
  <c r="AH11" i="14"/>
  <c r="AH12" i="14"/>
  <c r="AH13" i="14"/>
  <c r="AH14" i="14"/>
  <c r="AH15" i="14"/>
  <c r="AH16" i="14"/>
  <c r="AH17" i="14"/>
  <c r="AH18" i="14"/>
  <c r="AH19" i="14"/>
  <c r="AH20" i="14"/>
  <c r="AH21" i="14"/>
  <c r="AH22" i="14"/>
  <c r="AH23" i="14"/>
  <c r="AH24" i="14"/>
  <c r="AH25" i="14"/>
  <c r="AH26" i="14"/>
  <c r="AH27" i="14"/>
  <c r="AH28" i="14"/>
  <c r="AH29" i="14"/>
  <c r="AH30" i="14"/>
  <c r="AH31" i="14"/>
  <c r="AH32" i="14"/>
  <c r="AH33" i="14"/>
  <c r="AH34" i="14"/>
  <c r="AH35" i="14"/>
  <c r="AH36" i="14"/>
  <c r="AH37" i="14"/>
  <c r="AH38" i="14"/>
  <c r="AH39" i="14"/>
  <c r="AH40" i="14"/>
  <c r="AH41" i="14"/>
  <c r="AH42" i="14"/>
  <c r="AH43" i="14"/>
  <c r="AH44" i="14"/>
  <c r="AH45" i="14"/>
  <c r="AH46" i="14"/>
  <c r="AH47" i="14"/>
  <c r="AH48" i="14"/>
  <c r="AH49" i="14"/>
  <c r="AH50" i="14"/>
  <c r="AH51" i="14"/>
  <c r="AH52" i="14"/>
  <c r="AH53" i="14"/>
  <c r="AH54" i="14"/>
  <c r="AH55" i="14"/>
  <c r="AH56" i="14"/>
  <c r="AH57" i="14"/>
  <c r="AH58" i="14"/>
  <c r="AH59" i="14"/>
  <c r="AH60" i="14"/>
  <c r="AH61" i="14"/>
  <c r="AH62" i="14"/>
  <c r="AH63" i="14"/>
  <c r="AH64" i="14"/>
  <c r="AH65" i="14"/>
  <c r="AH66" i="14"/>
  <c r="AH67" i="14"/>
  <c r="AH68" i="14"/>
  <c r="AH69" i="14"/>
  <c r="AH70" i="14"/>
  <c r="AH71" i="14"/>
  <c r="AH72" i="14"/>
  <c r="AH73" i="14"/>
  <c r="AH74" i="14"/>
  <c r="AH75" i="14"/>
  <c r="AH76" i="14"/>
  <c r="AH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70" i="14"/>
  <c r="AA71" i="14"/>
  <c r="AA72" i="14"/>
  <c r="AA73" i="14"/>
  <c r="AA74" i="14"/>
  <c r="AA75" i="14"/>
  <c r="AA76" i="14"/>
  <c r="AA77" i="14"/>
  <c r="AA78" i="14"/>
  <c r="AA79" i="14"/>
  <c r="AA80" i="14"/>
  <c r="AA81" i="14"/>
  <c r="AA82" i="14"/>
  <c r="AA83" i="14"/>
  <c r="AA84" i="14"/>
  <c r="AA85" i="14"/>
  <c r="AA86" i="14"/>
  <c r="AA87" i="14"/>
  <c r="AA88" i="14"/>
  <c r="AA89" i="14"/>
  <c r="AA90" i="14"/>
  <c r="AA91" i="14"/>
  <c r="AA92" i="14"/>
  <c r="AA7" i="14"/>
  <c r="AY11" i="14"/>
  <c r="AR11" i="14"/>
  <c r="AK11" i="14"/>
  <c r="N10" i="14"/>
  <c r="H37" i="14"/>
  <c r="D37" i="14"/>
  <c r="C30" i="18" l="1"/>
  <c r="J57" i="26"/>
  <c r="H42" i="13"/>
  <c r="F30" i="12"/>
  <c r="F15" i="12" s="1"/>
  <c r="F16" i="12" s="1"/>
  <c r="G30" i="12"/>
  <c r="G15" i="12" s="1"/>
  <c r="G16" i="12" s="1"/>
  <c r="E30" i="12"/>
  <c r="E15" i="12" s="1"/>
  <c r="E16" i="12" s="1"/>
  <c r="D30" i="12"/>
  <c r="D15" i="12" s="1"/>
  <c r="D16" i="12" s="1"/>
  <c r="C30" i="12"/>
  <c r="C15" i="12" s="1"/>
  <c r="C16" i="12" s="1"/>
  <c r="H13" i="12"/>
  <c r="H14" i="12" s="1"/>
  <c r="H5" i="12"/>
  <c r="I4" i="12"/>
  <c r="G42" i="13"/>
  <c r="G41" i="13"/>
  <c r="H41" i="13"/>
  <c r="C31" i="12" l="1"/>
  <c r="H15" i="12" s="1"/>
  <c r="H16" i="12" s="1"/>
  <c r="I13" i="12"/>
  <c r="I14" i="12" s="1"/>
  <c r="I6" i="12"/>
  <c r="I5" i="12"/>
  <c r="J4" i="12"/>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7" i="14"/>
  <c r="H7"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8" i="14"/>
  <c r="I3" i="20"/>
  <c r="G8" i="19" s="1"/>
  <c r="I4" i="20"/>
  <c r="G9" i="19" s="1"/>
  <c r="I5" i="20"/>
  <c r="G10" i="19" s="1"/>
  <c r="I6" i="20"/>
  <c r="G11" i="19" s="1"/>
  <c r="I7" i="20"/>
  <c r="G12" i="19" s="1"/>
  <c r="I8" i="20"/>
  <c r="G13" i="19" s="1"/>
  <c r="I2" i="20"/>
  <c r="G7" i="19" s="1"/>
  <c r="C6" i="15"/>
  <c r="C93" i="8"/>
  <c r="C100" i="8" s="1"/>
  <c r="D93" i="8"/>
  <c r="E93" i="8"/>
  <c r="F93" i="8"/>
  <c r="G93" i="8"/>
  <c r="H93" i="8"/>
  <c r="I93" i="8"/>
  <c r="C94" i="8"/>
  <c r="D94" i="8"/>
  <c r="E94" i="8"/>
  <c r="F94" i="8"/>
  <c r="G94" i="8"/>
  <c r="H94" i="8"/>
  <c r="I94" i="8"/>
  <c r="C95" i="8"/>
  <c r="D95" i="8"/>
  <c r="E95" i="8"/>
  <c r="F95" i="8"/>
  <c r="G95" i="8"/>
  <c r="H95" i="8"/>
  <c r="I95" i="8"/>
  <c r="C96" i="8"/>
  <c r="D96" i="8"/>
  <c r="E96" i="8"/>
  <c r="F96" i="8"/>
  <c r="G96" i="8"/>
  <c r="H96" i="8"/>
  <c r="I96" i="8"/>
  <c r="C97" i="8"/>
  <c r="D97" i="8"/>
  <c r="E97" i="8"/>
  <c r="F97" i="8"/>
  <c r="G97" i="8"/>
  <c r="H97" i="8"/>
  <c r="I97" i="8"/>
  <c r="C98" i="8"/>
  <c r="D98" i="8"/>
  <c r="E98" i="8"/>
  <c r="F98" i="8"/>
  <c r="G98" i="8"/>
  <c r="H98" i="8"/>
  <c r="I98" i="8"/>
  <c r="C99" i="8"/>
  <c r="D99" i="8"/>
  <c r="E99" i="8"/>
  <c r="F99" i="8"/>
  <c r="G99" i="8"/>
  <c r="H99" i="8"/>
  <c r="I99" i="8"/>
  <c r="D92" i="8"/>
  <c r="E92" i="8"/>
  <c r="F92" i="8"/>
  <c r="G92" i="8"/>
  <c r="H92" i="8"/>
  <c r="I92" i="8"/>
  <c r="C92" i="8"/>
  <c r="C79" i="8"/>
  <c r="D79" i="8"/>
  <c r="E79" i="8"/>
  <c r="F79" i="8"/>
  <c r="G79" i="8"/>
  <c r="H79" i="8"/>
  <c r="I79" i="8"/>
  <c r="C80" i="8"/>
  <c r="D80" i="8"/>
  <c r="E80" i="8"/>
  <c r="F80" i="8"/>
  <c r="G80" i="8"/>
  <c r="H80" i="8"/>
  <c r="I80" i="8"/>
  <c r="C81" i="8"/>
  <c r="D81" i="8"/>
  <c r="E81" i="8"/>
  <c r="F81" i="8"/>
  <c r="G81" i="8"/>
  <c r="H81" i="8"/>
  <c r="I81" i="8"/>
  <c r="C82" i="8"/>
  <c r="D82" i="8"/>
  <c r="E82" i="8"/>
  <c r="F82" i="8"/>
  <c r="G82" i="8"/>
  <c r="H82" i="8"/>
  <c r="I82" i="8"/>
  <c r="C83" i="8"/>
  <c r="D83" i="8"/>
  <c r="E83" i="8"/>
  <c r="F83" i="8"/>
  <c r="G83" i="8"/>
  <c r="H83" i="8"/>
  <c r="I83" i="8"/>
  <c r="C84" i="8"/>
  <c r="D84" i="8"/>
  <c r="E84" i="8"/>
  <c r="F84" i="8"/>
  <c r="G84" i="8"/>
  <c r="H84" i="8"/>
  <c r="I84" i="8"/>
  <c r="C85" i="8"/>
  <c r="D85" i="8"/>
  <c r="E85" i="8"/>
  <c r="F85" i="8"/>
  <c r="G85" i="8"/>
  <c r="H85" i="8"/>
  <c r="I85" i="8"/>
  <c r="C86" i="8"/>
  <c r="D86" i="8"/>
  <c r="E86" i="8"/>
  <c r="F86" i="8"/>
  <c r="G86" i="8"/>
  <c r="H86" i="8"/>
  <c r="I86" i="8"/>
  <c r="C87" i="8"/>
  <c r="D87" i="8"/>
  <c r="E87" i="8"/>
  <c r="F87" i="8"/>
  <c r="G87" i="8"/>
  <c r="H87" i="8"/>
  <c r="I87" i="8"/>
  <c r="C88" i="8"/>
  <c r="D88" i="8"/>
  <c r="E88" i="8"/>
  <c r="F88" i="8"/>
  <c r="G88" i="8"/>
  <c r="H88" i="8"/>
  <c r="I88" i="8"/>
  <c r="D78" i="8"/>
  <c r="E78" i="8"/>
  <c r="F78" i="8"/>
  <c r="G78" i="8"/>
  <c r="H78" i="8"/>
  <c r="I78" i="8"/>
  <c r="G13" i="12" s="1"/>
  <c r="G14" i="12" s="1"/>
  <c r="C78" i="8"/>
  <c r="C69" i="8"/>
  <c r="D69" i="8"/>
  <c r="E69" i="8"/>
  <c r="F69" i="8"/>
  <c r="G69" i="8"/>
  <c r="H69" i="8"/>
  <c r="I69" i="8"/>
  <c r="C70" i="8"/>
  <c r="D70" i="8"/>
  <c r="E70" i="8"/>
  <c r="F70" i="8"/>
  <c r="G70" i="8"/>
  <c r="H70" i="8"/>
  <c r="I70" i="8"/>
  <c r="C71" i="8"/>
  <c r="D71" i="8"/>
  <c r="E71" i="8"/>
  <c r="F71" i="8"/>
  <c r="G71" i="8"/>
  <c r="H71" i="8"/>
  <c r="I71" i="8"/>
  <c r="C72" i="8"/>
  <c r="D72" i="8"/>
  <c r="E72" i="8"/>
  <c r="F72" i="8"/>
  <c r="G72" i="8"/>
  <c r="H72" i="8"/>
  <c r="I72" i="8"/>
  <c r="C73" i="8"/>
  <c r="D73" i="8"/>
  <c r="E73" i="8"/>
  <c r="F73" i="8"/>
  <c r="G73" i="8"/>
  <c r="H73" i="8"/>
  <c r="I73" i="8"/>
  <c r="C74" i="8"/>
  <c r="D74" i="8"/>
  <c r="E74" i="8"/>
  <c r="F74" i="8"/>
  <c r="G74" i="8"/>
  <c r="H74" i="8"/>
  <c r="I74" i="8"/>
  <c r="D68" i="8"/>
  <c r="E68" i="8"/>
  <c r="F68" i="8"/>
  <c r="G68" i="8"/>
  <c r="H68" i="8"/>
  <c r="I68" i="8"/>
  <c r="I75" i="8" s="1"/>
  <c r="C68" i="8"/>
  <c r="B99" i="8"/>
  <c r="B93" i="8"/>
  <c r="B94" i="8"/>
  <c r="B95" i="8"/>
  <c r="B96" i="8"/>
  <c r="B97" i="8"/>
  <c r="B98" i="8"/>
  <c r="B92" i="8"/>
  <c r="B88" i="8"/>
  <c r="B79" i="8"/>
  <c r="B80" i="8"/>
  <c r="B81" i="8"/>
  <c r="B82" i="8"/>
  <c r="B83" i="8"/>
  <c r="B84" i="8"/>
  <c r="B85" i="8"/>
  <c r="B86" i="8"/>
  <c r="B87" i="8"/>
  <c r="B78" i="8"/>
  <c r="B69" i="8"/>
  <c r="B70" i="8"/>
  <c r="B71" i="8"/>
  <c r="B72" i="8"/>
  <c r="B73" i="8"/>
  <c r="B74" i="8"/>
  <c r="B68" i="8"/>
  <c r="D43" i="8"/>
  <c r="E43" i="8"/>
  <c r="F43" i="8"/>
  <c r="G43" i="8"/>
  <c r="H43" i="8"/>
  <c r="I43" i="8"/>
  <c r="C43" i="8"/>
  <c r="D42" i="8"/>
  <c r="D10" i="11" s="1"/>
  <c r="E42" i="8"/>
  <c r="E10" i="11" s="1"/>
  <c r="F42" i="8"/>
  <c r="G42" i="8"/>
  <c r="H42" i="8"/>
  <c r="H10" i="11" s="1"/>
  <c r="I42" i="8"/>
  <c r="I10" i="11" s="1"/>
  <c r="C42" i="8"/>
  <c r="D10" i="8"/>
  <c r="E10" i="8"/>
  <c r="F10" i="8"/>
  <c r="G10" i="8"/>
  <c r="H10" i="8"/>
  <c r="I10" i="8"/>
  <c r="C10" i="8"/>
  <c r="C2" i="8"/>
  <c r="B2" i="26"/>
  <c r="J53" i="26"/>
  <c r="H97" i="6"/>
  <c r="H98" i="6" s="1"/>
  <c r="K97" i="6"/>
  <c r="K98" i="6" s="1"/>
  <c r="F97" i="6"/>
  <c r="F98" i="6" s="1"/>
  <c r="G97" i="6"/>
  <c r="G98" i="6" s="1"/>
  <c r="I97" i="6"/>
  <c r="I98" i="6" s="1"/>
  <c r="J97" i="6"/>
  <c r="J98" i="6" s="1"/>
  <c r="E97" i="6"/>
  <c r="E98" i="6" s="1"/>
  <c r="K18" i="28"/>
  <c r="J18" i="28"/>
  <c r="I18" i="28"/>
  <c r="H18" i="28"/>
  <c r="G18" i="28"/>
  <c r="F18" i="28"/>
  <c r="E18" i="28"/>
  <c r="D18" i="28"/>
  <c r="C18" i="28"/>
  <c r="B18" i="28"/>
  <c r="L15" i="28"/>
  <c r="K15" i="28"/>
  <c r="J15" i="28"/>
  <c r="I15" i="28"/>
  <c r="H15" i="28"/>
  <c r="G15" i="28"/>
  <c r="F15" i="28"/>
  <c r="E15" i="28"/>
  <c r="D15" i="28"/>
  <c r="C15" i="28"/>
  <c r="B15" i="28"/>
  <c r="N13" i="28"/>
  <c r="M13" i="28"/>
  <c r="L13" i="28"/>
  <c r="L14" i="28" s="1"/>
  <c r="L25" i="28" s="1"/>
  <c r="L12" i="28"/>
  <c r="K12" i="28"/>
  <c r="K13" i="28" s="1"/>
  <c r="J12" i="28"/>
  <c r="J13" i="28" s="1"/>
  <c r="I12" i="28"/>
  <c r="I13" i="28" s="1"/>
  <c r="H12" i="28"/>
  <c r="H13" i="28" s="1"/>
  <c r="G12" i="28"/>
  <c r="G13" i="28" s="1"/>
  <c r="F12" i="28"/>
  <c r="F13" i="28" s="1"/>
  <c r="E12" i="28"/>
  <c r="E13" i="28" s="1"/>
  <c r="D12" i="28"/>
  <c r="D13" i="28" s="1"/>
  <c r="C12" i="28"/>
  <c r="C13" i="28" s="1"/>
  <c r="C14" i="28" s="1"/>
  <c r="B12" i="28"/>
  <c r="B13" i="28" s="1"/>
  <c r="B14" i="28" s="1"/>
  <c r="L11" i="28"/>
  <c r="K11" i="28"/>
  <c r="J11" i="28"/>
  <c r="I11" i="28"/>
  <c r="H11" i="28"/>
  <c r="G11" i="28"/>
  <c r="F11" i="28"/>
  <c r="E11" i="28"/>
  <c r="D11" i="28"/>
  <c r="C11" i="28"/>
  <c r="B11" i="28"/>
  <c r="L10" i="28"/>
  <c r="K10" i="28"/>
  <c r="J10" i="28"/>
  <c r="I10" i="28"/>
  <c r="H10" i="28"/>
  <c r="G10" i="28"/>
  <c r="F10" i="28"/>
  <c r="E10" i="28"/>
  <c r="D10" i="28"/>
  <c r="C10" i="28"/>
  <c r="B10" i="28"/>
  <c r="L9" i="28"/>
  <c r="N9" i="28" s="1"/>
  <c r="K9" i="28"/>
  <c r="J9" i="28"/>
  <c r="I9" i="28"/>
  <c r="H9" i="28"/>
  <c r="G9" i="28"/>
  <c r="F9" i="28"/>
  <c r="E9" i="28"/>
  <c r="D9" i="28"/>
  <c r="C9" i="28"/>
  <c r="B9" i="28"/>
  <c r="L8" i="28"/>
  <c r="N8" i="28" s="1"/>
  <c r="K8" i="28"/>
  <c r="J8" i="28"/>
  <c r="I8" i="28"/>
  <c r="H8" i="28"/>
  <c r="G8" i="28"/>
  <c r="F8" i="28"/>
  <c r="E8" i="28"/>
  <c r="D8" i="28"/>
  <c r="C8" i="28"/>
  <c r="B8" i="28"/>
  <c r="L7" i="28"/>
  <c r="K7" i="28"/>
  <c r="J7" i="28"/>
  <c r="I7" i="28"/>
  <c r="H7" i="28"/>
  <c r="G7" i="28"/>
  <c r="F7" i="28"/>
  <c r="E7" i="28"/>
  <c r="D7" i="28"/>
  <c r="C7" i="28"/>
  <c r="B7" i="28"/>
  <c r="L6" i="28"/>
  <c r="L5" i="28"/>
  <c r="K5" i="28"/>
  <c r="J5" i="28"/>
  <c r="I5" i="28"/>
  <c r="H5" i="28"/>
  <c r="G5" i="28"/>
  <c r="F5" i="28"/>
  <c r="E5" i="28"/>
  <c r="D5" i="28"/>
  <c r="D6" i="28" s="1"/>
  <c r="D19" i="28" s="1"/>
  <c r="C5" i="28"/>
  <c r="B5" i="28"/>
  <c r="L4" i="28"/>
  <c r="K4" i="28"/>
  <c r="J4" i="28"/>
  <c r="I4" i="28"/>
  <c r="H4" i="28"/>
  <c r="K23" i="28" s="1"/>
  <c r="G4" i="28"/>
  <c r="F4" i="28"/>
  <c r="E4" i="28"/>
  <c r="D4" i="28"/>
  <c r="C4" i="28"/>
  <c r="B4" i="28"/>
  <c r="K3" i="28"/>
  <c r="J3" i="28"/>
  <c r="I3" i="28"/>
  <c r="H3" i="28"/>
  <c r="G3" i="28"/>
  <c r="F3" i="28"/>
  <c r="E3" i="28"/>
  <c r="D3" i="28"/>
  <c r="C3" i="28"/>
  <c r="B3" i="28"/>
  <c r="A1" i="28"/>
  <c r="H75" i="8" l="1"/>
  <c r="E13" i="12"/>
  <c r="E14" i="12" s="1"/>
  <c r="C13" i="12"/>
  <c r="C14" i="12" s="1"/>
  <c r="F13" i="12"/>
  <c r="F14" i="12" s="1"/>
  <c r="D13" i="12"/>
  <c r="D14" i="12" s="1"/>
  <c r="G10" i="11"/>
  <c r="I15" i="12"/>
  <c r="I16" i="12" s="1"/>
  <c r="J13" i="12"/>
  <c r="J14" i="12" s="1"/>
  <c r="J15" i="12"/>
  <c r="I7" i="12"/>
  <c r="J6" i="12"/>
  <c r="J5" i="12"/>
  <c r="K4" i="12"/>
  <c r="I23" i="28"/>
  <c r="E6" i="28"/>
  <c r="E19" i="28" s="1"/>
  <c r="J14" i="28"/>
  <c r="I89" i="8"/>
  <c r="H23" i="28"/>
  <c r="E75" i="8"/>
  <c r="E89" i="8"/>
  <c r="G75" i="8"/>
  <c r="F75" i="8"/>
  <c r="F89" i="8"/>
  <c r="F102" i="8" s="1"/>
  <c r="C89" i="8"/>
  <c r="C102" i="8" s="1"/>
  <c r="D75" i="8"/>
  <c r="D89" i="8"/>
  <c r="L23" i="28"/>
  <c r="M23" i="28" s="1"/>
  <c r="M4" i="28" s="1"/>
  <c r="D14" i="28"/>
  <c r="H100" i="8"/>
  <c r="D100" i="8"/>
  <c r="G100" i="8"/>
  <c r="F100" i="8"/>
  <c r="I100" i="8"/>
  <c r="H89" i="8"/>
  <c r="G89" i="8"/>
  <c r="G102" i="8" s="1"/>
  <c r="G6" i="28"/>
  <c r="G19" i="28" s="1"/>
  <c r="E100" i="8"/>
  <c r="E102" i="8" s="1"/>
  <c r="F10" i="11"/>
  <c r="C75" i="8"/>
  <c r="K14" i="28"/>
  <c r="N11" i="28"/>
  <c r="E14" i="28"/>
  <c r="L19" i="28"/>
  <c r="L24" i="28" s="1"/>
  <c r="F14" i="28"/>
  <c r="AR8" i="14"/>
  <c r="AY8" i="14"/>
  <c r="AD8" i="14"/>
  <c r="I36" i="13" s="1"/>
  <c r="J36" i="13" s="1"/>
  <c r="AK8" i="14"/>
  <c r="N7" i="14"/>
  <c r="N8" i="14"/>
  <c r="M11" i="28"/>
  <c r="I6" i="28"/>
  <c r="I19" i="28" s="1"/>
  <c r="G14" i="28"/>
  <c r="H14" i="28"/>
  <c r="C6" i="28"/>
  <c r="C19" i="28" s="1"/>
  <c r="J23" i="28"/>
  <c r="I14" i="28"/>
  <c r="H25" i="28"/>
  <c r="F6" i="28"/>
  <c r="F19" i="28" s="1"/>
  <c r="H6" i="28"/>
  <c r="H19" i="28" s="1"/>
  <c r="J6" i="28"/>
  <c r="J19" i="28" s="1"/>
  <c r="M8" i="28"/>
  <c r="B6" i="28"/>
  <c r="B19" i="28" s="1"/>
  <c r="M9" i="28"/>
  <c r="K6" i="28"/>
  <c r="K19" i="28" s="1"/>
  <c r="C24" i="12" l="1"/>
  <c r="J16" i="12"/>
  <c r="K13" i="12"/>
  <c r="K14" i="12" s="1"/>
  <c r="K15" i="12"/>
  <c r="J7" i="12"/>
  <c r="K6" i="12"/>
  <c r="L4" i="12"/>
  <c r="K5" i="12"/>
  <c r="I102" i="8"/>
  <c r="N23" i="28"/>
  <c r="N4" i="28" s="1"/>
  <c r="D102" i="8"/>
  <c r="H102" i="8"/>
  <c r="I38" i="13"/>
  <c r="J38" i="13" s="1"/>
  <c r="AR13" i="14"/>
  <c r="I37" i="13"/>
  <c r="J37" i="13" s="1"/>
  <c r="AK13" i="14"/>
  <c r="I24" i="28"/>
  <c r="I39" i="13"/>
  <c r="J39" i="13" s="1"/>
  <c r="AY13" i="14"/>
  <c r="H24" i="28"/>
  <c r="K25" i="28"/>
  <c r="M25" i="28" s="1"/>
  <c r="M14" i="28" s="1"/>
  <c r="M15" i="28" s="1"/>
  <c r="K24" i="28"/>
  <c r="M24" i="28" s="1"/>
  <c r="M6" i="28" s="1"/>
  <c r="J24" i="28"/>
  <c r="J25" i="28"/>
  <c r="I25" i="28"/>
  <c r="L13" i="12" l="1"/>
  <c r="L14" i="12" s="1"/>
  <c r="L15" i="12"/>
  <c r="K16" i="12"/>
  <c r="K7" i="12"/>
  <c r="L5" i="12"/>
  <c r="L6" i="12"/>
  <c r="N24" i="28"/>
  <c r="N6" i="28" s="1"/>
  <c r="N10" i="28" s="1"/>
  <c r="N12" i="28" s="1"/>
  <c r="N25" i="28"/>
  <c r="N14" i="28" s="1"/>
  <c r="N15" i="28" s="1"/>
  <c r="M10" i="28"/>
  <c r="M12" i="28" s="1"/>
  <c r="M5" i="28"/>
  <c r="D8" i="26"/>
  <c r="E8" i="26"/>
  <c r="F8" i="26"/>
  <c r="G8" i="26"/>
  <c r="C8" i="26"/>
  <c r="D6" i="26"/>
  <c r="D17" i="26" s="1"/>
  <c r="D27" i="26" s="1"/>
  <c r="E6" i="26"/>
  <c r="E17" i="26" s="1"/>
  <c r="E27" i="26" s="1"/>
  <c r="F6" i="26"/>
  <c r="F17" i="26" s="1"/>
  <c r="F27" i="26" s="1"/>
  <c r="G6" i="26"/>
  <c r="G17" i="26" s="1"/>
  <c r="G27" i="26" s="1"/>
  <c r="C6" i="26"/>
  <c r="C17" i="26" s="1"/>
  <c r="C27" i="26" s="1"/>
  <c r="L16" i="12" l="1"/>
  <c r="L7" i="12"/>
  <c r="N5" i="28"/>
  <c r="B2" i="11"/>
  <c r="D31" i="8"/>
  <c r="E31" i="8"/>
  <c r="F31" i="8"/>
  <c r="G31" i="8"/>
  <c r="H31" i="8"/>
  <c r="I31" i="8"/>
  <c r="C31" i="8"/>
  <c r="K17" i="25"/>
  <c r="K10" i="25"/>
  <c r="D2332" i="25"/>
  <c r="D2331" i="25"/>
  <c r="D2330" i="25"/>
  <c r="D2329" i="25"/>
  <c r="D2328" i="25"/>
  <c r="D2327" i="25"/>
  <c r="D2326" i="25"/>
  <c r="D2325" i="25"/>
  <c r="D2324" i="25"/>
  <c r="D2323" i="25"/>
  <c r="D2322" i="25"/>
  <c r="D2321" i="25"/>
  <c r="D2320" i="25"/>
  <c r="D2319" i="25"/>
  <c r="D2318" i="25"/>
  <c r="D2317" i="25"/>
  <c r="D2316" i="25"/>
  <c r="D2315" i="25"/>
  <c r="D2314" i="25"/>
  <c r="D2313" i="25"/>
  <c r="D2312" i="25"/>
  <c r="D2311" i="25"/>
  <c r="D2310" i="25"/>
  <c r="D2309" i="25"/>
  <c r="D2308" i="25"/>
  <c r="D2307" i="25"/>
  <c r="D2306" i="25"/>
  <c r="D2305" i="25"/>
  <c r="D2304" i="25"/>
  <c r="D2303" i="25"/>
  <c r="D2302" i="25"/>
  <c r="D2301" i="25"/>
  <c r="D2300" i="25"/>
  <c r="D2299" i="25"/>
  <c r="D2298" i="25"/>
  <c r="D2297" i="25"/>
  <c r="D2296" i="25"/>
  <c r="D2295" i="25"/>
  <c r="D2294" i="25"/>
  <c r="D2293" i="25"/>
  <c r="D2292" i="25"/>
  <c r="D2291" i="25"/>
  <c r="D2290" i="25"/>
  <c r="D2289" i="25"/>
  <c r="D2288" i="25"/>
  <c r="D2287" i="25"/>
  <c r="D2286" i="25"/>
  <c r="D2285" i="25"/>
  <c r="D2284" i="25"/>
  <c r="D2283" i="25"/>
  <c r="D2282" i="25"/>
  <c r="D2281" i="25"/>
  <c r="D2280" i="25"/>
  <c r="D2279" i="25"/>
  <c r="D2278" i="25"/>
  <c r="D2277" i="25"/>
  <c r="D2276" i="25"/>
  <c r="D2275" i="25"/>
  <c r="D2274" i="25"/>
  <c r="D2273" i="25"/>
  <c r="D2272" i="25"/>
  <c r="D2271" i="25"/>
  <c r="D2270" i="25"/>
  <c r="D2269" i="25"/>
  <c r="D2268" i="25"/>
  <c r="D2267" i="25"/>
  <c r="D2266" i="25"/>
  <c r="D2265" i="25"/>
  <c r="D2264" i="25"/>
  <c r="D2263" i="25"/>
  <c r="D2262" i="25"/>
  <c r="D2261" i="25"/>
  <c r="D2260" i="25"/>
  <c r="D2259" i="25"/>
  <c r="D2258" i="25"/>
  <c r="D2257" i="25"/>
  <c r="D2256" i="25"/>
  <c r="D2255" i="25"/>
  <c r="D2254" i="25"/>
  <c r="D2253" i="25"/>
  <c r="D2252" i="25"/>
  <c r="D2251" i="25"/>
  <c r="D2250" i="25"/>
  <c r="D2249" i="25"/>
  <c r="D2248" i="25"/>
  <c r="D2247" i="25"/>
  <c r="D2246" i="25"/>
  <c r="D2245" i="25"/>
  <c r="D2244" i="25"/>
  <c r="D2243" i="25"/>
  <c r="D2242" i="25"/>
  <c r="D2241" i="25"/>
  <c r="D2240" i="25"/>
  <c r="D2239" i="25"/>
  <c r="D2238" i="25"/>
  <c r="D2237" i="25"/>
  <c r="D2236" i="25"/>
  <c r="D2235" i="25"/>
  <c r="D2234" i="25"/>
  <c r="D2233" i="25"/>
  <c r="D2232" i="25"/>
  <c r="D2231" i="25"/>
  <c r="D2230" i="25"/>
  <c r="D2229" i="25"/>
  <c r="D2228" i="25"/>
  <c r="D2227" i="25"/>
  <c r="D2226" i="25"/>
  <c r="D2225" i="25"/>
  <c r="D2224" i="25"/>
  <c r="D2223" i="25"/>
  <c r="D2222" i="25"/>
  <c r="D2221" i="25"/>
  <c r="D2220" i="25"/>
  <c r="D2219" i="25"/>
  <c r="D2218" i="25"/>
  <c r="D2217" i="25"/>
  <c r="D2216" i="25"/>
  <c r="D2215" i="25"/>
  <c r="D2214" i="25"/>
  <c r="D2213" i="25"/>
  <c r="D2212" i="25"/>
  <c r="D2211" i="25"/>
  <c r="D2210" i="25"/>
  <c r="D2209" i="25"/>
  <c r="D2208" i="25"/>
  <c r="D2207" i="25"/>
  <c r="D2206" i="25"/>
  <c r="D2205" i="25"/>
  <c r="D2204" i="25"/>
  <c r="D2203" i="25"/>
  <c r="D2202" i="25"/>
  <c r="D2201" i="25"/>
  <c r="D2200" i="25"/>
  <c r="D2199" i="25"/>
  <c r="D2198" i="25"/>
  <c r="D2197" i="25"/>
  <c r="D2196" i="25"/>
  <c r="D2195" i="25"/>
  <c r="D2194" i="25"/>
  <c r="D2193" i="25"/>
  <c r="D2192" i="25"/>
  <c r="D2191" i="25"/>
  <c r="D2190" i="25"/>
  <c r="D2189" i="25"/>
  <c r="D2188" i="25"/>
  <c r="D2187" i="25"/>
  <c r="D2186" i="25"/>
  <c r="D2185" i="25"/>
  <c r="D2184" i="25"/>
  <c r="D2183" i="25"/>
  <c r="D2182" i="25"/>
  <c r="D2181" i="25"/>
  <c r="D2180" i="25"/>
  <c r="D2179" i="25"/>
  <c r="D2178" i="25"/>
  <c r="D2177" i="25"/>
  <c r="D2176" i="25"/>
  <c r="D2175" i="25"/>
  <c r="D2174" i="25"/>
  <c r="D2173" i="25"/>
  <c r="D2172" i="25"/>
  <c r="D2171" i="25"/>
  <c r="D2170" i="25"/>
  <c r="D2169" i="25"/>
  <c r="D2168" i="25"/>
  <c r="D2167" i="25"/>
  <c r="D2166" i="25"/>
  <c r="D2165" i="25"/>
  <c r="D2164" i="25"/>
  <c r="D2163" i="25"/>
  <c r="D2162" i="25"/>
  <c r="D2161" i="25"/>
  <c r="D2160" i="25"/>
  <c r="D2159" i="25"/>
  <c r="D2158" i="25"/>
  <c r="D2157" i="25"/>
  <c r="D2156" i="25"/>
  <c r="D2155" i="25"/>
  <c r="D2154" i="25"/>
  <c r="D2153" i="25"/>
  <c r="D2152" i="25"/>
  <c r="D2151" i="25"/>
  <c r="D2150" i="25"/>
  <c r="D2149" i="25"/>
  <c r="D2148" i="25"/>
  <c r="D2147" i="25"/>
  <c r="D2146" i="25"/>
  <c r="D2145" i="25"/>
  <c r="D2144" i="25"/>
  <c r="D2143" i="25"/>
  <c r="D2142" i="25"/>
  <c r="D2141" i="25"/>
  <c r="D2140" i="25"/>
  <c r="D2139" i="25"/>
  <c r="D2138" i="25"/>
  <c r="D2137" i="25"/>
  <c r="D2136" i="25"/>
  <c r="D2135" i="25"/>
  <c r="D2134" i="25"/>
  <c r="D2133" i="25"/>
  <c r="D2132" i="25"/>
  <c r="D2131" i="25"/>
  <c r="D2130" i="25"/>
  <c r="D2129" i="25"/>
  <c r="D2128" i="25"/>
  <c r="D2127" i="25"/>
  <c r="D2126" i="25"/>
  <c r="D2125" i="25"/>
  <c r="D2124" i="25"/>
  <c r="D2123" i="25"/>
  <c r="D2122" i="25"/>
  <c r="D2121" i="25"/>
  <c r="D2120" i="25"/>
  <c r="D2119" i="25"/>
  <c r="D2118" i="25"/>
  <c r="D2117" i="25"/>
  <c r="D2116" i="25"/>
  <c r="D2115" i="25"/>
  <c r="D2114" i="25"/>
  <c r="D2113" i="25"/>
  <c r="D2112" i="25"/>
  <c r="D2111" i="25"/>
  <c r="D2110" i="25"/>
  <c r="D2109" i="25"/>
  <c r="D2108" i="25"/>
  <c r="D2107" i="25"/>
  <c r="D2106" i="25"/>
  <c r="D2105" i="25"/>
  <c r="D2104" i="25"/>
  <c r="D2103" i="25"/>
  <c r="D2102" i="25"/>
  <c r="D2101" i="25"/>
  <c r="D2100" i="25"/>
  <c r="D2099" i="25"/>
  <c r="D2098" i="25"/>
  <c r="D2097" i="25"/>
  <c r="D2096" i="25"/>
  <c r="D2095" i="25"/>
  <c r="D2094" i="25"/>
  <c r="D2093" i="25"/>
  <c r="D2092" i="25"/>
  <c r="D2091" i="25"/>
  <c r="D2090" i="25"/>
  <c r="D2089" i="25"/>
  <c r="D2088" i="25"/>
  <c r="D2087" i="25"/>
  <c r="D2086" i="25"/>
  <c r="D2085" i="25"/>
  <c r="D2084" i="25"/>
  <c r="D2083" i="25"/>
  <c r="D2082" i="25"/>
  <c r="D2081" i="25"/>
  <c r="D2080" i="25"/>
  <c r="D2079" i="25"/>
  <c r="D2078" i="25"/>
  <c r="D2077" i="25"/>
  <c r="D2076" i="25"/>
  <c r="D2075" i="25"/>
  <c r="D2074" i="25"/>
  <c r="D2073" i="25"/>
  <c r="D2072" i="25"/>
  <c r="D2071" i="25"/>
  <c r="D2070" i="25"/>
  <c r="D2069" i="25"/>
  <c r="D2068" i="25"/>
  <c r="D2067" i="25"/>
  <c r="D2066" i="25"/>
  <c r="D2065" i="25"/>
  <c r="D2064" i="25"/>
  <c r="D2063" i="25"/>
  <c r="D2062" i="25"/>
  <c r="D2061" i="25"/>
  <c r="D2060" i="25"/>
  <c r="D2059" i="25"/>
  <c r="D2058" i="25"/>
  <c r="D2057" i="25"/>
  <c r="D2056" i="25"/>
  <c r="D2055" i="25"/>
  <c r="D2054" i="25"/>
  <c r="D2053" i="25"/>
  <c r="D2052" i="25"/>
  <c r="D2051" i="25"/>
  <c r="D2050" i="25"/>
  <c r="D2049" i="25"/>
  <c r="D2048" i="25"/>
  <c r="D2047" i="25"/>
  <c r="D2046" i="25"/>
  <c r="D2045" i="25"/>
  <c r="D2044" i="25"/>
  <c r="D2043" i="25"/>
  <c r="D2042" i="25"/>
  <c r="D2041" i="25"/>
  <c r="D2040" i="25"/>
  <c r="D2039" i="25"/>
  <c r="D2038" i="25"/>
  <c r="D2037" i="25"/>
  <c r="D2036" i="25"/>
  <c r="D2035" i="25"/>
  <c r="D2034" i="25"/>
  <c r="D2033" i="25"/>
  <c r="D2032" i="25"/>
  <c r="D2031" i="25"/>
  <c r="D2030" i="25"/>
  <c r="D2029" i="25"/>
  <c r="D2028" i="25"/>
  <c r="D2027" i="25"/>
  <c r="D2026" i="25"/>
  <c r="D2025" i="25"/>
  <c r="D2024" i="25"/>
  <c r="D2023" i="25"/>
  <c r="D2022" i="25"/>
  <c r="D2021" i="25"/>
  <c r="D2020" i="25"/>
  <c r="D2019" i="25"/>
  <c r="D2018" i="25"/>
  <c r="D2017" i="25"/>
  <c r="D2016" i="25"/>
  <c r="D2015" i="25"/>
  <c r="D2014" i="25"/>
  <c r="D2013" i="25"/>
  <c r="D2012" i="25"/>
  <c r="D2011" i="25"/>
  <c r="D2010" i="25"/>
  <c r="D2009" i="25"/>
  <c r="D2008" i="25"/>
  <c r="D2007" i="25"/>
  <c r="D2006" i="25"/>
  <c r="D2005" i="25"/>
  <c r="D2004" i="25"/>
  <c r="D2003" i="25"/>
  <c r="D2002" i="25"/>
  <c r="D2001" i="25"/>
  <c r="D2000" i="25"/>
  <c r="D1999" i="25"/>
  <c r="D1998" i="25"/>
  <c r="D1997" i="25"/>
  <c r="D1996" i="25"/>
  <c r="D1995" i="25"/>
  <c r="D1994" i="25"/>
  <c r="D1993" i="25"/>
  <c r="D1992" i="25"/>
  <c r="D1991" i="25"/>
  <c r="D1990" i="25"/>
  <c r="D1989" i="25"/>
  <c r="D1988" i="25"/>
  <c r="D1987" i="25"/>
  <c r="D1986" i="25"/>
  <c r="D1985" i="25"/>
  <c r="D1984" i="25"/>
  <c r="D1983" i="25"/>
  <c r="D1982" i="25"/>
  <c r="D1981" i="25"/>
  <c r="D1980" i="25"/>
  <c r="D1979" i="25"/>
  <c r="D1978" i="25"/>
  <c r="D1977" i="25"/>
  <c r="D1976" i="25"/>
  <c r="D1975" i="25"/>
  <c r="D1974" i="25"/>
  <c r="D1973" i="25"/>
  <c r="D1972" i="25"/>
  <c r="D1971" i="25"/>
  <c r="D1970" i="25"/>
  <c r="D1969" i="25"/>
  <c r="D1968" i="25"/>
  <c r="D1967" i="25"/>
  <c r="D1966" i="25"/>
  <c r="D1965" i="25"/>
  <c r="D1964" i="25"/>
  <c r="D1963" i="25"/>
  <c r="D1962" i="25"/>
  <c r="D1961" i="25"/>
  <c r="D1960" i="25"/>
  <c r="D1959" i="25"/>
  <c r="D1958" i="25"/>
  <c r="D1957" i="25"/>
  <c r="D1956" i="25"/>
  <c r="D1955" i="25"/>
  <c r="D1954" i="25"/>
  <c r="D1953" i="25"/>
  <c r="D1952" i="25"/>
  <c r="D1951" i="25"/>
  <c r="D1950" i="25"/>
  <c r="D1949" i="25"/>
  <c r="D1948" i="25"/>
  <c r="D1947" i="25"/>
  <c r="D1946" i="25"/>
  <c r="D1945" i="25"/>
  <c r="D1944" i="25"/>
  <c r="D1943" i="25"/>
  <c r="D1942" i="25"/>
  <c r="D1941" i="25"/>
  <c r="D1940" i="25"/>
  <c r="D1939" i="25"/>
  <c r="D1938" i="25"/>
  <c r="D1937" i="25"/>
  <c r="D1936" i="25"/>
  <c r="D1935" i="25"/>
  <c r="D1934" i="25"/>
  <c r="D1933" i="25"/>
  <c r="D1932" i="25"/>
  <c r="D1931" i="25"/>
  <c r="D1930" i="25"/>
  <c r="D1929" i="25"/>
  <c r="D1928" i="25"/>
  <c r="D1927" i="25"/>
  <c r="D1926" i="25"/>
  <c r="D1925" i="25"/>
  <c r="D1924" i="25"/>
  <c r="D1923" i="25"/>
  <c r="D1922" i="25"/>
  <c r="D1921" i="25"/>
  <c r="D1920" i="25"/>
  <c r="D1919" i="25"/>
  <c r="D1918" i="25"/>
  <c r="D1917" i="25"/>
  <c r="D1916" i="25"/>
  <c r="D1915" i="25"/>
  <c r="D1914" i="25"/>
  <c r="D1913" i="25"/>
  <c r="D1912" i="25"/>
  <c r="D1911" i="25"/>
  <c r="D1910" i="25"/>
  <c r="D1909" i="25"/>
  <c r="D1908" i="25"/>
  <c r="D1907" i="25"/>
  <c r="D1906" i="25"/>
  <c r="D1905" i="25"/>
  <c r="D1904" i="25"/>
  <c r="D1903" i="25"/>
  <c r="D1902" i="25"/>
  <c r="D1901" i="25"/>
  <c r="D1900" i="25"/>
  <c r="D1899" i="25"/>
  <c r="D1898" i="25"/>
  <c r="D1897" i="25"/>
  <c r="D1896" i="25"/>
  <c r="D1895" i="25"/>
  <c r="D1894" i="25"/>
  <c r="D1893" i="25"/>
  <c r="D1892" i="25"/>
  <c r="D1891" i="25"/>
  <c r="D1890" i="25"/>
  <c r="D1889" i="25"/>
  <c r="D1888" i="25"/>
  <c r="D1887" i="25"/>
  <c r="D1886" i="25"/>
  <c r="D1885" i="25"/>
  <c r="D1884" i="25"/>
  <c r="D1883" i="25"/>
  <c r="D1882" i="25"/>
  <c r="D1881" i="25"/>
  <c r="D1880" i="25"/>
  <c r="D1879" i="25"/>
  <c r="D1878" i="25"/>
  <c r="D1877" i="25"/>
  <c r="D1876" i="25"/>
  <c r="D1875" i="25"/>
  <c r="D1874" i="25"/>
  <c r="D1873" i="25"/>
  <c r="D1872" i="25"/>
  <c r="D1871" i="25"/>
  <c r="D1870" i="25"/>
  <c r="D1869" i="25"/>
  <c r="D1868" i="25"/>
  <c r="D1867" i="25"/>
  <c r="D1866" i="25"/>
  <c r="D1865" i="25"/>
  <c r="D1864" i="25"/>
  <c r="D1863" i="25"/>
  <c r="D1862" i="25"/>
  <c r="D1861" i="25"/>
  <c r="D1860" i="25"/>
  <c r="D1859" i="25"/>
  <c r="D1858" i="25"/>
  <c r="D1857" i="25"/>
  <c r="D1856" i="25"/>
  <c r="D1855" i="25"/>
  <c r="D1854" i="25"/>
  <c r="D1853" i="25"/>
  <c r="D1852" i="25"/>
  <c r="D1851" i="25"/>
  <c r="D1850" i="25"/>
  <c r="D1849" i="25"/>
  <c r="D1848" i="25"/>
  <c r="D1847" i="25"/>
  <c r="D1846" i="25"/>
  <c r="D1845" i="25"/>
  <c r="D1844" i="25"/>
  <c r="D1843" i="25"/>
  <c r="D1842" i="25"/>
  <c r="D1841" i="25"/>
  <c r="D1840" i="25"/>
  <c r="D1839" i="25"/>
  <c r="D1838" i="25"/>
  <c r="D1837" i="25"/>
  <c r="D1836" i="25"/>
  <c r="D1835" i="25"/>
  <c r="D1834" i="25"/>
  <c r="D1833" i="25"/>
  <c r="D1832" i="25"/>
  <c r="D1831" i="25"/>
  <c r="D1830" i="25"/>
  <c r="D1829" i="25"/>
  <c r="D1828" i="25"/>
  <c r="D1827" i="25"/>
  <c r="D1826" i="25"/>
  <c r="D1825" i="25"/>
  <c r="D1824" i="25"/>
  <c r="D1823" i="25"/>
  <c r="D1822" i="25"/>
  <c r="D1821" i="25"/>
  <c r="D1820" i="25"/>
  <c r="D1819" i="25"/>
  <c r="D1818" i="25"/>
  <c r="D1817" i="25"/>
  <c r="D1816" i="25"/>
  <c r="D1815" i="25"/>
  <c r="D1814" i="25"/>
  <c r="D1813" i="25"/>
  <c r="D1812" i="25"/>
  <c r="D1811" i="25"/>
  <c r="D1810" i="25"/>
  <c r="D1809" i="25"/>
  <c r="D1808" i="25"/>
  <c r="D1807" i="25"/>
  <c r="D1806" i="25"/>
  <c r="D1805" i="25"/>
  <c r="D1804" i="25"/>
  <c r="D1803" i="25"/>
  <c r="D1802" i="25"/>
  <c r="D1801" i="25"/>
  <c r="D1800" i="25"/>
  <c r="D1799" i="25"/>
  <c r="D1798" i="25"/>
  <c r="D1797" i="25"/>
  <c r="D1796" i="25"/>
  <c r="D1795" i="25"/>
  <c r="D1794" i="25"/>
  <c r="D1793" i="25"/>
  <c r="D1792" i="25"/>
  <c r="D1791" i="25"/>
  <c r="D1790" i="25"/>
  <c r="D1789" i="25"/>
  <c r="D1788" i="25"/>
  <c r="D1787" i="25"/>
  <c r="D1786" i="25"/>
  <c r="D1785" i="25"/>
  <c r="D1784" i="25"/>
  <c r="D1783" i="25"/>
  <c r="D1782" i="25"/>
  <c r="D1781" i="25"/>
  <c r="D1780" i="25"/>
  <c r="D1779" i="25"/>
  <c r="D1778" i="25"/>
  <c r="D1777" i="25"/>
  <c r="D1776" i="25"/>
  <c r="D1775" i="25"/>
  <c r="D1774" i="25"/>
  <c r="D1773" i="25"/>
  <c r="D1772" i="25"/>
  <c r="D1771" i="25"/>
  <c r="D1770" i="25"/>
  <c r="D1769" i="25"/>
  <c r="D1768" i="25"/>
  <c r="D1767" i="25"/>
  <c r="D1766" i="25"/>
  <c r="D1765" i="25"/>
  <c r="D1764" i="25"/>
  <c r="D1763" i="25"/>
  <c r="D1762" i="25"/>
  <c r="D1761" i="25"/>
  <c r="D1760" i="25"/>
  <c r="D1759" i="25"/>
  <c r="D1758" i="25"/>
  <c r="D1757" i="25"/>
  <c r="D1756" i="25"/>
  <c r="D1755" i="25"/>
  <c r="D1754" i="25"/>
  <c r="D1753" i="25"/>
  <c r="D1752" i="25"/>
  <c r="D1751" i="25"/>
  <c r="D1750" i="25"/>
  <c r="D1749" i="25"/>
  <c r="D1748" i="25"/>
  <c r="D1747" i="25"/>
  <c r="D1746" i="25"/>
  <c r="D1745" i="25"/>
  <c r="D1744" i="25"/>
  <c r="D1743" i="25"/>
  <c r="D1742" i="25"/>
  <c r="D1741" i="25"/>
  <c r="D1740" i="25"/>
  <c r="D1739" i="25"/>
  <c r="D1738" i="25"/>
  <c r="D1737" i="25"/>
  <c r="D1736" i="25"/>
  <c r="D1735" i="25"/>
  <c r="D1734" i="25"/>
  <c r="D1733" i="25"/>
  <c r="D1732" i="25"/>
  <c r="D1731" i="25"/>
  <c r="D1730" i="25"/>
  <c r="D1729" i="25"/>
  <c r="D1728" i="25"/>
  <c r="D1727" i="25"/>
  <c r="D1726" i="25"/>
  <c r="D1725" i="25"/>
  <c r="D1724" i="25"/>
  <c r="D1723" i="25"/>
  <c r="D1722" i="25"/>
  <c r="D1721" i="25"/>
  <c r="D1720" i="25"/>
  <c r="D1719" i="25"/>
  <c r="D1718" i="25"/>
  <c r="D1717" i="25"/>
  <c r="D1716" i="25"/>
  <c r="D1715" i="25"/>
  <c r="D1714" i="25"/>
  <c r="D1713" i="25"/>
  <c r="D1712" i="25"/>
  <c r="D1711" i="25"/>
  <c r="D1710" i="25"/>
  <c r="D1709" i="25"/>
  <c r="D1708" i="25"/>
  <c r="D1707" i="25"/>
  <c r="D1706" i="25"/>
  <c r="D1705" i="25"/>
  <c r="D1704" i="25"/>
  <c r="D1703" i="25"/>
  <c r="D1702" i="25"/>
  <c r="D1701" i="25"/>
  <c r="D1700" i="25"/>
  <c r="D1699" i="25"/>
  <c r="D1698" i="25"/>
  <c r="D1697" i="25"/>
  <c r="D1696" i="25"/>
  <c r="D1695" i="25"/>
  <c r="D1694" i="25"/>
  <c r="D1693" i="25"/>
  <c r="D1692" i="25"/>
  <c r="D1691" i="25"/>
  <c r="D1690" i="25"/>
  <c r="D1689" i="25"/>
  <c r="D1688" i="25"/>
  <c r="D1687" i="25"/>
  <c r="D1686" i="25"/>
  <c r="D1685" i="25"/>
  <c r="D1684" i="25"/>
  <c r="D1683" i="25"/>
  <c r="D1682" i="25"/>
  <c r="D1681" i="25"/>
  <c r="D1680" i="25"/>
  <c r="D1679" i="25"/>
  <c r="D1678" i="25"/>
  <c r="D1677" i="25"/>
  <c r="D1676" i="25"/>
  <c r="D1675" i="25"/>
  <c r="D1674" i="25"/>
  <c r="D1673" i="25"/>
  <c r="D1672" i="25"/>
  <c r="D1671" i="25"/>
  <c r="D1670" i="25"/>
  <c r="D1669" i="25"/>
  <c r="D1668" i="25"/>
  <c r="D1667" i="25"/>
  <c r="D1666" i="25"/>
  <c r="D1665" i="25"/>
  <c r="D1664" i="25"/>
  <c r="D1663" i="25"/>
  <c r="D1662" i="25"/>
  <c r="D1661" i="25"/>
  <c r="D1660" i="25"/>
  <c r="D1659" i="25"/>
  <c r="D1658" i="25"/>
  <c r="D1657" i="25"/>
  <c r="D1656" i="25"/>
  <c r="D1655" i="25"/>
  <c r="D1654" i="25"/>
  <c r="D1653" i="25"/>
  <c r="D1652" i="25"/>
  <c r="D1651" i="25"/>
  <c r="D1650" i="25"/>
  <c r="D1649" i="25"/>
  <c r="D1648" i="25"/>
  <c r="D1647" i="25"/>
  <c r="D1646" i="25"/>
  <c r="D1645" i="25"/>
  <c r="D1644" i="25"/>
  <c r="D1643" i="25"/>
  <c r="D1642" i="25"/>
  <c r="D1641" i="25"/>
  <c r="D1640" i="25"/>
  <c r="D1639" i="25"/>
  <c r="D1638" i="25"/>
  <c r="D1637" i="25"/>
  <c r="D1636" i="25"/>
  <c r="D1635" i="25"/>
  <c r="D1634" i="25"/>
  <c r="D1633" i="25"/>
  <c r="D1632" i="25"/>
  <c r="D1631" i="25"/>
  <c r="D1630" i="25"/>
  <c r="D1629" i="25"/>
  <c r="D1628" i="25"/>
  <c r="D1627" i="25"/>
  <c r="D1626" i="25"/>
  <c r="D1625" i="25"/>
  <c r="D1624" i="25"/>
  <c r="D1623" i="25"/>
  <c r="D1622" i="25"/>
  <c r="D1621" i="25"/>
  <c r="D1620" i="25"/>
  <c r="D1619" i="25"/>
  <c r="D1618" i="25"/>
  <c r="D1617" i="25"/>
  <c r="D1616" i="25"/>
  <c r="D1615" i="25"/>
  <c r="D1614" i="25"/>
  <c r="D1613" i="25"/>
  <c r="D1612" i="25"/>
  <c r="D1611" i="25"/>
  <c r="D1610" i="25"/>
  <c r="D1609" i="25"/>
  <c r="D1608" i="25"/>
  <c r="D1607" i="25"/>
  <c r="D1606" i="25"/>
  <c r="D1605" i="25"/>
  <c r="D1604" i="25"/>
  <c r="D1603" i="25"/>
  <c r="D1602" i="25"/>
  <c r="D1601" i="25"/>
  <c r="D1600" i="25"/>
  <c r="D1599" i="25"/>
  <c r="D1598" i="25"/>
  <c r="D1597" i="25"/>
  <c r="D1596" i="25"/>
  <c r="D1595" i="25"/>
  <c r="D1594" i="25"/>
  <c r="D1593" i="25"/>
  <c r="D1592" i="25"/>
  <c r="D1591" i="25"/>
  <c r="D1590" i="25"/>
  <c r="D1589" i="25"/>
  <c r="D1588" i="25"/>
  <c r="D1587" i="25"/>
  <c r="D1586" i="25"/>
  <c r="D1585" i="25"/>
  <c r="D1584" i="25"/>
  <c r="D1583" i="25"/>
  <c r="D1582" i="25"/>
  <c r="D1581" i="25"/>
  <c r="D1580" i="25"/>
  <c r="D1579" i="25"/>
  <c r="D1578" i="25"/>
  <c r="D1577" i="25"/>
  <c r="D1576" i="25"/>
  <c r="D1575" i="25"/>
  <c r="D1574" i="25"/>
  <c r="D1573" i="25"/>
  <c r="D1572" i="25"/>
  <c r="D1571" i="25"/>
  <c r="D1570" i="25"/>
  <c r="D1569" i="25"/>
  <c r="D1568" i="25"/>
  <c r="D1567" i="25"/>
  <c r="D1566" i="25"/>
  <c r="D1565" i="25"/>
  <c r="D1564" i="25"/>
  <c r="D1563" i="25"/>
  <c r="D1562" i="25"/>
  <c r="D1561" i="25"/>
  <c r="D1560" i="25"/>
  <c r="D1559" i="25"/>
  <c r="D1558" i="25"/>
  <c r="D1557" i="25"/>
  <c r="D1556" i="25"/>
  <c r="D1555" i="25"/>
  <c r="D1554" i="25"/>
  <c r="D1553" i="25"/>
  <c r="D1552" i="25"/>
  <c r="D1551" i="25"/>
  <c r="D1550" i="25"/>
  <c r="D1549" i="25"/>
  <c r="D1548" i="25"/>
  <c r="D1547" i="25"/>
  <c r="D1546" i="25"/>
  <c r="D1545" i="25"/>
  <c r="D1544" i="25"/>
  <c r="D1543" i="25"/>
  <c r="D1542" i="25"/>
  <c r="D1541" i="25"/>
  <c r="D1540" i="25"/>
  <c r="D1539" i="25"/>
  <c r="D1538" i="25"/>
  <c r="D1537" i="25"/>
  <c r="D1536" i="25"/>
  <c r="D1535" i="25"/>
  <c r="D1534" i="25"/>
  <c r="D1533" i="25"/>
  <c r="D1532" i="25"/>
  <c r="D1531" i="25"/>
  <c r="D1530" i="25"/>
  <c r="D1529" i="25"/>
  <c r="D1528" i="25"/>
  <c r="D1527" i="25"/>
  <c r="D1526" i="25"/>
  <c r="D1525" i="25"/>
  <c r="D1524" i="25"/>
  <c r="D1523" i="25"/>
  <c r="D1522" i="25"/>
  <c r="D1521" i="25"/>
  <c r="D1520" i="25"/>
  <c r="D1519" i="25"/>
  <c r="D1518" i="25"/>
  <c r="D1517" i="25"/>
  <c r="D1516" i="25"/>
  <c r="D1515" i="25"/>
  <c r="D1514" i="25"/>
  <c r="D1513" i="25"/>
  <c r="D1512" i="25"/>
  <c r="D1511" i="25"/>
  <c r="D1510" i="25"/>
  <c r="D1509" i="25"/>
  <c r="D1508" i="25"/>
  <c r="D1507" i="25"/>
  <c r="D1506" i="25"/>
  <c r="D1505" i="25"/>
  <c r="D1504" i="25"/>
  <c r="D1503" i="25"/>
  <c r="D1502" i="25"/>
  <c r="D1501" i="25"/>
  <c r="D1500" i="25"/>
  <c r="D1499" i="25"/>
  <c r="D1498" i="25"/>
  <c r="D1497" i="25"/>
  <c r="D1496" i="25"/>
  <c r="D1495" i="25"/>
  <c r="D1494" i="25"/>
  <c r="D1493" i="25"/>
  <c r="D1492" i="25"/>
  <c r="D1491" i="25"/>
  <c r="D1490" i="25"/>
  <c r="D1489" i="25"/>
  <c r="D1488" i="25"/>
  <c r="D1487" i="25"/>
  <c r="D1486" i="25"/>
  <c r="D1485" i="25"/>
  <c r="D1484" i="25"/>
  <c r="D1483" i="25"/>
  <c r="D1482" i="25"/>
  <c r="D1481" i="25"/>
  <c r="D1480" i="25"/>
  <c r="D1479" i="25"/>
  <c r="D1478" i="25"/>
  <c r="D1477" i="25"/>
  <c r="D1476" i="25"/>
  <c r="D1475" i="25"/>
  <c r="D1474" i="25"/>
  <c r="D1473" i="25"/>
  <c r="D1472" i="25"/>
  <c r="D1471" i="25"/>
  <c r="D1470" i="25"/>
  <c r="D1469" i="25"/>
  <c r="D1468" i="25"/>
  <c r="D1467" i="25"/>
  <c r="D1466" i="25"/>
  <c r="D1465" i="25"/>
  <c r="D1464" i="25"/>
  <c r="D1463" i="25"/>
  <c r="D1462" i="25"/>
  <c r="D1461" i="25"/>
  <c r="D1460" i="25"/>
  <c r="D1459" i="25"/>
  <c r="D1458" i="25"/>
  <c r="D1457" i="25"/>
  <c r="D1456" i="25"/>
  <c r="D1455" i="25"/>
  <c r="D1454" i="25"/>
  <c r="D1453" i="25"/>
  <c r="D1452" i="25"/>
  <c r="D1451" i="25"/>
  <c r="D1450" i="25"/>
  <c r="D1449" i="25"/>
  <c r="D1448" i="25"/>
  <c r="D1447" i="25"/>
  <c r="D1446" i="25"/>
  <c r="D1445" i="25"/>
  <c r="D1444" i="25"/>
  <c r="D1443" i="25"/>
  <c r="D1442" i="25"/>
  <c r="D1441" i="25"/>
  <c r="D1440" i="25"/>
  <c r="D1439" i="25"/>
  <c r="D1438" i="25"/>
  <c r="D1437" i="25"/>
  <c r="D1436" i="25"/>
  <c r="D1435" i="25"/>
  <c r="D1434" i="25"/>
  <c r="D1433" i="25"/>
  <c r="D1432" i="25"/>
  <c r="D1431" i="25"/>
  <c r="D1430" i="25"/>
  <c r="D1429" i="25"/>
  <c r="D1428" i="25"/>
  <c r="D1427" i="25"/>
  <c r="D1426" i="25"/>
  <c r="D1425" i="25"/>
  <c r="D1424" i="25"/>
  <c r="D1423" i="25"/>
  <c r="D1422" i="25"/>
  <c r="D1421" i="25"/>
  <c r="D1420" i="25"/>
  <c r="D1419" i="25"/>
  <c r="D1418" i="25"/>
  <c r="D1417" i="25"/>
  <c r="D1416" i="25"/>
  <c r="D1415" i="25"/>
  <c r="D1414" i="25"/>
  <c r="D1413" i="25"/>
  <c r="D1412" i="25"/>
  <c r="D1411" i="25"/>
  <c r="D1410" i="25"/>
  <c r="D1409" i="25"/>
  <c r="D1408" i="25"/>
  <c r="D1407" i="25"/>
  <c r="D1406" i="25"/>
  <c r="D1405" i="25"/>
  <c r="D1404" i="25"/>
  <c r="D1403" i="25"/>
  <c r="D1402" i="25"/>
  <c r="D1401" i="25"/>
  <c r="D1400" i="25"/>
  <c r="D1399" i="25"/>
  <c r="D1398" i="25"/>
  <c r="D1397" i="25"/>
  <c r="D1396" i="25"/>
  <c r="D1395" i="25"/>
  <c r="D1394" i="25"/>
  <c r="D1393" i="25"/>
  <c r="D1392" i="25"/>
  <c r="D1391" i="25"/>
  <c r="D1390" i="25"/>
  <c r="D1389" i="25"/>
  <c r="D1388" i="25"/>
  <c r="D1387" i="25"/>
  <c r="D1386" i="25"/>
  <c r="D1385" i="25"/>
  <c r="D1384" i="25"/>
  <c r="D1383" i="25"/>
  <c r="D1382" i="25"/>
  <c r="D1381" i="25"/>
  <c r="D1380" i="25"/>
  <c r="D1379" i="25"/>
  <c r="D1378" i="25"/>
  <c r="D1377" i="25"/>
  <c r="D1376" i="25"/>
  <c r="D1375" i="25"/>
  <c r="D1374" i="25"/>
  <c r="D1373" i="25"/>
  <c r="D1372" i="25"/>
  <c r="D1371" i="25"/>
  <c r="D1370" i="25"/>
  <c r="D1369" i="25"/>
  <c r="D1368" i="25"/>
  <c r="D1367" i="25"/>
  <c r="D1366" i="25"/>
  <c r="D1365" i="25"/>
  <c r="D1364" i="25"/>
  <c r="D1363" i="25"/>
  <c r="D1362" i="25"/>
  <c r="D1361" i="25"/>
  <c r="D1360" i="25"/>
  <c r="D1359" i="25"/>
  <c r="D1358" i="25"/>
  <c r="D1357" i="25"/>
  <c r="D1356" i="25"/>
  <c r="D1355" i="25"/>
  <c r="D1354" i="25"/>
  <c r="D1353" i="25"/>
  <c r="D1352" i="25"/>
  <c r="D1351" i="25"/>
  <c r="D1350" i="25"/>
  <c r="D1349" i="25"/>
  <c r="D1348" i="25"/>
  <c r="D1347" i="25"/>
  <c r="D1346" i="25"/>
  <c r="D1345" i="25"/>
  <c r="D1344" i="25"/>
  <c r="D1343" i="25"/>
  <c r="D1342" i="25"/>
  <c r="D1341" i="25"/>
  <c r="D1340" i="25"/>
  <c r="D1339" i="25"/>
  <c r="D1338" i="25"/>
  <c r="D1337" i="25"/>
  <c r="D1336" i="25"/>
  <c r="D1335" i="25"/>
  <c r="D1334" i="25"/>
  <c r="D1333" i="25"/>
  <c r="D1332" i="25"/>
  <c r="D1331" i="25"/>
  <c r="D1330" i="25"/>
  <c r="D1329" i="25"/>
  <c r="D1328" i="25"/>
  <c r="D1327" i="25"/>
  <c r="D1326" i="25"/>
  <c r="D1325" i="25"/>
  <c r="D1324" i="25"/>
  <c r="D1323" i="25"/>
  <c r="D1322" i="25"/>
  <c r="D1321" i="25"/>
  <c r="D1320" i="25"/>
  <c r="D1319" i="25"/>
  <c r="D1318" i="25"/>
  <c r="D1317" i="25"/>
  <c r="D1316" i="25"/>
  <c r="D1315" i="25"/>
  <c r="D1314" i="25"/>
  <c r="D1313" i="25"/>
  <c r="D1312" i="25"/>
  <c r="D1311" i="25"/>
  <c r="D1310" i="25"/>
  <c r="D1309" i="25"/>
  <c r="D1308" i="25"/>
  <c r="D1307" i="25"/>
  <c r="D1306" i="25"/>
  <c r="D1305" i="25"/>
  <c r="D1304" i="25"/>
  <c r="D1303" i="25"/>
  <c r="D1302" i="25"/>
  <c r="D1301" i="25"/>
  <c r="D1300" i="25"/>
  <c r="D1299" i="25"/>
  <c r="D1298" i="25"/>
  <c r="D1297" i="25"/>
  <c r="D1296" i="25"/>
  <c r="D1295" i="25"/>
  <c r="D1294" i="25"/>
  <c r="D1293" i="25"/>
  <c r="D1292" i="25"/>
  <c r="D1291" i="25"/>
  <c r="D1290" i="25"/>
  <c r="D1289" i="25"/>
  <c r="D1288" i="25"/>
  <c r="D1287" i="25"/>
  <c r="D1286" i="25"/>
  <c r="D1285" i="25"/>
  <c r="D1284" i="25"/>
  <c r="D1283" i="25"/>
  <c r="D1282" i="25"/>
  <c r="D1281" i="25"/>
  <c r="D1280" i="25"/>
  <c r="D1279" i="25"/>
  <c r="D1278" i="25"/>
  <c r="D1277" i="25"/>
  <c r="D1276" i="25"/>
  <c r="D1275" i="25"/>
  <c r="D1274" i="25"/>
  <c r="D1273" i="25"/>
  <c r="D1272" i="25"/>
  <c r="D1271" i="25"/>
  <c r="D1270" i="25"/>
  <c r="D1269" i="25"/>
  <c r="D1268" i="25"/>
  <c r="D1267" i="25"/>
  <c r="D1266" i="25"/>
  <c r="D1265" i="25"/>
  <c r="D1264" i="25"/>
  <c r="D1263" i="25"/>
  <c r="D1262" i="25"/>
  <c r="D1261" i="25"/>
  <c r="D1260" i="25"/>
  <c r="D1259" i="25"/>
  <c r="D1258" i="25"/>
  <c r="D1257" i="25"/>
  <c r="D1256" i="25"/>
  <c r="D1255" i="25"/>
  <c r="D1254" i="25"/>
  <c r="D1253" i="25"/>
  <c r="D1252" i="25"/>
  <c r="D1251" i="25"/>
  <c r="D1250" i="25"/>
  <c r="D1249" i="25"/>
  <c r="D1248" i="25"/>
  <c r="D1247" i="25"/>
  <c r="D1246" i="25"/>
  <c r="D1245" i="25"/>
  <c r="D1244" i="25"/>
  <c r="D1243" i="25"/>
  <c r="D1242" i="25"/>
  <c r="D1241" i="25"/>
  <c r="D1240" i="25"/>
  <c r="D1239" i="25"/>
  <c r="D1238" i="25"/>
  <c r="D1237" i="25"/>
  <c r="D1236" i="25"/>
  <c r="D1235" i="25"/>
  <c r="D1234" i="25"/>
  <c r="D1233" i="25"/>
  <c r="D1232" i="25"/>
  <c r="D1231" i="25"/>
  <c r="D1230" i="25"/>
  <c r="D1229" i="25"/>
  <c r="D1228" i="25"/>
  <c r="D1227" i="25"/>
  <c r="D1226" i="25"/>
  <c r="D1225" i="25"/>
  <c r="D1224" i="25"/>
  <c r="D1223" i="25"/>
  <c r="D1222" i="25"/>
  <c r="D1221" i="25"/>
  <c r="D1220" i="25"/>
  <c r="D1219" i="25"/>
  <c r="D1218" i="25"/>
  <c r="D1217" i="25"/>
  <c r="D1216" i="25"/>
  <c r="D1215" i="25"/>
  <c r="D1214" i="25"/>
  <c r="D1213" i="25"/>
  <c r="D1212" i="25"/>
  <c r="D1211" i="25"/>
  <c r="D1210" i="25"/>
  <c r="D1209" i="25"/>
  <c r="D1208" i="25"/>
  <c r="D1207" i="25"/>
  <c r="D1206" i="25"/>
  <c r="D1205" i="25"/>
  <c r="D1204" i="25"/>
  <c r="D1203" i="25"/>
  <c r="D1202" i="25"/>
  <c r="D1201" i="25"/>
  <c r="D1200" i="25"/>
  <c r="D1199" i="25"/>
  <c r="D1198" i="25"/>
  <c r="D1197" i="25"/>
  <c r="D1196" i="25"/>
  <c r="D1195" i="25"/>
  <c r="D1194" i="25"/>
  <c r="D1193" i="25"/>
  <c r="D1192" i="25"/>
  <c r="D1191" i="25"/>
  <c r="D1190" i="25"/>
  <c r="D1189" i="25"/>
  <c r="D1188" i="25"/>
  <c r="D1187" i="25"/>
  <c r="D1186" i="25"/>
  <c r="D1185" i="25"/>
  <c r="D1184" i="25"/>
  <c r="D1183" i="25"/>
  <c r="D1182" i="25"/>
  <c r="D1181" i="25"/>
  <c r="D1180" i="25"/>
  <c r="D1179" i="25"/>
  <c r="D1178" i="25"/>
  <c r="D1177" i="25"/>
  <c r="D1176" i="25"/>
  <c r="D1175" i="25"/>
  <c r="D1174" i="25"/>
  <c r="D1173" i="25"/>
  <c r="D1172" i="25"/>
  <c r="D1171" i="25"/>
  <c r="D1170" i="25"/>
  <c r="D1169" i="25"/>
  <c r="D1168" i="25"/>
  <c r="D1167" i="25"/>
  <c r="D1166" i="25"/>
  <c r="D1165" i="25"/>
  <c r="D1164" i="25"/>
  <c r="D1163" i="25"/>
  <c r="D1162" i="25"/>
  <c r="D1161" i="25"/>
  <c r="D1160" i="25"/>
  <c r="D1159" i="25"/>
  <c r="D1158" i="25"/>
  <c r="D1157" i="25"/>
  <c r="D1156" i="25"/>
  <c r="D1155" i="25"/>
  <c r="D1154" i="25"/>
  <c r="D1153" i="25"/>
  <c r="D1152" i="25"/>
  <c r="D1151" i="25"/>
  <c r="D1150" i="25"/>
  <c r="D1149" i="25"/>
  <c r="D1148" i="25"/>
  <c r="D1147" i="25"/>
  <c r="D1146" i="25"/>
  <c r="D1145" i="25"/>
  <c r="D1144" i="25"/>
  <c r="D1143" i="25"/>
  <c r="D1142" i="25"/>
  <c r="D1141" i="25"/>
  <c r="D1140" i="25"/>
  <c r="D1139" i="25"/>
  <c r="D1138" i="25"/>
  <c r="D1137" i="25"/>
  <c r="D1136" i="25"/>
  <c r="D1135" i="25"/>
  <c r="D1134" i="25"/>
  <c r="D1133" i="25"/>
  <c r="D1132" i="25"/>
  <c r="D1131" i="25"/>
  <c r="D1130" i="25"/>
  <c r="D1129" i="25"/>
  <c r="D1128" i="25"/>
  <c r="D1127" i="25"/>
  <c r="D1126" i="25"/>
  <c r="D1125" i="25"/>
  <c r="D1124" i="25"/>
  <c r="D1123" i="25"/>
  <c r="D1122" i="25"/>
  <c r="D1121" i="25"/>
  <c r="D1120" i="25"/>
  <c r="D1119" i="25"/>
  <c r="D1118" i="25"/>
  <c r="D1117" i="25"/>
  <c r="D1116" i="25"/>
  <c r="D1115" i="25"/>
  <c r="D1114" i="25"/>
  <c r="D1113" i="25"/>
  <c r="D1112" i="25"/>
  <c r="D1111" i="25"/>
  <c r="D1110" i="25"/>
  <c r="D1109" i="25"/>
  <c r="D1108" i="25"/>
  <c r="D1107" i="25"/>
  <c r="D1106" i="25"/>
  <c r="D1105" i="25"/>
  <c r="D1104" i="25"/>
  <c r="D1103" i="25"/>
  <c r="D1102" i="25"/>
  <c r="D1101" i="25"/>
  <c r="D1100" i="25"/>
  <c r="D1099" i="25"/>
  <c r="D1098" i="25"/>
  <c r="D1097" i="25"/>
  <c r="D1096" i="25"/>
  <c r="D1095" i="25"/>
  <c r="D1094" i="25"/>
  <c r="D1093" i="25"/>
  <c r="D1092" i="25"/>
  <c r="D1091" i="25"/>
  <c r="D1090" i="25"/>
  <c r="D1089" i="25"/>
  <c r="D1088" i="25"/>
  <c r="D1087" i="25"/>
  <c r="D1086" i="25"/>
  <c r="D1085" i="25"/>
  <c r="D1084" i="25"/>
  <c r="D1083" i="25"/>
  <c r="D1082" i="25"/>
  <c r="D1081" i="25"/>
  <c r="D1080" i="25"/>
  <c r="D1079" i="25"/>
  <c r="D1078" i="25"/>
  <c r="D1077" i="25"/>
  <c r="D1076" i="25"/>
  <c r="D1075" i="25"/>
  <c r="D1074" i="25"/>
  <c r="D1073" i="25"/>
  <c r="D1072" i="25"/>
  <c r="D1071" i="25"/>
  <c r="D1070" i="25"/>
  <c r="D1069" i="25"/>
  <c r="D1068" i="25"/>
  <c r="D1067" i="25"/>
  <c r="D1066" i="25"/>
  <c r="D1065" i="25"/>
  <c r="D1064" i="25"/>
  <c r="D1063" i="25"/>
  <c r="D1062" i="25"/>
  <c r="D1061" i="25"/>
  <c r="D1060" i="25"/>
  <c r="D1059" i="25"/>
  <c r="D1058" i="25"/>
  <c r="D1057" i="25"/>
  <c r="D1056" i="25"/>
  <c r="D1055" i="25"/>
  <c r="D1054" i="25"/>
  <c r="D1053" i="25"/>
  <c r="D1052" i="25"/>
  <c r="D1051" i="25"/>
  <c r="D1050" i="25"/>
  <c r="D1049" i="25"/>
  <c r="D1048" i="25"/>
  <c r="D1047" i="25"/>
  <c r="D1046" i="25"/>
  <c r="D1045" i="25"/>
  <c r="D1044" i="25"/>
  <c r="D1043" i="25"/>
  <c r="D1042" i="25"/>
  <c r="D1041" i="25"/>
  <c r="D1040" i="25"/>
  <c r="D1039" i="25"/>
  <c r="D1038" i="25"/>
  <c r="D1037" i="25"/>
  <c r="D1036" i="25"/>
  <c r="D1035" i="25"/>
  <c r="D1034" i="25"/>
  <c r="D1033" i="25"/>
  <c r="D1032" i="25"/>
  <c r="D1031" i="25"/>
  <c r="D1030" i="25"/>
  <c r="D1029" i="25"/>
  <c r="D1028" i="25"/>
  <c r="D1027" i="25"/>
  <c r="D1026" i="25"/>
  <c r="D1025" i="25"/>
  <c r="D1024" i="25"/>
  <c r="D1023" i="25"/>
  <c r="D1022" i="25"/>
  <c r="D1021" i="25"/>
  <c r="D1020" i="25"/>
  <c r="D1019" i="25"/>
  <c r="D1018" i="25"/>
  <c r="D1017" i="25"/>
  <c r="D1016" i="25"/>
  <c r="D1015" i="25"/>
  <c r="D1014" i="25"/>
  <c r="D1013" i="25"/>
  <c r="D1012" i="25"/>
  <c r="D1011" i="25"/>
  <c r="D1010" i="25"/>
  <c r="D1009" i="25"/>
  <c r="D1008" i="25"/>
  <c r="D1007" i="25"/>
  <c r="D1006" i="25"/>
  <c r="D1005" i="25"/>
  <c r="D1004" i="25"/>
  <c r="D1003" i="25"/>
  <c r="D1002" i="25"/>
  <c r="D1001" i="25"/>
  <c r="D1000" i="25"/>
  <c r="D999" i="25"/>
  <c r="D998" i="25"/>
  <c r="D997" i="25"/>
  <c r="D996" i="25"/>
  <c r="D995" i="25"/>
  <c r="D994" i="25"/>
  <c r="D993" i="25"/>
  <c r="D992" i="25"/>
  <c r="D991" i="25"/>
  <c r="D990" i="25"/>
  <c r="D989" i="25"/>
  <c r="D988" i="25"/>
  <c r="D987" i="25"/>
  <c r="D986" i="25"/>
  <c r="D985" i="25"/>
  <c r="D984" i="25"/>
  <c r="D983" i="25"/>
  <c r="D982" i="25"/>
  <c r="D981" i="25"/>
  <c r="D980" i="25"/>
  <c r="D979" i="25"/>
  <c r="D978" i="25"/>
  <c r="D977" i="25"/>
  <c r="D976" i="25"/>
  <c r="D975" i="25"/>
  <c r="D974" i="25"/>
  <c r="D973" i="25"/>
  <c r="D972" i="25"/>
  <c r="D971" i="25"/>
  <c r="D970" i="25"/>
  <c r="D969" i="25"/>
  <c r="D968" i="25"/>
  <c r="D967" i="25"/>
  <c r="D966" i="25"/>
  <c r="D965" i="25"/>
  <c r="D964" i="25"/>
  <c r="D963" i="25"/>
  <c r="D962" i="25"/>
  <c r="D961" i="25"/>
  <c r="D960" i="25"/>
  <c r="D959" i="25"/>
  <c r="D958" i="25"/>
  <c r="D957" i="25"/>
  <c r="D956" i="25"/>
  <c r="D955" i="25"/>
  <c r="D954" i="25"/>
  <c r="D953" i="25"/>
  <c r="D952" i="25"/>
  <c r="D951" i="25"/>
  <c r="D950" i="25"/>
  <c r="D949" i="25"/>
  <c r="D948" i="25"/>
  <c r="D947" i="25"/>
  <c r="D946" i="25"/>
  <c r="D945" i="25"/>
  <c r="D944" i="25"/>
  <c r="D943" i="25"/>
  <c r="D942" i="25"/>
  <c r="D941" i="25"/>
  <c r="D940" i="25"/>
  <c r="D939" i="25"/>
  <c r="D938" i="25"/>
  <c r="D937" i="25"/>
  <c r="D936" i="25"/>
  <c r="D935" i="25"/>
  <c r="D934" i="25"/>
  <c r="D933" i="25"/>
  <c r="D932" i="25"/>
  <c r="D931" i="25"/>
  <c r="D930" i="25"/>
  <c r="D929" i="25"/>
  <c r="D928" i="25"/>
  <c r="D927" i="25"/>
  <c r="D926" i="25"/>
  <c r="D925" i="25"/>
  <c r="D924" i="25"/>
  <c r="D923" i="25"/>
  <c r="D922" i="25"/>
  <c r="D921" i="25"/>
  <c r="D920" i="25"/>
  <c r="D919" i="25"/>
  <c r="D918" i="25"/>
  <c r="D917" i="25"/>
  <c r="D916" i="25"/>
  <c r="D915" i="25"/>
  <c r="D914" i="25"/>
  <c r="D913" i="25"/>
  <c r="D912" i="25"/>
  <c r="D911" i="25"/>
  <c r="D910" i="25"/>
  <c r="D909" i="25"/>
  <c r="D908" i="25"/>
  <c r="D907" i="25"/>
  <c r="D906" i="25"/>
  <c r="D905" i="25"/>
  <c r="D904" i="25"/>
  <c r="D903" i="25"/>
  <c r="D902" i="25"/>
  <c r="D901" i="25"/>
  <c r="D900" i="25"/>
  <c r="D899" i="25"/>
  <c r="D898" i="25"/>
  <c r="D897" i="25"/>
  <c r="D896" i="25"/>
  <c r="D895" i="25"/>
  <c r="D894" i="25"/>
  <c r="D893" i="25"/>
  <c r="D892" i="25"/>
  <c r="D891" i="25"/>
  <c r="D890" i="25"/>
  <c r="D889" i="25"/>
  <c r="D888" i="25"/>
  <c r="D887" i="25"/>
  <c r="D886" i="25"/>
  <c r="D885" i="25"/>
  <c r="D884" i="25"/>
  <c r="D883" i="25"/>
  <c r="D882" i="25"/>
  <c r="D881" i="25"/>
  <c r="D880" i="25"/>
  <c r="D879" i="25"/>
  <c r="D878" i="25"/>
  <c r="D877" i="25"/>
  <c r="D876" i="25"/>
  <c r="D875" i="25"/>
  <c r="D874" i="25"/>
  <c r="D873" i="25"/>
  <c r="D872" i="25"/>
  <c r="D871" i="25"/>
  <c r="D870" i="25"/>
  <c r="D869" i="25"/>
  <c r="D868" i="25"/>
  <c r="D867" i="25"/>
  <c r="D866" i="25"/>
  <c r="D865" i="25"/>
  <c r="D864" i="25"/>
  <c r="D863" i="25"/>
  <c r="D862" i="25"/>
  <c r="D861" i="25"/>
  <c r="D860" i="25"/>
  <c r="D859" i="25"/>
  <c r="D858" i="25"/>
  <c r="D857" i="25"/>
  <c r="D856" i="25"/>
  <c r="D855" i="25"/>
  <c r="D854" i="25"/>
  <c r="D853" i="25"/>
  <c r="D852" i="25"/>
  <c r="D851" i="25"/>
  <c r="D850" i="25"/>
  <c r="D849" i="25"/>
  <c r="D848" i="25"/>
  <c r="D847" i="25"/>
  <c r="D846" i="25"/>
  <c r="D845" i="25"/>
  <c r="D844" i="25"/>
  <c r="D843" i="25"/>
  <c r="D842" i="25"/>
  <c r="D841" i="25"/>
  <c r="D840" i="25"/>
  <c r="D839" i="25"/>
  <c r="D838" i="25"/>
  <c r="D837" i="25"/>
  <c r="D836" i="25"/>
  <c r="D835" i="25"/>
  <c r="D834" i="25"/>
  <c r="D833" i="25"/>
  <c r="D832" i="25"/>
  <c r="D831" i="25"/>
  <c r="D830" i="25"/>
  <c r="D829" i="25"/>
  <c r="D828" i="25"/>
  <c r="D827" i="25"/>
  <c r="D826" i="25"/>
  <c r="D825" i="25"/>
  <c r="D824" i="25"/>
  <c r="D823" i="25"/>
  <c r="D822" i="25"/>
  <c r="D821" i="25"/>
  <c r="D820" i="25"/>
  <c r="D819" i="25"/>
  <c r="D818" i="25"/>
  <c r="D817" i="25"/>
  <c r="D816" i="25"/>
  <c r="D815" i="25"/>
  <c r="D814" i="25"/>
  <c r="D813" i="25"/>
  <c r="D812" i="25"/>
  <c r="D811" i="25"/>
  <c r="D810" i="25"/>
  <c r="D809" i="25"/>
  <c r="D808" i="25"/>
  <c r="D807" i="25"/>
  <c r="D806" i="25"/>
  <c r="D805" i="25"/>
  <c r="D804" i="25"/>
  <c r="D803" i="25"/>
  <c r="D802" i="25"/>
  <c r="D801" i="25"/>
  <c r="D800" i="25"/>
  <c r="D799" i="25"/>
  <c r="D798" i="25"/>
  <c r="D797" i="25"/>
  <c r="D796" i="25"/>
  <c r="D795" i="25"/>
  <c r="D794" i="25"/>
  <c r="D793" i="25"/>
  <c r="D792" i="25"/>
  <c r="D791" i="25"/>
  <c r="D790" i="25"/>
  <c r="D789" i="25"/>
  <c r="D788" i="25"/>
  <c r="D787" i="25"/>
  <c r="D786" i="25"/>
  <c r="D785" i="25"/>
  <c r="D784" i="25"/>
  <c r="D783" i="25"/>
  <c r="D782" i="25"/>
  <c r="D781" i="25"/>
  <c r="D780" i="25"/>
  <c r="D779" i="25"/>
  <c r="D778" i="25"/>
  <c r="D777" i="25"/>
  <c r="D776" i="25"/>
  <c r="D775" i="25"/>
  <c r="D774" i="25"/>
  <c r="D773" i="25"/>
  <c r="D772" i="25"/>
  <c r="D771" i="25"/>
  <c r="D770" i="25"/>
  <c r="D769" i="25"/>
  <c r="D768" i="25"/>
  <c r="D767" i="25"/>
  <c r="D766" i="25"/>
  <c r="D765" i="25"/>
  <c r="D764" i="25"/>
  <c r="D763" i="25"/>
  <c r="D762" i="25"/>
  <c r="D761" i="25"/>
  <c r="D760" i="25"/>
  <c r="D759" i="25"/>
  <c r="D758" i="25"/>
  <c r="D757" i="25"/>
  <c r="D756" i="25"/>
  <c r="D755" i="25"/>
  <c r="D754" i="25"/>
  <c r="D753" i="25"/>
  <c r="D752" i="25"/>
  <c r="D751" i="25"/>
  <c r="D750" i="25"/>
  <c r="D749" i="25"/>
  <c r="D748" i="25"/>
  <c r="D747" i="25"/>
  <c r="D746" i="25"/>
  <c r="D745" i="25"/>
  <c r="D744" i="25"/>
  <c r="D743" i="25"/>
  <c r="D742" i="25"/>
  <c r="D741" i="25"/>
  <c r="D740" i="25"/>
  <c r="D739" i="25"/>
  <c r="D738" i="25"/>
  <c r="D737" i="25"/>
  <c r="D736" i="25"/>
  <c r="D735" i="25"/>
  <c r="D734" i="25"/>
  <c r="D733" i="25"/>
  <c r="D732" i="25"/>
  <c r="D731" i="25"/>
  <c r="D730" i="25"/>
  <c r="D729" i="25"/>
  <c r="D728" i="25"/>
  <c r="D727" i="25"/>
  <c r="D726" i="25"/>
  <c r="D725" i="25"/>
  <c r="D724" i="25"/>
  <c r="D723" i="25"/>
  <c r="D722" i="25"/>
  <c r="D721" i="25"/>
  <c r="D720" i="25"/>
  <c r="D719" i="25"/>
  <c r="D718" i="25"/>
  <c r="D717" i="25"/>
  <c r="D716" i="25"/>
  <c r="D715" i="25"/>
  <c r="D714" i="25"/>
  <c r="D713" i="25"/>
  <c r="D712" i="25"/>
  <c r="D711" i="25"/>
  <c r="D710" i="25"/>
  <c r="D709" i="25"/>
  <c r="D708" i="25"/>
  <c r="D707" i="25"/>
  <c r="D706" i="25"/>
  <c r="D705" i="25"/>
  <c r="D704" i="25"/>
  <c r="D703" i="25"/>
  <c r="D702" i="25"/>
  <c r="D701" i="25"/>
  <c r="D700" i="25"/>
  <c r="D699" i="25"/>
  <c r="D698" i="25"/>
  <c r="D697" i="25"/>
  <c r="D696" i="25"/>
  <c r="D695" i="25"/>
  <c r="D694" i="25"/>
  <c r="D693" i="25"/>
  <c r="D692" i="25"/>
  <c r="D691" i="25"/>
  <c r="D690" i="25"/>
  <c r="D689" i="25"/>
  <c r="D688" i="25"/>
  <c r="D687" i="25"/>
  <c r="D686" i="25"/>
  <c r="D685" i="25"/>
  <c r="D684" i="25"/>
  <c r="D683" i="25"/>
  <c r="D682" i="25"/>
  <c r="D681" i="25"/>
  <c r="D680" i="25"/>
  <c r="D679" i="25"/>
  <c r="D678" i="25"/>
  <c r="D677" i="25"/>
  <c r="D676" i="25"/>
  <c r="D675" i="25"/>
  <c r="D674" i="25"/>
  <c r="D673" i="25"/>
  <c r="D672" i="25"/>
  <c r="D671" i="25"/>
  <c r="D670" i="25"/>
  <c r="D669" i="25"/>
  <c r="D668" i="25"/>
  <c r="D667" i="25"/>
  <c r="D666" i="25"/>
  <c r="D665" i="25"/>
  <c r="D664" i="25"/>
  <c r="D663" i="25"/>
  <c r="D662" i="25"/>
  <c r="D661" i="25"/>
  <c r="D660" i="25"/>
  <c r="D659" i="25"/>
  <c r="D658" i="25"/>
  <c r="D657" i="25"/>
  <c r="D656" i="25"/>
  <c r="D655" i="25"/>
  <c r="D654" i="25"/>
  <c r="D653" i="25"/>
  <c r="D652" i="25"/>
  <c r="D651" i="25"/>
  <c r="D650" i="25"/>
  <c r="D649" i="25"/>
  <c r="D648" i="25"/>
  <c r="D647" i="25"/>
  <c r="D646" i="25"/>
  <c r="D645" i="25"/>
  <c r="D644" i="25"/>
  <c r="D643" i="25"/>
  <c r="D642" i="25"/>
  <c r="D641" i="25"/>
  <c r="D640" i="25"/>
  <c r="D639" i="25"/>
  <c r="D638" i="25"/>
  <c r="D637" i="25"/>
  <c r="D636" i="25"/>
  <c r="D635" i="25"/>
  <c r="D634" i="25"/>
  <c r="D633" i="25"/>
  <c r="D632" i="25"/>
  <c r="D631" i="25"/>
  <c r="D630" i="25"/>
  <c r="D629" i="25"/>
  <c r="D628" i="25"/>
  <c r="D627" i="25"/>
  <c r="D626" i="25"/>
  <c r="D625" i="25"/>
  <c r="D624" i="25"/>
  <c r="D623" i="25"/>
  <c r="D622" i="25"/>
  <c r="D621" i="25"/>
  <c r="D620" i="25"/>
  <c r="D619" i="25"/>
  <c r="D618" i="25"/>
  <c r="D617" i="25"/>
  <c r="D616" i="25"/>
  <c r="D615" i="25"/>
  <c r="D614" i="25"/>
  <c r="D613" i="25"/>
  <c r="D612" i="25"/>
  <c r="D611" i="25"/>
  <c r="D610" i="25"/>
  <c r="D609" i="25"/>
  <c r="D608" i="25"/>
  <c r="D607" i="25"/>
  <c r="D606" i="25"/>
  <c r="D605" i="25"/>
  <c r="D604" i="25"/>
  <c r="D603" i="25"/>
  <c r="D602" i="25"/>
  <c r="D601" i="25"/>
  <c r="D600" i="25"/>
  <c r="D599" i="25"/>
  <c r="D598" i="25"/>
  <c r="D597" i="25"/>
  <c r="D596" i="25"/>
  <c r="D595" i="25"/>
  <c r="D594" i="25"/>
  <c r="D593" i="25"/>
  <c r="D592" i="25"/>
  <c r="D591" i="25"/>
  <c r="D590" i="25"/>
  <c r="D589" i="25"/>
  <c r="D588" i="25"/>
  <c r="D587" i="25"/>
  <c r="D586" i="25"/>
  <c r="D585" i="25"/>
  <c r="D584" i="25"/>
  <c r="D583" i="25"/>
  <c r="D582" i="25"/>
  <c r="D581" i="25"/>
  <c r="D580" i="25"/>
  <c r="D579" i="25"/>
  <c r="D578" i="25"/>
  <c r="D577" i="25"/>
  <c r="D576" i="25"/>
  <c r="D575" i="25"/>
  <c r="D574" i="25"/>
  <c r="D573" i="25"/>
  <c r="D572" i="25"/>
  <c r="D571" i="25"/>
  <c r="D570" i="25"/>
  <c r="D569" i="25"/>
  <c r="D568" i="25"/>
  <c r="D567" i="25"/>
  <c r="D566" i="25"/>
  <c r="D565" i="25"/>
  <c r="D564" i="25"/>
  <c r="D563" i="25"/>
  <c r="D562" i="25"/>
  <c r="D561" i="25"/>
  <c r="D560" i="25"/>
  <c r="D559" i="25"/>
  <c r="D558" i="25"/>
  <c r="D557" i="25"/>
  <c r="D556" i="25"/>
  <c r="D555" i="25"/>
  <c r="D554" i="25"/>
  <c r="D553" i="25"/>
  <c r="D552" i="25"/>
  <c r="D551" i="25"/>
  <c r="D550" i="25"/>
  <c r="D549" i="25"/>
  <c r="D548" i="25"/>
  <c r="D547" i="25"/>
  <c r="D546" i="25"/>
  <c r="D545" i="25"/>
  <c r="D544" i="25"/>
  <c r="D543" i="25"/>
  <c r="D542" i="25"/>
  <c r="D541" i="25"/>
  <c r="D540" i="25"/>
  <c r="D539" i="25"/>
  <c r="D538" i="25"/>
  <c r="D537" i="25"/>
  <c r="D536" i="25"/>
  <c r="D535" i="25"/>
  <c r="D534" i="25"/>
  <c r="D533" i="25"/>
  <c r="D532" i="25"/>
  <c r="D531" i="25"/>
  <c r="D530" i="25"/>
  <c r="D529" i="25"/>
  <c r="D528" i="25"/>
  <c r="D527" i="25"/>
  <c r="D526" i="25"/>
  <c r="D525" i="25"/>
  <c r="D524" i="25"/>
  <c r="D523" i="25"/>
  <c r="D522" i="25"/>
  <c r="D521" i="25"/>
  <c r="D520" i="25"/>
  <c r="D519" i="25"/>
  <c r="D518" i="25"/>
  <c r="D517" i="25"/>
  <c r="D516" i="25"/>
  <c r="D515" i="25"/>
  <c r="D514" i="25"/>
  <c r="D513" i="25"/>
  <c r="D512" i="25"/>
  <c r="D511" i="25"/>
  <c r="D510" i="25"/>
  <c r="D509" i="25"/>
  <c r="D508" i="25"/>
  <c r="D507" i="25"/>
  <c r="D506" i="25"/>
  <c r="D505" i="25"/>
  <c r="D504" i="25"/>
  <c r="D503" i="25"/>
  <c r="D502" i="25"/>
  <c r="D501" i="25"/>
  <c r="D500" i="25"/>
  <c r="D499" i="25"/>
  <c r="D498" i="25"/>
  <c r="D497" i="25"/>
  <c r="D496" i="25"/>
  <c r="D495" i="25"/>
  <c r="D494" i="25"/>
  <c r="D493" i="25"/>
  <c r="D492" i="25"/>
  <c r="D491" i="25"/>
  <c r="D490" i="25"/>
  <c r="D489" i="25"/>
  <c r="D488" i="25"/>
  <c r="D487" i="25"/>
  <c r="D486" i="25"/>
  <c r="D485" i="25"/>
  <c r="D484" i="25"/>
  <c r="D483" i="25"/>
  <c r="D482" i="25"/>
  <c r="D481" i="25"/>
  <c r="D480" i="25"/>
  <c r="D479" i="25"/>
  <c r="D478" i="25"/>
  <c r="D477" i="25"/>
  <c r="D476" i="25"/>
  <c r="D475" i="25"/>
  <c r="D474" i="25"/>
  <c r="D473" i="25"/>
  <c r="D472" i="25"/>
  <c r="D471" i="25"/>
  <c r="D470" i="25"/>
  <c r="D469" i="25"/>
  <c r="D468" i="25"/>
  <c r="D467" i="25"/>
  <c r="D466" i="25"/>
  <c r="D465" i="25"/>
  <c r="D464" i="25"/>
  <c r="D463" i="25"/>
  <c r="D462" i="25"/>
  <c r="D461" i="25"/>
  <c r="D460" i="25"/>
  <c r="D459" i="25"/>
  <c r="D458" i="25"/>
  <c r="D457" i="25"/>
  <c r="D456" i="25"/>
  <c r="D455" i="25"/>
  <c r="D454" i="25"/>
  <c r="D453" i="25"/>
  <c r="D452" i="25"/>
  <c r="D451" i="25"/>
  <c r="D450" i="25"/>
  <c r="D449" i="25"/>
  <c r="D448" i="25"/>
  <c r="D447" i="25"/>
  <c r="D446" i="25"/>
  <c r="D445" i="25"/>
  <c r="D444" i="25"/>
  <c r="D443" i="25"/>
  <c r="D442" i="25"/>
  <c r="D441" i="25"/>
  <c r="D440" i="25"/>
  <c r="D439" i="25"/>
  <c r="D438" i="25"/>
  <c r="D437" i="25"/>
  <c r="D436" i="25"/>
  <c r="D435" i="25"/>
  <c r="D434" i="25"/>
  <c r="D433" i="25"/>
  <c r="D432" i="25"/>
  <c r="D431" i="25"/>
  <c r="D430" i="25"/>
  <c r="D429" i="25"/>
  <c r="D428" i="25"/>
  <c r="D427" i="25"/>
  <c r="D426" i="25"/>
  <c r="D425" i="25"/>
  <c r="D424" i="25"/>
  <c r="D423" i="25"/>
  <c r="D422" i="25"/>
  <c r="D421" i="25"/>
  <c r="D420" i="25"/>
  <c r="D419" i="25"/>
  <c r="D418" i="25"/>
  <c r="D417" i="25"/>
  <c r="D416" i="25"/>
  <c r="D415" i="25"/>
  <c r="D414" i="25"/>
  <c r="D413" i="25"/>
  <c r="D412" i="25"/>
  <c r="D411" i="25"/>
  <c r="D410" i="25"/>
  <c r="D409" i="25"/>
  <c r="D408" i="25"/>
  <c r="D407" i="25"/>
  <c r="D406" i="25"/>
  <c r="D405" i="25"/>
  <c r="D404" i="25"/>
  <c r="D403" i="25"/>
  <c r="D402" i="25"/>
  <c r="D401" i="25"/>
  <c r="D400" i="25"/>
  <c r="D399" i="25"/>
  <c r="D398" i="25"/>
  <c r="D397" i="25"/>
  <c r="D396" i="25"/>
  <c r="D395" i="25"/>
  <c r="D394" i="25"/>
  <c r="D393" i="25"/>
  <c r="D392" i="25"/>
  <c r="D391" i="25"/>
  <c r="D390" i="25"/>
  <c r="D389" i="25"/>
  <c r="D388" i="25"/>
  <c r="D387" i="25"/>
  <c r="D386" i="25"/>
  <c r="D385" i="25"/>
  <c r="D384" i="25"/>
  <c r="D383" i="25"/>
  <c r="D382" i="25"/>
  <c r="D381" i="25"/>
  <c r="D380" i="25"/>
  <c r="D379" i="25"/>
  <c r="D378" i="25"/>
  <c r="D377" i="25"/>
  <c r="D376" i="25"/>
  <c r="D375" i="25"/>
  <c r="D374" i="25"/>
  <c r="D373" i="25"/>
  <c r="D372" i="25"/>
  <c r="D371" i="25"/>
  <c r="D370" i="25"/>
  <c r="D369" i="25"/>
  <c r="D368" i="25"/>
  <c r="D367" i="25"/>
  <c r="D366" i="25"/>
  <c r="D365" i="25"/>
  <c r="D364" i="25"/>
  <c r="D363" i="25"/>
  <c r="D362" i="25"/>
  <c r="D361" i="25"/>
  <c r="D360" i="25"/>
  <c r="D359" i="25"/>
  <c r="D358" i="25"/>
  <c r="D357" i="25"/>
  <c r="D356" i="25"/>
  <c r="D355" i="25"/>
  <c r="D354" i="25"/>
  <c r="D353" i="25"/>
  <c r="D352" i="25"/>
  <c r="D351" i="25"/>
  <c r="D350" i="25"/>
  <c r="D349" i="25"/>
  <c r="D348" i="25"/>
  <c r="D347" i="25"/>
  <c r="D346" i="25"/>
  <c r="D345" i="25"/>
  <c r="D344" i="25"/>
  <c r="D343" i="25"/>
  <c r="D342" i="25"/>
  <c r="D341" i="25"/>
  <c r="D340" i="25"/>
  <c r="D339" i="25"/>
  <c r="D338" i="25"/>
  <c r="D337" i="25"/>
  <c r="D336" i="25"/>
  <c r="D335" i="25"/>
  <c r="D334" i="25"/>
  <c r="D333" i="25"/>
  <c r="D332" i="25"/>
  <c r="D331" i="25"/>
  <c r="D330" i="25"/>
  <c r="D329" i="25"/>
  <c r="D328" i="25"/>
  <c r="D327" i="25"/>
  <c r="D326" i="25"/>
  <c r="D325" i="25"/>
  <c r="D324" i="25"/>
  <c r="D323" i="25"/>
  <c r="D322" i="25"/>
  <c r="D321" i="25"/>
  <c r="D320" i="25"/>
  <c r="D319" i="25"/>
  <c r="D318" i="25"/>
  <c r="D317" i="25"/>
  <c r="D316" i="25"/>
  <c r="D315" i="25"/>
  <c r="D314" i="25"/>
  <c r="D313" i="25"/>
  <c r="D312" i="25"/>
  <c r="D311" i="25"/>
  <c r="D310" i="25"/>
  <c r="D309" i="25"/>
  <c r="D308" i="25"/>
  <c r="D307" i="25"/>
  <c r="D306" i="25"/>
  <c r="D305" i="25"/>
  <c r="D304" i="25"/>
  <c r="D303" i="25"/>
  <c r="D302" i="25"/>
  <c r="D301" i="25"/>
  <c r="D300" i="25"/>
  <c r="D299" i="25"/>
  <c r="D298" i="25"/>
  <c r="D297" i="25"/>
  <c r="D296" i="25"/>
  <c r="D295" i="25"/>
  <c r="D294" i="25"/>
  <c r="D293" i="25"/>
  <c r="D292" i="25"/>
  <c r="D291" i="25"/>
  <c r="D290" i="25"/>
  <c r="D289" i="25"/>
  <c r="D288" i="25"/>
  <c r="D287" i="25"/>
  <c r="D286" i="25"/>
  <c r="D285" i="25"/>
  <c r="D284" i="25"/>
  <c r="D283" i="25"/>
  <c r="D282" i="25"/>
  <c r="D281" i="25"/>
  <c r="D280" i="25"/>
  <c r="D279" i="25"/>
  <c r="D278" i="25"/>
  <c r="D277" i="25"/>
  <c r="D276" i="25"/>
  <c r="D275" i="25"/>
  <c r="D274" i="25"/>
  <c r="D273" i="25"/>
  <c r="D272" i="25"/>
  <c r="D271" i="25"/>
  <c r="D270" i="25"/>
  <c r="D269" i="25"/>
  <c r="D268" i="25"/>
  <c r="D267" i="25"/>
  <c r="D266" i="25"/>
  <c r="D265" i="25"/>
  <c r="D264" i="25"/>
  <c r="D263" i="25"/>
  <c r="D262" i="25"/>
  <c r="D261" i="25"/>
  <c r="D260" i="25"/>
  <c r="D259" i="25"/>
  <c r="D258" i="25"/>
  <c r="D257" i="25"/>
  <c r="D256" i="25"/>
  <c r="D255" i="25"/>
  <c r="D254" i="25"/>
  <c r="D253" i="25"/>
  <c r="D252" i="25"/>
  <c r="D251" i="25"/>
  <c r="D250" i="25"/>
  <c r="D249" i="25"/>
  <c r="D248" i="25"/>
  <c r="D247" i="25"/>
  <c r="D246" i="25"/>
  <c r="D245" i="25"/>
  <c r="D244" i="25"/>
  <c r="D243" i="25"/>
  <c r="D242" i="25"/>
  <c r="D241" i="25"/>
  <c r="D240" i="25"/>
  <c r="D239" i="25"/>
  <c r="D238" i="25"/>
  <c r="D237" i="25"/>
  <c r="D236" i="25"/>
  <c r="D235" i="25"/>
  <c r="D234" i="25"/>
  <c r="D233" i="25"/>
  <c r="D232" i="25"/>
  <c r="D231" i="25"/>
  <c r="D230" i="25"/>
  <c r="D229" i="25"/>
  <c r="D228" i="25"/>
  <c r="D227" i="25"/>
  <c r="D226" i="25"/>
  <c r="D225" i="25"/>
  <c r="D224" i="25"/>
  <c r="D223" i="25"/>
  <c r="D222" i="25"/>
  <c r="D221" i="25"/>
  <c r="D220" i="25"/>
  <c r="D219" i="25"/>
  <c r="D218" i="25"/>
  <c r="D217" i="25"/>
  <c r="D216" i="25"/>
  <c r="D215" i="25"/>
  <c r="D214" i="25"/>
  <c r="D213" i="25"/>
  <c r="D212" i="25"/>
  <c r="D211" i="25"/>
  <c r="D210" i="25"/>
  <c r="D209" i="25"/>
  <c r="D208" i="25"/>
  <c r="D207" i="25"/>
  <c r="D206" i="25"/>
  <c r="D205" i="25"/>
  <c r="D204" i="25"/>
  <c r="D203" i="25"/>
  <c r="D202" i="25"/>
  <c r="D201" i="25"/>
  <c r="D200" i="25"/>
  <c r="D199" i="25"/>
  <c r="D198" i="25"/>
  <c r="D197" i="25"/>
  <c r="D196" i="25"/>
  <c r="D195" i="25"/>
  <c r="D194" i="25"/>
  <c r="D193" i="25"/>
  <c r="D192" i="25"/>
  <c r="D191" i="25"/>
  <c r="D190" i="25"/>
  <c r="D189" i="25"/>
  <c r="D188" i="25"/>
  <c r="D187" i="25"/>
  <c r="D186" i="25"/>
  <c r="D185" i="25"/>
  <c r="D184" i="25"/>
  <c r="D183" i="25"/>
  <c r="D182" i="25"/>
  <c r="D181" i="25"/>
  <c r="D180" i="25"/>
  <c r="D179" i="25"/>
  <c r="D178" i="25"/>
  <c r="D177" i="25"/>
  <c r="D176" i="25"/>
  <c r="D175" i="25"/>
  <c r="D174" i="25"/>
  <c r="D173" i="25"/>
  <c r="D172" i="25"/>
  <c r="D171" i="25"/>
  <c r="D170" i="25"/>
  <c r="D169" i="25"/>
  <c r="D168" i="25"/>
  <c r="D167" i="25"/>
  <c r="D166" i="25"/>
  <c r="D165" i="25"/>
  <c r="D164" i="25"/>
  <c r="D163" i="25"/>
  <c r="D162" i="25"/>
  <c r="D161" i="25"/>
  <c r="D160" i="25"/>
  <c r="D159" i="25"/>
  <c r="D158" i="25"/>
  <c r="D157" i="25"/>
  <c r="D156" i="25"/>
  <c r="D155" i="25"/>
  <c r="D154" i="25"/>
  <c r="D153" i="25"/>
  <c r="D152" i="25"/>
  <c r="D151" i="25"/>
  <c r="D150" i="25"/>
  <c r="D149" i="25"/>
  <c r="D148" i="25"/>
  <c r="D147" i="25"/>
  <c r="D146" i="25"/>
  <c r="D145" i="25"/>
  <c r="D144" i="25"/>
  <c r="D143" i="25"/>
  <c r="D142" i="25"/>
  <c r="D141" i="25"/>
  <c r="D140" i="25"/>
  <c r="D139" i="25"/>
  <c r="D138" i="25"/>
  <c r="D137" i="25"/>
  <c r="D136" i="25"/>
  <c r="D135" i="25"/>
  <c r="D134" i="25"/>
  <c r="D133" i="25"/>
  <c r="D132" i="25"/>
  <c r="D131" i="25"/>
  <c r="D130" i="25"/>
  <c r="D129" i="25"/>
  <c r="D128" i="25"/>
  <c r="D127" i="25"/>
  <c r="D126" i="25"/>
  <c r="D125" i="25"/>
  <c r="D124" i="25"/>
  <c r="D123" i="25"/>
  <c r="D122" i="25"/>
  <c r="D121" i="25"/>
  <c r="D120" i="25"/>
  <c r="D119" i="25"/>
  <c r="D118" i="25"/>
  <c r="D117" i="25"/>
  <c r="D116" i="25"/>
  <c r="D115" i="25"/>
  <c r="D114" i="25"/>
  <c r="D113" i="25"/>
  <c r="D112" i="25"/>
  <c r="D111" i="25"/>
  <c r="D110" i="25"/>
  <c r="D109" i="25"/>
  <c r="D108" i="25"/>
  <c r="D107" i="25"/>
  <c r="D106" i="25"/>
  <c r="D105" i="25"/>
  <c r="D104" i="25"/>
  <c r="D103" i="25"/>
  <c r="D102" i="25"/>
  <c r="D101" i="25"/>
  <c r="D100" i="25"/>
  <c r="D99" i="25"/>
  <c r="D98" i="25"/>
  <c r="D97" i="25"/>
  <c r="D96" i="25"/>
  <c r="D95" i="25"/>
  <c r="D94" i="25"/>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D33" i="25"/>
  <c r="D32" i="25"/>
  <c r="D31" i="25"/>
  <c r="D30" i="25"/>
  <c r="D29" i="25"/>
  <c r="D28" i="25"/>
  <c r="D27" i="25"/>
  <c r="D26" i="25"/>
  <c r="D25" i="25"/>
  <c r="D24" i="25"/>
  <c r="D23" i="25"/>
  <c r="D22" i="25"/>
  <c r="D21" i="25"/>
  <c r="D20" i="25"/>
  <c r="D19" i="25"/>
  <c r="D18" i="25"/>
  <c r="D17" i="25"/>
  <c r="D16" i="25"/>
  <c r="D15" i="25"/>
  <c r="J22" i="25"/>
  <c r="D14" i="25"/>
  <c r="J21" i="25"/>
  <c r="D13" i="25"/>
  <c r="J20" i="25"/>
  <c r="D12" i="25"/>
  <c r="D11" i="25"/>
  <c r="D10" i="25"/>
  <c r="D9" i="25"/>
  <c r="D8" i="25"/>
  <c r="K9" i="25"/>
  <c r="D7" i="25"/>
  <c r="K8" i="25"/>
  <c r="D6" i="25"/>
  <c r="K7" i="25"/>
  <c r="D5" i="25"/>
  <c r="K6" i="25"/>
  <c r="D4" i="25"/>
  <c r="I4" i="22"/>
  <c r="D1577" i="22"/>
  <c r="I5" i="22"/>
  <c r="I6" i="22"/>
  <c r="I7" i="22"/>
  <c r="I8" i="22"/>
  <c r="I12" i="22"/>
  <c r="I13" i="22"/>
  <c r="I14" i="22"/>
  <c r="H13" i="22"/>
  <c r="H14" i="22"/>
  <c r="H12" i="22"/>
  <c r="D1285" i="22"/>
  <c r="D117" i="22"/>
  <c r="D1117" i="22"/>
  <c r="D1922" i="22"/>
  <c r="D935" i="22"/>
  <c r="D182" i="22"/>
  <c r="D1660" i="22"/>
  <c r="D20" i="22"/>
  <c r="D1034" i="22"/>
  <c r="D1146" i="22"/>
  <c r="D1648" i="22"/>
  <c r="D1485" i="22"/>
  <c r="D765" i="22"/>
  <c r="D1403" i="22"/>
  <c r="D1087" i="22"/>
  <c r="D2214" i="22"/>
  <c r="D1305" i="22"/>
  <c r="D1986" i="22"/>
  <c r="D896" i="22"/>
  <c r="D2330" i="22"/>
  <c r="D396" i="22"/>
  <c r="D2013" i="22"/>
  <c r="D389" i="22"/>
  <c r="D1804" i="22"/>
  <c r="D673" i="22"/>
  <c r="D1191" i="22"/>
  <c r="D1303" i="22"/>
  <c r="D1822" i="22"/>
  <c r="D2239" i="22"/>
  <c r="D411" i="22"/>
  <c r="D1336" i="22"/>
  <c r="D1683" i="22"/>
  <c r="D1009" i="22"/>
  <c r="D1374" i="22"/>
  <c r="D1553" i="22"/>
  <c r="D1672" i="22"/>
  <c r="D1182" i="22"/>
  <c r="D928" i="22"/>
  <c r="D1544" i="22"/>
  <c r="D2199" i="22"/>
  <c r="D814" i="22"/>
  <c r="D1126" i="22"/>
  <c r="D1416" i="22"/>
  <c r="D1435" i="22"/>
  <c r="D537" i="22"/>
  <c r="D747" i="22"/>
  <c r="D962" i="22"/>
  <c r="D831" i="22"/>
  <c r="D2127" i="22"/>
  <c r="D1287" i="22"/>
  <c r="D1942" i="22"/>
  <c r="D1084" i="22"/>
  <c r="D271" i="22"/>
  <c r="D503" i="22"/>
  <c r="D2316" i="22"/>
  <c r="D1866" i="22"/>
  <c r="D130" i="22"/>
  <c r="D1162" i="22"/>
  <c r="D116" i="22"/>
  <c r="D878" i="22"/>
  <c r="D372" i="22"/>
  <c r="D19" i="22"/>
  <c r="D1291" i="22"/>
  <c r="D521" i="22"/>
  <c r="D2132" i="22"/>
  <c r="D325" i="22"/>
  <c r="D859" i="22"/>
  <c r="D2257" i="22"/>
  <c r="D292" i="22"/>
  <c r="D773" i="22"/>
  <c r="D201" i="22"/>
  <c r="D168" i="22"/>
  <c r="D2120" i="22"/>
  <c r="D1254" i="22"/>
  <c r="D1225" i="22"/>
  <c r="D2039" i="22"/>
  <c r="D1133" i="22"/>
  <c r="D1470" i="22"/>
  <c r="D2294" i="22"/>
  <c r="D2181" i="22"/>
  <c r="D839" i="22"/>
  <c r="D679" i="22"/>
  <c r="D1665" i="22"/>
  <c r="D1828" i="22"/>
  <c r="D1591" i="22"/>
  <c r="D1678" i="22"/>
  <c r="D72" i="22"/>
  <c r="D828" i="22"/>
  <c r="D510" i="22"/>
  <c r="D1288" i="22"/>
  <c r="D1913" i="22"/>
  <c r="D793" i="22"/>
  <c r="D1503" i="22"/>
  <c r="D2166" i="22"/>
  <c r="D1272" i="22"/>
  <c r="D1310" i="22"/>
  <c r="D1011" i="22"/>
  <c r="D469" i="22"/>
  <c r="D1044" i="22"/>
  <c r="D210" i="22"/>
  <c r="D1603" i="22"/>
  <c r="D1955" i="22"/>
  <c r="D383" i="22"/>
  <c r="D2177" i="22"/>
  <c r="D817" i="22"/>
  <c r="D808" i="22"/>
  <c r="D2028" i="22"/>
  <c r="D1442" i="22"/>
  <c r="D1164" i="22"/>
  <c r="D514" i="22"/>
  <c r="D1355" i="22"/>
  <c r="D2265" i="22"/>
  <c r="D2016" i="22"/>
  <c r="D2150" i="22"/>
  <c r="D225" i="22"/>
  <c r="D2139" i="22"/>
  <c r="D981" i="22"/>
  <c r="D705" i="22"/>
  <c r="D1663" i="22"/>
  <c r="D795" i="22"/>
  <c r="D315" i="22"/>
  <c r="D31" i="22"/>
  <c r="D823" i="22"/>
  <c r="D178" i="22"/>
  <c r="D2141" i="22"/>
  <c r="D1216" i="22"/>
  <c r="D1852" i="22"/>
  <c r="D1426" i="22"/>
  <c r="D327" i="22"/>
  <c r="D1200" i="22"/>
  <c r="D1925" i="22"/>
  <c r="D374" i="22"/>
  <c r="D139" i="22"/>
  <c r="D1033" i="22"/>
  <c r="D1618" i="22"/>
  <c r="D1810" i="22"/>
  <c r="D539" i="22"/>
  <c r="D1443" i="22"/>
  <c r="D307" i="22"/>
  <c r="D979" i="22"/>
  <c r="D1805" i="22"/>
  <c r="D2190" i="22"/>
  <c r="D215" i="22"/>
  <c r="D1514" i="22"/>
  <c r="D857" i="22"/>
  <c r="D1353" i="22"/>
  <c r="D2162" i="22"/>
  <c r="D1220" i="22"/>
  <c r="D165" i="22"/>
  <c r="D2053" i="22"/>
  <c r="D1068" i="22"/>
  <c r="D1457" i="22"/>
  <c r="D1910" i="22"/>
  <c r="D1990" i="22"/>
  <c r="D2216" i="22"/>
  <c r="D1459" i="22"/>
  <c r="D2283" i="22"/>
  <c r="D2029" i="22"/>
  <c r="D1916" i="22"/>
  <c r="D642" i="22"/>
  <c r="D1154" i="22"/>
  <c r="D769" i="22"/>
  <c r="D289" i="22"/>
  <c r="D487" i="22"/>
  <c r="D1697" i="22"/>
  <c r="D277" i="22"/>
  <c r="D1270" i="22"/>
  <c r="D218" i="22"/>
  <c r="D934" i="22"/>
  <c r="D1517" i="22"/>
  <c r="D92" i="22"/>
  <c r="D564" i="22"/>
  <c r="D2258" i="22"/>
  <c r="D1871" i="22"/>
  <c r="D2327" i="22"/>
  <c r="D2317" i="22"/>
  <c r="D2092" i="22"/>
  <c r="D1302" i="22"/>
  <c r="D365" i="22"/>
  <c r="D1994" i="22"/>
  <c r="D2264" i="22"/>
  <c r="D2135" i="22"/>
  <c r="D538" i="22"/>
  <c r="D2110" i="22"/>
  <c r="D897" i="22"/>
  <c r="D2228" i="22"/>
  <c r="D435" i="22"/>
  <c r="D1278" i="22"/>
  <c r="D772" i="22"/>
  <c r="D1371" i="22"/>
  <c r="D2142" i="22"/>
  <c r="D926" i="22"/>
  <c r="D866" i="22"/>
  <c r="D299" i="22"/>
  <c r="D276" i="22"/>
  <c r="D1202" i="22"/>
  <c r="D1422" i="22"/>
  <c r="D9" i="22"/>
  <c r="D1168" i="22"/>
  <c r="D1612" i="22"/>
  <c r="D1081" i="22"/>
  <c r="D1143" i="22"/>
  <c r="D376" i="22"/>
  <c r="D1247" i="22"/>
  <c r="D2289" i="22"/>
  <c r="D1496" i="22"/>
  <c r="D953" i="22"/>
  <c r="D2129" i="22"/>
  <c r="D1768" i="22"/>
  <c r="D418" i="22"/>
  <c r="D2055" i="22"/>
  <c r="D1221" i="22"/>
  <c r="D1281" i="22"/>
  <c r="D1984" i="22"/>
  <c r="D1074" i="22"/>
  <c r="D976" i="22"/>
  <c r="D2155" i="22"/>
  <c r="D658" i="22"/>
  <c r="D384" i="22"/>
  <c r="D1546" i="22"/>
  <c r="D833" i="22"/>
  <c r="D561" i="22"/>
  <c r="D1449" i="22"/>
  <c r="D254" i="22"/>
  <c r="D1971" i="22"/>
  <c r="D1891" i="22"/>
  <c r="D1752" i="22"/>
  <c r="D974" i="22"/>
  <c r="D1141" i="22"/>
  <c r="D1979" i="22"/>
  <c r="D617" i="22"/>
  <c r="D1655" i="22"/>
  <c r="D1058" i="22"/>
  <c r="D2196" i="22"/>
  <c r="D1427" i="22"/>
  <c r="D2066" i="22"/>
  <c r="D1856" i="22"/>
  <c r="D1653" i="22"/>
  <c r="D1386" i="22"/>
  <c r="D1229" i="22"/>
  <c r="D1199" i="22"/>
  <c r="D1073" i="22"/>
  <c r="D81" i="22"/>
  <c r="D312" i="22"/>
  <c r="D1789" i="22"/>
  <c r="D889" i="22"/>
  <c r="D2073" i="22"/>
  <c r="D1835" i="22"/>
  <c r="D1831" i="22"/>
  <c r="D2156" i="22"/>
  <c r="D818" i="22"/>
  <c r="D1498" i="22"/>
  <c r="D2290" i="22"/>
  <c r="D1777" i="22"/>
  <c r="D122" i="22"/>
  <c r="D693" i="22"/>
  <c r="D1176" i="22"/>
  <c r="D451" i="22"/>
  <c r="D2266" i="22"/>
  <c r="D830" i="22"/>
  <c r="D191" i="22"/>
  <c r="D621" i="22"/>
  <c r="D1240" i="22"/>
  <c r="D985" i="22"/>
  <c r="D1462" i="22"/>
  <c r="D392" i="22"/>
  <c r="D65" i="22"/>
  <c r="D977" i="22"/>
  <c r="D868" i="22"/>
  <c r="D11" i="22"/>
  <c r="D61" i="22"/>
  <c r="D1996" i="22"/>
  <c r="D2270" i="22"/>
  <c r="D1983" i="22"/>
  <c r="D252" i="22"/>
  <c r="D1902" i="22"/>
  <c r="D1056" i="22"/>
  <c r="D1230" i="22"/>
  <c r="D939" i="22"/>
  <c r="D656" i="22"/>
  <c r="D1351" i="22"/>
  <c r="D1962" i="22"/>
  <c r="D1259" i="22"/>
  <c r="D2267" i="22"/>
  <c r="D922" i="22"/>
  <c r="D259" i="22"/>
  <c r="D908" i="22"/>
  <c r="D991" i="22"/>
  <c r="D712" i="22"/>
  <c r="D894" i="22"/>
  <c r="D223" i="22"/>
  <c r="D45" i="22"/>
  <c r="D1563" i="22"/>
  <c r="D791" i="22"/>
  <c r="D1749" i="22"/>
  <c r="D1429" i="22"/>
  <c r="D1602" i="22"/>
  <c r="D177" i="22"/>
  <c r="D1669" i="22"/>
  <c r="D2148" i="22"/>
  <c r="D1557" i="22"/>
  <c r="D1727" i="22"/>
  <c r="D1662" i="22"/>
  <c r="D1589" i="22"/>
  <c r="D2209" i="22"/>
  <c r="D1165" i="22"/>
  <c r="D119" i="22"/>
  <c r="D193" i="22"/>
  <c r="D449" i="22"/>
  <c r="D1534" i="22"/>
  <c r="D1740" i="22"/>
  <c r="D1054" i="22"/>
  <c r="D442" i="22"/>
  <c r="D1566" i="22"/>
  <c r="D1461" i="22"/>
  <c r="D2235" i="22"/>
  <c r="D206" i="22"/>
  <c r="D263" i="22"/>
  <c r="D929" i="22"/>
  <c r="D577" i="22"/>
  <c r="D777" i="22"/>
  <c r="D1040" i="22"/>
  <c r="D1539" i="22"/>
  <c r="D925" i="22"/>
  <c r="D549" i="22"/>
  <c r="D1066" i="22"/>
  <c r="D1114" i="22"/>
  <c r="D157" i="22"/>
  <c r="D663" i="22"/>
  <c r="D24" i="22"/>
  <c r="D676" i="22"/>
  <c r="D2160" i="22"/>
  <c r="D1886" i="22"/>
  <c r="D2215" i="22"/>
  <c r="D513" i="22"/>
  <c r="D1641" i="22"/>
  <c r="D1939" i="22"/>
  <c r="D274" i="22"/>
  <c r="D967" i="22"/>
  <c r="D1468" i="22"/>
  <c r="D1101" i="22"/>
  <c r="D1171" i="22"/>
  <c r="D709" i="22"/>
  <c r="D27" i="22"/>
  <c r="D238" i="22"/>
  <c r="D689" i="22"/>
  <c r="D1227" i="22"/>
  <c r="D231" i="22"/>
  <c r="D2185" i="22"/>
  <c r="D234" i="22"/>
  <c r="D2205" i="22"/>
  <c r="D443" i="22"/>
  <c r="D1045" i="22"/>
  <c r="D853" i="22"/>
  <c r="D1677" i="22"/>
  <c r="D1304" i="22"/>
  <c r="D1203" i="22"/>
  <c r="D1556" i="22"/>
  <c r="D2063" i="22"/>
  <c r="D1802" i="22"/>
  <c r="D1135" i="22"/>
  <c r="D1651" i="22"/>
  <c r="D1558" i="22"/>
  <c r="D1180" i="22"/>
  <c r="D148" i="22"/>
  <c r="D1065" i="22"/>
  <c r="D2094" i="22"/>
  <c r="D844" i="22"/>
  <c r="D150" i="22"/>
  <c r="D1481" i="22"/>
  <c r="D1495" i="22"/>
  <c r="D52" i="22"/>
  <c r="D1680" i="22"/>
  <c r="D686" i="22"/>
  <c r="D776" i="22"/>
  <c r="D337" i="22"/>
  <c r="D1830" i="22"/>
  <c r="D1016" i="22"/>
  <c r="D1784" i="22"/>
  <c r="D1223" i="22"/>
  <c r="D843" i="22"/>
  <c r="D1438" i="22"/>
  <c r="D2176" i="22"/>
  <c r="D278" i="22"/>
  <c r="D657" i="22"/>
  <c r="D382" i="22"/>
  <c r="D1706" i="22"/>
  <c r="D2067" i="22"/>
  <c r="D1929" i="22"/>
  <c r="D273" i="22"/>
  <c r="D1106" i="22"/>
  <c r="D495" i="22"/>
  <c r="D730" i="22"/>
  <c r="D2024" i="22"/>
  <c r="D232" i="22"/>
  <c r="D1102" i="22"/>
  <c r="D258" i="22"/>
  <c r="D2030" i="22"/>
  <c r="D1196" i="22"/>
  <c r="D1436" i="22"/>
  <c r="D2086" i="22"/>
  <c r="D616" i="22"/>
  <c r="D1717" i="22"/>
  <c r="D1893" i="22"/>
  <c r="D2241" i="22"/>
  <c r="D2194" i="22"/>
  <c r="D688" i="22"/>
  <c r="D1357" i="22"/>
  <c r="D2221" i="22"/>
  <c r="D1234" i="22"/>
  <c r="D209" i="22"/>
  <c r="D1222" i="22"/>
  <c r="D681" i="22"/>
  <c r="D1283" i="22"/>
  <c r="D66" i="22"/>
  <c r="D1772" i="22"/>
  <c r="D316" i="22"/>
  <c r="D1848" i="22"/>
  <c r="D700" i="22"/>
  <c r="D1007" i="22"/>
  <c r="D1061" i="22"/>
  <c r="D228" i="22"/>
  <c r="D207" i="22"/>
  <c r="D57" i="22"/>
  <c r="D757" i="22"/>
  <c r="D195" i="22"/>
  <c r="D1926" i="22"/>
  <c r="D219" i="22"/>
  <c r="D2044" i="22"/>
  <c r="D350" i="22"/>
  <c r="D68" i="22"/>
  <c r="D1906" i="22"/>
  <c r="D1192" i="22"/>
  <c r="D963" i="22"/>
  <c r="D2077" i="22"/>
  <c r="D470" i="22"/>
  <c r="D419" i="22"/>
  <c r="D1471" i="22"/>
  <c r="D196" i="22"/>
  <c r="D1682" i="22"/>
  <c r="D257" i="22"/>
  <c r="D1787" i="22"/>
  <c r="D1531" i="22"/>
  <c r="D555" i="22"/>
  <c r="D572" i="22"/>
  <c r="D1454" i="22"/>
  <c r="D1606" i="22"/>
  <c r="D501" i="22"/>
  <c r="D1695" i="22"/>
  <c r="D1077" i="22"/>
  <c r="D121" i="22"/>
  <c r="D76" i="22"/>
  <c r="D256" i="22"/>
  <c r="D542" i="22"/>
  <c r="D1296" i="22"/>
  <c r="D2207" i="22"/>
  <c r="D1479" i="22"/>
  <c r="D306" i="22"/>
  <c r="D1812" i="22"/>
  <c r="D483" i="22"/>
  <c r="D2019" i="22"/>
  <c r="D1372" i="22"/>
  <c r="D1551" i="22"/>
  <c r="D971" i="22"/>
  <c r="D2318" i="22"/>
  <c r="D2000" i="22"/>
  <c r="D133" i="22"/>
  <c r="D1160" i="22"/>
  <c r="D2193" i="22"/>
  <c r="D291" i="22"/>
  <c r="D267" i="22"/>
  <c r="D80" i="22"/>
  <c r="D120" i="22"/>
  <c r="D593" i="22"/>
  <c r="D1515" i="22"/>
  <c r="D145" i="22"/>
  <c r="D1816" i="22"/>
  <c r="D341" i="22"/>
  <c r="D632" i="22"/>
  <c r="D1876" i="22"/>
  <c r="D439" i="22"/>
  <c r="D2153" i="22"/>
  <c r="D1935" i="22"/>
  <c r="D1348" i="22"/>
  <c r="D2096" i="22"/>
  <c r="D661" i="22"/>
  <c r="D585" i="22"/>
  <c r="D49" i="22"/>
  <c r="D64" i="22"/>
  <c r="D1633" i="22"/>
  <c r="D1833" i="22"/>
  <c r="D1632" i="22"/>
  <c r="D1567" i="22"/>
  <c r="D994" i="22"/>
  <c r="D297" i="22"/>
  <c r="D1014" i="22"/>
  <c r="D612" i="22"/>
  <c r="D550" i="22"/>
  <c r="D2171" i="22"/>
  <c r="D221" i="22"/>
  <c r="D767" i="22"/>
  <c r="D1978" i="22"/>
  <c r="D391" i="22"/>
  <c r="D127" i="22"/>
  <c r="D906" i="22"/>
  <c r="D243" i="22"/>
  <c r="D611" i="22"/>
  <c r="D1904" i="22"/>
  <c r="D864" i="22"/>
  <c r="D1507" i="22"/>
  <c r="D2312" i="22"/>
  <c r="D568" i="22"/>
  <c r="D910" i="22"/>
  <c r="D2173" i="22"/>
  <c r="D1960" i="22"/>
  <c r="D515" i="22"/>
  <c r="D1745" i="22"/>
  <c r="D1035" i="22"/>
  <c r="D2208" i="22"/>
  <c r="D2114" i="22"/>
  <c r="D1519" i="22"/>
  <c r="D2321" i="22"/>
  <c r="D261" i="22"/>
  <c r="D2099" i="22"/>
  <c r="D918" i="22"/>
  <c r="D703" i="22"/>
  <c r="D1026" i="22"/>
  <c r="D1959" i="22"/>
  <c r="D802" i="22"/>
  <c r="D744" i="22"/>
  <c r="D1839" i="22"/>
  <c r="D1042" i="22"/>
  <c r="D1415" i="22"/>
  <c r="D2089" i="22"/>
  <c r="D1169" i="22"/>
  <c r="D2056" i="22"/>
  <c r="D402" i="22"/>
  <c r="D754" i="22"/>
  <c r="D2151" i="22"/>
  <c r="D579" i="22"/>
  <c r="D1689" i="22"/>
  <c r="D728" i="22"/>
  <c r="D2186" i="22"/>
  <c r="D1156" i="22"/>
  <c r="D214" i="22"/>
  <c r="D1404" i="22"/>
  <c r="D1466" i="22"/>
  <c r="D523" i="22"/>
  <c r="D1313" i="22"/>
  <c r="D753" i="22"/>
  <c r="D1598" i="22"/>
  <c r="D67" i="22"/>
  <c r="D2076" i="22"/>
  <c r="D1352" i="22"/>
  <c r="D764" i="22"/>
  <c r="D573" i="22"/>
  <c r="D936" i="22"/>
  <c r="D1732" i="22"/>
  <c r="D796" i="22"/>
  <c r="D1331" i="22"/>
  <c r="D500" i="22"/>
  <c r="D1738" i="22"/>
  <c r="D137" i="22"/>
  <c r="D1987" i="22"/>
  <c r="D1909" i="22"/>
  <c r="D2309" i="22"/>
  <c r="D826" i="22"/>
  <c r="D668" i="22"/>
  <c r="D1282" i="22"/>
  <c r="D1769" i="22"/>
  <c r="D1734" i="22"/>
  <c r="D1821" i="22"/>
  <c r="D1092" i="22"/>
  <c r="D531" i="22"/>
  <c r="D1635" i="22"/>
  <c r="D1731" i="22"/>
  <c r="D2240" i="22"/>
  <c r="D2048" i="22"/>
  <c r="D1737" i="22"/>
  <c r="D775" i="22"/>
  <c r="D2069" i="22"/>
  <c r="D1565" i="22"/>
  <c r="D1518" i="22"/>
  <c r="D1251" i="22"/>
  <c r="D1754" i="22"/>
  <c r="D1078" i="22"/>
  <c r="D413" i="22"/>
  <c r="D1210" i="22"/>
  <c r="D1392" i="22"/>
  <c r="D1312" i="22"/>
  <c r="D1650" i="22"/>
  <c r="D2113" i="22"/>
  <c r="D1933" i="22"/>
  <c r="D797" i="22"/>
  <c r="D1559" i="22"/>
  <c r="D2200" i="22"/>
  <c r="D1038" i="22"/>
  <c r="D997" i="22"/>
  <c r="D2032" i="22"/>
  <c r="D1723" i="22"/>
  <c r="D488" i="22"/>
  <c r="D714" i="22"/>
  <c r="D2123" i="22"/>
  <c r="D2212" i="22"/>
  <c r="D2210" i="22"/>
  <c r="D1573" i="22"/>
  <c r="D627" i="22"/>
  <c r="D1615" i="22"/>
  <c r="D1825" i="22"/>
  <c r="D1907" i="22"/>
  <c r="D305" i="22"/>
  <c r="D1099" i="22"/>
  <c r="D1702" i="22"/>
  <c r="D1024" i="22"/>
  <c r="D1327" i="22"/>
  <c r="D779" i="22"/>
  <c r="D707" i="22"/>
  <c r="D1670" i="22"/>
  <c r="D545" i="22"/>
  <c r="D960" i="22"/>
  <c r="D2252" i="22"/>
  <c r="D105" i="22"/>
  <c r="D266" i="22"/>
  <c r="D563" i="22"/>
  <c r="D1440" i="22"/>
  <c r="D2311" i="22"/>
  <c r="D2103" i="22"/>
  <c r="D1349" i="22"/>
  <c r="D2233" i="22"/>
  <c r="D190" i="22"/>
  <c r="D222" i="22"/>
  <c r="D494" i="22"/>
  <c r="D1671" i="22"/>
  <c r="D746" i="22"/>
  <c r="D363" i="22"/>
  <c r="D1137" i="22"/>
  <c r="D2223" i="22"/>
  <c r="D280" i="22"/>
  <c r="D202" i="22"/>
  <c r="D594" i="22"/>
  <c r="D1627" i="22"/>
  <c r="D2213" i="22"/>
  <c r="D347" i="22"/>
  <c r="D1761" i="22"/>
  <c r="D2116" i="22"/>
  <c r="D1973" i="22"/>
  <c r="D50" i="22"/>
  <c r="D930" i="22"/>
  <c r="D2197" i="22"/>
  <c r="D1560" i="22"/>
  <c r="D2059" i="22"/>
  <c r="D860" i="22"/>
  <c r="D1953" i="22"/>
  <c r="D687" i="22"/>
  <c r="D1947" i="22"/>
  <c r="D899" i="22"/>
  <c r="D1958" i="22"/>
  <c r="D301" i="22"/>
  <c r="D1525" i="22"/>
  <c r="D42" i="22"/>
  <c r="D2296" i="22"/>
  <c r="D1215" i="22"/>
  <c r="D618" i="22"/>
  <c r="D847" i="22"/>
  <c r="D2137" i="22"/>
  <c r="D902" i="22"/>
  <c r="D1661" i="22"/>
  <c r="D1388" i="22"/>
  <c r="D1321" i="22"/>
  <c r="D836" i="22"/>
  <c r="D1700" i="22"/>
  <c r="D170" i="22"/>
  <c r="D1384" i="22"/>
  <c r="D407" i="22"/>
  <c r="D708" i="22"/>
  <c r="D344" i="22"/>
  <c r="D467" i="22"/>
  <c r="D995" i="22"/>
  <c r="D97" i="22"/>
  <c r="D662" i="22"/>
  <c r="D1080" i="22"/>
  <c r="D2119" i="22"/>
  <c r="D984" i="22"/>
  <c r="D1908" i="22"/>
  <c r="D1500" i="22"/>
  <c r="D1562" i="22"/>
  <c r="D2014" i="22"/>
  <c r="D401" i="22"/>
  <c r="D1605" i="22"/>
  <c r="D30" i="22"/>
  <c r="D1715" i="22"/>
  <c r="D1899" i="22"/>
  <c r="D2299" i="22"/>
  <c r="D8" i="22"/>
  <c r="D1437" i="22"/>
  <c r="D431" i="22"/>
  <c r="D1005" i="22"/>
  <c r="D275" i="22"/>
  <c r="D317" i="22"/>
  <c r="D1391" i="22"/>
  <c r="D1646" i="22"/>
  <c r="D373" i="22"/>
  <c r="D598" i="22"/>
  <c r="D1809" i="22"/>
  <c r="D432" i="22"/>
  <c r="D1258" i="22"/>
  <c r="D434" i="22"/>
  <c r="D135" i="22"/>
  <c r="D123" i="22"/>
  <c r="D1896" i="22"/>
  <c r="D901" i="22"/>
  <c r="D248" i="22"/>
  <c r="D1239" i="22"/>
  <c r="D400" i="22"/>
  <c r="D1385" i="22"/>
  <c r="D1859" i="22"/>
  <c r="D1179" i="22"/>
  <c r="D1484" i="22"/>
  <c r="D1183" i="22"/>
  <c r="D637" i="22"/>
  <c r="D1264" i="22"/>
  <c r="D2095" i="22"/>
  <c r="D1712" i="22"/>
  <c r="D149" i="22"/>
  <c r="D1512" i="22"/>
  <c r="D2050" i="22"/>
  <c r="D1174" i="22"/>
  <c r="D1998" i="22"/>
  <c r="D333" i="22"/>
  <c r="D522" i="22"/>
  <c r="D1827" i="22"/>
  <c r="D152" i="22"/>
  <c r="D369" i="22"/>
  <c r="D1579" i="22"/>
  <c r="D1992" i="22"/>
  <c r="D110" i="22"/>
  <c r="D2304" i="22"/>
  <c r="D684" i="22"/>
  <c r="D354" i="22"/>
  <c r="D1850" i="22"/>
  <c r="D479" i="22"/>
  <c r="D816" i="22"/>
  <c r="D464" i="22"/>
  <c r="D1853" i="22"/>
  <c r="D1420" i="22"/>
  <c r="D1367" i="22"/>
  <c r="D2278" i="22"/>
  <c r="D99" i="22"/>
  <c r="D1463" i="22"/>
  <c r="D473" i="22"/>
  <c r="D1693" i="22"/>
  <c r="D1980" i="22"/>
  <c r="D2165" i="22"/>
  <c r="D1069" i="22"/>
  <c r="D323" i="22"/>
  <c r="D2031" i="22"/>
  <c r="D1284" i="22"/>
  <c r="D2035" i="22"/>
  <c r="D2104" i="22"/>
  <c r="D155" i="22"/>
  <c r="D1941" i="22"/>
  <c r="D635" i="22"/>
  <c r="D1395" i="22"/>
  <c r="D1456" i="22"/>
  <c r="D2001" i="22"/>
  <c r="D945" i="22"/>
  <c r="D1755" i="22"/>
  <c r="D460" i="22"/>
  <c r="D2018" i="22"/>
  <c r="D1120" i="22"/>
  <c r="D723" i="22"/>
  <c r="D457" i="22"/>
  <c r="D1798" i="22"/>
  <c r="D1490" i="22"/>
  <c r="D2244" i="22"/>
  <c r="D1666" i="22"/>
  <c r="D39" i="22"/>
  <c r="D552" i="22"/>
  <c r="D1458" i="22"/>
  <c r="D1746" i="22"/>
  <c r="D2249" i="22"/>
  <c r="D978" i="22"/>
  <c r="D1086" i="22"/>
  <c r="D2293" i="22"/>
  <c r="D1455" i="22"/>
  <c r="D1218" i="22"/>
  <c r="D1465" i="22"/>
  <c r="D1317" i="22"/>
  <c r="D504" i="22"/>
  <c r="D420" i="22"/>
  <c r="D942" i="22"/>
  <c r="D26" i="22"/>
  <c r="D397" i="22"/>
  <c r="D79" i="22"/>
  <c r="D2224" i="22"/>
  <c r="D334" i="22"/>
  <c r="D751" i="22"/>
  <c r="D1989" i="22"/>
  <c r="D1245" i="22"/>
  <c r="D493" i="22"/>
  <c r="D1659" i="22"/>
  <c r="D2274" i="22"/>
  <c r="D511" i="22"/>
  <c r="D111" i="22"/>
  <c r="D1613" i="22"/>
  <c r="D187" i="22"/>
  <c r="D1619" i="22"/>
  <c r="D167" i="22"/>
  <c r="D1387" i="22"/>
  <c r="D1394" i="22"/>
  <c r="D1390" i="22"/>
  <c r="D46" i="22"/>
  <c r="D173" i="22"/>
  <c r="D416" i="22"/>
  <c r="D1920" i="22"/>
  <c r="D733" i="22"/>
  <c r="D1428" i="22"/>
  <c r="D671" i="22"/>
  <c r="D468" i="22"/>
  <c r="D251" i="22"/>
  <c r="D2271" i="22"/>
  <c r="D82" i="22"/>
  <c r="D1705" i="22"/>
  <c r="D958" i="22"/>
  <c r="D205" i="22"/>
  <c r="D2219" i="22"/>
  <c r="D249" i="22"/>
  <c r="D163" i="22"/>
  <c r="D884" i="22"/>
  <c r="D1293" i="22"/>
  <c r="D1714" i="22"/>
  <c r="D548" i="22"/>
  <c r="D1699" i="22"/>
  <c r="D2070" i="22"/>
  <c r="D1741" i="22"/>
  <c r="D529" i="22"/>
  <c r="D1376" i="22"/>
  <c r="D2051" i="22"/>
  <c r="D332" i="22"/>
  <c r="D1132" i="22"/>
  <c r="D1870" i="22"/>
  <c r="D913" i="22"/>
  <c r="D1432" i="22"/>
  <c r="D927" i="22"/>
  <c r="D535" i="22"/>
  <c r="D1091" i="22"/>
  <c r="D972" i="22"/>
  <c r="D2263" i="22"/>
  <c r="D2085" i="22"/>
  <c r="D1100" i="22"/>
  <c r="D1616" i="22"/>
  <c r="D1642" i="22"/>
  <c r="D101" i="22"/>
  <c r="D1882" i="22"/>
  <c r="D1445" i="22"/>
  <c r="D589" i="22"/>
  <c r="D1173" i="22"/>
  <c r="D429" i="22"/>
  <c r="D290" i="22"/>
  <c r="D737" i="22"/>
  <c r="D74" i="22"/>
  <c r="D492" i="22"/>
  <c r="D1378" i="22"/>
  <c r="D288" i="22"/>
  <c r="D1067" i="22"/>
  <c r="D154" i="22"/>
  <c r="D1124" i="22"/>
  <c r="D147" i="22"/>
  <c r="D2108" i="22"/>
  <c r="D931" i="22"/>
  <c r="D342" i="22"/>
  <c r="D2281" i="22"/>
  <c r="D1527" i="22"/>
  <c r="D1339" i="22"/>
  <c r="D1189" i="22"/>
  <c r="D1274" i="22"/>
  <c r="D1801" i="22"/>
  <c r="D1112" i="22"/>
  <c r="D2195" i="22"/>
  <c r="D1549" i="22"/>
  <c r="D2131" i="22"/>
  <c r="D1609" i="22"/>
  <c r="D1576" i="22"/>
  <c r="D395" i="22"/>
  <c r="D18" i="22"/>
  <c r="D907" i="22"/>
  <c r="D2134" i="22"/>
  <c r="D1874" i="22"/>
  <c r="D1172" i="22"/>
  <c r="D314" i="22"/>
  <c r="D731" i="22"/>
  <c r="D1657" i="22"/>
  <c r="D393" i="22"/>
  <c r="D1366" i="22"/>
  <c r="D2144" i="22"/>
  <c r="D409" i="22"/>
  <c r="D1541" i="22"/>
  <c r="D919" i="22"/>
  <c r="D496" i="22"/>
  <c r="D838" i="22"/>
  <c r="D1316" i="22"/>
  <c r="D1739" i="22"/>
  <c r="D352" i="22"/>
  <c r="D1957" i="22"/>
  <c r="D1943" i="22"/>
  <c r="D1711" i="22"/>
  <c r="D2045" i="22"/>
  <c r="D1142" i="22"/>
  <c r="D526" i="22"/>
  <c r="D1269" i="22"/>
  <c r="D339" i="22"/>
  <c r="D428" i="22"/>
  <c r="D390" i="22"/>
  <c r="D2008" i="22"/>
  <c r="D1658" i="22"/>
  <c r="D996" i="22"/>
  <c r="D359" i="22"/>
  <c r="D1766" i="22"/>
  <c r="D427" i="22"/>
  <c r="D1271" i="22"/>
  <c r="D134" i="22"/>
  <c r="D489" i="22"/>
  <c r="D1885" i="22"/>
  <c r="D845" i="22"/>
  <c r="D2259" i="22"/>
  <c r="D1840" i="22"/>
  <c r="D2313" i="22"/>
  <c r="D858" i="22"/>
  <c r="D874" i="22"/>
  <c r="D1314" i="22"/>
  <c r="D1846" i="22"/>
  <c r="D1152" i="22"/>
  <c r="D1785" i="22"/>
  <c r="D2226" i="22"/>
  <c r="D1826" i="22"/>
  <c r="D465" i="22"/>
  <c r="D1360" i="22"/>
  <c r="D235" i="22"/>
  <c r="D2307" i="22"/>
  <c r="D1076" i="22"/>
  <c r="D569" i="22"/>
  <c r="D1931" i="22"/>
  <c r="D2331" i="22"/>
  <c r="D1594" i="22"/>
  <c r="D2138" i="22"/>
  <c r="D338" i="22"/>
  <c r="D444" i="22"/>
  <c r="D1626" i="22"/>
  <c r="D528" i="22"/>
  <c r="D822" i="22"/>
  <c r="D2157" i="22"/>
  <c r="D1571" i="22"/>
  <c r="D2087" i="22"/>
  <c r="D48" i="22"/>
  <c r="D386" i="22"/>
  <c r="D524" i="22"/>
  <c r="D1836" i="22"/>
  <c r="D1311" i="22"/>
  <c r="D1013" i="22"/>
  <c r="D300" i="22"/>
  <c r="D361" i="22"/>
  <c r="D1952" i="22"/>
  <c r="D412" i="22"/>
  <c r="D1730" i="22"/>
  <c r="D1574" i="22"/>
  <c r="D1782" i="22"/>
  <c r="D1329" i="22"/>
  <c r="D2128" i="22"/>
  <c r="D1475" i="22"/>
  <c r="D917" i="22"/>
  <c r="D2010" i="22"/>
  <c r="D2310" i="22"/>
  <c r="D631" i="22"/>
  <c r="D1231" i="22"/>
  <c r="D2314" i="22"/>
  <c r="D516" i="22"/>
  <c r="D1201" i="22"/>
  <c r="D385" i="22"/>
  <c r="D1860" i="22"/>
  <c r="D989" i="22"/>
  <c r="D208" i="22"/>
  <c r="D727" i="22"/>
  <c r="D1446" i="22"/>
  <c r="D760" i="22"/>
  <c r="D1751" i="22"/>
  <c r="D1599" i="22"/>
  <c r="D951" i="22"/>
  <c r="D1949" i="22"/>
  <c r="D832" i="22"/>
  <c r="D94" i="22"/>
  <c r="D1938" i="22"/>
  <c r="D1320" i="22"/>
  <c r="D909" i="22"/>
  <c r="D638" i="22"/>
  <c r="D854" i="22"/>
  <c r="D575" i="22"/>
  <c r="D1762" i="22"/>
  <c r="D1262" i="22"/>
  <c r="D34" i="22"/>
  <c r="D1116" i="22"/>
  <c r="D302" i="22"/>
  <c r="D1937" i="22"/>
  <c r="D1849" i="22"/>
  <c r="D2064" i="22"/>
  <c r="D1105" i="22"/>
  <c r="D2036" i="22"/>
  <c r="D1299" i="22"/>
  <c r="D1263" i="22"/>
  <c r="D351" i="22"/>
  <c r="D2100" i="22"/>
  <c r="D1053" i="22"/>
  <c r="D1829" i="22"/>
  <c r="D1166" i="22"/>
  <c r="D1244" i="22"/>
  <c r="D2276" i="22"/>
  <c r="D2277" i="22"/>
  <c r="D253" i="22"/>
  <c r="D586" i="22"/>
  <c r="D1522" i="22"/>
  <c r="D1131" i="22"/>
  <c r="D921" i="22"/>
  <c r="D778" i="22"/>
  <c r="D2021" i="22"/>
  <c r="D696" i="22"/>
  <c r="D1815" i="22"/>
  <c r="D2125" i="22"/>
  <c r="D1607" i="22"/>
  <c r="D55" i="22"/>
  <c r="D952" i="22"/>
  <c r="D140" i="22"/>
  <c r="D1197" i="22"/>
  <c r="D1275" i="22"/>
  <c r="D1401" i="22"/>
  <c r="D988" i="22"/>
  <c r="D132" i="22"/>
  <c r="D1279" i="22"/>
  <c r="D1356" i="22"/>
  <c r="D558" i="22"/>
  <c r="D1505" i="22"/>
  <c r="D1862" i="22"/>
  <c r="D241" i="22"/>
  <c r="D452" i="22"/>
  <c r="D1257" i="22"/>
  <c r="D932" i="22"/>
  <c r="D1765" i="22"/>
  <c r="D2172" i="22"/>
  <c r="D264" i="22"/>
  <c r="D1319" i="22"/>
  <c r="D2273" i="22"/>
  <c r="D1207" i="22"/>
  <c r="D2101" i="22"/>
  <c r="D1750" i="22"/>
  <c r="D227" i="22"/>
  <c r="D1903" i="22"/>
  <c r="D1430" i="22"/>
  <c r="D1694" i="22"/>
  <c r="D2332" i="22"/>
  <c r="D1977" i="22"/>
  <c r="D23" i="22"/>
  <c r="D1402" i="22"/>
  <c r="D1767" i="22"/>
  <c r="D2147" i="22"/>
  <c r="D729" i="22"/>
  <c r="D1109" i="22"/>
  <c r="D1819" i="22"/>
  <c r="D1735" i="22"/>
  <c r="D1981" i="22"/>
  <c r="D2164" i="22"/>
  <c r="D1110" i="22"/>
  <c r="D2320" i="22"/>
  <c r="D1601" i="22"/>
  <c r="D174" i="22"/>
  <c r="D388" i="22"/>
  <c r="D743" i="22"/>
  <c r="D781" i="22"/>
  <c r="D1673" i="22"/>
  <c r="D2324" i="22"/>
  <c r="D1330" i="22"/>
  <c r="D1786" i="22"/>
  <c r="D331" i="22"/>
  <c r="D345" i="22"/>
  <c r="D646" i="22"/>
  <c r="D471" i="22"/>
  <c r="D801" i="22"/>
  <c r="D1157" i="22"/>
  <c r="D1048" i="22"/>
  <c r="D1779" i="22"/>
  <c r="D2287" i="22"/>
  <c r="D954" i="22"/>
  <c r="D197" i="22"/>
  <c r="D891" i="22"/>
  <c r="D1448" i="22"/>
  <c r="D404" i="22"/>
  <c r="D398" i="22"/>
  <c r="D236" i="22"/>
  <c r="D176" i="22"/>
  <c r="D706" i="22"/>
  <c r="D735" i="22"/>
  <c r="D1178" i="22"/>
  <c r="D2009" i="22"/>
  <c r="D541" i="22"/>
  <c r="D600" i="22"/>
  <c r="D2047" i="22"/>
  <c r="D1151" i="22"/>
  <c r="D1763" i="22"/>
  <c r="D2198" i="22"/>
  <c r="D482" i="22"/>
  <c r="D677" i="22"/>
  <c r="D63" i="22"/>
  <c r="D862" i="22"/>
  <c r="D229" i="22"/>
  <c r="D724" i="22"/>
  <c r="D2058" i="22"/>
  <c r="D938" i="22"/>
  <c r="D643" i="22"/>
  <c r="D35" i="22"/>
  <c r="D1155" i="22"/>
  <c r="D1108" i="22"/>
  <c r="D2188" i="22"/>
  <c r="D1877" i="22"/>
  <c r="D2061" i="22"/>
  <c r="D2220" i="22"/>
  <c r="D692" i="22"/>
  <c r="D505" i="22"/>
  <c r="D279" i="22"/>
  <c r="D1433" i="22"/>
  <c r="D104" i="22"/>
  <c r="D283" i="22"/>
  <c r="D949" i="22"/>
  <c r="D614" i="22"/>
  <c r="D1614" i="22"/>
  <c r="D2182" i="22"/>
  <c r="D125" i="22"/>
  <c r="D782" i="22"/>
  <c r="D1585" i="22"/>
  <c r="D879" i="22"/>
  <c r="D1774" i="22"/>
  <c r="D1242" i="22"/>
  <c r="D2236" i="22"/>
  <c r="D1134" i="22"/>
  <c r="D640" i="22"/>
  <c r="D1022" i="22"/>
  <c r="D624" i="22"/>
  <c r="D819" i="22"/>
  <c r="D810" i="22"/>
  <c r="D2079" i="22"/>
  <c r="D1890" i="22"/>
  <c r="D804" i="22"/>
  <c r="D1399" i="22"/>
  <c r="D1930" i="22"/>
  <c r="D1569" i="22"/>
  <c r="D1968" i="22"/>
  <c r="D247" i="22"/>
  <c r="D1975" i="22"/>
  <c r="D1600" i="22"/>
  <c r="D2062" i="22"/>
  <c r="D940" i="22"/>
  <c r="D911" i="22"/>
  <c r="D1322" i="22"/>
  <c r="D171" i="22"/>
  <c r="D1654" i="22"/>
  <c r="D2234" i="22"/>
  <c r="D1736" i="22"/>
  <c r="D1473" i="22"/>
  <c r="D1020" i="22"/>
  <c r="D1477" i="22"/>
  <c r="D1031" i="22"/>
  <c r="D641" i="22"/>
  <c r="D1055" i="22"/>
  <c r="D335" i="22"/>
  <c r="D426" i="22"/>
  <c r="D73" i="22"/>
  <c r="D2167" i="22"/>
  <c r="D1041" i="22"/>
  <c r="D1813" i="22"/>
  <c r="D1012" i="22"/>
  <c r="D1572" i="22"/>
  <c r="D189" i="22"/>
  <c r="D1333" i="22"/>
  <c r="D1914" i="22"/>
  <c r="D1988" i="22"/>
  <c r="D969" i="22"/>
  <c r="D2187" i="22"/>
  <c r="D825" i="22"/>
  <c r="D13" i="22"/>
  <c r="D2301" i="22"/>
  <c r="D1709" i="22"/>
  <c r="D1268" i="22"/>
  <c r="D2081" i="22"/>
  <c r="D1377" i="22"/>
  <c r="D1868" i="22"/>
  <c r="D1082" i="22"/>
  <c r="D2183" i="22"/>
  <c r="D1232" i="22"/>
  <c r="D1037" i="22"/>
  <c r="D146" i="22"/>
  <c r="D741" i="22"/>
  <c r="D37" i="22"/>
  <c r="D95" i="22"/>
  <c r="D987" i="22"/>
  <c r="D1029" i="22"/>
  <c r="D1379" i="22"/>
  <c r="D2012" i="22"/>
  <c r="D1944" i="22"/>
  <c r="D1511" i="22"/>
  <c r="D1838" i="22"/>
  <c r="D587" i="22"/>
  <c r="D453" i="22"/>
  <c r="D2247" i="22"/>
  <c r="D695" i="22"/>
  <c r="D1195" i="22"/>
  <c r="D1323" i="22"/>
  <c r="D1018" i="22"/>
  <c r="D486" i="22"/>
  <c r="D181" i="22"/>
  <c r="D2022" i="22"/>
  <c r="D375" i="22"/>
  <c r="D69" i="22"/>
  <c r="D1864" i="22"/>
  <c r="D98" i="22"/>
  <c r="D1759" i="22"/>
  <c r="D1645" i="22"/>
  <c r="D164" i="22"/>
  <c r="D433" i="22"/>
  <c r="D349" i="22"/>
  <c r="D2115" i="22"/>
  <c r="D702" i="22"/>
  <c r="D683" i="22"/>
  <c r="D1193" i="22"/>
  <c r="D1997" i="22"/>
  <c r="D1260" i="22"/>
  <c r="D459" i="22"/>
  <c r="D992" i="22"/>
  <c r="D2109" i="22"/>
  <c r="D895" i="22"/>
  <c r="D2083" i="22"/>
  <c r="D1502" i="22"/>
  <c r="D230" i="22"/>
  <c r="D915" i="22"/>
  <c r="D458" i="22"/>
  <c r="D547" i="22"/>
  <c r="D2027" i="22"/>
  <c r="D1622" i="22"/>
  <c r="D948" i="22"/>
  <c r="D91" i="22"/>
  <c r="D1472" i="22"/>
  <c r="D1837" i="22"/>
  <c r="D142" i="22"/>
  <c r="D1095" i="22"/>
  <c r="D1536" i="22"/>
  <c r="D53" i="22"/>
  <c r="D2004" i="22"/>
  <c r="D1691" i="22"/>
  <c r="D15" i="22"/>
  <c r="D2201" i="22"/>
  <c r="D217" i="22"/>
  <c r="D1818" i="22"/>
  <c r="D644" i="22"/>
  <c r="D446" i="22"/>
  <c r="D1107" i="22"/>
  <c r="D2217" i="22"/>
  <c r="D1277" i="22"/>
  <c r="D311" i="22"/>
  <c r="D1542" i="22"/>
  <c r="D1520" i="22"/>
  <c r="D999" i="22"/>
  <c r="D1510" i="22"/>
  <c r="D1969" i="22"/>
  <c r="D2065" i="22"/>
  <c r="D855" i="22"/>
  <c r="D1190" i="22"/>
  <c r="D1499" i="22"/>
  <c r="D1128" i="22"/>
  <c r="D265" i="22"/>
  <c r="D639" i="22"/>
  <c r="D1643" i="22"/>
  <c r="D565" i="22"/>
  <c r="D199" i="22"/>
  <c r="D370" i="22"/>
  <c r="D1869" i="22"/>
  <c r="D44" i="22"/>
  <c r="D750" i="22"/>
  <c r="D652" i="22"/>
  <c r="D203" i="22"/>
  <c r="D138" i="22"/>
  <c r="D1698" i="22"/>
  <c r="D2238" i="22"/>
  <c r="D734" i="22"/>
  <c r="D2288" i="22"/>
  <c r="D2093" i="22"/>
  <c r="D1783" i="22"/>
  <c r="D2243" i="22"/>
  <c r="D425" i="22"/>
  <c r="D1050" i="22"/>
  <c r="D1628" i="22"/>
  <c r="D54" i="22"/>
  <c r="D1248" i="22"/>
  <c r="D651" i="22"/>
  <c r="D1398" i="22"/>
  <c r="D664" i="22"/>
  <c r="D1684" i="22"/>
  <c r="D2237" i="22"/>
  <c r="D698" i="22"/>
  <c r="D1494" i="22"/>
  <c r="D1970" i="22"/>
  <c r="D726" i="22"/>
  <c r="D286" i="22"/>
  <c r="D242" i="22"/>
  <c r="D1325" i="22"/>
  <c r="D2211" i="22"/>
  <c r="D441" i="22"/>
  <c r="D1209" i="22"/>
  <c r="D941" i="22"/>
  <c r="D1808" i="22"/>
  <c r="D2272" i="22"/>
  <c r="D1624" i="22"/>
  <c r="D1474" i="22"/>
  <c r="D701" i="22"/>
  <c r="D445" i="22"/>
  <c r="D1447" i="22"/>
  <c r="D172" i="22"/>
  <c r="D1307" i="22"/>
  <c r="D2041" i="22"/>
  <c r="D1052" i="22"/>
  <c r="D244" i="22"/>
  <c r="D324" i="22"/>
  <c r="D543" i="22"/>
  <c r="D1583" i="22"/>
  <c r="D77" i="22"/>
  <c r="D965" i="22"/>
  <c r="D1722" i="22"/>
  <c r="D497" i="22"/>
  <c r="D1482" i="22"/>
  <c r="D12" i="22"/>
  <c r="D785" i="22"/>
  <c r="D1238" i="22"/>
  <c r="D128" i="22"/>
  <c r="D2227" i="22"/>
  <c r="D179" i="22"/>
  <c r="D1439" i="22"/>
  <c r="D1716" i="22"/>
  <c r="D876" i="22"/>
  <c r="D748" i="22"/>
  <c r="D509" i="22"/>
  <c r="D1354" i="22"/>
  <c r="D784" i="22"/>
  <c r="D1743" i="22"/>
  <c r="D270" i="22"/>
  <c r="D2326" i="22"/>
  <c r="D1059" i="22"/>
  <c r="D226" i="22"/>
  <c r="D1043" i="22"/>
  <c r="D2319" i="22"/>
  <c r="D1506" i="22"/>
  <c r="D774" i="22"/>
  <c r="D28" i="22"/>
  <c r="D1513" i="22"/>
  <c r="D1453" i="22"/>
  <c r="D790" i="22"/>
  <c r="D1791" i="22"/>
  <c r="D213" i="22"/>
  <c r="D1803" i="22"/>
  <c r="D1552" i="22"/>
  <c r="D1879" i="22"/>
  <c r="D477" i="22"/>
  <c r="D653" i="22"/>
  <c r="D2246" i="22"/>
  <c r="D749" i="22"/>
  <c r="D2152" i="22"/>
  <c r="D1410" i="22"/>
  <c r="D1918" i="22"/>
  <c r="D1675" i="22"/>
  <c r="D1083" i="22"/>
  <c r="D160" i="22"/>
  <c r="D1486" i="22"/>
  <c r="D1888" i="22"/>
  <c r="D1342" i="22"/>
  <c r="D336" i="22"/>
  <c r="D326" i="22"/>
  <c r="D507" i="22"/>
  <c r="D1692" i="22"/>
  <c r="D462" i="22"/>
  <c r="D56" i="22"/>
  <c r="D124" i="22"/>
  <c r="D1950" i="22"/>
  <c r="D904" i="22"/>
  <c r="D2231" i="22"/>
  <c r="D1214" i="22"/>
  <c r="D1381" i="22"/>
  <c r="D1725" i="22"/>
  <c r="D2282" i="22"/>
  <c r="D713" i="22"/>
  <c r="D2088" i="22"/>
  <c r="D770" i="22"/>
  <c r="D114" i="22"/>
  <c r="D2280" i="22"/>
  <c r="D1547" i="22"/>
  <c r="D1250" i="22"/>
  <c r="D51" i="22"/>
  <c r="D450" i="22"/>
  <c r="D1219" i="22"/>
  <c r="D421" i="22"/>
  <c r="D980" i="22"/>
  <c r="D355" i="22"/>
  <c r="D1163" i="22"/>
  <c r="D1504" i="22"/>
  <c r="D1964" i="22"/>
  <c r="D872" i="22"/>
  <c r="D366" i="22"/>
  <c r="D1088" i="22"/>
  <c r="D2170" i="22"/>
  <c r="D437" i="22"/>
  <c r="D1365" i="22"/>
  <c r="D319" i="22"/>
  <c r="D880" i="22"/>
  <c r="D527" i="22"/>
  <c r="D29" i="22"/>
  <c r="D1177" i="22"/>
  <c r="D1807" i="22"/>
  <c r="D88" i="22"/>
  <c r="D1570" i="22"/>
  <c r="D161" i="22"/>
  <c r="D1071" i="22"/>
  <c r="D1051" i="22"/>
  <c r="D665" i="22"/>
  <c r="D1681" i="22"/>
  <c r="D1861" i="22"/>
  <c r="D1295" i="22"/>
  <c r="D783" i="22"/>
  <c r="D1584" i="22"/>
  <c r="D660" i="22"/>
  <c r="D2184" i="22"/>
  <c r="D601" i="22"/>
  <c r="D1564" i="22"/>
  <c r="D1630" i="22"/>
  <c r="D608" i="22"/>
  <c r="D1150" i="22"/>
  <c r="D1010" i="22"/>
  <c r="D625" i="22"/>
  <c r="D1140" i="22"/>
  <c r="D153" i="22"/>
  <c r="D1588" i="22"/>
  <c r="D438" i="22"/>
  <c r="D2074" i="22"/>
  <c r="D461" i="22"/>
  <c r="D2292" i="22"/>
  <c r="D255" i="22"/>
  <c r="D645" i="22"/>
  <c r="D1480" i="22"/>
  <c r="D2006" i="22"/>
  <c r="D381" i="22"/>
  <c r="D1795" i="22"/>
  <c r="D669" i="22"/>
  <c r="D1760" i="22"/>
  <c r="D699" i="22"/>
  <c r="D959" i="22"/>
  <c r="D2038" i="22"/>
  <c r="D957" i="22"/>
  <c r="D1019" i="22"/>
  <c r="D41" i="22"/>
  <c r="D944" i="22"/>
  <c r="D1894" i="22"/>
  <c r="D1049" i="22"/>
  <c r="D2253" i="22"/>
  <c r="D682" i="22"/>
  <c r="D885" i="22"/>
  <c r="D877" i="22"/>
  <c r="D245" i="22"/>
  <c r="D1656" i="22"/>
  <c r="D108" i="22"/>
  <c r="D103" i="22"/>
  <c r="D883" i="22"/>
  <c r="D1493" i="22"/>
  <c r="D70" i="22"/>
  <c r="D813" i="22"/>
  <c r="D2015" i="22"/>
  <c r="D534" i="22"/>
  <c r="D1308" i="22"/>
  <c r="D1509" i="22"/>
  <c r="D1237" i="22"/>
  <c r="D1414" i="22"/>
  <c r="D973" i="22"/>
  <c r="D430" i="22"/>
  <c r="D440" i="22"/>
  <c r="D2146" i="22"/>
  <c r="D1524" i="22"/>
  <c r="D1880" i="22"/>
  <c r="D481" i="22"/>
  <c r="D320" i="22"/>
  <c r="D1720" i="22"/>
  <c r="D1529" i="22"/>
  <c r="D1335" i="22"/>
  <c r="D1857" i="22"/>
  <c r="D2130" i="22"/>
  <c r="D309" i="22"/>
  <c r="D1843" i="22"/>
  <c r="D993" i="22"/>
  <c r="D1708" i="22"/>
  <c r="D811" i="22"/>
  <c r="D1064" i="22"/>
  <c r="D1396" i="22"/>
  <c r="D353" i="22"/>
  <c r="D755" i="22"/>
  <c r="D1792" i="22"/>
  <c r="D840" i="22"/>
  <c r="D829" i="22"/>
  <c r="D2078" i="22"/>
  <c r="D1000" i="22"/>
  <c r="D799" i="22"/>
  <c r="D792" i="22"/>
  <c r="D1001" i="22"/>
  <c r="D1744" i="22"/>
  <c r="D2322" i="22"/>
  <c r="D1280" i="22"/>
  <c r="D2297" i="22"/>
  <c r="D1592" i="22"/>
  <c r="D732" i="22"/>
  <c r="D1370" i="22"/>
  <c r="D827" i="22"/>
  <c r="D295" i="22"/>
  <c r="D268" i="22"/>
  <c r="D2057" i="22"/>
  <c r="D517" i="22"/>
  <c r="D721" i="22"/>
  <c r="D582" i="22"/>
  <c r="D1873" i="22"/>
  <c r="D1550" i="22"/>
  <c r="D1523" i="22"/>
  <c r="D956" i="22"/>
  <c r="D33" i="22"/>
  <c r="D36" i="22"/>
  <c r="D2002" i="22"/>
  <c r="D480" i="22"/>
  <c r="D269" i="22"/>
  <c r="D1951" i="22"/>
  <c r="D2218" i="22"/>
  <c r="D436" i="22"/>
  <c r="D371" i="22"/>
  <c r="D340" i="22"/>
  <c r="D1364" i="22"/>
  <c r="D1824" i="22"/>
  <c r="D1139" i="22"/>
  <c r="D1098" i="22"/>
  <c r="D630" i="22"/>
  <c r="D410" i="22"/>
  <c r="D924" i="22"/>
  <c r="D75" i="22"/>
  <c r="D1921" i="22"/>
  <c r="D717" i="22"/>
  <c r="D964" i="22"/>
  <c r="D2174" i="22"/>
  <c r="D1535" i="22"/>
  <c r="D394" i="22"/>
  <c r="D1581" i="22"/>
  <c r="D1548" i="22"/>
  <c r="D1424" i="22"/>
  <c r="D1125" i="22"/>
  <c r="D1927" i="22"/>
  <c r="D613" i="22"/>
  <c r="D882" i="22"/>
  <c r="D914" i="22"/>
  <c r="D1497" i="22"/>
  <c r="D1276" i="22"/>
  <c r="D1956" i="22"/>
  <c r="D1252" i="22"/>
  <c r="D1478" i="22"/>
  <c r="D2279" i="22"/>
  <c r="D670" i="22"/>
  <c r="D220" i="22"/>
  <c r="D1892" i="22"/>
  <c r="D1742" i="22"/>
  <c r="D1867" i="22"/>
  <c r="D1096" i="22"/>
  <c r="D262" i="22"/>
  <c r="D58" i="22"/>
  <c r="D1676" i="22"/>
  <c r="D2302" i="22"/>
  <c r="D466" i="22"/>
  <c r="D738" i="22"/>
  <c r="D595" i="22"/>
  <c r="D1161" i="22"/>
  <c r="D159" i="22"/>
  <c r="D815" i="22"/>
  <c r="D1346" i="22"/>
  <c r="D303" i="22"/>
  <c r="D766" i="22"/>
  <c r="D447" i="22"/>
  <c r="D1187" i="22"/>
  <c r="D2269" i="22"/>
  <c r="D1946" i="22"/>
  <c r="D498" i="22"/>
  <c r="D282" i="22"/>
  <c r="D260" i="22"/>
  <c r="D763" i="22"/>
  <c r="D2229" i="22"/>
  <c r="D697" i="22"/>
  <c r="D739" i="22"/>
  <c r="D758" i="22"/>
  <c r="D183" i="22"/>
  <c r="D403" i="22"/>
  <c r="D650" i="22"/>
  <c r="D185" i="22"/>
  <c r="D1790" i="22"/>
  <c r="D704" i="22"/>
  <c r="D1023" i="22"/>
  <c r="D805" i="22"/>
  <c r="D1770" i="22"/>
  <c r="D169" i="22"/>
  <c r="D1286" i="22"/>
  <c r="D1266" i="22"/>
  <c r="D1530" i="22"/>
  <c r="D1407" i="22"/>
  <c r="D204" i="22"/>
  <c r="D1297" i="22"/>
  <c r="D1094" i="22"/>
  <c r="D615" i="22"/>
  <c r="D188" i="22"/>
  <c r="D499" i="22"/>
  <c r="D408" i="22"/>
  <c r="D1611" i="22"/>
  <c r="D109" i="22"/>
  <c r="D1060" i="22"/>
  <c r="D2107" i="22"/>
  <c r="D1758" i="22"/>
  <c r="D194" i="22"/>
  <c r="D1491" i="22"/>
  <c r="D856" i="22"/>
  <c r="D1923" i="22"/>
  <c r="D821" i="22"/>
  <c r="D379" i="22"/>
  <c r="D166" i="22"/>
  <c r="D1267" i="22"/>
  <c r="D377" i="22"/>
  <c r="D1046" i="22"/>
  <c r="D574" i="22"/>
  <c r="D1075" i="22"/>
  <c r="D2191" i="22"/>
  <c r="D1306" i="22"/>
  <c r="D1467" i="22"/>
  <c r="D1729" i="22"/>
  <c r="D1587" i="22"/>
  <c r="D1844" i="22"/>
  <c r="D107" i="22"/>
  <c r="D536" i="22"/>
  <c r="D1793" i="22"/>
  <c r="D216" i="22"/>
  <c r="D1373" i="22"/>
  <c r="D1406" i="22"/>
  <c r="D212" i="22"/>
  <c r="D1834" i="22"/>
  <c r="D533" i="22"/>
  <c r="D912" i="22"/>
  <c r="D2245" i="22"/>
  <c r="D1878" i="22"/>
  <c r="D1326" i="22"/>
  <c r="D1686" i="22"/>
  <c r="D1872" i="22"/>
  <c r="D834" i="22"/>
  <c r="D415" i="22"/>
  <c r="D675" i="22"/>
  <c r="D2254" i="22"/>
  <c r="D1820" i="22"/>
  <c r="D1409" i="22"/>
  <c r="D628" i="22"/>
  <c r="D622" i="22"/>
  <c r="D422" i="22"/>
  <c r="D1623" i="22"/>
  <c r="D998" i="22"/>
  <c r="D1032" i="22"/>
  <c r="D1217" i="22"/>
  <c r="D491" i="22"/>
  <c r="D1104" i="22"/>
  <c r="D719" i="22"/>
  <c r="D1963" i="22"/>
  <c r="D581" i="22"/>
  <c r="D131" i="22"/>
  <c r="D2256" i="22"/>
  <c r="D2222" i="22"/>
  <c r="D43" i="22"/>
  <c r="D2007" i="22"/>
  <c r="D380" i="22"/>
  <c r="D634" i="22"/>
  <c r="D25" i="22"/>
  <c r="D321" i="22"/>
  <c r="D903" i="22"/>
  <c r="D841" i="22"/>
  <c r="D606" i="22"/>
  <c r="D287" i="22"/>
  <c r="D1845" i="22"/>
  <c r="D448" i="22"/>
  <c r="D158" i="22"/>
  <c r="D1273" i="22"/>
  <c r="D2159" i="22"/>
  <c r="D2005" i="22"/>
  <c r="D239" i="22"/>
  <c r="D1936" i="22"/>
  <c r="D454" i="22"/>
  <c r="D285" i="22"/>
  <c r="D1679" i="22"/>
  <c r="D1241" i="22"/>
  <c r="D519" i="22"/>
  <c r="D2102" i="22"/>
  <c r="D475" i="22"/>
  <c r="D1545" i="22"/>
  <c r="D129" i="22"/>
  <c r="D812" i="22"/>
  <c r="D800" i="22"/>
  <c r="D982" i="22"/>
  <c r="D1085" i="22"/>
  <c r="D1508" i="22"/>
  <c r="D715" i="22"/>
  <c r="D551" i="22"/>
  <c r="D1747" i="22"/>
  <c r="D1315" i="22"/>
  <c r="D2052" i="22"/>
  <c r="D648" i="22"/>
  <c r="D1604" i="22"/>
  <c r="D1647" i="22"/>
  <c r="D716" i="22"/>
  <c r="D1359" i="22"/>
  <c r="D620" i="22"/>
  <c r="D1015" i="22"/>
  <c r="D1036" i="22"/>
  <c r="D2178" i="22"/>
  <c r="D7" i="22"/>
  <c r="D485" i="22"/>
  <c r="D740" i="22"/>
  <c r="D367" i="22"/>
  <c r="D1901" i="22"/>
  <c r="D566" i="22"/>
  <c r="D691" i="22"/>
  <c r="D1884" i="22"/>
  <c r="D356" i="22"/>
  <c r="D1265" i="22"/>
  <c r="D837" i="22"/>
  <c r="D607" i="22"/>
  <c r="D590" i="22"/>
  <c r="D1811" i="22"/>
  <c r="D1003" i="22"/>
  <c r="D1235" i="22"/>
  <c r="D920" i="22"/>
  <c r="D870" i="22"/>
  <c r="D1999" i="22"/>
  <c r="D1047" i="22"/>
  <c r="D786" i="22"/>
  <c r="D1021" i="22"/>
  <c r="D1756" i="22"/>
  <c r="D1004" i="22"/>
  <c r="D2145" i="22"/>
  <c r="D2121" i="22"/>
  <c r="D771" i="22"/>
  <c r="D272" i="22"/>
  <c r="D636" i="22"/>
  <c r="D1167" i="22"/>
  <c r="D180" i="22"/>
  <c r="D1582" i="22"/>
  <c r="D1425" i="22"/>
  <c r="D990" i="22"/>
  <c r="D1233" i="22"/>
  <c r="D1181" i="22"/>
  <c r="D2300" i="22"/>
  <c r="D1595" i="22"/>
  <c r="D1858" i="22"/>
  <c r="D2140" i="22"/>
  <c r="D1469" i="22"/>
  <c r="D1578" i="22"/>
  <c r="D1690" i="22"/>
  <c r="D680" i="22"/>
  <c r="D1776" i="22"/>
  <c r="D294" i="22"/>
  <c r="D506" i="22"/>
  <c r="D1533" i="22"/>
  <c r="D768" i="22"/>
  <c r="D1608" i="22"/>
  <c r="D1668" i="22"/>
  <c r="D2133" i="22"/>
  <c r="D1664" i="22"/>
  <c r="D2251" i="22"/>
  <c r="D2126" i="22"/>
  <c r="D1924" i="22"/>
  <c r="D2285" i="22"/>
  <c r="D803" i="22"/>
  <c r="D22" i="22"/>
  <c r="D192" i="22"/>
  <c r="D1147" i="22"/>
  <c r="D1198" i="22"/>
  <c r="D710" i="22"/>
  <c r="D1710" i="22"/>
  <c r="D2305" i="22"/>
  <c r="D1780" i="22"/>
  <c r="D85" i="22"/>
  <c r="D2122" i="22"/>
  <c r="D596" i="22"/>
  <c r="D310" i="22"/>
  <c r="D1652" i="22"/>
  <c r="D570" i="22"/>
  <c r="D502" i="22"/>
  <c r="D2189" i="22"/>
  <c r="D284" i="22"/>
  <c r="D780" i="22"/>
  <c r="D1382" i="22"/>
  <c r="D1185" i="22"/>
  <c r="D900" i="22"/>
  <c r="D423" i="22"/>
  <c r="D1713" i="22"/>
  <c r="D2261" i="22"/>
  <c r="D1204" i="22"/>
  <c r="D2054" i="22"/>
  <c r="D1175" i="22"/>
  <c r="D1341" i="22"/>
  <c r="D752" i="22"/>
  <c r="D1842" i="22"/>
  <c r="D1261" i="22"/>
  <c r="D711" i="22"/>
  <c r="D1113" i="22"/>
  <c r="D1501" i="22"/>
  <c r="D2175" i="22"/>
  <c r="D113" i="22"/>
  <c r="D112" i="22"/>
  <c r="D1728" i="22"/>
  <c r="D983" i="22"/>
  <c r="D1363" i="22"/>
  <c r="D553" i="22"/>
  <c r="D1451" i="22"/>
  <c r="D2295" i="22"/>
  <c r="D605" i="22"/>
  <c r="D943" i="22"/>
  <c r="D2003" i="22"/>
  <c r="D873" i="22"/>
  <c r="D871" i="22"/>
  <c r="D1418" i="22"/>
  <c r="D346" i="22"/>
  <c r="D886" i="22"/>
  <c r="D240" i="22"/>
  <c r="D789" i="22"/>
  <c r="D905" i="22"/>
  <c r="D330" i="22"/>
  <c r="D1362" i="22"/>
  <c r="D1194" i="22"/>
  <c r="D1332" i="22"/>
  <c r="D2143" i="22"/>
  <c r="D2075" i="22"/>
  <c r="D1118" i="22"/>
  <c r="D678" i="22"/>
  <c r="D21" i="22"/>
  <c r="D1070" i="22"/>
  <c r="D2180" i="22"/>
  <c r="D1243" i="22"/>
  <c r="D10" i="22"/>
  <c r="D1967" i="22"/>
  <c r="D1972" i="22"/>
  <c r="D937" i="22"/>
  <c r="D2091" i="22"/>
  <c r="D745" i="22"/>
  <c r="D1841" i="22"/>
  <c r="D1337" i="22"/>
  <c r="D1945" i="22"/>
  <c r="D1039" i="22"/>
  <c r="D478" i="22"/>
  <c r="D603" i="22"/>
  <c r="D1318" i="22"/>
  <c r="D1417" i="22"/>
  <c r="D1610" i="22"/>
  <c r="D562" i="22"/>
  <c r="D358" i="22"/>
  <c r="D298" i="22"/>
  <c r="D950" i="22"/>
  <c r="D1932" i="22"/>
  <c r="D474" i="22"/>
  <c r="D32" i="22"/>
  <c r="D1757" i="22"/>
  <c r="D947" i="22"/>
  <c r="D806" i="22"/>
  <c r="D246" i="22"/>
  <c r="D2323" i="22"/>
  <c r="D313" i="22"/>
  <c r="D1488" i="22"/>
  <c r="D1127" i="22"/>
  <c r="D599" i="22"/>
  <c r="D955" i="22"/>
  <c r="D887" i="22"/>
  <c r="D296" i="22"/>
  <c r="D1289" i="22"/>
  <c r="D1211" i="22"/>
  <c r="D544" i="22"/>
  <c r="D6" i="22"/>
  <c r="D1380" i="22"/>
  <c r="D667" i="22"/>
  <c r="D1309" i="22"/>
  <c r="D1991" i="22"/>
  <c r="D1294" i="22"/>
  <c r="D1917" i="22"/>
  <c r="D1350" i="22"/>
  <c r="D115" i="22"/>
  <c r="D875" i="22"/>
  <c r="D1393" i="22"/>
  <c r="D824" i="22"/>
  <c r="D83" i="22"/>
  <c r="D490" i="22"/>
  <c r="D1597" i="22"/>
  <c r="D559" i="22"/>
  <c r="D820" i="22"/>
  <c r="D1617" i="22"/>
  <c r="D1993" i="22"/>
  <c r="D304" i="22"/>
  <c r="D557" i="22"/>
  <c r="D1298" i="22"/>
  <c r="D1476" i="22"/>
  <c r="D1590" i="22"/>
  <c r="D1028" i="22"/>
  <c r="D1667" i="22"/>
  <c r="D1224" i="22"/>
  <c r="D1596" i="22"/>
  <c r="D1334" i="22"/>
  <c r="D809" i="22"/>
  <c r="D5" i="22"/>
  <c r="D2329" i="22"/>
  <c r="D2080" i="22"/>
  <c r="D406" i="22"/>
  <c r="D1889" i="22"/>
  <c r="D1145" i="22"/>
  <c r="D1123" i="22"/>
  <c r="D518" i="22"/>
  <c r="D17" i="22"/>
  <c r="D456" i="22"/>
  <c r="D1516" i="22"/>
  <c r="D144" i="22"/>
  <c r="D1149" i="22"/>
  <c r="D2192" i="22"/>
  <c r="D1111" i="22"/>
  <c r="D756" i="22"/>
  <c r="D1778" i="22"/>
  <c r="D725" i="22"/>
  <c r="D1008" i="22"/>
  <c r="D1911" i="22"/>
  <c r="D87" i="22"/>
  <c r="D2098" i="22"/>
  <c r="D2230" i="22"/>
  <c r="D1025" i="22"/>
  <c r="D2262" i="22"/>
  <c r="D1855" i="22"/>
  <c r="D281" i="22"/>
  <c r="D933" i="22"/>
  <c r="D1122" i="22"/>
  <c r="D1718" i="22"/>
  <c r="D807" i="22"/>
  <c r="D364" i="22"/>
  <c r="D1343" i="22"/>
  <c r="D2033" i="22"/>
  <c r="D343" i="22"/>
  <c r="D1965" i="22"/>
  <c r="D1412" i="22"/>
  <c r="D100" i="22"/>
  <c r="D1441" i="22"/>
  <c r="D2275" i="22"/>
  <c r="D540" i="22"/>
  <c r="D1887" i="22"/>
  <c r="D1703" i="22"/>
  <c r="D2242" i="22"/>
  <c r="D348" i="22"/>
  <c r="D200" i="22"/>
  <c r="D1460" i="22"/>
  <c r="D1057" i="22"/>
  <c r="D893" i="22"/>
  <c r="D308" i="22"/>
  <c r="D1696" i="22"/>
  <c r="D2325" i="22"/>
  <c r="D1940" i="22"/>
  <c r="D1144" i="22"/>
  <c r="D975" i="22"/>
  <c r="D583" i="22"/>
  <c r="D2037" i="22"/>
  <c r="D102" i="22"/>
  <c r="D2020" i="22"/>
  <c r="D2034" i="22"/>
  <c r="D633" i="22"/>
  <c r="D761" i="22"/>
  <c r="D14" i="22"/>
  <c r="D597" i="22"/>
  <c r="D556" i="22"/>
  <c r="D1895" i="22"/>
  <c r="D2328" i="22"/>
  <c r="D1184" i="22"/>
  <c r="D1338" i="22"/>
  <c r="D1136" i="22"/>
  <c r="D1464" i="22"/>
  <c r="D1421" i="22"/>
  <c r="D59" i="22"/>
  <c r="D1985" i="22"/>
  <c r="D1405" i="22"/>
  <c r="D762" i="22"/>
  <c r="D654" i="22"/>
  <c r="D1538" i="22"/>
  <c r="D1554" i="22"/>
  <c r="D849" i="22"/>
  <c r="D788" i="22"/>
  <c r="D424" i="22"/>
  <c r="D1881" i="22"/>
  <c r="D1301" i="22"/>
  <c r="D588" i="22"/>
  <c r="D1452" i="22"/>
  <c r="D40" i="22"/>
  <c r="D2090" i="22"/>
  <c r="D580" i="22"/>
  <c r="D1487" i="22"/>
  <c r="D476" i="22"/>
  <c r="D609" i="22"/>
  <c r="D86" i="22"/>
  <c r="D1636" i="22"/>
  <c r="D1883" i="22"/>
  <c r="D966" i="22"/>
  <c r="D720" i="22"/>
  <c r="D1413" i="22"/>
  <c r="D2260" i="22"/>
  <c r="D842" i="22"/>
  <c r="D798" i="22"/>
  <c r="D417" i="22"/>
  <c r="D1863" i="22"/>
  <c r="D923" i="22"/>
  <c r="D2179" i="22"/>
  <c r="D1006" i="22"/>
  <c r="D156" i="22"/>
  <c r="D96" i="22"/>
  <c r="D1854" i="22"/>
  <c r="D1832" i="22"/>
  <c r="D2268" i="22"/>
  <c r="D736" i="22"/>
  <c r="D1121" i="22"/>
  <c r="D1543" i="22"/>
  <c r="D224" i="22"/>
  <c r="D890" i="22"/>
  <c r="D2026" i="22"/>
  <c r="D560" i="22"/>
  <c r="D610" i="22"/>
  <c r="D2105" i="22"/>
  <c r="D1148" i="22"/>
  <c r="D1704" i="22"/>
  <c r="D655" i="22"/>
  <c r="D1982" i="22"/>
  <c r="D1948" i="22"/>
  <c r="D233" i="22"/>
  <c r="D554" i="22"/>
  <c r="D1797" i="22"/>
  <c r="D690" i="22"/>
  <c r="D571" i="22"/>
  <c r="D293" i="22"/>
  <c r="D1817" i="22"/>
  <c r="D2284" i="22"/>
  <c r="D1788" i="22"/>
  <c r="D835" i="22"/>
  <c r="D2232" i="22"/>
  <c r="D1796" i="22"/>
  <c r="D722" i="22"/>
  <c r="D368" i="22"/>
  <c r="D2042" i="22"/>
  <c r="D584" i="22"/>
  <c r="D71" i="22"/>
  <c r="D1593" i="22"/>
  <c r="D1701" i="22"/>
  <c r="D1724" i="22"/>
  <c r="D318" i="22"/>
  <c r="D1800" i="22"/>
  <c r="D1905" i="22"/>
  <c r="D1847" i="22"/>
  <c r="D237" i="22"/>
  <c r="D89" i="22"/>
  <c r="D1555" i="22"/>
  <c r="D484" i="22"/>
  <c r="D1644" i="22"/>
  <c r="D1255" i="22"/>
  <c r="D2068" i="22"/>
  <c r="D1253" i="22"/>
  <c r="D1492" i="22"/>
  <c r="D2023" i="22"/>
  <c r="D2308" i="22"/>
  <c r="D867" i="22"/>
  <c r="D685" i="22"/>
  <c r="D136" i="22"/>
  <c r="D1358" i="22"/>
  <c r="D591" i="22"/>
  <c r="D463" i="22"/>
  <c r="D1408" i="22"/>
  <c r="D198" i="22"/>
  <c r="D970" i="22"/>
  <c r="D1685" i="22"/>
  <c r="D1423" i="22"/>
  <c r="D604" i="22"/>
  <c r="D623" i="22"/>
  <c r="D38" i="22"/>
  <c r="D1540" i="22"/>
  <c r="D175" i="22"/>
  <c r="D1781" i="22"/>
  <c r="D961" i="22"/>
  <c r="D84" i="22"/>
  <c r="D250" i="22"/>
  <c r="D362" i="22"/>
  <c r="D60" i="22"/>
  <c r="D794" i="22"/>
  <c r="D1575" i="22"/>
  <c r="D1974" i="22"/>
  <c r="D1208" i="22"/>
  <c r="D1002" i="22"/>
  <c r="D1875" i="22"/>
  <c r="D2136" i="22"/>
  <c r="D1621" i="22"/>
  <c r="D211" i="22"/>
  <c r="D93" i="22"/>
  <c r="D2071" i="22"/>
  <c r="D2106" i="22"/>
  <c r="D141" i="22"/>
  <c r="D1521" i="22"/>
  <c r="D1483" i="22"/>
  <c r="D2084" i="22"/>
  <c r="D2248" i="22"/>
  <c r="D1634" i="22"/>
  <c r="D898" i="22"/>
  <c r="D1093" i="22"/>
  <c r="D2161" i="22"/>
  <c r="D674" i="22"/>
  <c r="D1079" i="22"/>
  <c r="D2204" i="22"/>
  <c r="D759" i="22"/>
  <c r="D4" i="22"/>
  <c r="D1814" i="22"/>
  <c r="D846" i="22"/>
  <c r="D1629" i="22"/>
  <c r="D1637" i="22"/>
  <c r="D1030" i="22"/>
  <c r="D525" i="22"/>
  <c r="D1213" i="22"/>
  <c r="D1153" i="22"/>
  <c r="D2040" i="22"/>
  <c r="D1344" i="22"/>
  <c r="D162" i="22"/>
  <c r="D1103" i="22"/>
  <c r="D626" i="22"/>
  <c r="D1799" i="22"/>
  <c r="D512" i="22"/>
  <c r="D1806" i="22"/>
  <c r="D1400" i="22"/>
  <c r="D1206" i="22"/>
  <c r="D1375" i="22"/>
  <c r="D1431" i="22"/>
  <c r="D1640" i="22"/>
  <c r="D1897" i="22"/>
  <c r="D2225" i="22"/>
  <c r="D863" i="22"/>
  <c r="D861" i="22"/>
  <c r="D151" i="22"/>
  <c r="D1898" i="22"/>
  <c r="D1726" i="22"/>
  <c r="D946" i="22"/>
  <c r="D1369" i="22"/>
  <c r="D1212" i="22"/>
  <c r="D1753" i="22"/>
  <c r="D1130" i="22"/>
  <c r="D1764" i="22"/>
  <c r="D2168" i="22"/>
  <c r="D2286" i="22"/>
  <c r="D1649" i="22"/>
  <c r="D1383" i="22"/>
  <c r="D1526" i="22"/>
  <c r="D848" i="22"/>
  <c r="D2303" i="22"/>
  <c r="D530" i="22"/>
  <c r="D1919" i="22"/>
  <c r="D2025" i="22"/>
  <c r="D1089" i="22"/>
  <c r="D629" i="22"/>
  <c r="D1674" i="22"/>
  <c r="D1823" i="22"/>
  <c r="D1586" i="22"/>
  <c r="D2255" i="22"/>
  <c r="D2169" i="22"/>
  <c r="D328" i="22"/>
  <c r="D1775" i="22"/>
  <c r="D1158" i="22"/>
  <c r="D1625" i="22"/>
  <c r="D1328" i="22"/>
  <c r="D1159" i="22"/>
  <c r="D118" i="22"/>
  <c r="D1292" i="22"/>
  <c r="D143" i="22"/>
  <c r="D1639" i="22"/>
  <c r="D1568" i="22"/>
  <c r="D1444" i="22"/>
  <c r="D1631" i="22"/>
  <c r="D1794" i="22"/>
  <c r="D2203" i="22"/>
  <c r="D2298" i="22"/>
  <c r="D1532" i="22"/>
  <c r="D1450" i="22"/>
  <c r="D1389" i="22"/>
  <c r="D1773" i="22"/>
  <c r="D888" i="22"/>
  <c r="D2049" i="22"/>
  <c r="D850" i="22"/>
  <c r="D1188" i="22"/>
  <c r="D2306" i="22"/>
  <c r="D2060" i="22"/>
  <c r="D2046" i="22"/>
  <c r="D1368" i="22"/>
  <c r="D2158" i="22"/>
  <c r="D47" i="22"/>
  <c r="D1707" i="22"/>
  <c r="D1561" i="22"/>
  <c r="D602" i="22"/>
  <c r="D1851" i="22"/>
  <c r="D619" i="22"/>
  <c r="D1129" i="22"/>
  <c r="D1097" i="22"/>
  <c r="D1345" i="22"/>
  <c r="D1226" i="22"/>
  <c r="D186" i="22"/>
  <c r="D78" i="22"/>
  <c r="D360" i="22"/>
  <c r="D1419" i="22"/>
  <c r="D1976" i="22"/>
  <c r="D968" i="22"/>
  <c r="D1411" i="22"/>
  <c r="D647" i="22"/>
  <c r="D322" i="22"/>
  <c r="D357" i="22"/>
  <c r="D2124" i="22"/>
  <c r="D1290" i="22"/>
  <c r="D387" i="22"/>
  <c r="D546" i="22"/>
  <c r="D1340" i="22"/>
  <c r="D672" i="22"/>
  <c r="D1119" i="22"/>
  <c r="D16" i="22"/>
  <c r="D578" i="22"/>
  <c r="D2118" i="22"/>
  <c r="D1719" i="22"/>
  <c r="D1961" i="22"/>
  <c r="D399" i="22"/>
  <c r="D718" i="22"/>
  <c r="D532" i="22"/>
  <c r="D1934" i="22"/>
  <c r="D2315" i="22"/>
  <c r="D1347" i="22"/>
  <c r="D1900" i="22"/>
  <c r="D1688" i="22"/>
  <c r="D2149" i="22"/>
  <c r="D1638" i="22"/>
  <c r="D666" i="22"/>
  <c r="D472" i="22"/>
  <c r="D592" i="22"/>
  <c r="D1027" i="22"/>
  <c r="D405" i="22"/>
  <c r="D659" i="22"/>
  <c r="D1063" i="22"/>
  <c r="D455" i="22"/>
  <c r="D1771" i="22"/>
  <c r="D2111" i="22"/>
  <c r="D2117" i="22"/>
  <c r="D1687" i="22"/>
  <c r="D2154" i="22"/>
  <c r="D852" i="22"/>
  <c r="D1246" i="22"/>
  <c r="D1434" i="22"/>
  <c r="D2163" i="22"/>
  <c r="D1256" i="22"/>
  <c r="D2043" i="22"/>
  <c r="D62" i="22"/>
  <c r="D986" i="22"/>
  <c r="D869" i="22"/>
  <c r="D1072" i="22"/>
  <c r="D787" i="22"/>
  <c r="D1537" i="22"/>
  <c r="D1228" i="22"/>
  <c r="D1528" i="22"/>
  <c r="D851" i="22"/>
  <c r="D508" i="22"/>
  <c r="D1928" i="22"/>
  <c r="D2072" i="22"/>
  <c r="D1236" i="22"/>
  <c r="D1733" i="22"/>
  <c r="D2017" i="22"/>
  <c r="D1205" i="22"/>
  <c r="D576" i="22"/>
  <c r="D1090" i="22"/>
  <c r="D1995" i="22"/>
  <c r="D2291" i="22"/>
  <c r="D1324" i="22"/>
  <c r="D378" i="22"/>
  <c r="D1186" i="22"/>
  <c r="D1115" i="22"/>
  <c r="D742" i="22"/>
  <c r="D1580" i="22"/>
  <c r="D2082" i="22"/>
  <c r="D2206" i="22"/>
  <c r="D1361" i="22"/>
  <c r="D1397" i="22"/>
  <c r="D567" i="22"/>
  <c r="D694" i="22"/>
  <c r="D1138" i="22"/>
  <c r="D1721" i="22"/>
  <c r="D2097" i="22"/>
  <c r="D520" i="22"/>
  <c r="D329" i="22"/>
  <c r="D1249" i="22"/>
  <c r="D126" i="22"/>
  <c r="D1966" i="22"/>
  <c r="D414" i="22"/>
  <c r="D184" i="22"/>
  <c r="D1620" i="22"/>
  <c r="D2112" i="22"/>
  <c r="D1912" i="22"/>
  <c r="D892" i="22"/>
  <c r="D916" i="22"/>
  <c r="D2250" i="22"/>
  <c r="D2011" i="22"/>
  <c r="D1300" i="22"/>
  <c r="D2202" i="22"/>
  <c r="D1489" i="22"/>
  <c r="D1062" i="22"/>
  <c r="D1915" i="22"/>
  <c r="D881" i="22"/>
  <c r="D1748" i="22"/>
  <c r="D90" i="22"/>
  <c r="D1954" i="22"/>
  <c r="D649" i="22"/>
  <c r="D865" i="22"/>
  <c r="D106" i="22"/>
  <c r="D1170" i="22"/>
  <c r="D1017" i="22"/>
  <c r="D1865" i="22"/>
  <c r="F8" i="21"/>
  <c r="D8" i="21"/>
  <c r="F7" i="21"/>
  <c r="D7" i="21"/>
  <c r="F6" i="21"/>
  <c r="D6" i="21"/>
  <c r="F5" i="21"/>
  <c r="D5" i="21"/>
  <c r="I29" i="16"/>
  <c r="Q24" i="19"/>
  <c r="F11" i="19"/>
  <c r="F12" i="19"/>
  <c r="Q26" i="19"/>
  <c r="E37" i="17"/>
  <c r="F37" i="17"/>
  <c r="G37" i="17"/>
  <c r="H37" i="17"/>
  <c r="I37" i="17"/>
  <c r="C28" i="17"/>
  <c r="D28" i="17"/>
  <c r="E28" i="17"/>
  <c r="F28" i="17"/>
  <c r="G28" i="17"/>
  <c r="H28" i="17"/>
  <c r="I28" i="17"/>
  <c r="C6" i="17"/>
  <c r="D6" i="17"/>
  <c r="E6" i="17"/>
  <c r="F6" i="17"/>
  <c r="G6" i="17"/>
  <c r="H6" i="17"/>
  <c r="I6" i="17"/>
  <c r="C7" i="17"/>
  <c r="D7" i="17"/>
  <c r="E7" i="17"/>
  <c r="F7" i="17"/>
  <c r="G7" i="17"/>
  <c r="H7" i="17"/>
  <c r="I7" i="17"/>
  <c r="C8" i="17"/>
  <c r="D8" i="17"/>
  <c r="E8" i="17"/>
  <c r="F8" i="17"/>
  <c r="G8" i="17"/>
  <c r="H8" i="17"/>
  <c r="I8" i="17"/>
  <c r="D5" i="17"/>
  <c r="E5" i="17"/>
  <c r="F5" i="17"/>
  <c r="G5" i="17"/>
  <c r="H5" i="17"/>
  <c r="I5" i="17"/>
  <c r="C5" i="17"/>
  <c r="D29" i="16"/>
  <c r="E29" i="16"/>
  <c r="F29" i="16"/>
  <c r="G29" i="16"/>
  <c r="H29" i="16"/>
  <c r="C29" i="16"/>
  <c r="AD11" i="14"/>
  <c r="C9" i="17" l="1"/>
  <c r="J12" i="22"/>
  <c r="K12" i="22" s="1"/>
  <c r="J13" i="22"/>
  <c r="K13" i="22" s="1"/>
  <c r="J14" i="22"/>
  <c r="K14" i="22" s="1"/>
  <c r="F10" i="19"/>
  <c r="H10" i="19" s="1"/>
  <c r="H12" i="19"/>
  <c r="P12" i="19" s="1"/>
  <c r="P26" i="19"/>
  <c r="G7818" i="25"/>
  <c r="H11" i="19"/>
  <c r="O11" i="19" s="1"/>
  <c r="G4" i="25"/>
  <c r="G21" i="25"/>
  <c r="G1664" i="25"/>
  <c r="G9795" i="25"/>
  <c r="G9661" i="25"/>
  <c r="G7590" i="25"/>
  <c r="G9559" i="25"/>
  <c r="G7261" i="25"/>
  <c r="G9428" i="25"/>
  <c r="G6908" i="25"/>
  <c r="G9317" i="25"/>
  <c r="G6480" i="25"/>
  <c r="G9173" i="25"/>
  <c r="G6036" i="25"/>
  <c r="G9020" i="25"/>
  <c r="G5564" i="25"/>
  <c r="G8853" i="25"/>
  <c r="G4971" i="25"/>
  <c r="G8689" i="25"/>
  <c r="G4094" i="25"/>
  <c r="G8517" i="25"/>
  <c r="G2996" i="25"/>
  <c r="G10002" i="25"/>
  <c r="G8301" i="25"/>
  <c r="G610" i="25"/>
  <c r="G9905" i="25"/>
  <c r="G8051" i="25"/>
  <c r="G9899" i="25"/>
  <c r="G9558" i="25"/>
  <c r="G9172" i="25"/>
  <c r="G8852" i="25"/>
  <c r="G8274" i="25"/>
  <c r="G7260" i="25"/>
  <c r="G6035" i="25"/>
  <c r="G4960" i="25"/>
  <c r="G2994" i="25"/>
  <c r="G9985" i="25"/>
  <c r="G9765" i="25"/>
  <c r="G9415" i="25"/>
  <c r="G9307" i="25"/>
  <c r="G9011" i="25"/>
  <c r="G8492" i="25"/>
  <c r="G8049" i="25"/>
  <c r="G7579" i="25"/>
  <c r="G6891" i="25"/>
  <c r="G6027" i="25"/>
  <c r="G4959" i="25"/>
  <c r="G2947" i="25"/>
  <c r="G9880" i="25"/>
  <c r="G9649" i="25"/>
  <c r="G9515" i="25"/>
  <c r="G9283" i="25"/>
  <c r="G9137" i="25"/>
  <c r="G8984" i="25"/>
  <c r="G8821" i="25"/>
  <c r="G8648" i="25"/>
  <c r="G8471" i="25"/>
  <c r="G8233" i="25"/>
  <c r="G8000" i="25"/>
  <c r="G7772" i="25"/>
  <c r="G7532" i="25"/>
  <c r="G7200" i="25"/>
  <c r="G6843" i="25"/>
  <c r="G6402" i="25"/>
  <c r="G5957" i="25"/>
  <c r="G5473" i="25"/>
  <c r="G4844" i="25"/>
  <c r="G1388" i="25"/>
  <c r="G9978" i="25"/>
  <c r="G9857" i="25"/>
  <c r="G9755" i="25"/>
  <c r="G9625" i="25"/>
  <c r="G9513" i="25"/>
  <c r="G9402" i="25"/>
  <c r="G9278" i="25"/>
  <c r="G9133" i="25"/>
  <c r="G8963" i="25"/>
  <c r="G8799" i="25"/>
  <c r="G8619" i="25"/>
  <c r="G8442" i="25"/>
  <c r="G8220" i="25"/>
  <c r="G7989" i="25"/>
  <c r="G7762" i="25"/>
  <c r="G7487" i="25"/>
  <c r="G7151" i="25"/>
  <c r="G6778" i="25"/>
  <c r="G6341" i="25"/>
  <c r="G5893" i="25"/>
  <c r="G5394" i="25"/>
  <c r="G4749" i="25"/>
  <c r="G3766" i="25"/>
  <c r="G2573" i="25"/>
  <c r="G1199" i="25"/>
  <c r="G9961" i="25"/>
  <c r="G9856" i="25"/>
  <c r="G9748" i="25"/>
  <c r="G9620" i="25"/>
  <c r="G9512" i="25"/>
  <c r="G9388" i="25"/>
  <c r="G9277" i="25"/>
  <c r="G9113" i="25"/>
  <c r="G8962" i="25"/>
  <c r="G8793" i="25"/>
  <c r="G8617" i="25"/>
  <c r="G8441" i="25"/>
  <c r="G8219" i="25"/>
  <c r="G7986" i="25"/>
  <c r="G7735" i="25"/>
  <c r="G7486" i="25"/>
  <c r="G7143" i="25"/>
  <c r="G6776" i="25"/>
  <c r="G6340" i="25"/>
  <c r="G5892" i="25"/>
  <c r="G5393" i="25"/>
  <c r="G4748" i="25"/>
  <c r="G3752" i="25"/>
  <c r="G2572" i="25"/>
  <c r="G1198" i="25"/>
  <c r="G9952" i="25"/>
  <c r="G9855" i="25"/>
  <c r="G9735" i="25"/>
  <c r="G9619" i="25"/>
  <c r="G9507" i="25"/>
  <c r="G9369" i="25"/>
  <c r="G9258" i="25"/>
  <c r="G9112" i="25"/>
  <c r="G8954" i="25"/>
  <c r="G8789" i="25"/>
  <c r="G8616" i="25"/>
  <c r="G8431" i="25"/>
  <c r="G8208" i="25"/>
  <c r="G7959" i="25"/>
  <c r="G7734" i="25"/>
  <c r="G7470" i="25"/>
  <c r="G7134" i="25"/>
  <c r="G6757" i="25"/>
  <c r="G6319" i="25"/>
  <c r="G5863" i="25"/>
  <c r="G5376" i="25"/>
  <c r="G4691" i="25"/>
  <c r="G3698" i="25"/>
  <c r="G2537" i="25"/>
  <c r="G1196" i="25"/>
  <c r="G9951" i="25"/>
  <c r="G9854" i="25"/>
  <c r="G9712" i="25"/>
  <c r="G9604" i="25"/>
  <c r="G9479" i="25"/>
  <c r="G9368" i="25"/>
  <c r="G9243" i="25"/>
  <c r="G9086" i="25"/>
  <c r="G8924" i="25"/>
  <c r="G8756" i="25"/>
  <c r="G8587" i="25"/>
  <c r="G8396" i="25"/>
  <c r="G8165" i="25"/>
  <c r="G7936" i="25"/>
  <c r="G7688" i="25"/>
  <c r="G7423" i="25"/>
  <c r="G7074" i="25"/>
  <c r="G6688" i="25"/>
  <c r="G6244" i="25"/>
  <c r="G5802" i="25"/>
  <c r="G5286" i="25"/>
  <c r="G4578" i="25"/>
  <c r="G3547" i="25"/>
  <c r="G2299" i="25"/>
  <c r="G910" i="25"/>
  <c r="G9986" i="25"/>
  <c r="G9659" i="25"/>
  <c r="G9308" i="25"/>
  <c r="G8679" i="25"/>
  <c r="G8050" i="25"/>
  <c r="G7582" i="25"/>
  <c r="G6476" i="25"/>
  <c r="G5563" i="25"/>
  <c r="G1648" i="25"/>
  <c r="G9898" i="25"/>
  <c r="G9538" i="25"/>
  <c r="G9166" i="25"/>
  <c r="G8851" i="25"/>
  <c r="G8273" i="25"/>
  <c r="G7816" i="25"/>
  <c r="G7253" i="25"/>
  <c r="G6475" i="25"/>
  <c r="G5550" i="25"/>
  <c r="G1630" i="25"/>
  <c r="G9761" i="25"/>
  <c r="G3887" i="25"/>
  <c r="G9938" i="25"/>
  <c r="G9710" i="25"/>
  <c r="G9598" i="25"/>
  <c r="G9474" i="25"/>
  <c r="G9363" i="25"/>
  <c r="G9224" i="25"/>
  <c r="G9079" i="25"/>
  <c r="G8920" i="25"/>
  <c r="G8745" i="25"/>
  <c r="G8564" i="25"/>
  <c r="G8363" i="25"/>
  <c r="G8132" i="25"/>
  <c r="G7905" i="25"/>
  <c r="G7675" i="25"/>
  <c r="G7378" i="25"/>
  <c r="G7029" i="25"/>
  <c r="G6632" i="25"/>
  <c r="G6192" i="25"/>
  <c r="G5725" i="25"/>
  <c r="G5205" i="25"/>
  <c r="G4472" i="25"/>
  <c r="G3394" i="25"/>
  <c r="G624" i="25"/>
  <c r="G9937" i="25"/>
  <c r="G9817" i="25"/>
  <c r="G9709" i="25"/>
  <c r="G9584" i="25"/>
  <c r="G9460" i="25"/>
  <c r="G9362" i="25"/>
  <c r="G9219" i="25"/>
  <c r="G9069" i="25"/>
  <c r="G8913" i="25"/>
  <c r="G8728" i="25"/>
  <c r="G8563" i="25"/>
  <c r="G8362" i="25"/>
  <c r="G8131" i="25"/>
  <c r="G7904" i="25"/>
  <c r="G7674" i="25"/>
  <c r="G7372" i="25"/>
  <c r="G7028" i="25"/>
  <c r="G6624" i="25"/>
  <c r="G6181" i="25"/>
  <c r="G5723" i="25"/>
  <c r="G5202" i="25"/>
  <c r="G4469" i="25"/>
  <c r="G3373" i="25"/>
  <c r="G617" i="25"/>
  <c r="G9923" i="25"/>
  <c r="G9801" i="25"/>
  <c r="G9566" i="25"/>
  <c r="G9454" i="25"/>
  <c r="G9342" i="25"/>
  <c r="G9217" i="25"/>
  <c r="G9068" i="25"/>
  <c r="G8897" i="25"/>
  <c r="G8727" i="25"/>
  <c r="G8557" i="25"/>
  <c r="G8361" i="25"/>
  <c r="G8128" i="25"/>
  <c r="G7896" i="25"/>
  <c r="G7661" i="25"/>
  <c r="G7371" i="25"/>
  <c r="G7025" i="25"/>
  <c r="G6616" i="25"/>
  <c r="G6180" i="25"/>
  <c r="G5712" i="25"/>
  <c r="G5180" i="25"/>
  <c r="G4455" i="25"/>
  <c r="G3359" i="25"/>
  <c r="G2084" i="25"/>
  <c r="G9" i="25"/>
  <c r="G33" i="25"/>
  <c r="G45" i="25"/>
  <c r="G57" i="25"/>
  <c r="G69" i="25"/>
  <c r="G81" i="25"/>
  <c r="G93" i="25"/>
  <c r="G105" i="25"/>
  <c r="G117" i="25"/>
  <c r="G129" i="25"/>
  <c r="G141" i="25"/>
  <c r="G153" i="25"/>
  <c r="G165" i="25"/>
  <c r="G177" i="25"/>
  <c r="G189" i="25"/>
  <c r="G201" i="25"/>
  <c r="G213" i="25"/>
  <c r="G225" i="25"/>
  <c r="G237" i="25"/>
  <c r="G249" i="25"/>
  <c r="G261" i="25"/>
  <c r="G273" i="25"/>
  <c r="G285" i="25"/>
  <c r="G297" i="25"/>
  <c r="G309" i="25"/>
  <c r="G321" i="25"/>
  <c r="G333" i="25"/>
  <c r="G345" i="25"/>
  <c r="G357" i="25"/>
  <c r="G369" i="25"/>
  <c r="G381" i="25"/>
  <c r="G393" i="25"/>
  <c r="G405" i="25"/>
  <c r="G417" i="25"/>
  <c r="G429" i="25"/>
  <c r="G441" i="25"/>
  <c r="G453" i="25"/>
  <c r="G465" i="25"/>
  <c r="G477" i="25"/>
  <c r="G489" i="25"/>
  <c r="G501" i="25"/>
  <c r="G513" i="25"/>
  <c r="G525" i="25"/>
  <c r="G537" i="25"/>
  <c r="G549" i="25"/>
  <c r="G561" i="25"/>
  <c r="G573" i="25"/>
  <c r="G585" i="25"/>
  <c r="G597" i="25"/>
  <c r="G609" i="25"/>
  <c r="G621" i="25"/>
  <c r="G633" i="25"/>
  <c r="G645" i="25"/>
  <c r="G657" i="25"/>
  <c r="G669" i="25"/>
  <c r="G681" i="25"/>
  <c r="G693" i="25"/>
  <c r="G705" i="25"/>
  <c r="G717" i="25"/>
  <c r="G729" i="25"/>
  <c r="G741" i="25"/>
  <c r="G753" i="25"/>
  <c r="G765" i="25"/>
  <c r="G777" i="25"/>
  <c r="G789" i="25"/>
  <c r="G801" i="25"/>
  <c r="G813" i="25"/>
  <c r="G825" i="25"/>
  <c r="G837" i="25"/>
  <c r="G849" i="25"/>
  <c r="G861" i="25"/>
  <c r="G873" i="25"/>
  <c r="G885" i="25"/>
  <c r="G897" i="25"/>
  <c r="G909" i="25"/>
  <c r="G921" i="25"/>
  <c r="G933" i="25"/>
  <c r="G945" i="25"/>
  <c r="G957" i="25"/>
  <c r="G969" i="25"/>
  <c r="G981" i="25"/>
  <c r="G993" i="25"/>
  <c r="G1005" i="25"/>
  <c r="G1017" i="25"/>
  <c r="G5" i="25"/>
  <c r="G18" i="25"/>
  <c r="G31" i="25"/>
  <c r="G44" i="25"/>
  <c r="G58" i="25"/>
  <c r="G71" i="25"/>
  <c r="G84" i="25"/>
  <c r="G97" i="25"/>
  <c r="G110" i="25"/>
  <c r="G123" i="25"/>
  <c r="G136" i="25"/>
  <c r="G149" i="25"/>
  <c r="G162" i="25"/>
  <c r="G175" i="25"/>
  <c r="G188" i="25"/>
  <c r="G202" i="25"/>
  <c r="G215" i="25"/>
  <c r="G228" i="25"/>
  <c r="G241" i="25"/>
  <c r="G254" i="25"/>
  <c r="G267" i="25"/>
  <c r="G280" i="25"/>
  <c r="G293" i="25"/>
  <c r="G306" i="25"/>
  <c r="G319" i="25"/>
  <c r="G332" i="25"/>
  <c r="G346" i="25"/>
  <c r="G359" i="25"/>
  <c r="G372" i="25"/>
  <c r="G385" i="25"/>
  <c r="G398" i="25"/>
  <c r="G411" i="25"/>
  <c r="G424" i="25"/>
  <c r="G437" i="25"/>
  <c r="G450" i="25"/>
  <c r="G463" i="25"/>
  <c r="G476" i="25"/>
  <c r="G490" i="25"/>
  <c r="G503" i="25"/>
  <c r="G516" i="25"/>
  <c r="G529" i="25"/>
  <c r="G542" i="25"/>
  <c r="G555" i="25"/>
  <c r="G568" i="25"/>
  <c r="G581" i="25"/>
  <c r="G594" i="25"/>
  <c r="G607" i="25"/>
  <c r="G620" i="25"/>
  <c r="G634" i="25"/>
  <c r="G647" i="25"/>
  <c r="G660" i="25"/>
  <c r="G673" i="25"/>
  <c r="G686" i="25"/>
  <c r="G699" i="25"/>
  <c r="G712" i="25"/>
  <c r="G725" i="25"/>
  <c r="G738" i="25"/>
  <c r="G751" i="25"/>
  <c r="G764" i="25"/>
  <c r="G778" i="25"/>
  <c r="G791" i="25"/>
  <c r="G804" i="25"/>
  <c r="G817" i="25"/>
  <c r="G830" i="25"/>
  <c r="G843" i="25"/>
  <c r="G856" i="25"/>
  <c r="G869" i="25"/>
  <c r="G882" i="25"/>
  <c r="G895" i="25"/>
  <c r="G908" i="25"/>
  <c r="G922" i="25"/>
  <c r="G935" i="25"/>
  <c r="G948" i="25"/>
  <c r="G961" i="25"/>
  <c r="G974" i="25"/>
  <c r="G987" i="25"/>
  <c r="G1000" i="25"/>
  <c r="G1013" i="25"/>
  <c r="G1026" i="25"/>
  <c r="G1038" i="25"/>
  <c r="G1050" i="25"/>
  <c r="G1062" i="25"/>
  <c r="G1074" i="25"/>
  <c r="G1086" i="25"/>
  <c r="G1098" i="25"/>
  <c r="G6" i="25"/>
  <c r="G20" i="25"/>
  <c r="G35" i="25"/>
  <c r="G49" i="25"/>
  <c r="G63" i="25"/>
  <c r="G77" i="25"/>
  <c r="G91" i="25"/>
  <c r="G106" i="25"/>
  <c r="G120" i="25"/>
  <c r="G134" i="25"/>
  <c r="G148" i="25"/>
  <c r="G163" i="25"/>
  <c r="G178" i="25"/>
  <c r="G192" i="25"/>
  <c r="G206" i="25"/>
  <c r="G220" i="25"/>
  <c r="G234" i="25"/>
  <c r="G248" i="25"/>
  <c r="G263" i="25"/>
  <c r="G277" i="25"/>
  <c r="G291" i="25"/>
  <c r="G305" i="25"/>
  <c r="G320" i="25"/>
  <c r="G335" i="25"/>
  <c r="G349" i="25"/>
  <c r="G363" i="25"/>
  <c r="G377" i="25"/>
  <c r="G391" i="25"/>
  <c r="G406" i="25"/>
  <c r="G420" i="25"/>
  <c r="G434" i="25"/>
  <c r="G448" i="25"/>
  <c r="G462" i="25"/>
  <c r="G478" i="25"/>
  <c r="G492" i="25"/>
  <c r="G506" i="25"/>
  <c r="G520" i="25"/>
  <c r="G534" i="25"/>
  <c r="G548" i="25"/>
  <c r="G563" i="25"/>
  <c r="G577" i="25"/>
  <c r="G591" i="25"/>
  <c r="G605" i="25"/>
  <c r="G619" i="25"/>
  <c r="G635" i="25"/>
  <c r="G649" i="25"/>
  <c r="G663" i="25"/>
  <c r="G677" i="25"/>
  <c r="G691" i="25"/>
  <c r="G706" i="25"/>
  <c r="G720" i="25"/>
  <c r="G734" i="25"/>
  <c r="G748" i="25"/>
  <c r="G762" i="25"/>
  <c r="G776" i="25"/>
  <c r="G792" i="25"/>
  <c r="G806" i="25"/>
  <c r="G820" i="25"/>
  <c r="G834" i="25"/>
  <c r="G848" i="25"/>
  <c r="G863" i="25"/>
  <c r="G877" i="25"/>
  <c r="G891" i="25"/>
  <c r="G905" i="25"/>
  <c r="G919" i="25"/>
  <c r="G934" i="25"/>
  <c r="G949" i="25"/>
  <c r="G963" i="25"/>
  <c r="G977" i="25"/>
  <c r="G991" i="25"/>
  <c r="G1006" i="25"/>
  <c r="G1020" i="25"/>
  <c r="G1033" i="25"/>
  <c r="G1046" i="25"/>
  <c r="G1059" i="25"/>
  <c r="G1072" i="25"/>
  <c r="G1085" i="25"/>
  <c r="G1099" i="25"/>
  <c r="G1111" i="25"/>
  <c r="G1123" i="25"/>
  <c r="G1135" i="25"/>
  <c r="G1147" i="25"/>
  <c r="G1159" i="25"/>
  <c r="G1171" i="25"/>
  <c r="G1183" i="25"/>
  <c r="G1195" i="25"/>
  <c r="G1207" i="25"/>
  <c r="G1219" i="25"/>
  <c r="G1231" i="25"/>
  <c r="G1243" i="25"/>
  <c r="G1255" i="25"/>
  <c r="G1267" i="25"/>
  <c r="G1279" i="25"/>
  <c r="G1291" i="25"/>
  <c r="G1303" i="25"/>
  <c r="G1315" i="25"/>
  <c r="G1327" i="25"/>
  <c r="G1339" i="25"/>
  <c r="G1351" i="25"/>
  <c r="G1363" i="25"/>
  <c r="G1375" i="25"/>
  <c r="G1387" i="25"/>
  <c r="G1399" i="25"/>
  <c r="G1411" i="25"/>
  <c r="G1423" i="25"/>
  <c r="G1435" i="25"/>
  <c r="G1447" i="25"/>
  <c r="G1459" i="25"/>
  <c r="G1471" i="25"/>
  <c r="G1483" i="25"/>
  <c r="G1495" i="25"/>
  <c r="G1507" i="25"/>
  <c r="G1519" i="25"/>
  <c r="G1531" i="25"/>
  <c r="G1543" i="25"/>
  <c r="G1555" i="25"/>
  <c r="G1567" i="25"/>
  <c r="G1579" i="25"/>
  <c r="G1591" i="25"/>
  <c r="G1603" i="25"/>
  <c r="G1615" i="25"/>
  <c r="G1627" i="25"/>
  <c r="G1639" i="25"/>
  <c r="G1651" i="25"/>
  <c r="G1663" i="25"/>
  <c r="G1675" i="25"/>
  <c r="G1687" i="25"/>
  <c r="G1699" i="25"/>
  <c r="G1711" i="25"/>
  <c r="G1723" i="25"/>
  <c r="G1735" i="25"/>
  <c r="G1747" i="25"/>
  <c r="G1759" i="25"/>
  <c r="G1771" i="25"/>
  <c r="G1783" i="25"/>
  <c r="G1795" i="25"/>
  <c r="G1807" i="25"/>
  <c r="G1819" i="25"/>
  <c r="G1831" i="25"/>
  <c r="G1843" i="25"/>
  <c r="G1855" i="25"/>
  <c r="G1867" i="25"/>
  <c r="G1879" i="25"/>
  <c r="G1891" i="25"/>
  <c r="G1903" i="25"/>
  <c r="G1915" i="25"/>
  <c r="G1927" i="25"/>
  <c r="G1939" i="25"/>
  <c r="G1951" i="25"/>
  <c r="G1963" i="25"/>
  <c r="G1975" i="25"/>
  <c r="G1987" i="25"/>
  <c r="G1999" i="25"/>
  <c r="G2011" i="25"/>
  <c r="G2023" i="25"/>
  <c r="G2035" i="25"/>
  <c r="G2047" i="25"/>
  <c r="G2059" i="25"/>
  <c r="G2071" i="25"/>
  <c r="G2083" i="25"/>
  <c r="G2095" i="25"/>
  <c r="G2107" i="25"/>
  <c r="G2119" i="25"/>
  <c r="G2131" i="25"/>
  <c r="G2143" i="25"/>
  <c r="G2155" i="25"/>
  <c r="G2167" i="25"/>
  <c r="G2179" i="25"/>
  <c r="G2191" i="25"/>
  <c r="G2203" i="25"/>
  <c r="G7" i="25"/>
  <c r="G23" i="25"/>
  <c r="G38" i="25"/>
  <c r="G53" i="25"/>
  <c r="G68" i="25"/>
  <c r="G85" i="25"/>
  <c r="G100" i="25"/>
  <c r="G115" i="25"/>
  <c r="G131" i="25"/>
  <c r="G146" i="25"/>
  <c r="G161" i="25"/>
  <c r="G179" i="25"/>
  <c r="G194" i="25"/>
  <c r="G209" i="25"/>
  <c r="G224" i="25"/>
  <c r="G240" i="25"/>
  <c r="G256" i="25"/>
  <c r="G271" i="25"/>
  <c r="G287" i="25"/>
  <c r="G302" i="25"/>
  <c r="G317" i="25"/>
  <c r="G334" i="25"/>
  <c r="G350" i="25"/>
  <c r="G365" i="25"/>
  <c r="G380" i="25"/>
  <c r="G396" i="25"/>
  <c r="G412" i="25"/>
  <c r="G427" i="25"/>
  <c r="G443" i="25"/>
  <c r="G458" i="25"/>
  <c r="G473" i="25"/>
  <c r="G488" i="25"/>
  <c r="G505" i="25"/>
  <c r="G521" i="25"/>
  <c r="G536" i="25"/>
  <c r="G552" i="25"/>
  <c r="G567" i="25"/>
  <c r="G583" i="25"/>
  <c r="G599" i="25"/>
  <c r="G614" i="25"/>
  <c r="G629" i="25"/>
  <c r="G644" i="25"/>
  <c r="G661" i="25"/>
  <c r="G676" i="25"/>
  <c r="G692" i="25"/>
  <c r="G708" i="25"/>
  <c r="G723" i="25"/>
  <c r="G739" i="25"/>
  <c r="G755" i="25"/>
  <c r="G770" i="25"/>
  <c r="G785" i="25"/>
  <c r="G800" i="25"/>
  <c r="G816" i="25"/>
  <c r="G832" i="25"/>
  <c r="G847" i="25"/>
  <c r="G864" i="25"/>
  <c r="G879" i="25"/>
  <c r="G894" i="25"/>
  <c r="G911" i="25"/>
  <c r="G926" i="25"/>
  <c r="G941" i="25"/>
  <c r="G956" i="25"/>
  <c r="G972" i="25"/>
  <c r="G988" i="25"/>
  <c r="G1003" i="25"/>
  <c r="G1019" i="25"/>
  <c r="G1034" i="25"/>
  <c r="G1048" i="25"/>
  <c r="G1063" i="25"/>
  <c r="G1077" i="25"/>
  <c r="G1091" i="25"/>
  <c r="G1105" i="25"/>
  <c r="G1118" i="25"/>
  <c r="G1131" i="25"/>
  <c r="G1144" i="25"/>
  <c r="G1157" i="25"/>
  <c r="G1170" i="25"/>
  <c r="G1184" i="25"/>
  <c r="G1197" i="25"/>
  <c r="G1210" i="25"/>
  <c r="G1223" i="25"/>
  <c r="G1236" i="25"/>
  <c r="G1249" i="25"/>
  <c r="G1262" i="25"/>
  <c r="G1275" i="25"/>
  <c r="G1288" i="25"/>
  <c r="G1301" i="25"/>
  <c r="G1314" i="25"/>
  <c r="G1328" i="25"/>
  <c r="G1341" i="25"/>
  <c r="G1354" i="25"/>
  <c r="G1367" i="25"/>
  <c r="G1380" i="25"/>
  <c r="G1393" i="25"/>
  <c r="G1406" i="25"/>
  <c r="G1419" i="25"/>
  <c r="G1432" i="25"/>
  <c r="G1445" i="25"/>
  <c r="G1458" i="25"/>
  <c r="G1472" i="25"/>
  <c r="G1485" i="25"/>
  <c r="G1498" i="25"/>
  <c r="G1511" i="25"/>
  <c r="G1524" i="25"/>
  <c r="G1537" i="25"/>
  <c r="G1550" i="25"/>
  <c r="G1563" i="25"/>
  <c r="G1576" i="25"/>
  <c r="G1589" i="25"/>
  <c r="G1602" i="25"/>
  <c r="G1616" i="25"/>
  <c r="G1629" i="25"/>
  <c r="G1642" i="25"/>
  <c r="G1655" i="25"/>
  <c r="G1668" i="25"/>
  <c r="G1681" i="25"/>
  <c r="G1694" i="25"/>
  <c r="G1707" i="25"/>
  <c r="G1720" i="25"/>
  <c r="G1733" i="25"/>
  <c r="G1746" i="25"/>
  <c r="G1760" i="25"/>
  <c r="G1773" i="25"/>
  <c r="G1786" i="25"/>
  <c r="G1799" i="25"/>
  <c r="G1812" i="25"/>
  <c r="G1825" i="25"/>
  <c r="G1838" i="25"/>
  <c r="G1851" i="25"/>
  <c r="G1864" i="25"/>
  <c r="G1877" i="25"/>
  <c r="G1890" i="25"/>
  <c r="G1904" i="25"/>
  <c r="G1917" i="25"/>
  <c r="G1930" i="25"/>
  <c r="G1943" i="25"/>
  <c r="G1956" i="25"/>
  <c r="G1969" i="25"/>
  <c r="G1982" i="25"/>
  <c r="G1995" i="25"/>
  <c r="G2008" i="25"/>
  <c r="G2021" i="25"/>
  <c r="G2034" i="25"/>
  <c r="G2048" i="25"/>
  <c r="G2061" i="25"/>
  <c r="G2074" i="25"/>
  <c r="G2087" i="25"/>
  <c r="G2100" i="25"/>
  <c r="G2113" i="25"/>
  <c r="G2126" i="25"/>
  <c r="G2139" i="25"/>
  <c r="G2152" i="25"/>
  <c r="G2165" i="25"/>
  <c r="G2178" i="25"/>
  <c r="G2192" i="25"/>
  <c r="G2205" i="25"/>
  <c r="G2217" i="25"/>
  <c r="G2229" i="25"/>
  <c r="G2241" i="25"/>
  <c r="G2253" i="25"/>
  <c r="G2265" i="25"/>
  <c r="G2277" i="25"/>
  <c r="G2289" i="25"/>
  <c r="G2301" i="25"/>
  <c r="G2313" i="25"/>
  <c r="G2325" i="25"/>
  <c r="G2337" i="25"/>
  <c r="G2349" i="25"/>
  <c r="G2361" i="25"/>
  <c r="G2373" i="25"/>
  <c r="G2385" i="25"/>
  <c r="G2397" i="25"/>
  <c r="G2409" i="25"/>
  <c r="G2421" i="25"/>
  <c r="G2433" i="25"/>
  <c r="G2445" i="25"/>
  <c r="G2457" i="25"/>
  <c r="G2469" i="25"/>
  <c r="G2481" i="25"/>
  <c r="G2493" i="25"/>
  <c r="G2505" i="25"/>
  <c r="G2517" i="25"/>
  <c r="G2529" i="25"/>
  <c r="G2541" i="25"/>
  <c r="G2553" i="25"/>
  <c r="G2565" i="25"/>
  <c r="G2577" i="25"/>
  <c r="G2589" i="25"/>
  <c r="G2601" i="25"/>
  <c r="G2613" i="25"/>
  <c r="G2625" i="25"/>
  <c r="G2637" i="25"/>
  <c r="G2649" i="25"/>
  <c r="G2661" i="25"/>
  <c r="G2673" i="25"/>
  <c r="G2685" i="25"/>
  <c r="G2697" i="25"/>
  <c r="G2709" i="25"/>
  <c r="G2721" i="25"/>
  <c r="G2733" i="25"/>
  <c r="G2745" i="25"/>
  <c r="G2757" i="25"/>
  <c r="G2769" i="25"/>
  <c r="G2781" i="25"/>
  <c r="G2793" i="25"/>
  <c r="G2805" i="25"/>
  <c r="G2817" i="25"/>
  <c r="G2829" i="25"/>
  <c r="G2841" i="25"/>
  <c r="G2853" i="25"/>
  <c r="G2865" i="25"/>
  <c r="G2877" i="25"/>
  <c r="G2889" i="25"/>
  <c r="G2901" i="25"/>
  <c r="G2913" i="25"/>
  <c r="G2925" i="25"/>
  <c r="G2937" i="25"/>
  <c r="G2949" i="25"/>
  <c r="G2961" i="25"/>
  <c r="G2973" i="25"/>
  <c r="G2985" i="25"/>
  <c r="G2997" i="25"/>
  <c r="G3009" i="25"/>
  <c r="G3021" i="25"/>
  <c r="G3033" i="25"/>
  <c r="G3045" i="25"/>
  <c r="G3057" i="25"/>
  <c r="G3069" i="25"/>
  <c r="G3081" i="25"/>
  <c r="G3093" i="25"/>
  <c r="G3105" i="25"/>
  <c r="G3117" i="25"/>
  <c r="G3129" i="25"/>
  <c r="G3141" i="25"/>
  <c r="G3153" i="25"/>
  <c r="G3165" i="25"/>
  <c r="G3177" i="25"/>
  <c r="G3189" i="25"/>
  <c r="G3201" i="25"/>
  <c r="G3213" i="25"/>
  <c r="G3225" i="25"/>
  <c r="G3237" i="25"/>
  <c r="G3249" i="25"/>
  <c r="G3261" i="25"/>
  <c r="G3273" i="25"/>
  <c r="G3285" i="25"/>
  <c r="G3297" i="25"/>
  <c r="G3309" i="25"/>
  <c r="G3321" i="25"/>
  <c r="G3333" i="25"/>
  <c r="G3345" i="25"/>
  <c r="G3357" i="25"/>
  <c r="G3369" i="25"/>
  <c r="G3381" i="25"/>
  <c r="G3393" i="25"/>
  <c r="G3405" i="25"/>
  <c r="G3417" i="25"/>
  <c r="G3429" i="25"/>
  <c r="G3441" i="25"/>
  <c r="G3453" i="25"/>
  <c r="G3465" i="25"/>
  <c r="G3477" i="25"/>
  <c r="G3489" i="25"/>
  <c r="G3501" i="25"/>
  <c r="G3513" i="25"/>
  <c r="G3525" i="25"/>
  <c r="G3537" i="25"/>
  <c r="G3549" i="25"/>
  <c r="G3561" i="25"/>
  <c r="G3573" i="25"/>
  <c r="G3585" i="25"/>
  <c r="G3597" i="25"/>
  <c r="G3609" i="25"/>
  <c r="G3621" i="25"/>
  <c r="G3633" i="25"/>
  <c r="G3645" i="25"/>
  <c r="G3657" i="25"/>
  <c r="G3669" i="25"/>
  <c r="G3681" i="25"/>
  <c r="G3693" i="25"/>
  <c r="G3705" i="25"/>
  <c r="G3717" i="25"/>
  <c r="G3729" i="25"/>
  <c r="G3741" i="25"/>
  <c r="G3753" i="25"/>
  <c r="G3765" i="25"/>
  <c r="G3777" i="25"/>
  <c r="G3789" i="25"/>
  <c r="G3801" i="25"/>
  <c r="G3813" i="25"/>
  <c r="G3825" i="25"/>
  <c r="G3837" i="25"/>
  <c r="G3849" i="25"/>
  <c r="G3861" i="25"/>
  <c r="G3873" i="25"/>
  <c r="G3885" i="25"/>
  <c r="G3897" i="25"/>
  <c r="G3909" i="25"/>
  <c r="G3921" i="25"/>
  <c r="G3933" i="25"/>
  <c r="G3945" i="25"/>
  <c r="G3957" i="25"/>
  <c r="G3969" i="25"/>
  <c r="G3981" i="25"/>
  <c r="G3993" i="25"/>
  <c r="G4005" i="25"/>
  <c r="G4017" i="25"/>
  <c r="G4029" i="25"/>
  <c r="G4041" i="25"/>
  <c r="G4053" i="25"/>
  <c r="G4065" i="25"/>
  <c r="G4077" i="25"/>
  <c r="G4089" i="25"/>
  <c r="G4101" i="25"/>
  <c r="G4113" i="25"/>
  <c r="G4125" i="25"/>
  <c r="G4137" i="25"/>
  <c r="G4149" i="25"/>
  <c r="G4161" i="25"/>
  <c r="G4173" i="25"/>
  <c r="G4185" i="25"/>
  <c r="G4197" i="25"/>
  <c r="G4209" i="25"/>
  <c r="G4221" i="25"/>
  <c r="G4233" i="25"/>
  <c r="G4245" i="25"/>
  <c r="G4257" i="25"/>
  <c r="G4269" i="25"/>
  <c r="G4281" i="25"/>
  <c r="G4293" i="25"/>
  <c r="G4305" i="25"/>
  <c r="G4317" i="25"/>
  <c r="G4329" i="25"/>
  <c r="G4341" i="25"/>
  <c r="G4353" i="25"/>
  <c r="G4365" i="25"/>
  <c r="G4377" i="25"/>
  <c r="G4389" i="25"/>
  <c r="G4401" i="25"/>
  <c r="G4413" i="25"/>
  <c r="G4425" i="25"/>
  <c r="G8" i="25"/>
  <c r="G25" i="25"/>
  <c r="G41" i="25"/>
  <c r="G59" i="25"/>
  <c r="G75" i="25"/>
  <c r="G92" i="25"/>
  <c r="G109" i="25"/>
  <c r="G126" i="25"/>
  <c r="G143" i="25"/>
  <c r="G159" i="25"/>
  <c r="G176" i="25"/>
  <c r="G195" i="25"/>
  <c r="G211" i="25"/>
  <c r="G229" i="25"/>
  <c r="G245" i="25"/>
  <c r="G262" i="25"/>
  <c r="G279" i="25"/>
  <c r="G296" i="25"/>
  <c r="G313" i="25"/>
  <c r="G329" i="25"/>
  <c r="G347" i="25"/>
  <c r="G364" i="25"/>
  <c r="G382" i="25"/>
  <c r="G399" i="25"/>
  <c r="G415" i="25"/>
  <c r="G432" i="25"/>
  <c r="G449" i="25"/>
  <c r="G467" i="25"/>
  <c r="G483" i="25"/>
  <c r="G499" i="25"/>
  <c r="G517" i="25"/>
  <c r="G533" i="25"/>
  <c r="G551" i="25"/>
  <c r="G569" i="25"/>
  <c r="G586" i="25"/>
  <c r="G602" i="25"/>
  <c r="G618" i="25"/>
  <c r="G637" i="25"/>
  <c r="G653" i="25"/>
  <c r="G670" i="25"/>
  <c r="G687" i="25"/>
  <c r="G703" i="25"/>
  <c r="G721" i="25"/>
  <c r="G737" i="25"/>
  <c r="G756" i="25"/>
  <c r="G772" i="25"/>
  <c r="G788" i="25"/>
  <c r="G807" i="25"/>
  <c r="G823" i="25"/>
  <c r="G840" i="25"/>
  <c r="G857" i="25"/>
  <c r="G874" i="25"/>
  <c r="G890" i="25"/>
  <c r="G907" i="25"/>
  <c r="G925" i="25"/>
  <c r="G942" i="25"/>
  <c r="G959" i="25"/>
  <c r="G976" i="25"/>
  <c r="G994" i="25"/>
  <c r="G1010" i="25"/>
  <c r="G1027" i="25"/>
  <c r="G1042" i="25"/>
  <c r="G1057" i="25"/>
  <c r="G1073" i="25"/>
  <c r="G1089" i="25"/>
  <c r="G1104" i="25"/>
  <c r="G1119" i="25"/>
  <c r="G1133" i="25"/>
  <c r="G1148" i="25"/>
  <c r="G1162" i="25"/>
  <c r="G1176" i="25"/>
  <c r="G1190" i="25"/>
  <c r="G1204" i="25"/>
  <c r="G1218" i="25"/>
  <c r="G1233" i="25"/>
  <c r="G1247" i="25"/>
  <c r="G1261" i="25"/>
  <c r="G1276" i="25"/>
  <c r="G1290" i="25"/>
  <c r="G1305" i="25"/>
  <c r="G1319" i="25"/>
  <c r="G1333" i="25"/>
  <c r="G1347" i="25"/>
  <c r="G1361" i="25"/>
  <c r="G1376" i="25"/>
  <c r="G1390" i="25"/>
  <c r="G1404" i="25"/>
  <c r="G1418" i="25"/>
  <c r="G1433" i="25"/>
  <c r="G1448" i="25"/>
  <c r="G1462" i="25"/>
  <c r="G1476" i="25"/>
  <c r="G1490" i="25"/>
  <c r="G1504" i="25"/>
  <c r="G1518" i="25"/>
  <c r="G1533" i="25"/>
  <c r="G1547" i="25"/>
  <c r="G1561" i="25"/>
  <c r="G1575" i="25"/>
  <c r="G1590" i="25"/>
  <c r="G1605" i="25"/>
  <c r="G1619" i="25"/>
  <c r="G1633" i="25"/>
  <c r="G1647" i="25"/>
  <c r="G1661" i="25"/>
  <c r="G1676" i="25"/>
  <c r="G1690" i="25"/>
  <c r="G1704" i="25"/>
  <c r="G1718" i="25"/>
  <c r="G1732" i="25"/>
  <c r="G1748" i="25"/>
  <c r="G1762" i="25"/>
  <c r="G1776" i="25"/>
  <c r="G1790" i="25"/>
  <c r="G1804" i="25"/>
  <c r="G1818" i="25"/>
  <c r="G1833" i="25"/>
  <c r="G1847" i="25"/>
  <c r="G1861" i="25"/>
  <c r="G1875" i="25"/>
  <c r="G1889" i="25"/>
  <c r="G1905" i="25"/>
  <c r="G1919" i="25"/>
  <c r="G1933" i="25"/>
  <c r="G1947" i="25"/>
  <c r="G1961" i="25"/>
  <c r="G1976" i="25"/>
  <c r="G1990" i="25"/>
  <c r="G2004" i="25"/>
  <c r="G2018" i="25"/>
  <c r="G2032" i="25"/>
  <c r="G2046" i="25"/>
  <c r="G2062" i="25"/>
  <c r="G2076" i="25"/>
  <c r="G2090" i="25"/>
  <c r="G2104" i="25"/>
  <c r="G2118" i="25"/>
  <c r="G2133" i="25"/>
  <c r="G2147" i="25"/>
  <c r="G2161" i="25"/>
  <c r="G2175" i="25"/>
  <c r="G2189" i="25"/>
  <c r="G2204" i="25"/>
  <c r="G2218" i="25"/>
  <c r="G2231" i="25"/>
  <c r="G2244" i="25"/>
  <c r="G2257" i="25"/>
  <c r="G2270" i="25"/>
  <c r="G2283" i="25"/>
  <c r="G2296" i="25"/>
  <c r="G2309" i="25"/>
  <c r="G2322" i="25"/>
  <c r="G2335" i="25"/>
  <c r="G2348" i="25"/>
  <c r="G2362" i="25"/>
  <c r="G2375" i="25"/>
  <c r="G2388" i="25"/>
  <c r="G2401" i="25"/>
  <c r="G2414" i="25"/>
  <c r="G2427" i="25"/>
  <c r="G2440" i="25"/>
  <c r="G2453" i="25"/>
  <c r="G2466" i="25"/>
  <c r="G2479" i="25"/>
  <c r="G2492" i="25"/>
  <c r="G2506" i="25"/>
  <c r="G2519" i="25"/>
  <c r="G2532" i="25"/>
  <c r="G2545" i="25"/>
  <c r="G2558" i="25"/>
  <c r="G2571" i="25"/>
  <c r="G2584" i="25"/>
  <c r="G2597" i="25"/>
  <c r="G2610" i="25"/>
  <c r="G2623" i="25"/>
  <c r="G2636" i="25"/>
  <c r="G2650" i="25"/>
  <c r="G2663" i="25"/>
  <c r="G2676" i="25"/>
  <c r="G2689" i="25"/>
  <c r="G2702" i="25"/>
  <c r="G2715" i="25"/>
  <c r="G2728" i="25"/>
  <c r="G2741" i="25"/>
  <c r="G2754" i="25"/>
  <c r="G2767" i="25"/>
  <c r="G2780" i="25"/>
  <c r="G2794" i="25"/>
  <c r="G2807" i="25"/>
  <c r="G2820" i="25"/>
  <c r="G2833" i="25"/>
  <c r="G2846" i="25"/>
  <c r="G2859" i="25"/>
  <c r="G2872" i="25"/>
  <c r="G2885" i="25"/>
  <c r="G2898" i="25"/>
  <c r="G2911" i="25"/>
  <c r="G2924" i="25"/>
  <c r="G2938" i="25"/>
  <c r="G2951" i="25"/>
  <c r="G2964" i="25"/>
  <c r="G2977" i="25"/>
  <c r="G2990" i="25"/>
  <c r="G3003" i="25"/>
  <c r="G3016" i="25"/>
  <c r="G3029" i="25"/>
  <c r="G3042" i="25"/>
  <c r="G3055" i="25"/>
  <c r="G3068" i="25"/>
  <c r="G3082" i="25"/>
  <c r="G3095" i="25"/>
  <c r="G3108" i="25"/>
  <c r="G3121" i="25"/>
  <c r="G3134" i="25"/>
  <c r="G3147" i="25"/>
  <c r="G3160" i="25"/>
  <c r="G3173" i="25"/>
  <c r="G3186" i="25"/>
  <c r="G3199" i="25"/>
  <c r="G3212" i="25"/>
  <c r="G3226" i="25"/>
  <c r="G3239" i="25"/>
  <c r="G3252" i="25"/>
  <c r="G3265" i="25"/>
  <c r="G3278" i="25"/>
  <c r="G3291" i="25"/>
  <c r="G3304" i="25"/>
  <c r="G3317" i="25"/>
  <c r="G3330" i="25"/>
  <c r="G3343" i="25"/>
  <c r="G3356" i="25"/>
  <c r="G3370" i="25"/>
  <c r="G3383" i="25"/>
  <c r="G3396" i="25"/>
  <c r="G3409" i="25"/>
  <c r="G3422" i="25"/>
  <c r="G3435" i="25"/>
  <c r="G3448" i="25"/>
  <c r="G3461" i="25"/>
  <c r="G3474" i="25"/>
  <c r="G3487" i="25"/>
  <c r="G3500" i="25"/>
  <c r="G3514" i="25"/>
  <c r="G3527" i="25"/>
  <c r="G3540" i="25"/>
  <c r="G3553" i="25"/>
  <c r="G3566" i="25"/>
  <c r="G3579" i="25"/>
  <c r="G3592" i="25"/>
  <c r="G3605" i="25"/>
  <c r="G3618" i="25"/>
  <c r="G3631" i="25"/>
  <c r="G3644" i="25"/>
  <c r="G3658" i="25"/>
  <c r="G3671" i="25"/>
  <c r="G3684" i="25"/>
  <c r="G3697" i="25"/>
  <c r="G3710" i="25"/>
  <c r="G3723" i="25"/>
  <c r="G3736" i="25"/>
  <c r="G3749" i="25"/>
  <c r="G3762" i="25"/>
  <c r="G3775" i="25"/>
  <c r="G3788" i="25"/>
  <c r="G3802" i="25"/>
  <c r="G3815" i="25"/>
  <c r="G3828" i="25"/>
  <c r="G3841" i="25"/>
  <c r="G3854" i="25"/>
  <c r="G3867" i="25"/>
  <c r="G3880" i="25"/>
  <c r="G3893" i="25"/>
  <c r="G3906" i="25"/>
  <c r="G3919" i="25"/>
  <c r="G3932" i="25"/>
  <c r="G3946" i="25"/>
  <c r="G3959" i="25"/>
  <c r="G3972" i="25"/>
  <c r="G3985" i="25"/>
  <c r="G3998" i="25"/>
  <c r="G4011" i="25"/>
  <c r="G4024" i="25"/>
  <c r="G4037" i="25"/>
  <c r="G4050" i="25"/>
  <c r="G4063" i="25"/>
  <c r="G4076" i="25"/>
  <c r="G4090" i="25"/>
  <c r="G4103" i="25"/>
  <c r="G4116" i="25"/>
  <c r="G4129" i="25"/>
  <c r="G4142" i="25"/>
  <c r="G4155" i="25"/>
  <c r="G4168" i="25"/>
  <c r="G4181" i="25"/>
  <c r="G4194" i="25"/>
  <c r="G4207" i="25"/>
  <c r="G4220" i="25"/>
  <c r="G4234" i="25"/>
  <c r="G4247" i="25"/>
  <c r="G4260" i="25"/>
  <c r="G4273" i="25"/>
  <c r="G4286" i="25"/>
  <c r="G4299" i="25"/>
  <c r="G4312" i="25"/>
  <c r="G4325" i="25"/>
  <c r="G4338" i="25"/>
  <c r="G4351" i="25"/>
  <c r="G4364" i="25"/>
  <c r="G4378" i="25"/>
  <c r="G4391" i="25"/>
  <c r="G4404" i="25"/>
  <c r="G4417" i="25"/>
  <c r="G4430" i="25"/>
  <c r="G4442" i="25"/>
  <c r="G4454" i="25"/>
  <c r="G4466" i="25"/>
  <c r="G4478" i="25"/>
  <c r="G4490" i="25"/>
  <c r="G4502" i="25"/>
  <c r="G4514" i="25"/>
  <c r="G4526" i="25"/>
  <c r="G4538" i="25"/>
  <c r="G4550" i="25"/>
  <c r="G4562" i="25"/>
  <c r="G4574" i="25"/>
  <c r="G4586" i="25"/>
  <c r="G4598" i="25"/>
  <c r="G4610" i="25"/>
  <c r="G4622" i="25"/>
  <c r="G4634" i="25"/>
  <c r="G4646" i="25"/>
  <c r="G4658" i="25"/>
  <c r="G4670" i="25"/>
  <c r="G4682" i="25"/>
  <c r="G4694" i="25"/>
  <c r="G4706" i="25"/>
  <c r="G4718" i="25"/>
  <c r="G4730" i="25"/>
  <c r="G4742" i="25"/>
  <c r="G4754" i="25"/>
  <c r="G4766" i="25"/>
  <c r="G4778" i="25"/>
  <c r="G4790" i="25"/>
  <c r="G4802" i="25"/>
  <c r="G4814" i="25"/>
  <c r="G4826" i="25"/>
  <c r="G4838" i="25"/>
  <c r="G4850" i="25"/>
  <c r="G4862" i="25"/>
  <c r="G4874" i="25"/>
  <c r="G4886" i="25"/>
  <c r="G4898" i="25"/>
  <c r="G4910" i="25"/>
  <c r="G4922" i="25"/>
  <c r="G4934" i="25"/>
  <c r="G4946" i="25"/>
  <c r="G4958" i="25"/>
  <c r="G4970" i="25"/>
  <c r="G4982" i="25"/>
  <c r="G4994" i="25"/>
  <c r="G5006" i="25"/>
  <c r="G5018" i="25"/>
  <c r="G5030" i="25"/>
  <c r="G5042" i="25"/>
  <c r="G5054" i="25"/>
  <c r="G5066" i="25"/>
  <c r="G5078" i="25"/>
  <c r="G5090" i="25"/>
  <c r="G5102" i="25"/>
  <c r="G5114" i="25"/>
  <c r="G5126" i="25"/>
  <c r="G5138" i="25"/>
  <c r="G5150" i="25"/>
  <c r="G5162" i="25"/>
  <c r="G5174" i="25"/>
  <c r="G5186" i="25"/>
  <c r="G5198" i="25"/>
  <c r="G5210" i="25"/>
  <c r="G5222" i="25"/>
  <c r="G5234" i="25"/>
  <c r="G5246" i="25"/>
  <c r="G5258" i="25"/>
  <c r="G5270" i="25"/>
  <c r="G5282" i="25"/>
  <c r="G5294" i="25"/>
  <c r="G5306" i="25"/>
  <c r="G5318" i="25"/>
  <c r="G5330" i="25"/>
  <c r="G5342" i="25"/>
  <c r="G5354" i="25"/>
  <c r="G5366" i="25"/>
  <c r="G5378" i="25"/>
  <c r="G5390" i="25"/>
  <c r="G5402" i="25"/>
  <c r="G5414" i="25"/>
  <c r="G5426" i="25"/>
  <c r="G5438" i="25"/>
  <c r="G5450" i="25"/>
  <c r="G5462" i="25"/>
  <c r="G5474" i="25"/>
  <c r="G5486" i="25"/>
  <c r="G5498" i="25"/>
  <c r="G5510" i="25"/>
  <c r="G5522" i="25"/>
  <c r="G5534" i="25"/>
  <c r="G5546" i="25"/>
  <c r="G5558" i="25"/>
  <c r="G5570" i="25"/>
  <c r="G5582" i="25"/>
  <c r="G5594" i="25"/>
  <c r="G5606" i="25"/>
  <c r="G5618" i="25"/>
  <c r="G5630" i="25"/>
  <c r="G5642" i="25"/>
  <c r="G5654" i="25"/>
  <c r="G5666" i="25"/>
  <c r="G5678" i="25"/>
  <c r="G5690" i="25"/>
  <c r="G5702" i="25"/>
  <c r="G5714" i="25"/>
  <c r="G5726" i="25"/>
  <c r="G5738" i="25"/>
  <c r="G5750" i="25"/>
  <c r="G5762" i="25"/>
  <c r="G5774" i="25"/>
  <c r="G5786" i="25"/>
  <c r="G5798" i="25"/>
  <c r="G5810" i="25"/>
  <c r="G5822" i="25"/>
  <c r="G5834" i="25"/>
  <c r="G5846" i="25"/>
  <c r="G5858" i="25"/>
  <c r="G5870" i="25"/>
  <c r="G5882" i="25"/>
  <c r="G5894" i="25"/>
  <c r="G5906" i="25"/>
  <c r="G5918" i="25"/>
  <c r="G5930" i="25"/>
  <c r="G5942" i="25"/>
  <c r="G5954" i="25"/>
  <c r="G5966" i="25"/>
  <c r="G5978" i="25"/>
  <c r="G5990" i="25"/>
  <c r="G6002" i="25"/>
  <c r="G6014" i="25"/>
  <c r="G6026" i="25"/>
  <c r="G6038" i="25"/>
  <c r="G6050" i="25"/>
  <c r="G6062" i="25"/>
  <c r="G6074" i="25"/>
  <c r="G6086" i="25"/>
  <c r="G6098" i="25"/>
  <c r="G6110" i="25"/>
  <c r="G6122" i="25"/>
  <c r="G6134" i="25"/>
  <c r="G6146" i="25"/>
  <c r="G6158" i="25"/>
  <c r="G6170" i="25"/>
  <c r="G6182" i="25"/>
  <c r="G6194" i="25"/>
  <c r="G6206" i="25"/>
  <c r="G6218" i="25"/>
  <c r="G6230" i="25"/>
  <c r="G6242" i="25"/>
  <c r="G6254" i="25"/>
  <c r="G6266" i="25"/>
  <c r="G6278" i="25"/>
  <c r="G6290" i="25"/>
  <c r="G6302" i="25"/>
  <c r="G6314" i="25"/>
  <c r="G6326" i="25"/>
  <c r="G6338" i="25"/>
  <c r="G6350" i="25"/>
  <c r="G6362" i="25"/>
  <c r="G6374" i="25"/>
  <c r="G6386" i="25"/>
  <c r="G6398" i="25"/>
  <c r="G6410" i="25"/>
  <c r="G6422" i="25"/>
  <c r="G6434" i="25"/>
  <c r="G6446" i="25"/>
  <c r="G6458" i="25"/>
  <c r="G6470" i="25"/>
  <c r="G6482" i="25"/>
  <c r="G6494" i="25"/>
  <c r="G6506" i="25"/>
  <c r="G6518" i="25"/>
  <c r="G6530" i="25"/>
  <c r="G6542" i="25"/>
  <c r="G6554" i="25"/>
  <c r="G6566" i="25"/>
  <c r="G6578" i="25"/>
  <c r="G6590" i="25"/>
  <c r="G6602" i="25"/>
  <c r="G6614" i="25"/>
  <c r="G6626" i="25"/>
  <c r="G6638" i="25"/>
  <c r="G6650" i="25"/>
  <c r="G6662" i="25"/>
  <c r="G6674" i="25"/>
  <c r="G6686" i="25"/>
  <c r="G6698" i="25"/>
  <c r="G6710" i="25"/>
  <c r="G6722" i="25"/>
  <c r="G6734" i="25"/>
  <c r="G6746" i="25"/>
  <c r="G6758" i="25"/>
  <c r="G6770" i="25"/>
  <c r="G6782" i="25"/>
  <c r="G6794" i="25"/>
  <c r="G6806" i="25"/>
  <c r="G6818" i="25"/>
  <c r="G6830" i="25"/>
  <c r="G6842" i="25"/>
  <c r="G6854" i="25"/>
  <c r="G6866" i="25"/>
  <c r="G6878" i="25"/>
  <c r="G6890" i="25"/>
  <c r="G6902" i="25"/>
  <c r="G6914" i="25"/>
  <c r="G6926" i="25"/>
  <c r="G6938" i="25"/>
  <c r="G6950" i="25"/>
  <c r="G6962" i="25"/>
  <c r="G6974" i="25"/>
  <c r="G6986" i="25"/>
  <c r="G6998" i="25"/>
  <c r="G7010" i="25"/>
  <c r="G7022" i="25"/>
  <c r="G7034" i="25"/>
  <c r="G7046" i="25"/>
  <c r="G7058" i="25"/>
  <c r="G7070" i="25"/>
  <c r="G7082" i="25"/>
  <c r="G7094" i="25"/>
  <c r="G7106" i="25"/>
  <c r="G7118" i="25"/>
  <c r="G7130" i="25"/>
  <c r="G7142" i="25"/>
  <c r="G7154" i="25"/>
  <c r="G7166" i="25"/>
  <c r="G7178" i="25"/>
  <c r="G7190" i="25"/>
  <c r="G7202" i="25"/>
  <c r="G7214" i="25"/>
  <c r="G7226" i="25"/>
  <c r="G7238" i="25"/>
  <c r="G7250" i="25"/>
  <c r="G7262" i="25"/>
  <c r="G7274" i="25"/>
  <c r="G7286" i="25"/>
  <c r="G7298" i="25"/>
  <c r="G7310" i="25"/>
  <c r="G7322" i="25"/>
  <c r="G7334" i="25"/>
  <c r="G7346" i="25"/>
  <c r="G7358" i="25"/>
  <c r="G7370" i="25"/>
  <c r="G7382" i="25"/>
  <c r="G7394" i="25"/>
  <c r="G7406" i="25"/>
  <c r="G7418" i="25"/>
  <c r="G7430" i="25"/>
  <c r="G7442" i="25"/>
  <c r="G7454" i="25"/>
  <c r="G7466" i="25"/>
  <c r="G7478" i="25"/>
  <c r="G7490" i="25"/>
  <c r="G7502" i="25"/>
  <c r="G7514" i="25"/>
  <c r="G7526" i="25"/>
  <c r="G7538" i="25"/>
  <c r="G7550" i="25"/>
  <c r="G7562" i="25"/>
  <c r="G7574" i="25"/>
  <c r="G7586" i="25"/>
  <c r="G7598" i="25"/>
  <c r="G7610" i="25"/>
  <c r="G7622" i="25"/>
  <c r="G7634" i="25"/>
  <c r="G7646" i="25"/>
  <c r="G7658" i="25"/>
  <c r="G7670" i="25"/>
  <c r="G7682" i="25"/>
  <c r="G7694" i="25"/>
  <c r="G7706" i="25"/>
  <c r="G7718" i="25"/>
  <c r="G7730" i="25"/>
  <c r="G7742" i="25"/>
  <c r="G7754" i="25"/>
  <c r="G7766" i="25"/>
  <c r="G7778" i="25"/>
  <c r="G7790" i="25"/>
  <c r="G7802" i="25"/>
  <c r="G7814" i="25"/>
  <c r="G7826" i="25"/>
  <c r="G7838" i="25"/>
  <c r="G7850" i="25"/>
  <c r="G7862" i="25"/>
  <c r="G7874" i="25"/>
  <c r="G7886" i="25"/>
  <c r="G7898" i="25"/>
  <c r="G7910" i="25"/>
  <c r="G7922" i="25"/>
  <c r="G7934" i="25"/>
  <c r="G7946" i="25"/>
  <c r="G7958" i="25"/>
  <c r="G7970" i="25"/>
  <c r="G7982" i="25"/>
  <c r="G7994" i="25"/>
  <c r="G8006" i="25"/>
  <c r="G8018" i="25"/>
  <c r="G8030" i="25"/>
  <c r="G8042" i="25"/>
  <c r="G8054" i="25"/>
  <c r="G8066" i="25"/>
  <c r="G8078" i="25"/>
  <c r="G8090" i="25"/>
  <c r="G8102" i="25"/>
  <c r="G8114" i="25"/>
  <c r="G8126" i="25"/>
  <c r="G8138" i="25"/>
  <c r="G8150" i="25"/>
  <c r="G8162" i="25"/>
  <c r="G8174" i="25"/>
  <c r="G8186" i="25"/>
  <c r="G8198" i="25"/>
  <c r="G8210" i="25"/>
  <c r="G8222" i="25"/>
  <c r="G8234" i="25"/>
  <c r="G8246" i="25"/>
  <c r="G8258" i="25"/>
  <c r="G8270" i="25"/>
  <c r="G8282" i="25"/>
  <c r="G8294" i="25"/>
  <c r="G8306" i="25"/>
  <c r="G8318" i="25"/>
  <c r="G8330" i="25"/>
  <c r="G8342" i="25"/>
  <c r="G8354" i="25"/>
  <c r="G8366" i="25"/>
  <c r="G8378" i="25"/>
  <c r="G8390" i="25"/>
  <c r="G8402" i="25"/>
  <c r="G8414" i="25"/>
  <c r="G8426" i="25"/>
  <c r="G8438" i="25"/>
  <c r="G8450" i="25"/>
  <c r="G8462" i="25"/>
  <c r="G8474" i="25"/>
  <c r="G8486" i="25"/>
  <c r="G8498" i="25"/>
  <c r="G8510" i="25"/>
  <c r="G8522" i="25"/>
  <c r="G8534" i="25"/>
  <c r="G8546" i="25"/>
  <c r="G8558" i="25"/>
  <c r="G8570" i="25"/>
  <c r="G8582" i="25"/>
  <c r="G8594" i="25"/>
  <c r="G8606" i="25"/>
  <c r="G8618" i="25"/>
  <c r="G8630" i="25"/>
  <c r="G8642" i="25"/>
  <c r="G8654" i="25"/>
  <c r="G8666" i="25"/>
  <c r="G8678" i="25"/>
  <c r="G8690" i="25"/>
  <c r="G8702" i="25"/>
  <c r="G8714" i="25"/>
  <c r="G8726" i="25"/>
  <c r="G8738" i="25"/>
  <c r="G8750" i="25"/>
  <c r="G8762" i="25"/>
  <c r="G8774" i="25"/>
  <c r="G8786" i="25"/>
  <c r="G8798" i="25"/>
  <c r="G8810" i="25"/>
  <c r="G8822" i="25"/>
  <c r="G8834" i="25"/>
  <c r="G8846" i="25"/>
  <c r="G8858" i="25"/>
  <c r="G10" i="25"/>
  <c r="G27" i="25"/>
  <c r="G46" i="25"/>
  <c r="G64" i="25"/>
  <c r="G82" i="25"/>
  <c r="G101" i="25"/>
  <c r="G119" i="25"/>
  <c r="G138" i="25"/>
  <c r="G156" i="25"/>
  <c r="G173" i="25"/>
  <c r="G193" i="25"/>
  <c r="G212" i="25"/>
  <c r="G231" i="25"/>
  <c r="G250" i="25"/>
  <c r="G268" i="25"/>
  <c r="G286" i="25"/>
  <c r="G304" i="25"/>
  <c r="G324" i="25"/>
  <c r="G341" i="25"/>
  <c r="G360" i="25"/>
  <c r="G378" i="25"/>
  <c r="G397" i="25"/>
  <c r="G416" i="25"/>
  <c r="G435" i="25"/>
  <c r="G454" i="25"/>
  <c r="G471" i="25"/>
  <c r="G491" i="25"/>
  <c r="G509" i="25"/>
  <c r="G527" i="25"/>
  <c r="G545" i="25"/>
  <c r="G564" i="25"/>
  <c r="G582" i="25"/>
  <c r="G601" i="25"/>
  <c r="G622" i="25"/>
  <c r="G639" i="25"/>
  <c r="G656" i="25"/>
  <c r="G675" i="25"/>
  <c r="G695" i="25"/>
  <c r="G713" i="25"/>
  <c r="G731" i="25"/>
  <c r="G749" i="25"/>
  <c r="G768" i="25"/>
  <c r="G786" i="25"/>
  <c r="G805" i="25"/>
  <c r="G824" i="25"/>
  <c r="G842" i="25"/>
  <c r="G860" i="25"/>
  <c r="G880" i="25"/>
  <c r="G899" i="25"/>
  <c r="G916" i="25"/>
  <c r="G936" i="25"/>
  <c r="G953" i="25"/>
  <c r="G971" i="25"/>
  <c r="G990" i="25"/>
  <c r="G1009" i="25"/>
  <c r="G1028" i="25"/>
  <c r="G1044" i="25"/>
  <c r="G1061" i="25"/>
  <c r="G1079" i="25"/>
  <c r="G1095" i="25"/>
  <c r="G1112" i="25"/>
  <c r="G1127" i="25"/>
  <c r="G1142" i="25"/>
  <c r="G1158" i="25"/>
  <c r="G1174" i="25"/>
  <c r="G1189" i="25"/>
  <c r="G1205" i="25"/>
  <c r="G1221" i="25"/>
  <c r="G1237" i="25"/>
  <c r="G1252" i="25"/>
  <c r="G1268" i="25"/>
  <c r="G1283" i="25"/>
  <c r="G1298" i="25"/>
  <c r="G1313" i="25"/>
  <c r="G1330" i="25"/>
  <c r="G1345" i="25"/>
  <c r="G1360" i="25"/>
  <c r="G1377" i="25"/>
  <c r="G1392" i="25"/>
  <c r="G1408" i="25"/>
  <c r="G1424" i="25"/>
  <c r="G1439" i="25"/>
  <c r="G1454" i="25"/>
  <c r="G1469" i="25"/>
  <c r="G1486" i="25"/>
  <c r="G1501" i="25"/>
  <c r="G1516" i="25"/>
  <c r="G1532" i="25"/>
  <c r="G1548" i="25"/>
  <c r="G1564" i="25"/>
  <c r="G1580" i="25"/>
  <c r="G1595" i="25"/>
  <c r="G1610" i="25"/>
  <c r="G1625" i="25"/>
  <c r="G1641" i="25"/>
  <c r="G1657" i="25"/>
  <c r="G1672" i="25"/>
  <c r="G1688" i="25"/>
  <c r="G1703" i="25"/>
  <c r="G1719" i="25"/>
  <c r="G1736" i="25"/>
  <c r="G1751" i="25"/>
  <c r="G1766" i="25"/>
  <c r="G1781" i="25"/>
  <c r="G1797" i="25"/>
  <c r="G1813" i="25"/>
  <c r="G1828" i="25"/>
  <c r="G1844" i="25"/>
  <c r="G1859" i="25"/>
  <c r="G1874" i="25"/>
  <c r="G1892" i="25"/>
  <c r="G1907" i="25"/>
  <c r="G1922" i="25"/>
  <c r="G1937" i="25"/>
  <c r="G1953" i="25"/>
  <c r="G1968" i="25"/>
  <c r="G1984" i="25"/>
  <c r="G2000" i="25"/>
  <c r="G2015" i="25"/>
  <c r="G2030" i="25"/>
  <c r="G2045" i="25"/>
  <c r="G2063" i="25"/>
  <c r="G2078" i="25"/>
  <c r="G2093" i="25"/>
  <c r="G2109" i="25"/>
  <c r="G2124" i="25"/>
  <c r="G2140" i="25"/>
  <c r="G2156" i="25"/>
  <c r="G2171" i="25"/>
  <c r="G2186" i="25"/>
  <c r="G2201" i="25"/>
  <c r="G2216" i="25"/>
  <c r="G2232" i="25"/>
  <c r="G2246" i="25"/>
  <c r="G2260" i="25"/>
  <c r="G2274" i="25"/>
  <c r="G2288" i="25"/>
  <c r="G2303" i="25"/>
  <c r="G2317" i="25"/>
  <c r="G2331" i="25"/>
  <c r="G2345" i="25"/>
  <c r="G2359" i="25"/>
  <c r="G2374" i="25"/>
  <c r="G2389" i="25"/>
  <c r="G2403" i="25"/>
  <c r="G2417" i="25"/>
  <c r="G2431" i="25"/>
  <c r="G2446" i="25"/>
  <c r="G2460" i="25"/>
  <c r="G2474" i="25"/>
  <c r="G2488" i="25"/>
  <c r="G2502" i="25"/>
  <c r="G2516" i="25"/>
  <c r="G2531" i="25"/>
  <c r="G2546" i="25"/>
  <c r="G2560" i="25"/>
  <c r="G2574" i="25"/>
  <c r="G2588" i="25"/>
  <c r="G2603" i="25"/>
  <c r="G2617" i="25"/>
  <c r="G2631" i="25"/>
  <c r="G2645" i="25"/>
  <c r="G2659" i="25"/>
  <c r="G2674" i="25"/>
  <c r="G2688" i="25"/>
  <c r="G2703" i="25"/>
  <c r="G2717" i="25"/>
  <c r="G2731" i="25"/>
  <c r="G2746" i="25"/>
  <c r="G2760" i="25"/>
  <c r="G2774" i="25"/>
  <c r="G2788" i="25"/>
  <c r="G2802" i="25"/>
  <c r="G2816" i="25"/>
  <c r="G2831" i="25"/>
  <c r="G2845" i="25"/>
  <c r="G2860" i="25"/>
  <c r="G2874" i="25"/>
  <c r="G2888" i="25"/>
  <c r="G2903" i="25"/>
  <c r="G2917" i="25"/>
  <c r="G2931" i="25"/>
  <c r="G2945" i="25"/>
  <c r="G2959" i="25"/>
  <c r="G2974" i="25"/>
  <c r="G2988" i="25"/>
  <c r="G3002" i="25"/>
  <c r="G3017" i="25"/>
  <c r="G3031" i="25"/>
  <c r="G3046" i="25"/>
  <c r="G3060" i="25"/>
  <c r="G3074" i="25"/>
  <c r="G3088" i="25"/>
  <c r="G3102" i="25"/>
  <c r="G3116" i="25"/>
  <c r="G3131" i="25"/>
  <c r="G3145" i="25"/>
  <c r="G3159" i="25"/>
  <c r="G3174" i="25"/>
  <c r="G3188" i="25"/>
  <c r="G3203" i="25"/>
  <c r="G3217" i="25"/>
  <c r="G3231" i="25"/>
  <c r="G3245" i="25"/>
  <c r="G3259" i="25"/>
  <c r="G3274" i="25"/>
  <c r="G3288" i="25"/>
  <c r="G3302" i="25"/>
  <c r="G3316" i="25"/>
  <c r="G3331" i="25"/>
  <c r="G3346" i="25"/>
  <c r="G3360" i="25"/>
  <c r="G3374" i="25"/>
  <c r="G3388" i="25"/>
  <c r="G3402" i="25"/>
  <c r="G3416" i="25"/>
  <c r="G3431" i="25"/>
  <c r="G3445" i="25"/>
  <c r="G3459" i="25"/>
  <c r="G3473" i="25"/>
  <c r="G3488" i="25"/>
  <c r="G3503" i="25"/>
  <c r="G3517" i="25"/>
  <c r="G3531" i="25"/>
  <c r="G3545" i="25"/>
  <c r="G3559" i="25"/>
  <c r="G3574" i="25"/>
  <c r="G3588" i="25"/>
  <c r="G3602" i="25"/>
  <c r="G3616" i="25"/>
  <c r="G3630" i="25"/>
  <c r="G3646" i="25"/>
  <c r="G3660" i="25"/>
  <c r="G3674" i="25"/>
  <c r="G3688" i="25"/>
  <c r="G3702" i="25"/>
  <c r="G3716" i="25"/>
  <c r="G3731" i="25"/>
  <c r="G3745" i="25"/>
  <c r="G3759" i="25"/>
  <c r="G3773" i="25"/>
  <c r="G3787" i="25"/>
  <c r="G3803" i="25"/>
  <c r="G3817" i="25"/>
  <c r="G3831" i="25"/>
  <c r="G3845" i="25"/>
  <c r="G3859" i="25"/>
  <c r="G3874" i="25"/>
  <c r="G3888" i="25"/>
  <c r="G3902" i="25"/>
  <c r="G3916" i="25"/>
  <c r="G3930" i="25"/>
  <c r="G3944" i="25"/>
  <c r="G3960" i="25"/>
  <c r="G3974" i="25"/>
  <c r="G3988" i="25"/>
  <c r="G4002" i="25"/>
  <c r="G4016" i="25"/>
  <c r="G4031" i="25"/>
  <c r="G4045" i="25"/>
  <c r="G4059" i="25"/>
  <c r="G4073" i="25"/>
  <c r="G4087" i="25"/>
  <c r="G4102" i="25"/>
  <c r="G4117" i="25"/>
  <c r="G4131" i="25"/>
  <c r="G4145" i="25"/>
  <c r="G4159" i="25"/>
  <c r="G4174" i="25"/>
  <c r="G4188" i="25"/>
  <c r="G4202" i="25"/>
  <c r="G4216" i="25"/>
  <c r="G4230" i="25"/>
  <c r="G4244" i="25"/>
  <c r="G4259" i="25"/>
  <c r="G4274" i="25"/>
  <c r="G4288" i="25"/>
  <c r="G4302" i="25"/>
  <c r="G4316" i="25"/>
  <c r="G4331" i="25"/>
  <c r="G4345" i="25"/>
  <c r="G4359" i="25"/>
  <c r="G4373" i="25"/>
  <c r="G4387" i="25"/>
  <c r="G4402" i="25"/>
  <c r="G4416" i="25"/>
  <c r="G4431" i="25"/>
  <c r="G4444" i="25"/>
  <c r="G4457" i="25"/>
  <c r="G4470" i="25"/>
  <c r="G4483" i="25"/>
  <c r="G4496" i="25"/>
  <c r="G4509" i="25"/>
  <c r="G4522" i="25"/>
  <c r="G4535" i="25"/>
  <c r="G4548" i="25"/>
  <c r="G4561" i="25"/>
  <c r="G4575" i="25"/>
  <c r="G4588" i="25"/>
  <c r="G4601" i="25"/>
  <c r="G4614" i="25"/>
  <c r="G4627" i="25"/>
  <c r="G4640" i="25"/>
  <c r="G4653" i="25"/>
  <c r="G4666" i="25"/>
  <c r="G4679" i="25"/>
  <c r="G4692" i="25"/>
  <c r="G4705" i="25"/>
  <c r="G4719" i="25"/>
  <c r="G4732" i="25"/>
  <c r="G4745" i="25"/>
  <c r="G4758" i="25"/>
  <c r="G4771" i="25"/>
  <c r="G4784" i="25"/>
  <c r="G4797" i="25"/>
  <c r="G4810" i="25"/>
  <c r="G4823" i="25"/>
  <c r="G4836" i="25"/>
  <c r="G4849" i="25"/>
  <c r="G4863" i="25"/>
  <c r="G4876" i="25"/>
  <c r="G4889" i="25"/>
  <c r="G4902" i="25"/>
  <c r="G4915" i="25"/>
  <c r="G4928" i="25"/>
  <c r="G4941" i="25"/>
  <c r="G4954" i="25"/>
  <c r="G4967" i="25"/>
  <c r="G4980" i="25"/>
  <c r="G4993" i="25"/>
  <c r="G5007" i="25"/>
  <c r="G5020" i="25"/>
  <c r="G5033" i="25"/>
  <c r="G5046" i="25"/>
  <c r="G5059" i="25"/>
  <c r="G5072" i="25"/>
  <c r="G5085" i="25"/>
  <c r="G5098" i="25"/>
  <c r="G5111" i="25"/>
  <c r="G5124" i="25"/>
  <c r="G5137" i="25"/>
  <c r="G5151" i="25"/>
  <c r="G5164" i="25"/>
  <c r="G5177" i="25"/>
  <c r="G5190" i="25"/>
  <c r="G5203" i="25"/>
  <c r="G5216" i="25"/>
  <c r="G5229" i="25"/>
  <c r="G5242" i="25"/>
  <c r="G5255" i="25"/>
  <c r="G5268" i="25"/>
  <c r="G5281" i="25"/>
  <c r="G5295" i="25"/>
  <c r="G5308" i="25"/>
  <c r="G5321" i="25"/>
  <c r="G5334" i="25"/>
  <c r="G5347" i="25"/>
  <c r="G5360" i="25"/>
  <c r="G5373" i="25"/>
  <c r="G5386" i="25"/>
  <c r="G5399" i="25"/>
  <c r="G5412" i="25"/>
  <c r="G5425" i="25"/>
  <c r="G5439" i="25"/>
  <c r="G5452" i="25"/>
  <c r="G5465" i="25"/>
  <c r="G5478" i="25"/>
  <c r="G5491" i="25"/>
  <c r="G5504" i="25"/>
  <c r="G5517" i="25"/>
  <c r="G5530" i="25"/>
  <c r="G5543" i="25"/>
  <c r="G5556" i="25"/>
  <c r="G5569" i="25"/>
  <c r="G5583" i="25"/>
  <c r="G5596" i="25"/>
  <c r="G5609" i="25"/>
  <c r="G5622" i="25"/>
  <c r="G5635" i="25"/>
  <c r="G5648" i="25"/>
  <c r="G5661" i="25"/>
  <c r="G5674" i="25"/>
  <c r="G5687" i="25"/>
  <c r="G5700" i="25"/>
  <c r="G5713" i="25"/>
  <c r="G5727" i="25"/>
  <c r="G5740" i="25"/>
  <c r="G5753" i="25"/>
  <c r="G5766" i="25"/>
  <c r="G5779" i="25"/>
  <c r="G5792" i="25"/>
  <c r="G5805" i="25"/>
  <c r="G5818" i="25"/>
  <c r="G5831" i="25"/>
  <c r="G5844" i="25"/>
  <c r="G5857" i="25"/>
  <c r="G5871" i="25"/>
  <c r="G5884" i="25"/>
  <c r="G5897" i="25"/>
  <c r="G5910" i="25"/>
  <c r="G5923" i="25"/>
  <c r="G5936" i="25"/>
  <c r="G5949" i="25"/>
  <c r="G5962" i="25"/>
  <c r="G5975" i="25"/>
  <c r="G5988" i="25"/>
  <c r="G6001" i="25"/>
  <c r="G6015" i="25"/>
  <c r="G6028" i="25"/>
  <c r="G6041" i="25"/>
  <c r="G6054" i="25"/>
  <c r="G6067" i="25"/>
  <c r="G6080" i="25"/>
  <c r="G6093" i="25"/>
  <c r="G6106" i="25"/>
  <c r="G6119" i="25"/>
  <c r="G6132" i="25"/>
  <c r="G6145" i="25"/>
  <c r="G6159" i="25"/>
  <c r="G6172" i="25"/>
  <c r="G6185" i="25"/>
  <c r="G6198" i="25"/>
  <c r="G6211" i="25"/>
  <c r="G6224" i="25"/>
  <c r="G6237" i="25"/>
  <c r="G6250" i="25"/>
  <c r="G6263" i="25"/>
  <c r="G6276" i="25"/>
  <c r="G6289" i="25"/>
  <c r="G6303" i="25"/>
  <c r="G6316" i="25"/>
  <c r="G6329" i="25"/>
  <c r="G6342" i="25"/>
  <c r="G6355" i="25"/>
  <c r="G6368" i="25"/>
  <c r="G6381" i="25"/>
  <c r="G6394" i="25"/>
  <c r="G6407" i="25"/>
  <c r="G6420" i="25"/>
  <c r="G6433" i="25"/>
  <c r="G6447" i="25"/>
  <c r="G6460" i="25"/>
  <c r="G6473" i="25"/>
  <c r="G6486" i="25"/>
  <c r="G6499" i="25"/>
  <c r="G6512" i="25"/>
  <c r="G6525" i="25"/>
  <c r="G6538" i="25"/>
  <c r="G6551" i="25"/>
  <c r="G6564" i="25"/>
  <c r="G6577" i="25"/>
  <c r="G6591" i="25"/>
  <c r="G6604" i="25"/>
  <c r="G6617" i="25"/>
  <c r="G6630" i="25"/>
  <c r="G6643" i="25"/>
  <c r="G6656" i="25"/>
  <c r="G6669" i="25"/>
  <c r="G6682" i="25"/>
  <c r="G6695" i="25"/>
  <c r="G6708" i="25"/>
  <c r="G6721" i="25"/>
  <c r="G6735" i="25"/>
  <c r="G6748" i="25"/>
  <c r="G6761" i="25"/>
  <c r="G6774" i="25"/>
  <c r="G6787" i="25"/>
  <c r="G6800" i="25"/>
  <c r="G6813" i="25"/>
  <c r="G6826" i="25"/>
  <c r="G6839" i="25"/>
  <c r="G6852" i="25"/>
  <c r="G6865" i="25"/>
  <c r="G6879" i="25"/>
  <c r="G6892" i="25"/>
  <c r="G6905" i="25"/>
  <c r="G6918" i="25"/>
  <c r="G6931" i="25"/>
  <c r="G6944" i="25"/>
  <c r="G6957" i="25"/>
  <c r="G6970" i="25"/>
  <c r="G6983" i="25"/>
  <c r="G6996" i="25"/>
  <c r="G7009" i="25"/>
  <c r="G7023" i="25"/>
  <c r="G7036" i="25"/>
  <c r="G7049" i="25"/>
  <c r="G7062" i="25"/>
  <c r="G7075" i="25"/>
  <c r="G7088" i="25"/>
  <c r="G7101" i="25"/>
  <c r="G7114" i="25"/>
  <c r="G7127" i="25"/>
  <c r="G7140" i="25"/>
  <c r="G7153" i="25"/>
  <c r="G7167" i="25"/>
  <c r="G7180" i="25"/>
  <c r="G7193" i="25"/>
  <c r="G7206" i="25"/>
  <c r="G7219" i="25"/>
  <c r="G7232" i="25"/>
  <c r="G7245" i="25"/>
  <c r="G7258" i="25"/>
  <c r="G7271" i="25"/>
  <c r="G7284" i="25"/>
  <c r="G7297" i="25"/>
  <c r="G7311" i="25"/>
  <c r="G7324" i="25"/>
  <c r="G7337" i="25"/>
  <c r="G7350" i="25"/>
  <c r="G7363" i="25"/>
  <c r="G7376" i="25"/>
  <c r="G7389" i="25"/>
  <c r="G7402" i="25"/>
  <c r="G7415" i="25"/>
  <c r="G7428" i="25"/>
  <c r="G7441" i="25"/>
  <c r="G7455" i="25"/>
  <c r="G7468" i="25"/>
  <c r="G7481" i="25"/>
  <c r="G7494" i="25"/>
  <c r="G7507" i="25"/>
  <c r="G7520" i="25"/>
  <c r="G7533" i="25"/>
  <c r="G7546" i="25"/>
  <c r="G7559" i="25"/>
  <c r="G7572" i="25"/>
  <c r="G7585" i="25"/>
  <c r="G7599" i="25"/>
  <c r="G7612" i="25"/>
  <c r="G7625" i="25"/>
  <c r="G7638" i="25"/>
  <c r="G7651" i="25"/>
  <c r="G7664" i="25"/>
  <c r="G7677" i="25"/>
  <c r="G7690" i="25"/>
  <c r="G7703" i="25"/>
  <c r="G7716" i="25"/>
  <c r="G7729" i="25"/>
  <c r="G7743" i="25"/>
  <c r="G7756" i="25"/>
  <c r="G7769" i="25"/>
  <c r="G7782" i="25"/>
  <c r="G7795" i="25"/>
  <c r="G7808" i="25"/>
  <c r="G7821" i="25"/>
  <c r="G7834" i="25"/>
  <c r="G7847" i="25"/>
  <c r="G7860" i="25"/>
  <c r="G7873" i="25"/>
  <c r="G7887" i="25"/>
  <c r="G7900" i="25"/>
  <c r="G7913" i="25"/>
  <c r="G7926" i="25"/>
  <c r="G7939" i="25"/>
  <c r="G7952" i="25"/>
  <c r="G7965" i="25"/>
  <c r="G7978" i="25"/>
  <c r="G7991" i="25"/>
  <c r="G8004" i="25"/>
  <c r="G8017" i="25"/>
  <c r="G8031" i="25"/>
  <c r="G8044" i="25"/>
  <c r="G8057" i="25"/>
  <c r="G8070" i="25"/>
  <c r="G8083" i="25"/>
  <c r="G8096" i="25"/>
  <c r="G8109" i="25"/>
  <c r="G8122" i="25"/>
  <c r="G8135" i="25"/>
  <c r="G8148" i="25"/>
  <c r="G8161" i="25"/>
  <c r="G8175" i="25"/>
  <c r="G8188" i="25"/>
  <c r="G8201" i="25"/>
  <c r="G8214" i="25"/>
  <c r="G8227" i="25"/>
  <c r="G8240" i="25"/>
  <c r="G8253" i="25"/>
  <c r="G8266" i="25"/>
  <c r="G8279" i="25"/>
  <c r="G8292" i="25"/>
  <c r="G8305" i="25"/>
  <c r="G8319" i="25"/>
  <c r="G8332" i="25"/>
  <c r="G8345" i="25"/>
  <c r="G8358" i="25"/>
  <c r="G8371" i="25"/>
  <c r="G8384" i="25"/>
  <c r="G8397" i="25"/>
  <c r="G8410" i="25"/>
  <c r="G8423" i="25"/>
  <c r="G8436" i="25"/>
  <c r="G8449" i="25"/>
  <c r="G8463" i="25"/>
  <c r="G8476" i="25"/>
  <c r="G8489" i="25"/>
  <c r="G8502" i="25"/>
  <c r="G8515" i="25"/>
  <c r="G8528" i="25"/>
  <c r="G8541" i="25"/>
  <c r="G8554" i="25"/>
  <c r="G8567" i="25"/>
  <c r="G8580" i="25"/>
  <c r="G8593" i="25"/>
  <c r="G8607" i="25"/>
  <c r="G8620" i="25"/>
  <c r="G8633" i="25"/>
  <c r="G8646" i="25"/>
  <c r="G8659" i="25"/>
  <c r="G8672" i="25"/>
  <c r="G8685" i="25"/>
  <c r="G8698" i="25"/>
  <c r="G8711" i="25"/>
  <c r="G8724" i="25"/>
  <c r="G8737" i="25"/>
  <c r="G8751" i="25"/>
  <c r="G8764" i="25"/>
  <c r="G8777" i="25"/>
  <c r="G8790" i="25"/>
  <c r="G8803" i="25"/>
  <c r="G8816" i="25"/>
  <c r="G8829" i="25"/>
  <c r="G8842" i="25"/>
  <c r="G8855" i="25"/>
  <c r="G8868" i="25"/>
  <c r="G8880" i="25"/>
  <c r="G8892" i="25"/>
  <c r="G8904" i="25"/>
  <c r="G8916" i="25"/>
  <c r="G8928" i="25"/>
  <c r="G8940" i="25"/>
  <c r="G8952" i="25"/>
  <c r="G8964" i="25"/>
  <c r="G8976" i="25"/>
  <c r="G8988" i="25"/>
  <c r="G9000" i="25"/>
  <c r="G9012" i="25"/>
  <c r="G9024" i="25"/>
  <c r="G9036" i="25"/>
  <c r="G9048" i="25"/>
  <c r="G9060" i="25"/>
  <c r="G9072" i="25"/>
  <c r="G9084" i="25"/>
  <c r="G9096" i="25"/>
  <c r="G9108" i="25"/>
  <c r="G9120" i="25"/>
  <c r="G9132" i="25"/>
  <c r="G9144" i="25"/>
  <c r="G9156" i="25"/>
  <c r="G9168" i="25"/>
  <c r="G9180" i="25"/>
  <c r="G9192" i="25"/>
  <c r="G9204" i="25"/>
  <c r="G9216" i="25"/>
  <c r="G9228" i="25"/>
  <c r="G9240" i="25"/>
  <c r="G9252" i="25"/>
  <c r="G9264" i="25"/>
  <c r="G9276" i="25"/>
  <c r="G9288" i="25"/>
  <c r="G9300" i="25"/>
  <c r="G9312" i="25"/>
  <c r="G9324" i="25"/>
  <c r="G9336" i="25"/>
  <c r="G9348" i="25"/>
  <c r="G9360" i="25"/>
  <c r="G9372" i="25"/>
  <c r="G9384" i="25"/>
  <c r="G9396" i="25"/>
  <c r="G9408" i="25"/>
  <c r="G9420" i="25"/>
  <c r="G9432" i="25"/>
  <c r="G9444" i="25"/>
  <c r="G9456" i="25"/>
  <c r="G9468" i="25"/>
  <c r="G9480" i="25"/>
  <c r="G9492" i="25"/>
  <c r="G9504" i="25"/>
  <c r="G9516" i="25"/>
  <c r="G9528" i="25"/>
  <c r="G9540" i="25"/>
  <c r="G9552" i="25"/>
  <c r="G9564" i="25"/>
  <c r="G9576" i="25"/>
  <c r="G9588" i="25"/>
  <c r="G9600" i="25"/>
  <c r="G9612" i="25"/>
  <c r="G9624" i="25"/>
  <c r="G9636" i="25"/>
  <c r="G9648" i="25"/>
  <c r="G9660" i="25"/>
  <c r="G9672" i="25"/>
  <c r="G9684" i="25"/>
  <c r="G9696" i="25"/>
  <c r="G9708" i="25"/>
  <c r="G9720" i="25"/>
  <c r="G9732" i="25"/>
  <c r="G9744" i="25"/>
  <c r="G9756" i="25"/>
  <c r="G9768" i="25"/>
  <c r="G9780" i="25"/>
  <c r="G9792" i="25"/>
  <c r="G9804" i="25"/>
  <c r="G9816" i="25"/>
  <c r="G9828" i="25"/>
  <c r="G9840" i="25"/>
  <c r="G9852" i="25"/>
  <c r="G9864" i="25"/>
  <c r="G9876" i="25"/>
  <c r="G9888" i="25"/>
  <c r="G9900" i="25"/>
  <c r="G9912" i="25"/>
  <c r="G9924" i="25"/>
  <c r="G9936" i="25"/>
  <c r="G9948" i="25"/>
  <c r="G9960" i="25"/>
  <c r="G9972" i="25"/>
  <c r="G9984" i="25"/>
  <c r="G9996" i="25"/>
  <c r="G11" i="25"/>
  <c r="G28" i="25"/>
  <c r="G47" i="25"/>
  <c r="G65" i="25"/>
  <c r="G83" i="25"/>
  <c r="G102" i="25"/>
  <c r="G121" i="25"/>
  <c r="G139" i="25"/>
  <c r="G157" i="25"/>
  <c r="G174" i="25"/>
  <c r="G196" i="25"/>
  <c r="G214" i="25"/>
  <c r="G232" i="25"/>
  <c r="G251" i="25"/>
  <c r="G269" i="25"/>
  <c r="G288" i="25"/>
  <c r="G307" i="25"/>
  <c r="G325" i="25"/>
  <c r="G342" i="25"/>
  <c r="G361" i="25"/>
  <c r="G379" i="25"/>
  <c r="G400" i="25"/>
  <c r="G418" i="25"/>
  <c r="G436" i="25"/>
  <c r="G455" i="25"/>
  <c r="G472" i="25"/>
  <c r="G493" i="25"/>
  <c r="G510" i="25"/>
  <c r="G528" i="25"/>
  <c r="G546" i="25"/>
  <c r="G565" i="25"/>
  <c r="G584" i="25"/>
  <c r="G603" i="25"/>
  <c r="G623" i="25"/>
  <c r="G640" i="25"/>
  <c r="G658" i="25"/>
  <c r="G678" i="25"/>
  <c r="G696" i="25"/>
  <c r="G714" i="25"/>
  <c r="G732" i="25"/>
  <c r="G750" i="25"/>
  <c r="G769" i="25"/>
  <c r="G787" i="25"/>
  <c r="G808" i="25"/>
  <c r="G826" i="25"/>
  <c r="G844" i="25"/>
  <c r="G862" i="25"/>
  <c r="G881" i="25"/>
  <c r="G900" i="25"/>
  <c r="G917" i="25"/>
  <c r="G937" i="25"/>
  <c r="G954" i="25"/>
  <c r="G973" i="25"/>
  <c r="G992" i="25"/>
  <c r="G1011" i="25"/>
  <c r="G1029" i="25"/>
  <c r="G1045" i="25"/>
  <c r="G1064" i="25"/>
  <c r="G1080" i="25"/>
  <c r="G1096" i="25"/>
  <c r="G1113" i="25"/>
  <c r="G1128" i="25"/>
  <c r="G1143" i="25"/>
  <c r="G1160" i="25"/>
  <c r="G1175" i="25"/>
  <c r="G1191" i="25"/>
  <c r="G1206" i="25"/>
  <c r="G1222" i="25"/>
  <c r="G1238" i="25"/>
  <c r="G1253" i="25"/>
  <c r="G1269" i="25"/>
  <c r="G1284" i="25"/>
  <c r="G1299" i="25"/>
  <c r="G1316" i="25"/>
  <c r="G1331" i="25"/>
  <c r="G1346" i="25"/>
  <c r="G1362" i="25"/>
  <c r="G1378" i="25"/>
  <c r="G1394" i="25"/>
  <c r="G1409" i="25"/>
  <c r="G1425" i="25"/>
  <c r="G1440" i="25"/>
  <c r="G1455" i="25"/>
  <c r="G1470" i="25"/>
  <c r="G1487" i="25"/>
  <c r="G1502" i="25"/>
  <c r="G1517" i="25"/>
  <c r="G1534" i="25"/>
  <c r="G1549" i="25"/>
  <c r="G1565" i="25"/>
  <c r="G1581" i="25"/>
  <c r="G1596" i="25"/>
  <c r="G1611" i="25"/>
  <c r="G1626" i="25"/>
  <c r="G1643" i="25"/>
  <c r="G1658" i="25"/>
  <c r="G1673" i="25"/>
  <c r="G1689" i="25"/>
  <c r="G1705" i="25"/>
  <c r="G1721" i="25"/>
  <c r="G1737" i="25"/>
  <c r="G1752" i="25"/>
  <c r="G1767" i="25"/>
  <c r="G1782" i="25"/>
  <c r="G1798" i="25"/>
  <c r="G1814" i="25"/>
  <c r="G1829" i="25"/>
  <c r="G1845" i="25"/>
  <c r="G1860" i="25"/>
  <c r="G1876" i="25"/>
  <c r="G1893" i="25"/>
  <c r="G1908" i="25"/>
  <c r="G1923" i="25"/>
  <c r="G1938" i="25"/>
  <c r="G1954" i="25"/>
  <c r="G1970" i="25"/>
  <c r="G1985" i="25"/>
  <c r="G2001" i="25"/>
  <c r="G2016" i="25"/>
  <c r="G2031" i="25"/>
  <c r="G2049" i="25"/>
  <c r="G2064" i="25"/>
  <c r="G2079" i="25"/>
  <c r="G2094" i="25"/>
  <c r="G2110" i="25"/>
  <c r="G2125" i="25"/>
  <c r="G2141" i="25"/>
  <c r="G2157" i="25"/>
  <c r="G2172" i="25"/>
  <c r="G2187" i="25"/>
  <c r="G2202" i="25"/>
  <c r="G2219" i="25"/>
  <c r="G2233" i="25"/>
  <c r="G2247" i="25"/>
  <c r="G2261" i="25"/>
  <c r="G2275" i="25"/>
  <c r="G2290" i="25"/>
  <c r="G2304" i="25"/>
  <c r="G2318" i="25"/>
  <c r="G2332" i="25"/>
  <c r="G2346" i="25"/>
  <c r="G2360" i="25"/>
  <c r="G2376" i="25"/>
  <c r="G2390" i="25"/>
  <c r="G2404" i="25"/>
  <c r="G2418" i="25"/>
  <c r="G2432" i="25"/>
  <c r="G2447" i="25"/>
  <c r="G2461" i="25"/>
  <c r="G2475" i="25"/>
  <c r="G2489" i="25"/>
  <c r="G2503" i="25"/>
  <c r="G2518" i="25"/>
  <c r="G2533" i="25"/>
  <c r="G2547" i="25"/>
  <c r="G2561" i="25"/>
  <c r="G2575" i="25"/>
  <c r="G2590" i="25"/>
  <c r="G2604" i="25"/>
  <c r="G2618" i="25"/>
  <c r="G2632" i="25"/>
  <c r="G2646" i="25"/>
  <c r="G2660" i="25"/>
  <c r="G2675" i="25"/>
  <c r="G2690" i="25"/>
  <c r="G2704" i="25"/>
  <c r="G2718" i="25"/>
  <c r="G2732" i="25"/>
  <c r="G2747" i="25"/>
  <c r="G2761" i="25"/>
  <c r="G2775" i="25"/>
  <c r="G2789" i="25"/>
  <c r="G2803" i="25"/>
  <c r="G2818" i="25"/>
  <c r="G2832" i="25"/>
  <c r="G2847" i="25"/>
  <c r="G2861" i="25"/>
  <c r="G2875" i="25"/>
  <c r="G2890" i="25"/>
  <c r="G2904" i="25"/>
  <c r="G2918" i="25"/>
  <c r="G2932" i="25"/>
  <c r="G2946" i="25"/>
  <c r="G2960" i="25"/>
  <c r="G2975" i="25"/>
  <c r="G2989" i="25"/>
  <c r="G3004" i="25"/>
  <c r="G3018" i="25"/>
  <c r="G3032" i="25"/>
  <c r="G3047" i="25"/>
  <c r="G3061" i="25"/>
  <c r="G3075" i="25"/>
  <c r="G3089" i="25"/>
  <c r="G3103" i="25"/>
  <c r="G3118" i="25"/>
  <c r="G3132" i="25"/>
  <c r="G3146" i="25"/>
  <c r="G3161" i="25"/>
  <c r="G3175" i="25"/>
  <c r="G3190" i="25"/>
  <c r="G3204" i="25"/>
  <c r="G3218" i="25"/>
  <c r="G3232" i="25"/>
  <c r="G3246" i="25"/>
  <c r="G3260" i="25"/>
  <c r="G3275" i="25"/>
  <c r="G3289" i="25"/>
  <c r="G3303" i="25"/>
  <c r="G3318" i="25"/>
  <c r="G3332" i="25"/>
  <c r="G3347" i="25"/>
  <c r="G3361" i="25"/>
  <c r="G3375" i="25"/>
  <c r="G3389" i="25"/>
  <c r="G3403" i="25"/>
  <c r="G3418" i="25"/>
  <c r="G3432" i="25"/>
  <c r="G3446" i="25"/>
  <c r="G3460" i="25"/>
  <c r="G3475" i="25"/>
  <c r="G3490" i="25"/>
  <c r="G3504" i="25"/>
  <c r="G3518" i="25"/>
  <c r="G3532" i="25"/>
  <c r="G3546" i="25"/>
  <c r="G3560" i="25"/>
  <c r="G3575" i="25"/>
  <c r="G3589" i="25"/>
  <c r="G3603" i="25"/>
  <c r="G3617" i="25"/>
  <c r="G3632" i="25"/>
  <c r="G3647" i="25"/>
  <c r="G3661" i="25"/>
  <c r="G3675" i="25"/>
  <c r="G3689" i="25"/>
  <c r="G3703" i="25"/>
  <c r="G3718" i="25"/>
  <c r="G3732" i="25"/>
  <c r="G3746" i="25"/>
  <c r="G3760" i="25"/>
  <c r="G3774" i="25"/>
  <c r="G3790" i="25"/>
  <c r="G3804" i="25"/>
  <c r="G3818" i="25"/>
  <c r="G3832" i="25"/>
  <c r="G3846" i="25"/>
  <c r="G3860" i="25"/>
  <c r="G3875" i="25"/>
  <c r="G3889" i="25"/>
  <c r="G3903" i="25"/>
  <c r="G3917" i="25"/>
  <c r="G3931" i="25"/>
  <c r="G3947" i="25"/>
  <c r="G3961" i="25"/>
  <c r="G3975" i="25"/>
  <c r="G3989" i="25"/>
  <c r="G4003" i="25"/>
  <c r="G4018" i="25"/>
  <c r="G4032" i="25"/>
  <c r="G4046" i="25"/>
  <c r="G4060" i="25"/>
  <c r="G4074" i="25"/>
  <c r="G4088" i="25"/>
  <c r="G4104" i="25"/>
  <c r="G4118" i="25"/>
  <c r="G4132" i="25"/>
  <c r="G4146" i="25"/>
  <c r="G4160" i="25"/>
  <c r="G4175" i="25"/>
  <c r="G4189" i="25"/>
  <c r="G4203" i="25"/>
  <c r="G4217" i="25"/>
  <c r="G4231" i="25"/>
  <c r="G4246" i="25"/>
  <c r="G4261" i="25"/>
  <c r="G4275" i="25"/>
  <c r="G4289" i="25"/>
  <c r="G4303" i="25"/>
  <c r="G4318" i="25"/>
  <c r="G4332" i="25"/>
  <c r="G4346" i="25"/>
  <c r="G4360" i="25"/>
  <c r="G4374" i="25"/>
  <c r="G4388" i="25"/>
  <c r="G4403" i="25"/>
  <c r="G4418" i="25"/>
  <c r="G4432" i="25"/>
  <c r="G4445" i="25"/>
  <c r="G4458" i="25"/>
  <c r="G4471" i="25"/>
  <c r="G4484" i="25"/>
  <c r="G4497" i="25"/>
  <c r="G4510" i="25"/>
  <c r="G4523" i="25"/>
  <c r="G4536" i="25"/>
  <c r="G4549" i="25"/>
  <c r="G4563" i="25"/>
  <c r="G4576" i="25"/>
  <c r="G4589" i="25"/>
  <c r="G4602" i="25"/>
  <c r="G4615" i="25"/>
  <c r="G4628" i="25"/>
  <c r="G4641" i="25"/>
  <c r="G4654" i="25"/>
  <c r="G4667" i="25"/>
  <c r="G4680" i="25"/>
  <c r="G4693" i="25"/>
  <c r="G4707" i="25"/>
  <c r="G4720" i="25"/>
  <c r="G4733" i="25"/>
  <c r="G4746" i="25"/>
  <c r="G4759" i="25"/>
  <c r="G4772" i="25"/>
  <c r="G4785" i="25"/>
  <c r="G4798" i="25"/>
  <c r="G4811" i="25"/>
  <c r="G4824" i="25"/>
  <c r="G4837" i="25"/>
  <c r="G4851" i="25"/>
  <c r="G4864" i="25"/>
  <c r="G4877" i="25"/>
  <c r="G4890" i="25"/>
  <c r="G4903" i="25"/>
  <c r="G4916" i="25"/>
  <c r="G4929" i="25"/>
  <c r="G4942" i="25"/>
  <c r="G4955" i="25"/>
  <c r="G4968" i="25"/>
  <c r="G4981" i="25"/>
  <c r="G4995" i="25"/>
  <c r="G5008" i="25"/>
  <c r="G5021" i="25"/>
  <c r="G5034" i="25"/>
  <c r="G5047" i="25"/>
  <c r="G5060" i="25"/>
  <c r="G5073" i="25"/>
  <c r="G5086" i="25"/>
  <c r="G5099" i="25"/>
  <c r="G5112" i="25"/>
  <c r="G5125" i="25"/>
  <c r="G5139" i="25"/>
  <c r="G5152" i="25"/>
  <c r="G5165" i="25"/>
  <c r="G5178" i="25"/>
  <c r="G5191" i="25"/>
  <c r="G5204" i="25"/>
  <c r="G5217" i="25"/>
  <c r="G5230" i="25"/>
  <c r="G5243" i="25"/>
  <c r="G5256" i="25"/>
  <c r="G5269" i="25"/>
  <c r="G5283" i="25"/>
  <c r="G5296" i="25"/>
  <c r="G5309" i="25"/>
  <c r="G5322" i="25"/>
  <c r="G5335" i="25"/>
  <c r="G5348" i="25"/>
  <c r="G5361" i="25"/>
  <c r="G5374" i="25"/>
  <c r="G5387" i="25"/>
  <c r="G5400" i="25"/>
  <c r="G5413" i="25"/>
  <c r="G5427" i="25"/>
  <c r="G5440" i="25"/>
  <c r="G5453" i="25"/>
  <c r="G5466" i="25"/>
  <c r="G5479" i="25"/>
  <c r="G5492" i="25"/>
  <c r="G5505" i="25"/>
  <c r="G5518" i="25"/>
  <c r="G5531" i="25"/>
  <c r="G5544" i="25"/>
  <c r="G5557" i="25"/>
  <c r="G5571" i="25"/>
  <c r="G5584" i="25"/>
  <c r="G5597" i="25"/>
  <c r="G5610" i="25"/>
  <c r="G5623" i="25"/>
  <c r="G5636" i="25"/>
  <c r="G5649" i="25"/>
  <c r="G5662" i="25"/>
  <c r="G5675" i="25"/>
  <c r="G5688" i="25"/>
  <c r="G5701" i="25"/>
  <c r="G5715" i="25"/>
  <c r="G5728" i="25"/>
  <c r="G5741" i="25"/>
  <c r="G5754" i="25"/>
  <c r="G5767" i="25"/>
  <c r="G5780" i="25"/>
  <c r="G5793" i="25"/>
  <c r="G5806" i="25"/>
  <c r="G5819" i="25"/>
  <c r="G5832" i="25"/>
  <c r="G5845" i="25"/>
  <c r="G5859" i="25"/>
  <c r="G5872" i="25"/>
  <c r="G5885" i="25"/>
  <c r="G5898" i="25"/>
  <c r="G5911" i="25"/>
  <c r="G5924" i="25"/>
  <c r="G5937" i="25"/>
  <c r="G5950" i="25"/>
  <c r="G5963" i="25"/>
  <c r="G5976" i="25"/>
  <c r="G5989" i="25"/>
  <c r="G6003" i="25"/>
  <c r="G6016" i="25"/>
  <c r="G6029" i="25"/>
  <c r="G6042" i="25"/>
  <c r="G6055" i="25"/>
  <c r="G6068" i="25"/>
  <c r="G6081" i="25"/>
  <c r="G6094" i="25"/>
  <c r="G6107" i="25"/>
  <c r="G6120" i="25"/>
  <c r="G6133" i="25"/>
  <c r="G6147" i="25"/>
  <c r="G6160" i="25"/>
  <c r="G6173" i="25"/>
  <c r="G6186" i="25"/>
  <c r="G6199" i="25"/>
  <c r="G6212" i="25"/>
  <c r="G6225" i="25"/>
  <c r="G6238" i="25"/>
  <c r="G6251" i="25"/>
  <c r="G6264" i="25"/>
  <c r="G6277" i="25"/>
  <c r="G6291" i="25"/>
  <c r="G6304" i="25"/>
  <c r="G6317" i="25"/>
  <c r="G6330" i="25"/>
  <c r="G6343" i="25"/>
  <c r="G6356" i="25"/>
  <c r="G6369" i="25"/>
  <c r="G6382" i="25"/>
  <c r="G6395" i="25"/>
  <c r="G6408" i="25"/>
  <c r="G6421" i="25"/>
  <c r="G6435" i="25"/>
  <c r="G6448" i="25"/>
  <c r="G6461" i="25"/>
  <c r="G6474" i="25"/>
  <c r="G6487" i="25"/>
  <c r="G6500" i="25"/>
  <c r="G6513" i="25"/>
  <c r="G6526" i="25"/>
  <c r="G6539" i="25"/>
  <c r="G6552" i="25"/>
  <c r="G6565" i="25"/>
  <c r="G6579" i="25"/>
  <c r="G6592" i="25"/>
  <c r="G6605" i="25"/>
  <c r="G6618" i="25"/>
  <c r="G6631" i="25"/>
  <c r="G6644" i="25"/>
  <c r="G6657" i="25"/>
  <c r="G6670" i="25"/>
  <c r="G6683" i="25"/>
  <c r="G6696" i="25"/>
  <c r="G6709" i="25"/>
  <c r="G6723" i="25"/>
  <c r="G6736" i="25"/>
  <c r="G6749" i="25"/>
  <c r="G6762" i="25"/>
  <c r="G6775" i="25"/>
  <c r="G6788" i="25"/>
  <c r="G6801" i="25"/>
  <c r="G6814" i="25"/>
  <c r="G6827" i="25"/>
  <c r="G6840" i="25"/>
  <c r="G6853" i="25"/>
  <c r="G6867" i="25"/>
  <c r="G6880" i="25"/>
  <c r="G6893" i="25"/>
  <c r="G6906" i="25"/>
  <c r="G6919" i="25"/>
  <c r="G6932" i="25"/>
  <c r="G6945" i="25"/>
  <c r="G6958" i="25"/>
  <c r="G6971" i="25"/>
  <c r="G6984" i="25"/>
  <c r="G6997" i="25"/>
  <c r="G7011" i="25"/>
  <c r="G7024" i="25"/>
  <c r="G7037" i="25"/>
  <c r="G7050" i="25"/>
  <c r="G7063" i="25"/>
  <c r="G7076" i="25"/>
  <c r="G7089" i="25"/>
  <c r="G7102" i="25"/>
  <c r="G7115" i="25"/>
  <c r="G7128" i="25"/>
  <c r="G7141" i="25"/>
  <c r="G7155" i="25"/>
  <c r="G7168" i="25"/>
  <c r="G7181" i="25"/>
  <c r="G7194" i="25"/>
  <c r="G7207" i="25"/>
  <c r="G7220" i="25"/>
  <c r="G7233" i="25"/>
  <c r="G7246" i="25"/>
  <c r="G7259" i="25"/>
  <c r="G7272" i="25"/>
  <c r="G7285" i="25"/>
  <c r="G7299" i="25"/>
  <c r="G7312" i="25"/>
  <c r="G7325" i="25"/>
  <c r="G7338" i="25"/>
  <c r="G7351" i="25"/>
  <c r="G7364" i="25"/>
  <c r="G7377" i="25"/>
  <c r="G7390" i="25"/>
  <c r="G7403" i="25"/>
  <c r="G7416" i="25"/>
  <c r="G7429" i="25"/>
  <c r="G7443" i="25"/>
  <c r="G7456" i="25"/>
  <c r="G7469" i="25"/>
  <c r="G7482" i="25"/>
  <c r="G7495" i="25"/>
  <c r="G7508" i="25"/>
  <c r="G7521" i="25"/>
  <c r="G7534" i="25"/>
  <c r="G7547" i="25"/>
  <c r="G7560" i="25"/>
  <c r="G7573" i="25"/>
  <c r="G7587" i="25"/>
  <c r="G7600" i="25"/>
  <c r="G7613" i="25"/>
  <c r="G7626" i="25"/>
  <c r="G7639" i="25"/>
  <c r="G7652" i="25"/>
  <c r="G7665" i="25"/>
  <c r="G7678" i="25"/>
  <c r="G7691" i="25"/>
  <c r="G7704" i="25"/>
  <c r="G7717" i="25"/>
  <c r="G7731" i="25"/>
  <c r="G7744" i="25"/>
  <c r="G7757" i="25"/>
  <c r="G7770" i="25"/>
  <c r="G7783" i="25"/>
  <c r="G7796" i="25"/>
  <c r="G7809" i="25"/>
  <c r="G7822" i="25"/>
  <c r="G7835" i="25"/>
  <c r="G7848" i="25"/>
  <c r="G7861" i="25"/>
  <c r="G7875" i="25"/>
  <c r="G7888" i="25"/>
  <c r="G7901" i="25"/>
  <c r="G7914" i="25"/>
  <c r="G7927" i="25"/>
  <c r="G7940" i="25"/>
  <c r="G7953" i="25"/>
  <c r="G7966" i="25"/>
  <c r="G7979" i="25"/>
  <c r="G7992" i="25"/>
  <c r="G8005" i="25"/>
  <c r="G8019" i="25"/>
  <c r="G8032" i="25"/>
  <c r="G8045" i="25"/>
  <c r="G8058" i="25"/>
  <c r="G8071" i="25"/>
  <c r="G8084" i="25"/>
  <c r="G8097" i="25"/>
  <c r="G8110" i="25"/>
  <c r="G8123" i="25"/>
  <c r="G8136" i="25"/>
  <c r="G8149" i="25"/>
  <c r="G8163" i="25"/>
  <c r="G8176" i="25"/>
  <c r="G8189" i="25"/>
  <c r="G8202" i="25"/>
  <c r="G8215" i="25"/>
  <c r="G8228" i="25"/>
  <c r="G8241" i="25"/>
  <c r="G8254" i="25"/>
  <c r="G8267" i="25"/>
  <c r="G8280" i="25"/>
  <c r="G8293" i="25"/>
  <c r="G8307" i="25"/>
  <c r="G8320" i="25"/>
  <c r="G8333" i="25"/>
  <c r="G8346" i="25"/>
  <c r="G8359" i="25"/>
  <c r="G8372" i="25"/>
  <c r="G8385" i="25"/>
  <c r="G8398" i="25"/>
  <c r="G8411" i="25"/>
  <c r="G8424" i="25"/>
  <c r="G8437" i="25"/>
  <c r="G8451" i="25"/>
  <c r="G8464" i="25"/>
  <c r="G8477" i="25"/>
  <c r="G8490" i="25"/>
  <c r="G8503" i="25"/>
  <c r="G8516" i="25"/>
  <c r="G8529" i="25"/>
  <c r="G8542" i="25"/>
  <c r="G8555" i="25"/>
  <c r="G8568" i="25"/>
  <c r="G8581" i="25"/>
  <c r="G8595" i="25"/>
  <c r="G8608" i="25"/>
  <c r="G8621" i="25"/>
  <c r="G8634" i="25"/>
  <c r="G8647" i="25"/>
  <c r="G8660" i="25"/>
  <c r="G8673" i="25"/>
  <c r="G8686" i="25"/>
  <c r="G8699" i="25"/>
  <c r="G8712" i="25"/>
  <c r="G8725" i="25"/>
  <c r="G8739" i="25"/>
  <c r="G8752" i="25"/>
  <c r="G8765" i="25"/>
  <c r="G8778" i="25"/>
  <c r="G8791" i="25"/>
  <c r="G8804" i="25"/>
  <c r="G8817" i="25"/>
  <c r="G8830" i="25"/>
  <c r="G8843" i="25"/>
  <c r="G8856" i="25"/>
  <c r="G8869" i="25"/>
  <c r="G8881" i="25"/>
  <c r="G8893" i="25"/>
  <c r="G8905" i="25"/>
  <c r="G8917" i="25"/>
  <c r="G8929" i="25"/>
  <c r="G8941" i="25"/>
  <c r="G8953" i="25"/>
  <c r="G8965" i="25"/>
  <c r="G8977" i="25"/>
  <c r="G8989" i="25"/>
  <c r="G9001" i="25"/>
  <c r="G9013" i="25"/>
  <c r="G9025" i="25"/>
  <c r="G9037" i="25"/>
  <c r="G9049" i="25"/>
  <c r="G9061" i="25"/>
  <c r="G9073" i="25"/>
  <c r="G9085" i="25"/>
  <c r="G9097" i="25"/>
  <c r="G12" i="25"/>
  <c r="G32" i="25"/>
  <c r="G54" i="25"/>
  <c r="G76" i="25"/>
  <c r="G98" i="25"/>
  <c r="G122" i="25"/>
  <c r="G144" i="25"/>
  <c r="G167" i="25"/>
  <c r="G186" i="25"/>
  <c r="G208" i="25"/>
  <c r="G233" i="25"/>
  <c r="G255" i="25"/>
  <c r="G276" i="25"/>
  <c r="G299" i="25"/>
  <c r="G322" i="25"/>
  <c r="G343" i="25"/>
  <c r="G367" i="25"/>
  <c r="G388" i="25"/>
  <c r="G409" i="25"/>
  <c r="G431" i="25"/>
  <c r="G456" i="25"/>
  <c r="G479" i="25"/>
  <c r="G498" i="25"/>
  <c r="G522" i="25"/>
  <c r="G543" i="25"/>
  <c r="G566" i="25"/>
  <c r="G589" i="25"/>
  <c r="G611" i="25"/>
  <c r="G631" i="25"/>
  <c r="G654" i="25"/>
  <c r="G679" i="25"/>
  <c r="G700" i="25"/>
  <c r="G722" i="25"/>
  <c r="G744" i="25"/>
  <c r="G766" i="25"/>
  <c r="G790" i="25"/>
  <c r="G811" i="25"/>
  <c r="G833" i="25"/>
  <c r="G854" i="25"/>
  <c r="G876" i="25"/>
  <c r="G901" i="25"/>
  <c r="G923" i="25"/>
  <c r="G944" i="25"/>
  <c r="G966" i="25"/>
  <c r="G986" i="25"/>
  <c r="G1012" i="25"/>
  <c r="G1032" i="25"/>
  <c r="G1053" i="25"/>
  <c r="G1071" i="25"/>
  <c r="G1093" i="25"/>
  <c r="G1114" i="25"/>
  <c r="G1132" i="25"/>
  <c r="G1151" i="25"/>
  <c r="G1168" i="25"/>
  <c r="G1187" i="25"/>
  <c r="G1208" i="25"/>
  <c r="G1226" i="25"/>
  <c r="G1244" i="25"/>
  <c r="G1263" i="25"/>
  <c r="G1281" i="25"/>
  <c r="G1300" i="25"/>
  <c r="G1320" i="25"/>
  <c r="G1337" i="25"/>
  <c r="G1356" i="25"/>
  <c r="G1373" i="25"/>
  <c r="G1395" i="25"/>
  <c r="G1413" i="25"/>
  <c r="G1430" i="25"/>
  <c r="G1450" i="25"/>
  <c r="G1467" i="25"/>
  <c r="G1488" i="25"/>
  <c r="G1506" i="25"/>
  <c r="G1525" i="25"/>
  <c r="G1542" i="25"/>
  <c r="G1560" i="25"/>
  <c r="G1582" i="25"/>
  <c r="G1599" i="25"/>
  <c r="G1618" i="25"/>
  <c r="G1636" i="25"/>
  <c r="G1654" i="25"/>
  <c r="G1674" i="25"/>
  <c r="G1693" i="25"/>
  <c r="G1712" i="25"/>
  <c r="G1729" i="25"/>
  <c r="G1749" i="25"/>
  <c r="G1768" i="25"/>
  <c r="G1787" i="25"/>
  <c r="G1805" i="25"/>
  <c r="G1823" i="25"/>
  <c r="G1841" i="25"/>
  <c r="G1862" i="25"/>
  <c r="G1881" i="25"/>
  <c r="G1898" i="25"/>
  <c r="G1916" i="25"/>
  <c r="G1935" i="25"/>
  <c r="G1955" i="25"/>
  <c r="G1973" i="25"/>
  <c r="G1992" i="25"/>
  <c r="G2010" i="25"/>
  <c r="G2028" i="25"/>
  <c r="G2050" i="25"/>
  <c r="G2067" i="25"/>
  <c r="G2085" i="25"/>
  <c r="G2103" i="25"/>
  <c r="G2122" i="25"/>
  <c r="G2142" i="25"/>
  <c r="G2160" i="25"/>
  <c r="G2180" i="25"/>
  <c r="G2197" i="25"/>
  <c r="G2214" i="25"/>
  <c r="G2234" i="25"/>
  <c r="G2250" i="25"/>
  <c r="G2267" i="25"/>
  <c r="G2284" i="25"/>
  <c r="G2300" i="25"/>
  <c r="G2319" i="25"/>
  <c r="G2336" i="25"/>
  <c r="G2353" i="25"/>
  <c r="G2369" i="25"/>
  <c r="G2386" i="25"/>
  <c r="G2405" i="25"/>
  <c r="G2422" i="25"/>
  <c r="G2438" i="25"/>
  <c r="G2455" i="25"/>
  <c r="G2472" i="25"/>
  <c r="G2490" i="25"/>
  <c r="G2508" i="25"/>
  <c r="G2524" i="25"/>
  <c r="G2540" i="25"/>
  <c r="G2557" i="25"/>
  <c r="G2576" i="25"/>
  <c r="G2593" i="25"/>
  <c r="G2609" i="25"/>
  <c r="G2627" i="25"/>
  <c r="G2643" i="25"/>
  <c r="G2662" i="25"/>
  <c r="G2679" i="25"/>
  <c r="G2695" i="25"/>
  <c r="G2712" i="25"/>
  <c r="G2729" i="25"/>
  <c r="G2748" i="25"/>
  <c r="G2764" i="25"/>
  <c r="G2782" i="25"/>
  <c r="G2798" i="25"/>
  <c r="G2814" i="25"/>
  <c r="G2834" i="25"/>
  <c r="G2850" i="25"/>
  <c r="G2867" i="25"/>
  <c r="G2883" i="25"/>
  <c r="G2900" i="25"/>
  <c r="G2919" i="25"/>
  <c r="G2935" i="25"/>
  <c r="G2953" i="25"/>
  <c r="G2969" i="25"/>
  <c r="G2986" i="25"/>
  <c r="G3005" i="25"/>
  <c r="G3022" i="25"/>
  <c r="G3038" i="25"/>
  <c r="G3054" i="25"/>
  <c r="G3072" i="25"/>
  <c r="G3090" i="25"/>
  <c r="G3107" i="25"/>
  <c r="G3124" i="25"/>
  <c r="G3140" i="25"/>
  <c r="G3157" i="25"/>
  <c r="G3176" i="25"/>
  <c r="G3193" i="25"/>
  <c r="G3209" i="25"/>
  <c r="G3227" i="25"/>
  <c r="G3243" i="25"/>
  <c r="G3262" i="25"/>
  <c r="G3279" i="25"/>
  <c r="G3295" i="25"/>
  <c r="G3312" i="25"/>
  <c r="G3328" i="25"/>
  <c r="G3348" i="25"/>
  <c r="G3364" i="25"/>
  <c r="G3380" i="25"/>
  <c r="G3398" i="25"/>
  <c r="G3414" i="25"/>
  <c r="G3433" i="25"/>
  <c r="G3450" i="25"/>
  <c r="G3467" i="25"/>
  <c r="G3483" i="25"/>
  <c r="G3499" i="25"/>
  <c r="G3519" i="25"/>
  <c r="G3535" i="25"/>
  <c r="G3552" i="25"/>
  <c r="G3569" i="25"/>
  <c r="G3586" i="25"/>
  <c r="G3604" i="25"/>
  <c r="G3622" i="25"/>
  <c r="G3638" i="25"/>
  <c r="G3654" i="25"/>
  <c r="G3672" i="25"/>
  <c r="G3690" i="25"/>
  <c r="G3707" i="25"/>
  <c r="G3724" i="25"/>
  <c r="G3740" i="25"/>
  <c r="G3757" i="25"/>
  <c r="G3776" i="25"/>
  <c r="G3793" i="25"/>
  <c r="G3809" i="25"/>
  <c r="G3826" i="25"/>
  <c r="G3843" i="25"/>
  <c r="G3862" i="25"/>
  <c r="G3878" i="25"/>
  <c r="G3895" i="25"/>
  <c r="G3912" i="25"/>
  <c r="G3928" i="25"/>
  <c r="G3948" i="25"/>
  <c r="G3964" i="25"/>
  <c r="G3980" i="25"/>
  <c r="G3997" i="25"/>
  <c r="G4014" i="25"/>
  <c r="G4033" i="25"/>
  <c r="G4049" i="25"/>
  <c r="G4067" i="25"/>
  <c r="G4083" i="25"/>
  <c r="G4099" i="25"/>
  <c r="G4119" i="25"/>
  <c r="G4135" i="25"/>
  <c r="G4152" i="25"/>
  <c r="G4169" i="25"/>
  <c r="G4186" i="25"/>
  <c r="G4204" i="25"/>
  <c r="G4222" i="25"/>
  <c r="G4238" i="25"/>
  <c r="G4254" i="25"/>
  <c r="G4271" i="25"/>
  <c r="G4290" i="25"/>
  <c r="G4307" i="25"/>
  <c r="G4323" i="25"/>
  <c r="G4340" i="25"/>
  <c r="G4357" i="25"/>
  <c r="G4375" i="25"/>
  <c r="G4393" i="25"/>
  <c r="G4409" i="25"/>
  <c r="G4426" i="25"/>
  <c r="G4441" i="25"/>
  <c r="G4459" i="25"/>
  <c r="G4474" i="25"/>
  <c r="G4489" i="25"/>
  <c r="G4505" i="25"/>
  <c r="G4520" i="25"/>
  <c r="G4537" i="25"/>
  <c r="G4553" i="25"/>
  <c r="G4568" i="25"/>
  <c r="G4583" i="25"/>
  <c r="G4599" i="25"/>
  <c r="G4616" i="25"/>
  <c r="G4631" i="25"/>
  <c r="G4647" i="25"/>
  <c r="G4662" i="25"/>
  <c r="G4677" i="25"/>
  <c r="G4695" i="25"/>
  <c r="G4710" i="25"/>
  <c r="G4725" i="25"/>
  <c r="G4740" i="25"/>
  <c r="G4756" i="25"/>
  <c r="G4773" i="25"/>
  <c r="G4788" i="25"/>
  <c r="G4804" i="25"/>
  <c r="G4819" i="25"/>
  <c r="G4834" i="25"/>
  <c r="G4852" i="25"/>
  <c r="G4867" i="25"/>
  <c r="G4882" i="25"/>
  <c r="G4897" i="25"/>
  <c r="G4913" i="25"/>
  <c r="G4930" i="25"/>
  <c r="G4945" i="25"/>
  <c r="G4961" i="25"/>
  <c r="G4976" i="25"/>
  <c r="G4991" i="25"/>
  <c r="G5009" i="25"/>
  <c r="G5024" i="25"/>
  <c r="G5039" i="25"/>
  <c r="G5055" i="25"/>
  <c r="G5070" i="25"/>
  <c r="G5087" i="25"/>
  <c r="G5103" i="25"/>
  <c r="G5118" i="25"/>
  <c r="G5133" i="25"/>
  <c r="G5148" i="25"/>
  <c r="G5166" i="25"/>
  <c r="G5181" i="25"/>
  <c r="G5196" i="25"/>
  <c r="G5212" i="25"/>
  <c r="G5227" i="25"/>
  <c r="G5244" i="25"/>
  <c r="G5260" i="25"/>
  <c r="G5275" i="25"/>
  <c r="G5290" i="25"/>
  <c r="G5305" i="25"/>
  <c r="G5323" i="25"/>
  <c r="G5338" i="25"/>
  <c r="G5353" i="25"/>
  <c r="G5369" i="25"/>
  <c r="G5384" i="25"/>
  <c r="G5401" i="25"/>
  <c r="G5417" i="25"/>
  <c r="G5432" i="25"/>
  <c r="G5447" i="25"/>
  <c r="G5463" i="25"/>
  <c r="G5480" i="25"/>
  <c r="G5495" i="25"/>
  <c r="G5511" i="25"/>
  <c r="G5526" i="25"/>
  <c r="G5541" i="25"/>
  <c r="G5559" i="25"/>
  <c r="G5574" i="25"/>
  <c r="G5589" i="25"/>
  <c r="G5604" i="25"/>
  <c r="G5620" i="25"/>
  <c r="G5637" i="25"/>
  <c r="G5652" i="25"/>
  <c r="G5668" i="25"/>
  <c r="G5683" i="25"/>
  <c r="G5698" i="25"/>
  <c r="G5716" i="25"/>
  <c r="G5731" i="25"/>
  <c r="G5746" i="25"/>
  <c r="G5761" i="25"/>
  <c r="G5777" i="25"/>
  <c r="G5794" i="25"/>
  <c r="G5809" i="25"/>
  <c r="G5825" i="25"/>
  <c r="G5840" i="25"/>
  <c r="G5855" i="25"/>
  <c r="G5873" i="25"/>
  <c r="G5888" i="25"/>
  <c r="G5903" i="25"/>
  <c r="G5919" i="25"/>
  <c r="G5934" i="25"/>
  <c r="G5951" i="25"/>
  <c r="G5967" i="25"/>
  <c r="G5982" i="25"/>
  <c r="G5997" i="25"/>
  <c r="G6012" i="25"/>
  <c r="G6030" i="25"/>
  <c r="G6045" i="25"/>
  <c r="G6060" i="25"/>
  <c r="G6076" i="25"/>
  <c r="G6091" i="25"/>
  <c r="G6108" i="25"/>
  <c r="G6124" i="25"/>
  <c r="G6139" i="25"/>
  <c r="G6154" i="25"/>
  <c r="G6169" i="25"/>
  <c r="G6187" i="25"/>
  <c r="G6202" i="25"/>
  <c r="G6217" i="25"/>
  <c r="G6233" i="25"/>
  <c r="G6248" i="25"/>
  <c r="G6265" i="25"/>
  <c r="G6281" i="25"/>
  <c r="G6296" i="25"/>
  <c r="G6311" i="25"/>
  <c r="G6327" i="25"/>
  <c r="G6344" i="25"/>
  <c r="G6359" i="25"/>
  <c r="G6375" i="25"/>
  <c r="G6390" i="25"/>
  <c r="G6405" i="25"/>
  <c r="G6423" i="25"/>
  <c r="G6438" i="25"/>
  <c r="G6453" i="25"/>
  <c r="G6468" i="25"/>
  <c r="G6484" i="25"/>
  <c r="G6501" i="25"/>
  <c r="G6516" i="25"/>
  <c r="G6532" i="25"/>
  <c r="G6547" i="25"/>
  <c r="G6562" i="25"/>
  <c r="G6580" i="25"/>
  <c r="G6595" i="25"/>
  <c r="G6610" i="25"/>
  <c r="G6625" i="25"/>
  <c r="G6641" i="25"/>
  <c r="G6658" i="25"/>
  <c r="G6673" i="25"/>
  <c r="G6689" i="25"/>
  <c r="G6704" i="25"/>
  <c r="G6719" i="25"/>
  <c r="G6737" i="25"/>
  <c r="G6752" i="25"/>
  <c r="G6767" i="25"/>
  <c r="G6783" i="25"/>
  <c r="G6798" i="25"/>
  <c r="G6815" i="25"/>
  <c r="G6831" i="25"/>
  <c r="G6846" i="25"/>
  <c r="G6861" i="25"/>
  <c r="G6876" i="25"/>
  <c r="G6894" i="25"/>
  <c r="G6909" i="25"/>
  <c r="G6924" i="25"/>
  <c r="G6940" i="25"/>
  <c r="G6955" i="25"/>
  <c r="G6972" i="25"/>
  <c r="G6988" i="25"/>
  <c r="G7003" i="25"/>
  <c r="G7018" i="25"/>
  <c r="G7033" i="25"/>
  <c r="G7051" i="25"/>
  <c r="G7066" i="25"/>
  <c r="G7081" i="25"/>
  <c r="G7097" i="25"/>
  <c r="G7112" i="25"/>
  <c r="G7129" i="25"/>
  <c r="G7145" i="25"/>
  <c r="G7160" i="25"/>
  <c r="G7175" i="25"/>
  <c r="G7191" i="25"/>
  <c r="G7208" i="25"/>
  <c r="G7223" i="25"/>
  <c r="G7239" i="25"/>
  <c r="G7254" i="25"/>
  <c r="G7269" i="25"/>
  <c r="G7287" i="25"/>
  <c r="G7302" i="25"/>
  <c r="G7317" i="25"/>
  <c r="G7332" i="25"/>
  <c r="G7348" i="25"/>
  <c r="G7365" i="25"/>
  <c r="G7380" i="25"/>
  <c r="G7396" i="25"/>
  <c r="G7411" i="25"/>
  <c r="G7426" i="25"/>
  <c r="G7444" i="25"/>
  <c r="G7459" i="25"/>
  <c r="G7474" i="25"/>
  <c r="G7489" i="25"/>
  <c r="G7505" i="25"/>
  <c r="G7522" i="25"/>
  <c r="G7537" i="25"/>
  <c r="G7553" i="25"/>
  <c r="G7568" i="25"/>
  <c r="G7583" i="25"/>
  <c r="G7601" i="25"/>
  <c r="G7616" i="25"/>
  <c r="G7631" i="25"/>
  <c r="G7647" i="25"/>
  <c r="G7662" i="25"/>
  <c r="G7679" i="25"/>
  <c r="G7695" i="25"/>
  <c r="G7710" i="25"/>
  <c r="G7725" i="25"/>
  <c r="G7740" i="25"/>
  <c r="G7758" i="25"/>
  <c r="G7773" i="25"/>
  <c r="G7788" i="25"/>
  <c r="G7804" i="25"/>
  <c r="G7819" i="25"/>
  <c r="G7836" i="25"/>
  <c r="G7852" i="25"/>
  <c r="G7867" i="25"/>
  <c r="G7882" i="25"/>
  <c r="G7897" i="25"/>
  <c r="G7915" i="25"/>
  <c r="G7930" i="25"/>
  <c r="G7945" i="25"/>
  <c r="G7961" i="25"/>
  <c r="G7976" i="25"/>
  <c r="G7993" i="25"/>
  <c r="G8009" i="25"/>
  <c r="G8024" i="25"/>
  <c r="G8039" i="25"/>
  <c r="G8055" i="25"/>
  <c r="G8072" i="25"/>
  <c r="G8087" i="25"/>
  <c r="G8103" i="25"/>
  <c r="G8118" i="25"/>
  <c r="G8133" i="25"/>
  <c r="G8151" i="25"/>
  <c r="G8166" i="25"/>
  <c r="G8181" i="25"/>
  <c r="G8196" i="25"/>
  <c r="G8212" i="25"/>
  <c r="G8229" i="25"/>
  <c r="G8244" i="25"/>
  <c r="G8260" i="25"/>
  <c r="G8275" i="25"/>
  <c r="G8290" i="25"/>
  <c r="G8308" i="25"/>
  <c r="G8323" i="25"/>
  <c r="G8338" i="25"/>
  <c r="G8353" i="25"/>
  <c r="G8369" i="25"/>
  <c r="G8386" i="25"/>
  <c r="G8401" i="25"/>
  <c r="G8417" i="25"/>
  <c r="G8432" i="25"/>
  <c r="G8447" i="25"/>
  <c r="G8465" i="25"/>
  <c r="G8480" i="25"/>
  <c r="G8495" i="25"/>
  <c r="G8511" i="25"/>
  <c r="G8526" i="25"/>
  <c r="G8543" i="25"/>
  <c r="G8559" i="25"/>
  <c r="G8574" i="25"/>
  <c r="G8589" i="25"/>
  <c r="G8604" i="25"/>
  <c r="G8622" i="25"/>
  <c r="G8637" i="25"/>
  <c r="G8652" i="25"/>
  <c r="G8668" i="25"/>
  <c r="G8683" i="25"/>
  <c r="G8700" i="25"/>
  <c r="G8716" i="25"/>
  <c r="G8731" i="25"/>
  <c r="G8746" i="25"/>
  <c r="G8761" i="25"/>
  <c r="G8779" i="25"/>
  <c r="G8794" i="25"/>
  <c r="G8809" i="25"/>
  <c r="G8825" i="25"/>
  <c r="G8840" i="25"/>
  <c r="G8857" i="25"/>
  <c r="G8872" i="25"/>
  <c r="G8886" i="25"/>
  <c r="G8900" i="25"/>
  <c r="G8914" i="25"/>
  <c r="G8930" i="25"/>
  <c r="G8944" i="25"/>
  <c r="G8958" i="25"/>
  <c r="G8972" i="25"/>
  <c r="G8986" i="25"/>
  <c r="G9002" i="25"/>
  <c r="G9016" i="25"/>
  <c r="G9030" i="25"/>
  <c r="G9044" i="25"/>
  <c r="G9058" i="25"/>
  <c r="G9074" i="25"/>
  <c r="G9088" i="25"/>
  <c r="G9102" i="25"/>
  <c r="G9115" i="25"/>
  <c r="G9128" i="25"/>
  <c r="G9141" i="25"/>
  <c r="G9154" i="25"/>
  <c r="G9167" i="25"/>
  <c r="G9181" i="25"/>
  <c r="G9194" i="25"/>
  <c r="G9207" i="25"/>
  <c r="G9220" i="25"/>
  <c r="G9233" i="25"/>
  <c r="G9246" i="25"/>
  <c r="G9259" i="25"/>
  <c r="G9272" i="25"/>
  <c r="G9285" i="25"/>
  <c r="G9298" i="25"/>
  <c r="G9311" i="25"/>
  <c r="G9325" i="25"/>
  <c r="G9338" i="25"/>
  <c r="G9351" i="25"/>
  <c r="G9364" i="25"/>
  <c r="G9377" i="25"/>
  <c r="G9390" i="25"/>
  <c r="G9403" i="25"/>
  <c r="G9416" i="25"/>
  <c r="G9429" i="25"/>
  <c r="G9442" i="25"/>
  <c r="G9455" i="25"/>
  <c r="G9469" i="25"/>
  <c r="G9482" i="25"/>
  <c r="G9495" i="25"/>
  <c r="G9508" i="25"/>
  <c r="G9521" i="25"/>
  <c r="G9534" i="25"/>
  <c r="G9547" i="25"/>
  <c r="G9560" i="25"/>
  <c r="G9573" i="25"/>
  <c r="G9586" i="25"/>
  <c r="G9599" i="25"/>
  <c r="G9613" i="25"/>
  <c r="G9626" i="25"/>
  <c r="G9639" i="25"/>
  <c r="G9652" i="25"/>
  <c r="G9665" i="25"/>
  <c r="G9678" i="25"/>
  <c r="G9691" i="25"/>
  <c r="G9704" i="25"/>
  <c r="G9717" i="25"/>
  <c r="G9730" i="25"/>
  <c r="G9743" i="25"/>
  <c r="G9757" i="25"/>
  <c r="G9770" i="25"/>
  <c r="G9783" i="25"/>
  <c r="G9796" i="25"/>
  <c r="G9809" i="25"/>
  <c r="G9822" i="25"/>
  <c r="G9835" i="25"/>
  <c r="G9848" i="25"/>
  <c r="G9861" i="25"/>
  <c r="G9874" i="25"/>
  <c r="G9887" i="25"/>
  <c r="G9901" i="25"/>
  <c r="G9914" i="25"/>
  <c r="G9927" i="25"/>
  <c r="G9940" i="25"/>
  <c r="G9953" i="25"/>
  <c r="G9966" i="25"/>
  <c r="G9979" i="25"/>
  <c r="G9992" i="25"/>
  <c r="G13" i="25"/>
  <c r="G34" i="25"/>
  <c r="G55" i="25"/>
  <c r="G78" i="25"/>
  <c r="G99" i="25"/>
  <c r="G124" i="25"/>
  <c r="G145" i="25"/>
  <c r="G168" i="25"/>
  <c r="G187" i="25"/>
  <c r="G210" i="25"/>
  <c r="G235" i="25"/>
  <c r="G257" i="25"/>
  <c r="G278" i="25"/>
  <c r="G300" i="25"/>
  <c r="G323" i="25"/>
  <c r="G344" i="25"/>
  <c r="G368" i="25"/>
  <c r="G389" i="25"/>
  <c r="G410" i="25"/>
  <c r="G433" i="25"/>
  <c r="G457" i="25"/>
  <c r="G480" i="25"/>
  <c r="G500" i="25"/>
  <c r="G523" i="25"/>
  <c r="G544" i="25"/>
  <c r="G570" i="25"/>
  <c r="G590" i="25"/>
  <c r="G612" i="25"/>
  <c r="G632" i="25"/>
  <c r="G655" i="25"/>
  <c r="G680" i="25"/>
  <c r="G701" i="25"/>
  <c r="G724" i="25"/>
  <c r="G745" i="25"/>
  <c r="G767" i="25"/>
  <c r="G793" i="25"/>
  <c r="G812" i="25"/>
  <c r="G835" i="25"/>
  <c r="G855" i="25"/>
  <c r="G878" i="25"/>
  <c r="G902" i="25"/>
  <c r="G924" i="25"/>
  <c r="G946" i="25"/>
  <c r="G967" i="25"/>
  <c r="G989" i="25"/>
  <c r="G1014" i="25"/>
  <c r="G1035" i="25"/>
  <c r="G1054" i="25"/>
  <c r="G1075" i="25"/>
  <c r="G1094" i="25"/>
  <c r="G1115" i="25"/>
  <c r="G1134" i="25"/>
  <c r="G1152" i="25"/>
  <c r="G1169" i="25"/>
  <c r="G1188" i="25"/>
  <c r="G1209" i="25"/>
  <c r="G1227" i="25"/>
  <c r="G1245" i="25"/>
  <c r="G1264" i="25"/>
  <c r="G1282" i="25"/>
  <c r="G1302" i="25"/>
  <c r="G1321" i="25"/>
  <c r="G1338" i="25"/>
  <c r="G1357" i="25"/>
  <c r="G1374" i="25"/>
  <c r="G1396" i="25"/>
  <c r="G1414" i="25"/>
  <c r="G1431" i="25"/>
  <c r="G1451" i="25"/>
  <c r="G1468" i="25"/>
  <c r="G1489" i="25"/>
  <c r="G1508" i="25"/>
  <c r="G1526" i="25"/>
  <c r="G1544" i="25"/>
  <c r="G1562" i="25"/>
  <c r="G1583" i="25"/>
  <c r="G1600" i="25"/>
  <c r="G1620" i="25"/>
  <c r="G1637" i="25"/>
  <c r="G1656" i="25"/>
  <c r="G1677" i="25"/>
  <c r="G1695" i="25"/>
  <c r="G1713" i="25"/>
  <c r="G1730" i="25"/>
  <c r="G1750" i="25"/>
  <c r="G1769" i="25"/>
  <c r="G1788" i="25"/>
  <c r="G1806" i="25"/>
  <c r="G1824" i="25"/>
  <c r="G1842" i="25"/>
  <c r="G1863" i="25"/>
  <c r="G1882" i="25"/>
  <c r="G1899" i="25"/>
  <c r="G1918" i="25"/>
  <c r="G1936" i="25"/>
  <c r="G1957" i="25"/>
  <c r="G1974" i="25"/>
  <c r="G1993" i="25"/>
  <c r="G2012" i="25"/>
  <c r="G2029" i="25"/>
  <c r="G2051" i="25"/>
  <c r="G2068" i="25"/>
  <c r="G2086" i="25"/>
  <c r="G2105" i="25"/>
  <c r="G2123" i="25"/>
  <c r="G2144" i="25"/>
  <c r="G2162" i="25"/>
  <c r="G2181" i="25"/>
  <c r="G2198" i="25"/>
  <c r="G2215" i="25"/>
  <c r="G2235" i="25"/>
  <c r="G2251" i="25"/>
  <c r="G2268" i="25"/>
  <c r="G2285" i="25"/>
  <c r="G2302" i="25"/>
  <c r="G2320" i="25"/>
  <c r="G2338" i="25"/>
  <c r="G2354" i="25"/>
  <c r="G2370" i="25"/>
  <c r="G2387" i="25"/>
  <c r="G2406" i="25"/>
  <c r="G2423" i="25"/>
  <c r="G2439" i="25"/>
  <c r="G2456" i="25"/>
  <c r="G2473" i="25"/>
  <c r="G2491" i="25"/>
  <c r="G2509" i="25"/>
  <c r="G2525" i="25"/>
  <c r="G2542" i="25"/>
  <c r="G2559" i="25"/>
  <c r="G2578" i="25"/>
  <c r="G2594" i="25"/>
  <c r="G2611" i="25"/>
  <c r="G2628" i="25"/>
  <c r="G2644" i="25"/>
  <c r="G2664" i="25"/>
  <c r="G2680" i="25"/>
  <c r="G2696" i="25"/>
  <c r="G2713" i="25"/>
  <c r="G2730" i="25"/>
  <c r="G2749" i="25"/>
  <c r="G2765" i="25"/>
  <c r="G2783" i="25"/>
  <c r="G2799" i="25"/>
  <c r="G2815" i="25"/>
  <c r="G2835" i="25"/>
  <c r="G2851" i="25"/>
  <c r="G2868" i="25"/>
  <c r="G2884" i="25"/>
  <c r="G2902" i="25"/>
  <c r="G2920" i="25"/>
  <c r="G2936" i="25"/>
  <c r="G2954" i="25"/>
  <c r="G2970" i="25"/>
  <c r="G2987" i="25"/>
  <c r="G3006" i="25"/>
  <c r="G3023" i="25"/>
  <c r="G3039" i="25"/>
  <c r="G3056" i="25"/>
  <c r="G3073" i="25"/>
  <c r="G3091" i="25"/>
  <c r="G3109" i="25"/>
  <c r="G3125" i="25"/>
  <c r="G3142" i="25"/>
  <c r="G3158" i="25"/>
  <c r="G3178" i="25"/>
  <c r="G3194" i="25"/>
  <c r="G3210" i="25"/>
  <c r="G3228" i="25"/>
  <c r="G3244" i="25"/>
  <c r="G3263" i="25"/>
  <c r="G3280" i="25"/>
  <c r="G3296" i="25"/>
  <c r="G3313" i="25"/>
  <c r="G3329" i="25"/>
  <c r="G3349" i="25"/>
  <c r="G3365" i="25"/>
  <c r="G3382" i="25"/>
  <c r="G3399" i="25"/>
  <c r="G3415" i="25"/>
  <c r="G3434" i="25"/>
  <c r="G3451" i="25"/>
  <c r="G3468" i="25"/>
  <c r="G3484" i="25"/>
  <c r="G3502" i="25"/>
  <c r="G3520" i="25"/>
  <c r="G3536" i="25"/>
  <c r="G3554" i="25"/>
  <c r="G3570" i="25"/>
  <c r="G3587" i="25"/>
  <c r="G3606" i="25"/>
  <c r="G3623" i="25"/>
  <c r="G3639" i="25"/>
  <c r="G3655" i="25"/>
  <c r="G3673" i="25"/>
  <c r="G3691" i="25"/>
  <c r="G3708" i="25"/>
  <c r="G3725" i="25"/>
  <c r="G3742" i="25"/>
  <c r="G3758" i="25"/>
  <c r="G3778" i="25"/>
  <c r="G3794" i="25"/>
  <c r="G3810" i="25"/>
  <c r="G3827" i="25"/>
  <c r="G3844" i="25"/>
  <c r="G3863" i="25"/>
  <c r="G3879" i="25"/>
  <c r="G3896" i="25"/>
  <c r="G3913" i="25"/>
  <c r="G3929" i="25"/>
  <c r="G3949" i="25"/>
  <c r="G3965" i="25"/>
  <c r="G3982" i="25"/>
  <c r="G3999" i="25"/>
  <c r="G4015" i="25"/>
  <c r="G4034" i="25"/>
  <c r="G4051" i="25"/>
  <c r="G4068" i="25"/>
  <c r="G4084" i="25"/>
  <c r="G4100" i="25"/>
  <c r="G4120" i="25"/>
  <c r="G4136" i="25"/>
  <c r="G4153" i="25"/>
  <c r="G4170" i="25"/>
  <c r="G4187" i="25"/>
  <c r="G4205" i="25"/>
  <c r="G4223" i="25"/>
  <c r="G4239" i="25"/>
  <c r="G4255" i="25"/>
  <c r="G4272" i="25"/>
  <c r="G4291" i="25"/>
  <c r="G4308" i="25"/>
  <c r="G4324" i="25"/>
  <c r="G4342" i="25"/>
  <c r="G4358" i="25"/>
  <c r="G4376" i="25"/>
  <c r="G4394" i="25"/>
  <c r="G4410" i="25"/>
  <c r="G4427" i="25"/>
  <c r="G4443" i="25"/>
  <c r="G4460" i="25"/>
  <c r="G4475" i="25"/>
  <c r="G4491" i="25"/>
  <c r="G4506" i="25"/>
  <c r="G4521" i="25"/>
  <c r="G4539" i="25"/>
  <c r="G4554" i="25"/>
  <c r="G4569" i="25"/>
  <c r="G4584" i="25"/>
  <c r="G4600" i="25"/>
  <c r="G4617" i="25"/>
  <c r="G4632" i="25"/>
  <c r="G4648" i="25"/>
  <c r="G4663" i="25"/>
  <c r="G4678" i="25"/>
  <c r="G4696" i="25"/>
  <c r="G4711" i="25"/>
  <c r="G4726" i="25"/>
  <c r="G4741" i="25"/>
  <c r="G4757" i="25"/>
  <c r="G4774" i="25"/>
  <c r="G4789" i="25"/>
  <c r="G4805" i="25"/>
  <c r="G4820" i="25"/>
  <c r="G4835" i="25"/>
  <c r="G4853" i="25"/>
  <c r="G4868" i="25"/>
  <c r="G4883" i="25"/>
  <c r="G4899" i="25"/>
  <c r="G4914" i="25"/>
  <c r="G4931" i="25"/>
  <c r="G4947" i="25"/>
  <c r="G4962" i="25"/>
  <c r="G4977" i="25"/>
  <c r="G4992" i="25"/>
  <c r="G5010" i="25"/>
  <c r="G5025" i="25"/>
  <c r="G5040" i="25"/>
  <c r="G5056" i="25"/>
  <c r="G5071" i="25"/>
  <c r="G5088" i="25"/>
  <c r="G5104" i="25"/>
  <c r="G5119" i="25"/>
  <c r="G5134" i="25"/>
  <c r="G5149" i="25"/>
  <c r="G5167" i="25"/>
  <c r="G5182" i="25"/>
  <c r="G5197" i="25"/>
  <c r="G5213" i="25"/>
  <c r="G5228" i="25"/>
  <c r="G5245" i="25"/>
  <c r="G5261" i="25"/>
  <c r="G5276" i="25"/>
  <c r="G5291" i="25"/>
  <c r="G5307" i="25"/>
  <c r="G5324" i="25"/>
  <c r="G5339" i="25"/>
  <c r="G5355" i="25"/>
  <c r="G5370" i="25"/>
  <c r="G5385" i="25"/>
  <c r="G5403" i="25"/>
  <c r="G5418" i="25"/>
  <c r="G5433" i="25"/>
  <c r="G5448" i="25"/>
  <c r="G5464" i="25"/>
  <c r="G5481" i="25"/>
  <c r="G5496" i="25"/>
  <c r="G5512" i="25"/>
  <c r="G5527" i="25"/>
  <c r="G5542" i="25"/>
  <c r="G5560" i="25"/>
  <c r="G5575" i="25"/>
  <c r="G5590" i="25"/>
  <c r="G5605" i="25"/>
  <c r="G5621" i="25"/>
  <c r="G5638" i="25"/>
  <c r="G5653" i="25"/>
  <c r="G5669" i="25"/>
  <c r="G5684" i="25"/>
  <c r="G5699" i="25"/>
  <c r="G5717" i="25"/>
  <c r="G5732" i="25"/>
  <c r="G5747" i="25"/>
  <c r="G5763" i="25"/>
  <c r="G5778" i="25"/>
  <c r="G5795" i="25"/>
  <c r="G5811" i="25"/>
  <c r="G5826" i="25"/>
  <c r="G5841" i="25"/>
  <c r="G5856" i="25"/>
  <c r="G5874" i="25"/>
  <c r="G5889" i="25"/>
  <c r="G5904" i="25"/>
  <c r="G5920" i="25"/>
  <c r="G5935" i="25"/>
  <c r="G5952" i="25"/>
  <c r="G5968" i="25"/>
  <c r="G5983" i="25"/>
  <c r="G5998" i="25"/>
  <c r="G6013" i="25"/>
  <c r="G6031" i="25"/>
  <c r="G6046" i="25"/>
  <c r="G6061" i="25"/>
  <c r="G6077" i="25"/>
  <c r="G6092" i="25"/>
  <c r="G6109" i="25"/>
  <c r="G6125" i="25"/>
  <c r="G6140" i="25"/>
  <c r="G6155" i="25"/>
  <c r="G6171" i="25"/>
  <c r="G6188" i="25"/>
  <c r="G6203" i="25"/>
  <c r="G6219" i="25"/>
  <c r="G6234" i="25"/>
  <c r="G6249" i="25"/>
  <c r="G6267" i="25"/>
  <c r="G6282" i="25"/>
  <c r="G6297" i="25"/>
  <c r="G6312" i="25"/>
  <c r="G6328" i="25"/>
  <c r="G6345" i="25"/>
  <c r="G6360" i="25"/>
  <c r="G6376" i="25"/>
  <c r="G6391" i="25"/>
  <c r="G6406" i="25"/>
  <c r="G6424" i="25"/>
  <c r="G6439" i="25"/>
  <c r="G6454" i="25"/>
  <c r="G6469" i="25"/>
  <c r="G6485" i="25"/>
  <c r="G6502" i="25"/>
  <c r="G6517" i="25"/>
  <c r="G6533" i="25"/>
  <c r="G6548" i="25"/>
  <c r="G6563" i="25"/>
  <c r="G6581" i="25"/>
  <c r="G6596" i="25"/>
  <c r="G6611" i="25"/>
  <c r="G6627" i="25"/>
  <c r="G6642" i="25"/>
  <c r="G6659" i="25"/>
  <c r="G6675" i="25"/>
  <c r="G6690" i="25"/>
  <c r="G6705" i="25"/>
  <c r="G6720" i="25"/>
  <c r="G6738" i="25"/>
  <c r="G6753" i="25"/>
  <c r="G6768" i="25"/>
  <c r="G6784" i="25"/>
  <c r="G6799" i="25"/>
  <c r="G6816" i="25"/>
  <c r="G6832" i="25"/>
  <c r="G6847" i="25"/>
  <c r="G6862" i="25"/>
  <c r="G6877" i="25"/>
  <c r="G6895" i="25"/>
  <c r="G6910" i="25"/>
  <c r="G6925" i="25"/>
  <c r="G6941" i="25"/>
  <c r="G6956" i="25"/>
  <c r="G6973" i="25"/>
  <c r="G6989" i="25"/>
  <c r="G7004" i="25"/>
  <c r="G7019" i="25"/>
  <c r="G7035" i="25"/>
  <c r="G7052" i="25"/>
  <c r="G7067" i="25"/>
  <c r="G7083" i="25"/>
  <c r="G7098" i="25"/>
  <c r="G7113" i="25"/>
  <c r="G7131" i="25"/>
  <c r="G7146" i="25"/>
  <c r="G7161" i="25"/>
  <c r="G7176" i="25"/>
  <c r="G7192" i="25"/>
  <c r="G7209" i="25"/>
  <c r="G7224" i="25"/>
  <c r="G7240" i="25"/>
  <c r="G7255" i="25"/>
  <c r="G7270" i="25"/>
  <c r="G7288" i="25"/>
  <c r="G7303" i="25"/>
  <c r="G7318" i="25"/>
  <c r="G7333" i="25"/>
  <c r="G7349" i="25"/>
  <c r="G7366" i="25"/>
  <c r="G7381" i="25"/>
  <c r="G7397" i="25"/>
  <c r="G7412" i="25"/>
  <c r="G7427" i="25"/>
  <c r="G7445" i="25"/>
  <c r="G7460" i="25"/>
  <c r="G7475" i="25"/>
  <c r="G7491" i="25"/>
  <c r="G7506" i="25"/>
  <c r="G7523" i="25"/>
  <c r="G7539" i="25"/>
  <c r="G7554" i="25"/>
  <c r="G7569" i="25"/>
  <c r="G7584" i="25"/>
  <c r="G7602" i="25"/>
  <c r="G7617" i="25"/>
  <c r="G7632" i="25"/>
  <c r="G7648" i="25"/>
  <c r="G7663" i="25"/>
  <c r="G7680" i="25"/>
  <c r="G7696" i="25"/>
  <c r="G7711" i="25"/>
  <c r="G7726" i="25"/>
  <c r="G7741" i="25"/>
  <c r="G7759" i="25"/>
  <c r="G7774" i="25"/>
  <c r="G7789" i="25"/>
  <c r="G7805" i="25"/>
  <c r="G7820" i="25"/>
  <c r="G7837" i="25"/>
  <c r="G7853" i="25"/>
  <c r="G7868" i="25"/>
  <c r="G7883" i="25"/>
  <c r="G7899" i="25"/>
  <c r="G7916" i="25"/>
  <c r="G7931" i="25"/>
  <c r="G7947" i="25"/>
  <c r="G7962" i="25"/>
  <c r="G7977" i="25"/>
  <c r="G7995" i="25"/>
  <c r="G8010" i="25"/>
  <c r="G8025" i="25"/>
  <c r="G8040" i="25"/>
  <c r="G8056" i="25"/>
  <c r="G8073" i="25"/>
  <c r="G8088" i="25"/>
  <c r="G8104" i="25"/>
  <c r="G8119" i="25"/>
  <c r="G8134" i="25"/>
  <c r="G8152" i="25"/>
  <c r="G8167" i="25"/>
  <c r="G8182" i="25"/>
  <c r="G8197" i="25"/>
  <c r="G8213" i="25"/>
  <c r="G8230" i="25"/>
  <c r="G8245" i="25"/>
  <c r="G8261" i="25"/>
  <c r="G8276" i="25"/>
  <c r="G8291" i="25"/>
  <c r="G8309" i="25"/>
  <c r="G8324" i="25"/>
  <c r="G8339" i="25"/>
  <c r="G8355" i="25"/>
  <c r="G8370" i="25"/>
  <c r="G8387" i="25"/>
  <c r="G8403" i="25"/>
  <c r="G8418" i="25"/>
  <c r="G8433" i="25"/>
  <c r="G8448" i="25"/>
  <c r="G8466" i="25"/>
  <c r="G8481" i="25"/>
  <c r="G8496" i="25"/>
  <c r="G8512" i="25"/>
  <c r="G8527" i="25"/>
  <c r="G8544" i="25"/>
  <c r="G8560" i="25"/>
  <c r="G8575" i="25"/>
  <c r="G8590" i="25"/>
  <c r="G8605" i="25"/>
  <c r="G8623" i="25"/>
  <c r="G8638" i="25"/>
  <c r="G8653" i="25"/>
  <c r="G8669" i="25"/>
  <c r="G8684" i="25"/>
  <c r="G8701" i="25"/>
  <c r="G8717" i="25"/>
  <c r="G8732" i="25"/>
  <c r="G8747" i="25"/>
  <c r="G8763" i="25"/>
  <c r="G8780" i="25"/>
  <c r="G8795" i="25"/>
  <c r="G8811" i="25"/>
  <c r="G8826" i="25"/>
  <c r="G8841" i="25"/>
  <c r="G8859" i="25"/>
  <c r="G8873" i="25"/>
  <c r="G8887" i="25"/>
  <c r="G8901" i="25"/>
  <c r="G8915" i="25"/>
  <c r="G8931" i="25"/>
  <c r="G8945" i="25"/>
  <c r="G8959" i="25"/>
  <c r="G8973" i="25"/>
  <c r="G8987" i="25"/>
  <c r="G9003" i="25"/>
  <c r="G9017" i="25"/>
  <c r="G9031" i="25"/>
  <c r="G9045" i="25"/>
  <c r="G9059" i="25"/>
  <c r="G9075" i="25"/>
  <c r="G9089" i="25"/>
  <c r="G9103" i="25"/>
  <c r="G9116" i="25"/>
  <c r="G9129" i="25"/>
  <c r="G9142" i="25"/>
  <c r="G9155" i="25"/>
  <c r="G9169" i="25"/>
  <c r="G9182" i="25"/>
  <c r="G9195" i="25"/>
  <c r="G9208" i="25"/>
  <c r="G9221" i="25"/>
  <c r="G9234" i="25"/>
  <c r="G9247" i="25"/>
  <c r="G9260" i="25"/>
  <c r="G9273" i="25"/>
  <c r="G9286" i="25"/>
  <c r="G9299" i="25"/>
  <c r="G9313" i="25"/>
  <c r="G9326" i="25"/>
  <c r="G9339" i="25"/>
  <c r="G9352" i="25"/>
  <c r="G9365" i="25"/>
  <c r="G9378" i="25"/>
  <c r="G9391" i="25"/>
  <c r="G9404" i="25"/>
  <c r="G9417" i="25"/>
  <c r="G9430" i="25"/>
  <c r="G9443" i="25"/>
  <c r="G9457" i="25"/>
  <c r="G9470" i="25"/>
  <c r="G9483" i="25"/>
  <c r="G9496" i="25"/>
  <c r="G9509" i="25"/>
  <c r="G9522" i="25"/>
  <c r="G9535" i="25"/>
  <c r="G9548" i="25"/>
  <c r="G9561" i="25"/>
  <c r="G9574" i="25"/>
  <c r="G9587" i="25"/>
  <c r="G9601" i="25"/>
  <c r="G9614" i="25"/>
  <c r="G9627" i="25"/>
  <c r="G9640" i="25"/>
  <c r="G9653" i="25"/>
  <c r="G9666" i="25"/>
  <c r="G9679" i="25"/>
  <c r="G9692" i="25"/>
  <c r="G9705" i="25"/>
  <c r="G9718" i="25"/>
  <c r="G9731" i="25"/>
  <c r="G9745" i="25"/>
  <c r="G9758" i="25"/>
  <c r="G9771" i="25"/>
  <c r="G9784" i="25"/>
  <c r="G9797" i="25"/>
  <c r="G9810" i="25"/>
  <c r="G9823" i="25"/>
  <c r="G9836" i="25"/>
  <c r="G9849" i="25"/>
  <c r="G9862" i="25"/>
  <c r="G9875" i="25"/>
  <c r="G9889" i="25"/>
  <c r="G9902" i="25"/>
  <c r="G9915" i="25"/>
  <c r="G9928" i="25"/>
  <c r="G9941" i="25"/>
  <c r="G9954" i="25"/>
  <c r="G9967" i="25"/>
  <c r="G9980" i="25"/>
  <c r="G9993" i="25"/>
  <c r="G14" i="25"/>
  <c r="G36" i="25"/>
  <c r="G56" i="25"/>
  <c r="G79" i="25"/>
  <c r="G103" i="25"/>
  <c r="G125" i="25"/>
  <c r="G147" i="25"/>
  <c r="G169" i="25"/>
  <c r="G190" i="25"/>
  <c r="G216" i="25"/>
  <c r="G236" i="25"/>
  <c r="G258" i="25"/>
  <c r="G281" i="25"/>
  <c r="G301" i="25"/>
  <c r="G326" i="25"/>
  <c r="G348" i="25"/>
  <c r="G370" i="25"/>
  <c r="G390" i="25"/>
  <c r="G413" i="25"/>
  <c r="G438" i="25"/>
  <c r="G459" i="25"/>
  <c r="G481" i="25"/>
  <c r="G502" i="25"/>
  <c r="G524" i="25"/>
  <c r="G547" i="25"/>
  <c r="G571" i="25"/>
  <c r="G592" i="25"/>
  <c r="G613" i="25"/>
  <c r="G636" i="25"/>
  <c r="G659" i="25"/>
  <c r="G682" i="25"/>
  <c r="G702" i="25"/>
  <c r="G726" i="25"/>
  <c r="G746" i="25"/>
  <c r="G771" i="25"/>
  <c r="G794" i="25"/>
  <c r="G814" i="25"/>
  <c r="G836" i="25"/>
  <c r="G858" i="25"/>
  <c r="G883" i="25"/>
  <c r="G903" i="25"/>
  <c r="G927" i="25"/>
  <c r="G947" i="25"/>
  <c r="G968" i="25"/>
  <c r="G995" i="25"/>
  <c r="G1015" i="25"/>
  <c r="G1036" i="25"/>
  <c r="G1055" i="25"/>
  <c r="G1076" i="25"/>
  <c r="G1097" i="25"/>
  <c r="G1116" i="25"/>
  <c r="G1136" i="25"/>
  <c r="G1153" i="25"/>
  <c r="G1172" i="25"/>
  <c r="G1192" i="25"/>
  <c r="G1211" i="25"/>
  <c r="G1228" i="25"/>
  <c r="G1246" i="25"/>
  <c r="G1265" i="25"/>
  <c r="G1285" i="25"/>
  <c r="G1304" i="25"/>
  <c r="G1322" i="25"/>
  <c r="G1340" i="25"/>
  <c r="G1358" i="25"/>
  <c r="G1379" i="25"/>
  <c r="G1397" i="25"/>
  <c r="G1415" i="25"/>
  <c r="G1434" i="25"/>
  <c r="G1452" i="25"/>
  <c r="G1473" i="25"/>
  <c r="G1491" i="25"/>
  <c r="G1509" i="25"/>
  <c r="G1527" i="25"/>
  <c r="G1545" i="25"/>
  <c r="G1566" i="25"/>
  <c r="G1584" i="25"/>
  <c r="G1601" i="25"/>
  <c r="G1621" i="25"/>
  <c r="G1638" i="25"/>
  <c r="G1659" i="25"/>
  <c r="G1678" i="25"/>
  <c r="G1696" i="25"/>
  <c r="G1714" i="25"/>
  <c r="G1731" i="25"/>
  <c r="G1753" i="25"/>
  <c r="G1770" i="25"/>
  <c r="G1789" i="25"/>
  <c r="G1808" i="25"/>
  <c r="G1826" i="25"/>
  <c r="G1846" i="25"/>
  <c r="G1865" i="25"/>
  <c r="G1883" i="25"/>
  <c r="G1900" i="25"/>
  <c r="G1920" i="25"/>
  <c r="G1940" i="25"/>
  <c r="G1958" i="25"/>
  <c r="G1977" i="25"/>
  <c r="G1994" i="25"/>
  <c r="G2013" i="25"/>
  <c r="G2033" i="25"/>
  <c r="G2052" i="25"/>
  <c r="G2069" i="25"/>
  <c r="G2088" i="25"/>
  <c r="G2106" i="25"/>
  <c r="G2127" i="25"/>
  <c r="G2145" i="25"/>
  <c r="G2163" i="25"/>
  <c r="G2182" i="25"/>
  <c r="G2199" i="25"/>
  <c r="G2220" i="25"/>
  <c r="G2236" i="25"/>
  <c r="G2252" i="25"/>
  <c r="G2269" i="25"/>
  <c r="G2286" i="25"/>
  <c r="G2305" i="25"/>
  <c r="G2321" i="25"/>
  <c r="G2339" i="25"/>
  <c r="G2355" i="25"/>
  <c r="G2371" i="25"/>
  <c r="G2391" i="25"/>
  <c r="G2407" i="25"/>
  <c r="G2424" i="25"/>
  <c r="G2441" i="25"/>
  <c r="G2458" i="25"/>
  <c r="G2476" i="25"/>
  <c r="G2494" i="25"/>
  <c r="G2510" i="25"/>
  <c r="G2526" i="25"/>
  <c r="G2543" i="25"/>
  <c r="G2562" i="25"/>
  <c r="G2579" i="25"/>
  <c r="G2595" i="25"/>
  <c r="G2612" i="25"/>
  <c r="G2629" i="25"/>
  <c r="G2647" i="25"/>
  <c r="G2665" i="25"/>
  <c r="G2681" i="25"/>
  <c r="G2698" i="25"/>
  <c r="G2714" i="25"/>
  <c r="G2734" i="25"/>
  <c r="G2750" i="25"/>
  <c r="G2766" i="25"/>
  <c r="G2784" i="25"/>
  <c r="G2800" i="25"/>
  <c r="G2819" i="25"/>
  <c r="G2836" i="25"/>
  <c r="G2852" i="25"/>
  <c r="G2869" i="25"/>
  <c r="G2886" i="25"/>
  <c r="G2905" i="25"/>
  <c r="G2921" i="25"/>
  <c r="G2939" i="25"/>
  <c r="G2955" i="25"/>
  <c r="G2971" i="25"/>
  <c r="G2991" i="25"/>
  <c r="G3007" i="25"/>
  <c r="G3024" i="25"/>
  <c r="G3040" i="25"/>
  <c r="G3058" i="25"/>
  <c r="G3076" i="25"/>
  <c r="G3092" i="25"/>
  <c r="G3110" i="25"/>
  <c r="G3126" i="25"/>
  <c r="G3143" i="25"/>
  <c r="G3162" i="25"/>
  <c r="G3179" i="25"/>
  <c r="G3195" i="25"/>
  <c r="G3211" i="25"/>
  <c r="G3229" i="25"/>
  <c r="G3247" i="25"/>
  <c r="G3264" i="25"/>
  <c r="G3281" i="25"/>
  <c r="G3298" i="25"/>
  <c r="G3314" i="25"/>
  <c r="G3334" i="25"/>
  <c r="G3350" i="25"/>
  <c r="G3366" i="25"/>
  <c r="G3384" i="25"/>
  <c r="G3400" i="25"/>
  <c r="G3419" i="25"/>
  <c r="G3436" i="25"/>
  <c r="G3452" i="25"/>
  <c r="G3469" i="25"/>
  <c r="G3485" i="25"/>
  <c r="G3505" i="25"/>
  <c r="G3521" i="25"/>
  <c r="G3538" i="25"/>
  <c r="G3555" i="25"/>
  <c r="G3571" i="25"/>
  <c r="G3590" i="25"/>
  <c r="G3607" i="25"/>
  <c r="G3624" i="25"/>
  <c r="G3640" i="25"/>
  <c r="G3656" i="25"/>
  <c r="G3676" i="25"/>
  <c r="G3692" i="25"/>
  <c r="G3709" i="25"/>
  <c r="G3726" i="25"/>
  <c r="G3743" i="25"/>
  <c r="G3761" i="25"/>
  <c r="G3779" i="25"/>
  <c r="G3795" i="25"/>
  <c r="G3811" i="25"/>
  <c r="G3829" i="25"/>
  <c r="G3847" i="25"/>
  <c r="G3864" i="25"/>
  <c r="G3881" i="25"/>
  <c r="G3898" i="25"/>
  <c r="G3914" i="25"/>
  <c r="G3934" i="25"/>
  <c r="G3950" i="25"/>
  <c r="G3966" i="25"/>
  <c r="G3983" i="25"/>
  <c r="G4000" i="25"/>
  <c r="G4019" i="25"/>
  <c r="G4035" i="25"/>
  <c r="G4052" i="25"/>
  <c r="G4069" i="25"/>
  <c r="G4085" i="25"/>
  <c r="G4105" i="25"/>
  <c r="G4121" i="25"/>
  <c r="G4138" i="25"/>
  <c r="G4154" i="25"/>
  <c r="G4171" i="25"/>
  <c r="G4190" i="25"/>
  <c r="G4206" i="25"/>
  <c r="G4224" i="25"/>
  <c r="G4240" i="25"/>
  <c r="G4256" i="25"/>
  <c r="G4276" i="25"/>
  <c r="G4292" i="25"/>
  <c r="G4309" i="25"/>
  <c r="G4326" i="25"/>
  <c r="G4343" i="25"/>
  <c r="G4361" i="25"/>
  <c r="G4379" i="25"/>
  <c r="G4395" i="25"/>
  <c r="G4411" i="25"/>
  <c r="G4428" i="25"/>
  <c r="G4446" i="25"/>
  <c r="G4461" i="25"/>
  <c r="G4476" i="25"/>
  <c r="G4492" i="25"/>
  <c r="G4507" i="25"/>
  <c r="G4524" i="25"/>
  <c r="G4540" i="25"/>
  <c r="G4555" i="25"/>
  <c r="G4570" i="25"/>
  <c r="G4585" i="25"/>
  <c r="G4603" i="25"/>
  <c r="G4618" i="25"/>
  <c r="G4633" i="25"/>
  <c r="G4649" i="25"/>
  <c r="G4664" i="25"/>
  <c r="G4681" i="25"/>
  <c r="G4697" i="25"/>
  <c r="G4712" i="25"/>
  <c r="G4727" i="25"/>
  <c r="G4743" i="25"/>
  <c r="G4760" i="25"/>
  <c r="G4775" i="25"/>
  <c r="G4791" i="25"/>
  <c r="G4806" i="25"/>
  <c r="G4821" i="25"/>
  <c r="G4839" i="25"/>
  <c r="G4854" i="25"/>
  <c r="G4869" i="25"/>
  <c r="G4884" i="25"/>
  <c r="G4900" i="25"/>
  <c r="G4917" i="25"/>
  <c r="G4932" i="25"/>
  <c r="G4948" i="25"/>
  <c r="G4963" i="25"/>
  <c r="G4978" i="25"/>
  <c r="G4996" i="25"/>
  <c r="G5011" i="25"/>
  <c r="G5026" i="25"/>
  <c r="G5041" i="25"/>
  <c r="G5057" i="25"/>
  <c r="G5074" i="25"/>
  <c r="G5089" i="25"/>
  <c r="G5105" i="25"/>
  <c r="G5120" i="25"/>
  <c r="G5135" i="25"/>
  <c r="G5153" i="25"/>
  <c r="G5168" i="25"/>
  <c r="G5183" i="25"/>
  <c r="G5199" i="25"/>
  <c r="G5214" i="25"/>
  <c r="G5231" i="25"/>
  <c r="G5247" i="25"/>
  <c r="G5262" i="25"/>
  <c r="G5277" i="25"/>
  <c r="G5292" i="25"/>
  <c r="G5310" i="25"/>
  <c r="G5325" i="25"/>
  <c r="G5340" i="25"/>
  <c r="G5356" i="25"/>
  <c r="G5371" i="25"/>
  <c r="G5388" i="25"/>
  <c r="G5404" i="25"/>
  <c r="G5419" i="25"/>
  <c r="G5434" i="25"/>
  <c r="G5449" i="25"/>
  <c r="G5467" i="25"/>
  <c r="G5482" i="25"/>
  <c r="G5497" i="25"/>
  <c r="G5513" i="25"/>
  <c r="G5528" i="25"/>
  <c r="G5545" i="25"/>
  <c r="G5561" i="25"/>
  <c r="G5576" i="25"/>
  <c r="G5591" i="25"/>
  <c r="G5607" i="25"/>
  <c r="G5624" i="25"/>
  <c r="G5639" i="25"/>
  <c r="G5655" i="25"/>
  <c r="G5670" i="25"/>
  <c r="G5685" i="25"/>
  <c r="G5703" i="25"/>
  <c r="G5718" i="25"/>
  <c r="G5733" i="25"/>
  <c r="G5748" i="25"/>
  <c r="G5764" i="25"/>
  <c r="G5781" i="25"/>
  <c r="G5796" i="25"/>
  <c r="G5812" i="25"/>
  <c r="G5827" i="25"/>
  <c r="G5842" i="25"/>
  <c r="G5860" i="25"/>
  <c r="G5875" i="25"/>
  <c r="G5890" i="25"/>
  <c r="G5905" i="25"/>
  <c r="G5921" i="25"/>
  <c r="G5938" i="25"/>
  <c r="G5953" i="25"/>
  <c r="G5969" i="25"/>
  <c r="G5984" i="25"/>
  <c r="G5999" i="25"/>
  <c r="G6017" i="25"/>
  <c r="G6032" i="25"/>
  <c r="G6047" i="25"/>
  <c r="G6063" i="25"/>
  <c r="G6078" i="25"/>
  <c r="G6095" i="25"/>
  <c r="G6111" i="25"/>
  <c r="G6126" i="25"/>
  <c r="G6141" i="25"/>
  <c r="G6156" i="25"/>
  <c r="G6174" i="25"/>
  <c r="G6189" i="25"/>
  <c r="G6204" i="25"/>
  <c r="G6220" i="25"/>
  <c r="G6235" i="25"/>
  <c r="G6252" i="25"/>
  <c r="G6268" i="25"/>
  <c r="G6283" i="25"/>
  <c r="G6298" i="25"/>
  <c r="G6313" i="25"/>
  <c r="G6331" i="25"/>
  <c r="G6346" i="25"/>
  <c r="G6361" i="25"/>
  <c r="G6377" i="25"/>
  <c r="G6392" i="25"/>
  <c r="G6409" i="25"/>
  <c r="G6425" i="25"/>
  <c r="G6440" i="25"/>
  <c r="G6455" i="25"/>
  <c r="G6471" i="25"/>
  <c r="G6488" i="25"/>
  <c r="G6503" i="25"/>
  <c r="G6519" i="25"/>
  <c r="G6534" i="25"/>
  <c r="G6549" i="25"/>
  <c r="G6567" i="25"/>
  <c r="G6582" i="25"/>
  <c r="G6597" i="25"/>
  <c r="G6612" i="25"/>
  <c r="G6628" i="25"/>
  <c r="G6645" i="25"/>
  <c r="G6660" i="25"/>
  <c r="G6676" i="25"/>
  <c r="G6691" i="25"/>
  <c r="G6706" i="25"/>
  <c r="G6724" i="25"/>
  <c r="G6739" i="25"/>
  <c r="G6754" i="25"/>
  <c r="G6769" i="25"/>
  <c r="G6785" i="25"/>
  <c r="G6802" i="25"/>
  <c r="G6817" i="25"/>
  <c r="G6833" i="25"/>
  <c r="G6848" i="25"/>
  <c r="G6863" i="25"/>
  <c r="G6881" i="25"/>
  <c r="G6896" i="25"/>
  <c r="G6911" i="25"/>
  <c r="G6927" i="25"/>
  <c r="G6942" i="25"/>
  <c r="G6959" i="25"/>
  <c r="G6975" i="25"/>
  <c r="G6990" i="25"/>
  <c r="G7005" i="25"/>
  <c r="G7020" i="25"/>
  <c r="G7038" i="25"/>
  <c r="G7053" i="25"/>
  <c r="G7068" i="25"/>
  <c r="G7084" i="25"/>
  <c r="G7099" i="25"/>
  <c r="G7116" i="25"/>
  <c r="G7132" i="25"/>
  <c r="G7147" i="25"/>
  <c r="G7162" i="25"/>
  <c r="G7177" i="25"/>
  <c r="G7195" i="25"/>
  <c r="G7210" i="25"/>
  <c r="G7225" i="25"/>
  <c r="G7241" i="25"/>
  <c r="G7256" i="25"/>
  <c r="G7273" i="25"/>
  <c r="G7289" i="25"/>
  <c r="G7304" i="25"/>
  <c r="G7319" i="25"/>
  <c r="G7335" i="25"/>
  <c r="G7352" i="25"/>
  <c r="G7367" i="25"/>
  <c r="G7383" i="25"/>
  <c r="G7398" i="25"/>
  <c r="G7413" i="25"/>
  <c r="G7431" i="25"/>
  <c r="G7446" i="25"/>
  <c r="G7461" i="25"/>
  <c r="G7476" i="25"/>
  <c r="G7492" i="25"/>
  <c r="G7509" i="25"/>
  <c r="G7524" i="25"/>
  <c r="G7540" i="25"/>
  <c r="G7555" i="25"/>
  <c r="G7570" i="25"/>
  <c r="G7588" i="25"/>
  <c r="G7603" i="25"/>
  <c r="G7618" i="25"/>
  <c r="G7633" i="25"/>
  <c r="G7649" i="25"/>
  <c r="G7666" i="25"/>
  <c r="G7681" i="25"/>
  <c r="G7697" i="25"/>
  <c r="G7712" i="25"/>
  <c r="G7727" i="25"/>
  <c r="G7745" i="25"/>
  <c r="G7760" i="25"/>
  <c r="G7775" i="25"/>
  <c r="G7791" i="25"/>
  <c r="G7806" i="25"/>
  <c r="G7823" i="25"/>
  <c r="G7839" i="25"/>
  <c r="G7854" i="25"/>
  <c r="G7869" i="25"/>
  <c r="G7884" i="25"/>
  <c r="G7902" i="25"/>
  <c r="G7917" i="25"/>
  <c r="G7932" i="25"/>
  <c r="G7948" i="25"/>
  <c r="G7963" i="25"/>
  <c r="G7980" i="25"/>
  <c r="G7996" i="25"/>
  <c r="G8011" i="25"/>
  <c r="G8026" i="25"/>
  <c r="G8041" i="25"/>
  <c r="G8059" i="25"/>
  <c r="G8074" i="25"/>
  <c r="G8089" i="25"/>
  <c r="G8105" i="25"/>
  <c r="G8120" i="25"/>
  <c r="G8137" i="25"/>
  <c r="G8153" i="25"/>
  <c r="G8168" i="25"/>
  <c r="G8183" i="25"/>
  <c r="G8199" i="25"/>
  <c r="G8216" i="25"/>
  <c r="G8231" i="25"/>
  <c r="G8247" i="25"/>
  <c r="G8262" i="25"/>
  <c r="G8277" i="25"/>
  <c r="G8295" i="25"/>
  <c r="G8310" i="25"/>
  <c r="G8325" i="25"/>
  <c r="G8340" i="25"/>
  <c r="G8356" i="25"/>
  <c r="G8373" i="25"/>
  <c r="G8388" i="25"/>
  <c r="G8404" i="25"/>
  <c r="G8419" i="25"/>
  <c r="G8434" i="25"/>
  <c r="G8452" i="25"/>
  <c r="G8467" i="25"/>
  <c r="G8482" i="25"/>
  <c r="G8497" i="25"/>
  <c r="G8513" i="25"/>
  <c r="G8530" i="25"/>
  <c r="G8545" i="25"/>
  <c r="G8561" i="25"/>
  <c r="G8576" i="25"/>
  <c r="G8591" i="25"/>
  <c r="G8609" i="25"/>
  <c r="G8624" i="25"/>
  <c r="G8639" i="25"/>
  <c r="G8655" i="25"/>
  <c r="G8670" i="25"/>
  <c r="G8687" i="25"/>
  <c r="G8703" i="25"/>
  <c r="G8718" i="25"/>
  <c r="G8733" i="25"/>
  <c r="G8748" i="25"/>
  <c r="G8766" i="25"/>
  <c r="G8781" i="25"/>
  <c r="G8796" i="25"/>
  <c r="G8812" i="25"/>
  <c r="G8827" i="25"/>
  <c r="G8844" i="25"/>
  <c r="G8860" i="25"/>
  <c r="G8874" i="25"/>
  <c r="G8888" i="25"/>
  <c r="G8902" i="25"/>
  <c r="G8918" i="25"/>
  <c r="G8932" i="25"/>
  <c r="G8946" i="25"/>
  <c r="G8960" i="25"/>
  <c r="G8974" i="25"/>
  <c r="G8990" i="25"/>
  <c r="G9004" i="25"/>
  <c r="G9018" i="25"/>
  <c r="G9032" i="25"/>
  <c r="G9046" i="25"/>
  <c r="G9062" i="25"/>
  <c r="G9076" i="25"/>
  <c r="G9090" i="25"/>
  <c r="G9104" i="25"/>
  <c r="G9117" i="25"/>
  <c r="G9130" i="25"/>
  <c r="G9143" i="25"/>
  <c r="G9157" i="25"/>
  <c r="G9170" i="25"/>
  <c r="G9183" i="25"/>
  <c r="G9196" i="25"/>
  <c r="G9209" i="25"/>
  <c r="G9222" i="25"/>
  <c r="G9235" i="25"/>
  <c r="G9248" i="25"/>
  <c r="G9261" i="25"/>
  <c r="G9274" i="25"/>
  <c r="G9287" i="25"/>
  <c r="G9301" i="25"/>
  <c r="G9314" i="25"/>
  <c r="G9327" i="25"/>
  <c r="G9340" i="25"/>
  <c r="G9353" i="25"/>
  <c r="G9366" i="25"/>
  <c r="G9379" i="25"/>
  <c r="G9392" i="25"/>
  <c r="G9405" i="25"/>
  <c r="G9418" i="25"/>
  <c r="G9431" i="25"/>
  <c r="G9445" i="25"/>
  <c r="G9458" i="25"/>
  <c r="G9471" i="25"/>
  <c r="G9484" i="25"/>
  <c r="G9497" i="25"/>
  <c r="G9510" i="25"/>
  <c r="G9523" i="25"/>
  <c r="G9536" i="25"/>
  <c r="G9549" i="25"/>
  <c r="G9562" i="25"/>
  <c r="G9575" i="25"/>
  <c r="G9589" i="25"/>
  <c r="G9602" i="25"/>
  <c r="G9615" i="25"/>
  <c r="G9628" i="25"/>
  <c r="G9641" i="25"/>
  <c r="G9654" i="25"/>
  <c r="G9667" i="25"/>
  <c r="G9680" i="25"/>
  <c r="G9693" i="25"/>
  <c r="G9706" i="25"/>
  <c r="G9719" i="25"/>
  <c r="G9733" i="25"/>
  <c r="G9746" i="25"/>
  <c r="G9759" i="25"/>
  <c r="G9772" i="25"/>
  <c r="G9785" i="25"/>
  <c r="G9798" i="25"/>
  <c r="G9811" i="25"/>
  <c r="G9824" i="25"/>
  <c r="G9837" i="25"/>
  <c r="G9850" i="25"/>
  <c r="G9863" i="25"/>
  <c r="G9877" i="25"/>
  <c r="G9890" i="25"/>
  <c r="G9903" i="25"/>
  <c r="G9916" i="25"/>
  <c r="G9929" i="25"/>
  <c r="G9942" i="25"/>
  <c r="G9955" i="25"/>
  <c r="G9968" i="25"/>
  <c r="G9981" i="25"/>
  <c r="G9994" i="25"/>
  <c r="G15" i="25"/>
  <c r="G37" i="25"/>
  <c r="G60" i="25"/>
  <c r="G80" i="25"/>
  <c r="G104" i="25"/>
  <c r="G127" i="25"/>
  <c r="G150" i="25"/>
  <c r="G170" i="25"/>
  <c r="G191" i="25"/>
  <c r="G217" i="25"/>
  <c r="G238" i="25"/>
  <c r="G259" i="25"/>
  <c r="G282" i="25"/>
  <c r="G303" i="25"/>
  <c r="G327" i="25"/>
  <c r="G351" i="25"/>
  <c r="G371" i="25"/>
  <c r="G392" i="25"/>
  <c r="G414" i="25"/>
  <c r="G439" i="25"/>
  <c r="G460" i="25"/>
  <c r="G482" i="25"/>
  <c r="G504" i="25"/>
  <c r="G526" i="25"/>
  <c r="G550" i="25"/>
  <c r="G572" i="25"/>
  <c r="G593" i="25"/>
  <c r="G615" i="25"/>
  <c r="G638" i="25"/>
  <c r="G662" i="25"/>
  <c r="G683" i="25"/>
  <c r="G704" i="25"/>
  <c r="G727" i="25"/>
  <c r="G747" i="25"/>
  <c r="G773" i="25"/>
  <c r="G795" i="25"/>
  <c r="G815" i="25"/>
  <c r="G838" i="25"/>
  <c r="G859" i="25"/>
  <c r="G884" i="25"/>
  <c r="G904" i="25"/>
  <c r="G928" i="25"/>
  <c r="G950" i="25"/>
  <c r="G970" i="25"/>
  <c r="G996" i="25"/>
  <c r="G1016" i="25"/>
  <c r="G1037" i="25"/>
  <c r="G1056" i="25"/>
  <c r="G1078" i="25"/>
  <c r="G1100" i="25"/>
  <c r="G1117" i="25"/>
  <c r="G1137" i="25"/>
  <c r="G1154" i="25"/>
  <c r="G1173" i="25"/>
  <c r="G1193" i="25"/>
  <c r="G1212" i="25"/>
  <c r="G1229" i="25"/>
  <c r="G1248" i="25"/>
  <c r="G1266" i="25"/>
  <c r="G1286" i="25"/>
  <c r="G1306" i="25"/>
  <c r="G1323" i="25"/>
  <c r="G1342" i="25"/>
  <c r="G1359" i="25"/>
  <c r="G1381" i="25"/>
  <c r="G1398" i="25"/>
  <c r="G1416" i="25"/>
  <c r="G1436" i="25"/>
  <c r="G1453" i="25"/>
  <c r="G1474" i="25"/>
  <c r="G1492" i="25"/>
  <c r="G1510" i="25"/>
  <c r="G1528" i="25"/>
  <c r="G1546" i="25"/>
  <c r="G1568" i="25"/>
  <c r="G1585" i="25"/>
  <c r="G1604" i="25"/>
  <c r="G1622" i="25"/>
  <c r="G1640" i="25"/>
  <c r="G1660" i="25"/>
  <c r="G1679" i="25"/>
  <c r="G1697" i="25"/>
  <c r="G1715" i="25"/>
  <c r="G1734" i="25"/>
  <c r="G1754" i="25"/>
  <c r="G1772" i="25"/>
  <c r="G1791" i="25"/>
  <c r="G1809" i="25"/>
  <c r="G1827" i="25"/>
  <c r="G1848" i="25"/>
  <c r="G1866" i="25"/>
  <c r="G1884" i="25"/>
  <c r="G1901" i="25"/>
  <c r="G1921" i="25"/>
  <c r="G1941" i="25"/>
  <c r="G1959" i="25"/>
  <c r="G1978" i="25"/>
  <c r="G1996" i="25"/>
  <c r="G2014" i="25"/>
  <c r="G2036" i="25"/>
  <c r="G2053" i="25"/>
  <c r="G2070" i="25"/>
  <c r="G2089" i="25"/>
  <c r="G2108" i="25"/>
  <c r="G2128" i="25"/>
  <c r="G2146" i="25"/>
  <c r="G2164" i="25"/>
  <c r="G2183" i="25"/>
  <c r="G2200" i="25"/>
  <c r="G2221" i="25"/>
  <c r="G2237" i="25"/>
  <c r="G2254" i="25"/>
  <c r="G2271" i="25"/>
  <c r="G2287" i="25"/>
  <c r="G2306" i="25"/>
  <c r="G2323" i="25"/>
  <c r="G2340" i="25"/>
  <c r="G2356" i="25"/>
  <c r="G2372" i="25"/>
  <c r="G2392" i="25"/>
  <c r="G2408" i="25"/>
  <c r="G2425" i="25"/>
  <c r="G2442" i="25"/>
  <c r="G2459" i="25"/>
  <c r="G2477" i="25"/>
  <c r="G2495" i="25"/>
  <c r="G2511" i="25"/>
  <c r="G2527" i="25"/>
  <c r="G2544" i="25"/>
  <c r="G2563" i="25"/>
  <c r="G2580" i="25"/>
  <c r="G2596" i="25"/>
  <c r="G2614" i="25"/>
  <c r="G2630" i="25"/>
  <c r="G2648" i="25"/>
  <c r="G2666" i="25"/>
  <c r="G2682" i="25"/>
  <c r="G2699" i="25"/>
  <c r="G2716" i="25"/>
  <c r="G2735" i="25"/>
  <c r="G2751" i="25"/>
  <c r="G2768" i="25"/>
  <c r="G2785" i="25"/>
  <c r="G2801" i="25"/>
  <c r="G2821" i="25"/>
  <c r="G2837" i="25"/>
  <c r="G2854" i="25"/>
  <c r="G2870" i="25"/>
  <c r="G2887" i="25"/>
  <c r="G2906" i="25"/>
  <c r="G2922" i="25"/>
  <c r="G2940" i="25"/>
  <c r="G2956" i="25"/>
  <c r="G2972" i="25"/>
  <c r="G2992" i="25"/>
  <c r="G3008" i="25"/>
  <c r="G3025" i="25"/>
  <c r="G3041" i="25"/>
  <c r="G3059" i="25"/>
  <c r="G3077" i="25"/>
  <c r="G3094" i="25"/>
  <c r="G3111" i="25"/>
  <c r="G3127" i="25"/>
  <c r="G3144" i="25"/>
  <c r="G3163" i="25"/>
  <c r="G3180" i="25"/>
  <c r="G3196" i="25"/>
  <c r="G3214" i="25"/>
  <c r="G3230" i="25"/>
  <c r="G3248" i="25"/>
  <c r="G3266" i="25"/>
  <c r="G3282" i="25"/>
  <c r="G3299" i="25"/>
  <c r="G3315" i="25"/>
  <c r="G3335" i="25"/>
  <c r="G3351" i="25"/>
  <c r="G3367" i="25"/>
  <c r="G3385" i="25"/>
  <c r="G3401" i="25"/>
  <c r="G3420" i="25"/>
  <c r="G3437" i="25"/>
  <c r="G3454" i="25"/>
  <c r="G3470" i="25"/>
  <c r="G3486" i="25"/>
  <c r="G3506" i="25"/>
  <c r="G3522" i="25"/>
  <c r="G3539" i="25"/>
  <c r="G3556" i="25"/>
  <c r="G3572" i="25"/>
  <c r="G3591" i="25"/>
  <c r="G3608" i="25"/>
  <c r="G3625" i="25"/>
  <c r="G3641" i="25"/>
  <c r="G3659" i="25"/>
  <c r="G3677" i="25"/>
  <c r="G3694" i="25"/>
  <c r="G3711" i="25"/>
  <c r="G3727" i="25"/>
  <c r="G3744" i="25"/>
  <c r="G3763" i="25"/>
  <c r="G3780" i="25"/>
  <c r="G3796" i="25"/>
  <c r="G3812" i="25"/>
  <c r="G3830" i="25"/>
  <c r="G3848" i="25"/>
  <c r="G3865" i="25"/>
  <c r="G3882" i="25"/>
  <c r="G3899" i="25"/>
  <c r="G3915" i="25"/>
  <c r="G3935" i="25"/>
  <c r="G3951" i="25"/>
  <c r="G3967" i="25"/>
  <c r="G3984" i="25"/>
  <c r="G4001" i="25"/>
  <c r="G4020" i="25"/>
  <c r="G4036" i="25"/>
  <c r="G4054" i="25"/>
  <c r="G4070" i="25"/>
  <c r="G4086" i="25"/>
  <c r="G4106" i="25"/>
  <c r="G4122" i="25"/>
  <c r="G4139" i="25"/>
  <c r="G4156" i="25"/>
  <c r="G4172" i="25"/>
  <c r="G4191" i="25"/>
  <c r="G4208" i="25"/>
  <c r="G4225" i="25"/>
  <c r="G4241" i="25"/>
  <c r="G4258" i="25"/>
  <c r="G4277" i="25"/>
  <c r="G4294" i="25"/>
  <c r="G4310" i="25"/>
  <c r="G4327" i="25"/>
  <c r="G4344" i="25"/>
  <c r="G4362" i="25"/>
  <c r="G4380" i="25"/>
  <c r="G4396" i="25"/>
  <c r="G4412" i="25"/>
  <c r="G4429" i="25"/>
  <c r="G4447" i="25"/>
  <c r="G4462" i="25"/>
  <c r="G4477" i="25"/>
  <c r="G4493" i="25"/>
  <c r="G4508" i="25"/>
  <c r="G4525" i="25"/>
  <c r="G4541" i="25"/>
  <c r="G4556" i="25"/>
  <c r="G4571" i="25"/>
  <c r="G4587" i="25"/>
  <c r="G4604" i="25"/>
  <c r="G4619" i="25"/>
  <c r="G4635" i="25"/>
  <c r="G4650" i="25"/>
  <c r="G4665" i="25"/>
  <c r="G4683" i="25"/>
  <c r="G4698" i="25"/>
  <c r="G4713" i="25"/>
  <c r="G4728" i="25"/>
  <c r="G4744" i="25"/>
  <c r="G4761" i="25"/>
  <c r="G4776" i="25"/>
  <c r="G4792" i="25"/>
  <c r="G4807" i="25"/>
  <c r="G4822" i="25"/>
  <c r="G4840" i="25"/>
  <c r="G4855" i="25"/>
  <c r="G4870" i="25"/>
  <c r="G4885" i="25"/>
  <c r="G4901" i="25"/>
  <c r="G4918" i="25"/>
  <c r="G4933" i="25"/>
  <c r="G4949" i="25"/>
  <c r="G4964" i="25"/>
  <c r="G4979" i="25"/>
  <c r="G4997" i="25"/>
  <c r="G5012" i="25"/>
  <c r="G5027" i="25"/>
  <c r="G5043" i="25"/>
  <c r="G5058" i="25"/>
  <c r="G5075" i="25"/>
  <c r="G5091" i="25"/>
  <c r="G5106" i="25"/>
  <c r="G5121" i="25"/>
  <c r="G5136" i="25"/>
  <c r="G5154" i="25"/>
  <c r="G5169" i="25"/>
  <c r="G5184" i="25"/>
  <c r="G5200" i="25"/>
  <c r="G5215" i="25"/>
  <c r="G5232" i="25"/>
  <c r="G5248" i="25"/>
  <c r="G5263" i="25"/>
  <c r="G5278" i="25"/>
  <c r="G5293" i="25"/>
  <c r="G5311" i="25"/>
  <c r="G5326" i="25"/>
  <c r="G5341" i="25"/>
  <c r="G5357" i="25"/>
  <c r="G5372" i="25"/>
  <c r="G5389" i="25"/>
  <c r="G5405" i="25"/>
  <c r="G5420" i="25"/>
  <c r="G5435" i="25"/>
  <c r="G5451" i="25"/>
  <c r="G5468" i="25"/>
  <c r="G5483" i="25"/>
  <c r="G5499" i="25"/>
  <c r="G5514" i="25"/>
  <c r="G5529" i="25"/>
  <c r="G5547" i="25"/>
  <c r="G5562" i="25"/>
  <c r="G5577" i="25"/>
  <c r="G5592" i="25"/>
  <c r="G5608" i="25"/>
  <c r="G5625" i="25"/>
  <c r="G5640" i="25"/>
  <c r="G5656" i="25"/>
  <c r="G5671" i="25"/>
  <c r="G5686" i="25"/>
  <c r="G5704" i="25"/>
  <c r="G5719" i="25"/>
  <c r="G5734" i="25"/>
  <c r="G5749" i="25"/>
  <c r="G5765" i="25"/>
  <c r="G5782" i="25"/>
  <c r="G5797" i="25"/>
  <c r="G5813" i="25"/>
  <c r="G5828" i="25"/>
  <c r="G5843" i="25"/>
  <c r="G5861" i="25"/>
  <c r="G5876" i="25"/>
  <c r="G5891" i="25"/>
  <c r="G5907" i="25"/>
  <c r="G5922" i="25"/>
  <c r="G5939" i="25"/>
  <c r="G5955" i="25"/>
  <c r="G5970" i="25"/>
  <c r="G5985" i="25"/>
  <c r="G6000" i="25"/>
  <c r="G6018" i="25"/>
  <c r="G6033" i="25"/>
  <c r="G6048" i="25"/>
  <c r="G6064" i="25"/>
  <c r="G6079" i="25"/>
  <c r="G6096" i="25"/>
  <c r="G6112" i="25"/>
  <c r="G6127" i="25"/>
  <c r="G6142" i="25"/>
  <c r="G6157" i="25"/>
  <c r="G6175" i="25"/>
  <c r="G6190" i="25"/>
  <c r="G6205" i="25"/>
  <c r="G6221" i="25"/>
  <c r="G6236" i="25"/>
  <c r="G6253" i="25"/>
  <c r="G6269" i="25"/>
  <c r="G6284" i="25"/>
  <c r="G6299" i="25"/>
  <c r="G6315" i="25"/>
  <c r="G6332" i="25"/>
  <c r="G6347" i="25"/>
  <c r="G6363" i="25"/>
  <c r="G6378" i="25"/>
  <c r="G6393" i="25"/>
  <c r="G6411" i="25"/>
  <c r="G6426" i="25"/>
  <c r="G6441" i="25"/>
  <c r="G6456" i="25"/>
  <c r="G6472" i="25"/>
  <c r="G6489" i="25"/>
  <c r="G6504" i="25"/>
  <c r="G6520" i="25"/>
  <c r="G6535" i="25"/>
  <c r="G6550" i="25"/>
  <c r="G6568" i="25"/>
  <c r="G6583" i="25"/>
  <c r="G6598" i="25"/>
  <c r="G6613" i="25"/>
  <c r="G6629" i="25"/>
  <c r="G6646" i="25"/>
  <c r="G6661" i="25"/>
  <c r="G6677" i="25"/>
  <c r="G6692" i="25"/>
  <c r="G6707" i="25"/>
  <c r="G6725" i="25"/>
  <c r="G6740" i="25"/>
  <c r="G6755" i="25"/>
  <c r="G6771" i="25"/>
  <c r="G6786" i="25"/>
  <c r="G6803" i="25"/>
  <c r="G6819" i="25"/>
  <c r="G6834" i="25"/>
  <c r="G6849" i="25"/>
  <c r="G6864" i="25"/>
  <c r="G6882" i="25"/>
  <c r="G6897" i="25"/>
  <c r="G6912" i="25"/>
  <c r="G6928" i="25"/>
  <c r="G6943" i="25"/>
  <c r="G6960" i="25"/>
  <c r="G6976" i="25"/>
  <c r="G6991" i="25"/>
  <c r="G7006" i="25"/>
  <c r="G7021" i="25"/>
  <c r="G7039" i="25"/>
  <c r="G7054" i="25"/>
  <c r="G7069" i="25"/>
  <c r="G7085" i="25"/>
  <c r="G7100" i="25"/>
  <c r="G7117" i="25"/>
  <c r="G7133" i="25"/>
  <c r="G7148" i="25"/>
  <c r="G7163" i="25"/>
  <c r="G7179" i="25"/>
  <c r="G7196" i="25"/>
  <c r="G7211" i="25"/>
  <c r="G7227" i="25"/>
  <c r="G7242" i="25"/>
  <c r="G7257" i="25"/>
  <c r="G7275" i="25"/>
  <c r="G7290" i="25"/>
  <c r="G7305" i="25"/>
  <c r="G7320" i="25"/>
  <c r="G7336" i="25"/>
  <c r="G7353" i="25"/>
  <c r="G7368" i="25"/>
  <c r="G7384" i="25"/>
  <c r="G7399" i="25"/>
  <c r="G7414" i="25"/>
  <c r="G7432" i="25"/>
  <c r="G7447" i="25"/>
  <c r="G7462" i="25"/>
  <c r="G7477" i="25"/>
  <c r="G7493" i="25"/>
  <c r="G7510" i="25"/>
  <c r="G7525" i="25"/>
  <c r="G7541" i="25"/>
  <c r="G7556" i="25"/>
  <c r="G7571" i="25"/>
  <c r="G7589" i="25"/>
  <c r="G7604" i="25"/>
  <c r="G7619" i="25"/>
  <c r="G7635" i="25"/>
  <c r="G7650" i="25"/>
  <c r="G7667" i="25"/>
  <c r="G7683" i="25"/>
  <c r="G7698" i="25"/>
  <c r="G7713" i="25"/>
  <c r="G7728" i="25"/>
  <c r="G7746" i="25"/>
  <c r="G7761" i="25"/>
  <c r="G7776" i="25"/>
  <c r="G7792" i="25"/>
  <c r="G7807" i="25"/>
  <c r="G7824" i="25"/>
  <c r="G7840" i="25"/>
  <c r="G7855" i="25"/>
  <c r="G7870" i="25"/>
  <c r="G7885" i="25"/>
  <c r="G7903" i="25"/>
  <c r="G7918" i="25"/>
  <c r="G7933" i="25"/>
  <c r="G7949" i="25"/>
  <c r="G7964" i="25"/>
  <c r="G7981" i="25"/>
  <c r="G7997" i="25"/>
  <c r="G8012" i="25"/>
  <c r="G8027" i="25"/>
  <c r="G8043" i="25"/>
  <c r="G8060" i="25"/>
  <c r="G8075" i="25"/>
  <c r="G8091" i="25"/>
  <c r="G8106" i="25"/>
  <c r="G8121" i="25"/>
  <c r="G8139" i="25"/>
  <c r="G8154" i="25"/>
  <c r="G8169" i="25"/>
  <c r="G8184" i="25"/>
  <c r="G8200" i="25"/>
  <c r="G8217" i="25"/>
  <c r="G8232" i="25"/>
  <c r="G8248" i="25"/>
  <c r="G8263" i="25"/>
  <c r="G8278" i="25"/>
  <c r="G8296" i="25"/>
  <c r="G8311" i="25"/>
  <c r="G8326" i="25"/>
  <c r="G8341" i="25"/>
  <c r="G8357" i="25"/>
  <c r="G8374" i="25"/>
  <c r="G8389" i="25"/>
  <c r="G8405" i="25"/>
  <c r="G8420" i="25"/>
  <c r="G8435" i="25"/>
  <c r="G8453" i="25"/>
  <c r="G8468" i="25"/>
  <c r="G8483" i="25"/>
  <c r="G8499" i="25"/>
  <c r="G8514" i="25"/>
  <c r="G8531" i="25"/>
  <c r="G8547" i="25"/>
  <c r="G8562" i="25"/>
  <c r="G8577" i="25"/>
  <c r="G8592" i="25"/>
  <c r="G8610" i="25"/>
  <c r="G8625" i="25"/>
  <c r="G8640" i="25"/>
  <c r="G8656" i="25"/>
  <c r="G8671" i="25"/>
  <c r="G8688" i="25"/>
  <c r="G8704" i="25"/>
  <c r="G8719" i="25"/>
  <c r="G8734" i="25"/>
  <c r="G8749" i="25"/>
  <c r="G8767" i="25"/>
  <c r="G8782" i="25"/>
  <c r="G8797" i="25"/>
  <c r="G8813" i="25"/>
  <c r="G8828" i="25"/>
  <c r="G8845" i="25"/>
  <c r="G8861" i="25"/>
  <c r="G8875" i="25"/>
  <c r="G8889" i="25"/>
  <c r="G8903" i="25"/>
  <c r="G8919" i="25"/>
  <c r="G8933" i="25"/>
  <c r="G8947" i="25"/>
  <c r="G8961" i="25"/>
  <c r="G8975" i="25"/>
  <c r="G8991" i="25"/>
  <c r="G9005" i="25"/>
  <c r="G9019" i="25"/>
  <c r="G9033" i="25"/>
  <c r="G9047" i="25"/>
  <c r="G9063" i="25"/>
  <c r="G9077" i="25"/>
  <c r="G9091" i="25"/>
  <c r="G9105" i="25"/>
  <c r="G9118" i="25"/>
  <c r="G9131" i="25"/>
  <c r="G9145" i="25"/>
  <c r="G9158" i="25"/>
  <c r="G9171" i="25"/>
  <c r="G9184" i="25"/>
  <c r="G9197" i="25"/>
  <c r="G9210" i="25"/>
  <c r="G9223" i="25"/>
  <c r="G9236" i="25"/>
  <c r="G9249" i="25"/>
  <c r="G9262" i="25"/>
  <c r="G9275" i="25"/>
  <c r="G9289" i="25"/>
  <c r="G9302" i="25"/>
  <c r="G9315" i="25"/>
  <c r="G9328" i="25"/>
  <c r="G9341" i="25"/>
  <c r="G9354" i="25"/>
  <c r="G9367" i="25"/>
  <c r="G9380" i="25"/>
  <c r="G9393" i="25"/>
  <c r="G9406" i="25"/>
  <c r="G9419" i="25"/>
  <c r="G9433" i="25"/>
  <c r="G9446" i="25"/>
  <c r="G9459" i="25"/>
  <c r="G9472" i="25"/>
  <c r="G9485" i="25"/>
  <c r="G9498" i="25"/>
  <c r="G9511" i="25"/>
  <c r="G9524" i="25"/>
  <c r="G9537" i="25"/>
  <c r="G9550" i="25"/>
  <c r="G9563" i="25"/>
  <c r="G9577" i="25"/>
  <c r="G9590" i="25"/>
  <c r="G9603" i="25"/>
  <c r="G9616" i="25"/>
  <c r="G9629" i="25"/>
  <c r="G9642" i="25"/>
  <c r="G9655" i="25"/>
  <c r="G9668" i="25"/>
  <c r="G9681" i="25"/>
  <c r="G9694" i="25"/>
  <c r="G9707" i="25"/>
  <c r="G9721" i="25"/>
  <c r="G9734" i="25"/>
  <c r="G9747" i="25"/>
  <c r="G9760" i="25"/>
  <c r="G9773" i="25"/>
  <c r="G9786" i="25"/>
  <c r="G9799" i="25"/>
  <c r="G9812" i="25"/>
  <c r="G9825" i="25"/>
  <c r="G9838" i="25"/>
  <c r="G9851" i="25"/>
  <c r="G9865" i="25"/>
  <c r="G9878" i="25"/>
  <c r="G9891" i="25"/>
  <c r="G9904" i="25"/>
  <c r="G9917" i="25"/>
  <c r="G9930" i="25"/>
  <c r="G9943" i="25"/>
  <c r="G9956" i="25"/>
  <c r="G9969" i="25"/>
  <c r="G9982" i="25"/>
  <c r="G9995" i="25"/>
  <c r="G16" i="25"/>
  <c r="G61" i="25"/>
  <c r="G86" i="25"/>
  <c r="G107" i="25"/>
  <c r="G128" i="25"/>
  <c r="G151" i="25"/>
  <c r="G171" i="25"/>
  <c r="G197" i="25"/>
  <c r="G218" i="25"/>
  <c r="G239" i="25"/>
  <c r="G260" i="25"/>
  <c r="G283" i="25"/>
  <c r="G308" i="25"/>
  <c r="G328" i="25"/>
  <c r="G352" i="25"/>
  <c r="G373" i="25"/>
  <c r="G394" i="25"/>
  <c r="G419" i="25"/>
  <c r="G440" i="25"/>
  <c r="G461" i="25"/>
  <c r="G484" i="25"/>
  <c r="G507" i="25"/>
  <c r="G530" i="25"/>
  <c r="G553" i="25"/>
  <c r="G574" i="25"/>
  <c r="G595" i="25"/>
  <c r="G616" i="25"/>
  <c r="G641" i="25"/>
  <c r="G664" i="25"/>
  <c r="G684" i="25"/>
  <c r="G707" i="25"/>
  <c r="G728" i="25"/>
  <c r="G752" i="25"/>
  <c r="G774" i="25"/>
  <c r="G796" i="25"/>
  <c r="G818" i="25"/>
  <c r="G839" i="25"/>
  <c r="G865" i="25"/>
  <c r="G886" i="25"/>
  <c r="G906" i="25"/>
  <c r="G929" i="25"/>
  <c r="G951" i="25"/>
  <c r="G975" i="25"/>
  <c r="G997" i="25"/>
  <c r="G1018" i="25"/>
  <c r="G1039" i="25"/>
  <c r="G1058" i="25"/>
  <c r="G1081" i="25"/>
  <c r="G1101" i="25"/>
  <c r="G1120" i="25"/>
  <c r="G1138" i="25"/>
  <c r="G1155" i="25"/>
  <c r="G1177" i="25"/>
  <c r="G1194" i="25"/>
  <c r="G1213" i="25"/>
  <c r="G1230" i="25"/>
  <c r="G1250" i="25"/>
  <c r="G1270" i="25"/>
  <c r="G1287" i="25"/>
  <c r="G1307" i="25"/>
  <c r="G1324" i="25"/>
  <c r="G1343" i="25"/>
  <c r="G1364" i="25"/>
  <c r="G1382" i="25"/>
  <c r="G1400" i="25"/>
  <c r="G1417" i="25"/>
  <c r="G1437" i="25"/>
  <c r="G1456" i="25"/>
  <c r="G1475" i="25"/>
  <c r="G1493" i="25"/>
  <c r="G1512" i="25"/>
  <c r="G1529" i="25"/>
  <c r="G1551" i="25"/>
  <c r="G1569" i="25"/>
  <c r="G1586" i="25"/>
  <c r="G1606" i="25"/>
  <c r="G1623" i="25"/>
  <c r="G1644" i="25"/>
  <c r="G1662" i="25"/>
  <c r="G1680" i="25"/>
  <c r="G1698" i="25"/>
  <c r="G1716" i="25"/>
  <c r="G1738" i="25"/>
  <c r="G1755" i="25"/>
  <c r="G1774" i="25"/>
  <c r="G1792" i="25"/>
  <c r="G1810" i="25"/>
  <c r="G1830" i="25"/>
  <c r="G1849" i="25"/>
  <c r="G1868" i="25"/>
  <c r="G1885" i="25"/>
  <c r="G1902" i="25"/>
  <c r="G1924" i="25"/>
  <c r="G1942" i="25"/>
  <c r="G1960" i="25"/>
  <c r="G1979" i="25"/>
  <c r="G1997" i="25"/>
  <c r="G2017" i="25"/>
  <c r="G2037" i="25"/>
  <c r="G2054" i="25"/>
  <c r="G2072" i="25"/>
  <c r="G2091" i="25"/>
  <c r="G2111" i="25"/>
  <c r="G2129" i="25"/>
  <c r="G2148" i="25"/>
  <c r="G2166" i="25"/>
  <c r="G2184" i="25"/>
  <c r="G2206" i="25"/>
  <c r="G2222" i="25"/>
  <c r="G2238" i="25"/>
  <c r="G2255" i="25"/>
  <c r="G2272" i="25"/>
  <c r="G2291" i="25"/>
  <c r="G2307" i="25"/>
  <c r="G2324" i="25"/>
  <c r="G2341" i="25"/>
  <c r="G2357" i="25"/>
  <c r="G2377" i="25"/>
  <c r="G2393" i="25"/>
  <c r="G2410" i="25"/>
  <c r="G2426" i="25"/>
  <c r="G2443" i="25"/>
  <c r="G2462" i="25"/>
  <c r="G2478" i="25"/>
  <c r="G2496" i="25"/>
  <c r="G2512" i="25"/>
  <c r="G2528" i="25"/>
  <c r="G2548" i="25"/>
  <c r="G2564" i="25"/>
  <c r="G2581" i="25"/>
  <c r="G2598" i="25"/>
  <c r="G2615" i="25"/>
  <c r="G2633" i="25"/>
  <c r="G2651" i="25"/>
  <c r="G2667" i="25"/>
  <c r="G2683" i="25"/>
  <c r="G2700" i="25"/>
  <c r="G2719" i="25"/>
  <c r="G2736" i="25"/>
  <c r="G2752" i="25"/>
  <c r="G2770" i="25"/>
  <c r="G2786" i="25"/>
  <c r="G2804" i="25"/>
  <c r="G2822" i="25"/>
  <c r="G2838" i="25"/>
  <c r="G2855" i="25"/>
  <c r="G2871" i="25"/>
  <c r="G2891" i="25"/>
  <c r="G2907" i="25"/>
  <c r="G2923" i="25"/>
  <c r="G2941" i="25"/>
  <c r="G2957" i="25"/>
  <c r="G2976" i="25"/>
  <c r="G2993" i="25"/>
  <c r="G3010" i="25"/>
  <c r="G3026" i="25"/>
  <c r="G3043" i="25"/>
  <c r="G3062" i="25"/>
  <c r="G3078" i="25"/>
  <c r="G3096" i="25"/>
  <c r="G3112" i="25"/>
  <c r="G3128" i="25"/>
  <c r="G3148" i="25"/>
  <c r="G3164" i="25"/>
  <c r="G3181" i="25"/>
  <c r="G3197" i="25"/>
  <c r="G3215" i="25"/>
  <c r="G3233" i="25"/>
  <c r="G3250" i="25"/>
  <c r="G3267" i="25"/>
  <c r="G3283" i="25"/>
  <c r="G3300" i="25"/>
  <c r="G3319" i="25"/>
  <c r="G3336" i="25"/>
  <c r="G3352" i="25"/>
  <c r="G3368" i="25"/>
  <c r="G3386" i="25"/>
  <c r="G3404" i="25"/>
  <c r="G3421" i="25"/>
  <c r="G3438" i="25"/>
  <c r="G3455" i="25"/>
  <c r="G3471" i="25"/>
  <c r="G3491" i="25"/>
  <c r="G3507" i="25"/>
  <c r="G3523" i="25"/>
  <c r="G3541" i="25"/>
  <c r="G3557" i="25"/>
  <c r="G3576" i="25"/>
  <c r="G3593" i="25"/>
  <c r="G3610" i="25"/>
  <c r="G3626" i="25"/>
  <c r="G3642" i="25"/>
  <c r="G3662" i="25"/>
  <c r="G3678" i="25"/>
  <c r="G3695" i="25"/>
  <c r="G3712" i="25"/>
  <c r="G3728" i="25"/>
  <c r="G3747" i="25"/>
  <c r="G3764" i="25"/>
  <c r="G3781" i="25"/>
  <c r="G3797" i="25"/>
  <c r="G3814" i="25"/>
  <c r="G3833" i="25"/>
  <c r="G3850" i="25"/>
  <c r="G3866" i="25"/>
  <c r="G3883" i="25"/>
  <c r="G3900" i="25"/>
  <c r="G3918" i="25"/>
  <c r="G3936" i="25"/>
  <c r="G3952" i="25"/>
  <c r="G3968" i="25"/>
  <c r="G3986" i="25"/>
  <c r="G4004" i="25"/>
  <c r="G4021" i="25"/>
  <c r="G4038" i="25"/>
  <c r="G4055" i="25"/>
  <c r="G4071" i="25"/>
  <c r="G4091" i="25"/>
  <c r="G4107" i="25"/>
  <c r="G4123" i="25"/>
  <c r="G4140" i="25"/>
  <c r="G4157" i="25"/>
  <c r="G4176" i="25"/>
  <c r="G4192" i="25"/>
  <c r="G4210" i="25"/>
  <c r="G4226" i="25"/>
  <c r="G4242" i="25"/>
  <c r="G4262" i="25"/>
  <c r="G4278" i="25"/>
  <c r="G4295" i="25"/>
  <c r="G4311" i="25"/>
  <c r="G4328" i="25"/>
  <c r="G4347" i="25"/>
  <c r="G4363" i="25"/>
  <c r="G4381" i="25"/>
  <c r="G4397" i="25"/>
  <c r="G4414" i="25"/>
  <c r="G4433" i="25"/>
  <c r="G4448" i="25"/>
  <c r="G4463" i="25"/>
  <c r="G4479" i="25"/>
  <c r="G4494" i="25"/>
  <c r="G4511" i="25"/>
  <c r="G4527" i="25"/>
  <c r="G4542" i="25"/>
  <c r="G4557" i="25"/>
  <c r="G4572" i="25"/>
  <c r="G4590" i="25"/>
  <c r="G4605" i="25"/>
  <c r="G4620" i="25"/>
  <c r="G4636" i="25"/>
  <c r="G4651" i="25"/>
  <c r="G4668" i="25"/>
  <c r="G4684" i="25"/>
  <c r="G4699" i="25"/>
  <c r="G4714" i="25"/>
  <c r="G4729" i="25"/>
  <c r="G4747" i="25"/>
  <c r="G4762" i="25"/>
  <c r="G4777" i="25"/>
  <c r="G4793" i="25"/>
  <c r="G4808" i="25"/>
  <c r="G4825" i="25"/>
  <c r="G4841" i="25"/>
  <c r="G4856" i="25"/>
  <c r="G4871" i="25"/>
  <c r="G4887" i="25"/>
  <c r="G4904" i="25"/>
  <c r="G4919" i="25"/>
  <c r="G4935" i="25"/>
  <c r="G4950" i="25"/>
  <c r="G4965" i="25"/>
  <c r="G4983" i="25"/>
  <c r="G4998" i="25"/>
  <c r="G5013" i="25"/>
  <c r="G5028" i="25"/>
  <c r="G5044" i="25"/>
  <c r="G5061" i="25"/>
  <c r="G5076" i="25"/>
  <c r="G5092" i="25"/>
  <c r="G5107" i="25"/>
  <c r="G5122" i="25"/>
  <c r="G5140" i="25"/>
  <c r="G5155" i="25"/>
  <c r="G5170" i="25"/>
  <c r="G5185" i="25"/>
  <c r="G5201" i="25"/>
  <c r="G5218" i="25"/>
  <c r="G5233" i="25"/>
  <c r="G5249" i="25"/>
  <c r="G5264" i="25"/>
  <c r="G5279" i="25"/>
  <c r="G5297" i="25"/>
  <c r="G5312" i="25"/>
  <c r="G5327" i="25"/>
  <c r="G5343" i="25"/>
  <c r="G5358" i="25"/>
  <c r="G5375" i="25"/>
  <c r="G5391" i="25"/>
  <c r="G5406" i="25"/>
  <c r="G5421" i="25"/>
  <c r="G5436" i="25"/>
  <c r="G5454" i="25"/>
  <c r="G5469" i="25"/>
  <c r="G5484" i="25"/>
  <c r="G5500" i="25"/>
  <c r="G17" i="25"/>
  <c r="G50" i="25"/>
  <c r="G89" i="25"/>
  <c r="G130" i="25"/>
  <c r="G164" i="25"/>
  <c r="G203" i="25"/>
  <c r="G243" i="25"/>
  <c r="G275" i="25"/>
  <c r="G315" i="25"/>
  <c r="G355" i="25"/>
  <c r="G395" i="25"/>
  <c r="G428" i="25"/>
  <c r="G469" i="25"/>
  <c r="G511" i="25"/>
  <c r="G541" i="25"/>
  <c r="G580" i="25"/>
  <c r="G625" i="25"/>
  <c r="G665" i="25"/>
  <c r="G697" i="25"/>
  <c r="G736" i="25"/>
  <c r="G779" i="25"/>
  <c r="G810" i="25"/>
  <c r="G851" i="25"/>
  <c r="G889" i="25"/>
  <c r="G930" i="25"/>
  <c r="G964" i="25"/>
  <c r="G1002" i="25"/>
  <c r="G1041" i="25"/>
  <c r="G1070" i="25"/>
  <c r="G1108" i="25"/>
  <c r="G1141" i="25"/>
  <c r="G1178" i="25"/>
  <c r="G1202" i="25"/>
  <c r="G1239" i="25"/>
  <c r="G1272" i="25"/>
  <c r="G1297" i="25"/>
  <c r="G1334" i="25"/>
  <c r="G1368" i="25"/>
  <c r="G1401" i="25"/>
  <c r="G1428" i="25"/>
  <c r="G1463" i="25"/>
  <c r="G1496" i="25"/>
  <c r="G1523" i="25"/>
  <c r="G1557" i="25"/>
  <c r="G1592" i="25"/>
  <c r="G1624" i="25"/>
  <c r="G1652" i="25"/>
  <c r="G1685" i="25"/>
  <c r="G1722" i="25"/>
  <c r="G1745" i="25"/>
  <c r="G1780" i="25"/>
  <c r="G1816" i="25"/>
  <c r="G1850" i="25"/>
  <c r="G1878" i="25"/>
  <c r="G1911" i="25"/>
  <c r="G1945" i="25"/>
  <c r="G1972" i="25"/>
  <c r="G2006" i="25"/>
  <c r="G2040" i="25"/>
  <c r="G2073" i="25"/>
  <c r="G2101" i="25"/>
  <c r="G2135" i="25"/>
  <c r="G2169" i="25"/>
  <c r="G2196" i="25"/>
  <c r="G2227" i="25"/>
  <c r="G2259" i="25"/>
  <c r="G2292" i="25"/>
  <c r="G2315" i="25"/>
  <c r="G2347" i="25"/>
  <c r="G2379" i="25"/>
  <c r="G2402" i="25"/>
  <c r="G2435" i="25"/>
  <c r="G2465" i="25"/>
  <c r="G2497" i="25"/>
  <c r="G2522" i="25"/>
  <c r="G2552" i="25"/>
  <c r="G2583" i="25"/>
  <c r="G2608" i="25"/>
  <c r="G2640" i="25"/>
  <c r="G2670" i="25"/>
  <c r="G2701" i="25"/>
  <c r="G2726" i="25"/>
  <c r="G2758" i="25"/>
  <c r="G2790" i="25"/>
  <c r="G2813" i="25"/>
  <c r="G2844" i="25"/>
  <c r="G2878" i="25"/>
  <c r="G2908" i="25"/>
  <c r="G2933" i="25"/>
  <c r="G2965" i="25"/>
  <c r="G2995" i="25"/>
  <c r="G3020" i="25"/>
  <c r="G3051" i="25"/>
  <c r="G3083" i="25"/>
  <c r="G3113" i="25"/>
  <c r="G3138" i="25"/>
  <c r="G3169" i="25"/>
  <c r="G3200" i="25"/>
  <c r="G3224" i="25"/>
  <c r="G3256" i="25"/>
  <c r="G3287" i="25"/>
  <c r="G3320" i="25"/>
  <c r="G3342" i="25"/>
  <c r="G3376" i="25"/>
  <c r="G3407" i="25"/>
  <c r="G3430" i="25"/>
  <c r="G3463" i="25"/>
  <c r="G3494" i="25"/>
  <c r="G3524" i="25"/>
  <c r="G3550" i="25"/>
  <c r="G3581" i="25"/>
  <c r="G3612" i="25"/>
  <c r="G3637" i="25"/>
  <c r="G3667" i="25"/>
  <c r="G3699" i="25"/>
  <c r="G3730" i="25"/>
  <c r="G3755" i="25"/>
  <c r="G3785" i="25"/>
  <c r="G3819" i="25"/>
  <c r="G3842" i="25"/>
  <c r="G3872" i="25"/>
  <c r="G3905" i="25"/>
  <c r="G3937" i="25"/>
  <c r="G3962" i="25"/>
  <c r="G3992" i="25"/>
  <c r="G4023" i="25"/>
  <c r="G4048" i="25"/>
  <c r="G4080" i="25"/>
  <c r="G4110" i="25"/>
  <c r="G4141" i="25"/>
  <c r="G4166" i="25"/>
  <c r="G4198" i="25"/>
  <c r="G4228" i="25"/>
  <c r="G4253" i="25"/>
  <c r="G4284" i="25"/>
  <c r="G4315" i="25"/>
  <c r="G4348" i="25"/>
  <c r="G4371" i="25"/>
  <c r="G4405" i="25"/>
  <c r="G4435" i="25"/>
  <c r="G4456" i="25"/>
  <c r="G4486" i="25"/>
  <c r="G4515" i="25"/>
  <c r="G4543" i="25"/>
  <c r="G4566" i="25"/>
  <c r="G4594" i="25"/>
  <c r="G4623" i="25"/>
  <c r="G4645" i="25"/>
  <c r="G4674" i="25"/>
  <c r="G4702" i="25"/>
  <c r="G4731" i="25"/>
  <c r="G4753" i="25"/>
  <c r="G4782" i="25"/>
  <c r="G4812" i="25"/>
  <c r="G4833" i="25"/>
  <c r="G4861" i="25"/>
  <c r="G4892" i="25"/>
  <c r="G4920" i="25"/>
  <c r="G4943" i="25"/>
  <c r="G4972" i="25"/>
  <c r="G5000" i="25"/>
  <c r="G5023" i="25"/>
  <c r="G19" i="25"/>
  <c r="G51" i="25"/>
  <c r="G90" i="25"/>
  <c r="G132" i="25"/>
  <c r="G166" i="25"/>
  <c r="G204" i="25"/>
  <c r="G244" i="25"/>
  <c r="G284" i="25"/>
  <c r="G316" i="25"/>
  <c r="G356" i="25"/>
  <c r="G401" i="25"/>
  <c r="G430" i="25"/>
  <c r="G470" i="25"/>
  <c r="G512" i="25"/>
  <c r="G554" i="25"/>
  <c r="G587" i="25"/>
  <c r="G626" i="25"/>
  <c r="G666" i="25"/>
  <c r="G698" i="25"/>
  <c r="G740" i="25"/>
  <c r="G780" i="25"/>
  <c r="G819" i="25"/>
  <c r="G852" i="25"/>
  <c r="G892" i="25"/>
  <c r="G931" i="25"/>
  <c r="G965" i="25"/>
  <c r="G1004" i="25"/>
  <c r="G1043" i="25"/>
  <c r="G1082" i="25"/>
  <c r="G1109" i="25"/>
  <c r="G1145" i="25"/>
  <c r="G1179" i="25"/>
  <c r="G1203" i="25"/>
  <c r="G1240" i="25"/>
  <c r="G1273" i="25"/>
  <c r="G1308" i="25"/>
  <c r="G1335" i="25"/>
  <c r="G1369" i="25"/>
  <c r="G1402" i="25"/>
  <c r="G1429" i="25"/>
  <c r="G1464" i="25"/>
  <c r="G1497" i="25"/>
  <c r="G1530" i="25"/>
  <c r="G1558" i="25"/>
  <c r="G1593" i="25"/>
  <c r="G1628" i="25"/>
  <c r="G1653" i="25"/>
  <c r="G1686" i="25"/>
  <c r="G1724" i="25"/>
  <c r="G1756" i="25"/>
  <c r="G1784" i="25"/>
  <c r="G1817" i="25"/>
  <c r="G1852" i="25"/>
  <c r="G1880" i="25"/>
  <c r="G1912" i="25"/>
  <c r="G1946" i="25"/>
  <c r="G1980" i="25"/>
  <c r="G2007" i="25"/>
  <c r="G2041" i="25"/>
  <c r="G2075" i="25"/>
  <c r="G2102" i="25"/>
  <c r="G2136" i="25"/>
  <c r="G2170" i="25"/>
  <c r="G2207" i="25"/>
  <c r="G2228" i="25"/>
  <c r="G2262" i="25"/>
  <c r="G2293" i="25"/>
  <c r="G2316" i="25"/>
  <c r="G2350" i="25"/>
  <c r="G2380" i="25"/>
  <c r="G2411" i="25"/>
  <c r="G2436" i="25"/>
  <c r="G2467" i="25"/>
  <c r="G2498" i="25"/>
  <c r="G2523" i="25"/>
  <c r="G2554" i="25"/>
  <c r="G2585" i="25"/>
  <c r="G2616" i="25"/>
  <c r="G2641" i="25"/>
  <c r="G2671" i="25"/>
  <c r="G2705" i="25"/>
  <c r="G2727" i="25"/>
  <c r="G2759" i="25"/>
  <c r="G2791" i="25"/>
  <c r="G2823" i="25"/>
  <c r="G26" i="25"/>
  <c r="G66" i="25"/>
  <c r="G96" i="25"/>
  <c r="G137" i="25"/>
  <c r="G181" i="25"/>
  <c r="G219" i="25"/>
  <c r="G252" i="25"/>
  <c r="G292" i="25"/>
  <c r="G331" i="25"/>
  <c r="G366" i="25"/>
  <c r="G404" i="25"/>
  <c r="G445" i="25"/>
  <c r="G485" i="25"/>
  <c r="G518" i="25"/>
  <c r="G558" i="25"/>
  <c r="G598" i="25"/>
  <c r="G630" i="25"/>
  <c r="G671" i="25"/>
  <c r="G711" i="25"/>
  <c r="G754" i="25"/>
  <c r="G783" i="25"/>
  <c r="G827" i="25"/>
  <c r="G867" i="25"/>
  <c r="G898" i="25"/>
  <c r="G939" i="25"/>
  <c r="G980" i="25"/>
  <c r="G1021" i="25"/>
  <c r="G1051" i="25"/>
  <c r="G1087" i="25"/>
  <c r="G1122" i="25"/>
  <c r="G1150" i="25"/>
  <c r="G1182" i="25"/>
  <c r="G1216" i="25"/>
  <c r="G1251" i="25"/>
  <c r="G1278" i="25"/>
  <c r="G1311" i="25"/>
  <c r="G1348" i="25"/>
  <c r="G1372" i="25"/>
  <c r="G1407" i="25"/>
  <c r="G1442" i="25"/>
  <c r="G1477" i="25"/>
  <c r="G1503" i="25"/>
  <c r="G1538" i="25"/>
  <c r="G1571" i="25"/>
  <c r="G1598" i="25"/>
  <c r="G1632" i="25"/>
  <c r="G1666" i="25"/>
  <c r="G1700" i="25"/>
  <c r="G1727" i="25"/>
  <c r="G1761" i="25"/>
  <c r="G1794" i="25"/>
  <c r="G1822" i="25"/>
  <c r="G1856" i="25"/>
  <c r="G1888" i="25"/>
  <c r="G1925" i="25"/>
  <c r="G1950" i="25"/>
  <c r="G1986" i="25"/>
  <c r="G2020" i="25"/>
  <c r="G2044" i="25"/>
  <c r="G2081" i="25"/>
  <c r="G2115" i="25"/>
  <c r="G2149" i="25"/>
  <c r="G2176" i="25"/>
  <c r="G2210" i="25"/>
  <c r="G2240" i="25"/>
  <c r="G2266" i="25"/>
  <c r="G2297" i="25"/>
  <c r="G2328" i="25"/>
  <c r="G2358" i="25"/>
  <c r="G2383" i="25"/>
  <c r="G2415" i="25"/>
  <c r="G2448" i="25"/>
  <c r="G2471" i="25"/>
  <c r="G2501" i="25"/>
  <c r="G2535" i="25"/>
  <c r="G2566" i="25"/>
  <c r="G2591" i="25"/>
  <c r="G2621" i="25"/>
  <c r="G2653" i="25"/>
  <c r="G2678" i="25"/>
  <c r="G2708" i="25"/>
  <c r="G2739" i="25"/>
  <c r="G2771" i="25"/>
  <c r="G2796" i="25"/>
  <c r="G2826" i="25"/>
  <c r="G2857" i="25"/>
  <c r="G2882" i="25"/>
  <c r="G2914" i="25"/>
  <c r="G2944" i="25"/>
  <c r="G2978" i="25"/>
  <c r="G3000" i="25"/>
  <c r="G3034" i="25"/>
  <c r="G3064" i="25"/>
  <c r="G3087" i="25"/>
  <c r="G3120" i="25"/>
  <c r="G3151" i="25"/>
  <c r="G3182" i="25"/>
  <c r="G3207" i="25"/>
  <c r="G3238" i="25"/>
  <c r="G3269" i="25"/>
  <c r="G3294" i="25"/>
  <c r="G22" i="25"/>
  <c r="G70" i="25"/>
  <c r="G114" i="25"/>
  <c r="G172" i="25"/>
  <c r="G222" i="25"/>
  <c r="G270" i="25"/>
  <c r="G318" i="25"/>
  <c r="G375" i="25"/>
  <c r="G423" i="25"/>
  <c r="G474" i="25"/>
  <c r="G531" i="25"/>
  <c r="G576" i="25"/>
  <c r="G627" i="25"/>
  <c r="G674" i="25"/>
  <c r="G730" i="25"/>
  <c r="G781" i="25"/>
  <c r="G829" i="25"/>
  <c r="G875" i="25"/>
  <c r="G932" i="25"/>
  <c r="G983" i="25"/>
  <c r="G1030" i="25"/>
  <c r="G1083" i="25"/>
  <c r="G1125" i="25"/>
  <c r="G1165" i="25"/>
  <c r="G1214" i="25"/>
  <c r="G1256" i="25"/>
  <c r="G1294" i="25"/>
  <c r="G1336" i="25"/>
  <c r="G1384" i="25"/>
  <c r="G1422" i="25"/>
  <c r="G1465" i="25"/>
  <c r="G1513" i="25"/>
  <c r="G1553" i="25"/>
  <c r="G1594" i="25"/>
  <c r="G1635" i="25"/>
  <c r="G1682" i="25"/>
  <c r="G1725" i="25"/>
  <c r="G1764" i="25"/>
  <c r="G1803" i="25"/>
  <c r="G1853" i="25"/>
  <c r="G1895" i="25"/>
  <c r="G1932" i="25"/>
  <c r="G1981" i="25"/>
  <c r="G2024" i="25"/>
  <c r="G2060" i="25"/>
  <c r="G2112" i="25"/>
  <c r="G2151" i="25"/>
  <c r="G2193" i="25"/>
  <c r="G2230" i="25"/>
  <c r="G2276" i="25"/>
  <c r="G2311" i="25"/>
  <c r="G2351" i="25"/>
  <c r="G2394" i="25"/>
  <c r="G2429" i="25"/>
  <c r="G2468" i="25"/>
  <c r="G2507" i="25"/>
  <c r="G2549" i="25"/>
  <c r="G2586" i="25"/>
  <c r="G2624" i="25"/>
  <c r="G2658" i="25"/>
  <c r="G2706" i="25"/>
  <c r="G2742" i="25"/>
  <c r="G2778" i="25"/>
  <c r="G2824" i="25"/>
  <c r="G2858" i="25"/>
  <c r="G2894" i="25"/>
  <c r="G2928" i="25"/>
  <c r="G2963" i="25"/>
  <c r="G2998" i="25"/>
  <c r="G3035" i="25"/>
  <c r="G3067" i="25"/>
  <c r="G3101" i="25"/>
  <c r="G3137" i="25"/>
  <c r="G3171" i="25"/>
  <c r="G3208" i="25"/>
  <c r="G3242" i="25"/>
  <c r="G3277" i="25"/>
  <c r="G3311" i="25"/>
  <c r="G3344" i="25"/>
  <c r="G3378" i="25"/>
  <c r="G3411" i="25"/>
  <c r="G3443" i="25"/>
  <c r="G3478" i="25"/>
  <c r="G3509" i="25"/>
  <c r="G3542" i="25"/>
  <c r="G3568" i="25"/>
  <c r="G3600" i="25"/>
  <c r="G3635" i="25"/>
  <c r="G3666" i="25"/>
  <c r="G3700" i="25"/>
  <c r="G3734" i="25"/>
  <c r="G3767" i="25"/>
  <c r="G3798" i="25"/>
  <c r="G3824" i="25"/>
  <c r="G3857" i="25"/>
  <c r="G3891" i="25"/>
  <c r="G3924" i="25"/>
  <c r="G3955" i="25"/>
  <c r="G3990" i="25"/>
  <c r="G4022" i="25"/>
  <c r="G4056" i="25"/>
  <c r="G4082" i="25"/>
  <c r="G4114" i="25"/>
  <c r="G4148" i="25"/>
  <c r="G4180" i="25"/>
  <c r="G4213" i="25"/>
  <c r="G4248" i="25"/>
  <c r="G4279" i="25"/>
  <c r="G4306" i="25"/>
  <c r="G4337" i="25"/>
  <c r="G4370" i="25"/>
  <c r="G4406" i="25"/>
  <c r="G4437" i="25"/>
  <c r="G4467" i="25"/>
  <c r="G4498" i="25"/>
  <c r="G4528" i="25"/>
  <c r="G4552" i="25"/>
  <c r="G4581" i="25"/>
  <c r="G4611" i="25"/>
  <c r="G4642" i="25"/>
  <c r="G4672" i="25"/>
  <c r="G4701" i="25"/>
  <c r="G4734" i="25"/>
  <c r="G4763" i="25"/>
  <c r="G4787" i="25"/>
  <c r="G4817" i="25"/>
  <c r="G4846" i="25"/>
  <c r="G4878" i="25"/>
  <c r="G4907" i="25"/>
  <c r="G4937" i="25"/>
  <c r="G4966" i="25"/>
  <c r="G4990" i="25"/>
  <c r="G5022" i="25"/>
  <c r="G5051" i="25"/>
  <c r="G5080" i="25"/>
  <c r="G5108" i="25"/>
  <c r="G5131" i="25"/>
  <c r="G5159" i="25"/>
  <c r="G5188" i="25"/>
  <c r="G5211" i="25"/>
  <c r="G5239" i="25"/>
  <c r="G5267" i="25"/>
  <c r="G5298" i="25"/>
  <c r="G5319" i="25"/>
  <c r="G5349" i="25"/>
  <c r="G5377" i="25"/>
  <c r="G5398" i="25"/>
  <c r="G5429" i="25"/>
  <c r="G5457" i="25"/>
  <c r="G5485" i="25"/>
  <c r="G5508" i="25"/>
  <c r="G5535" i="25"/>
  <c r="G5554" i="25"/>
  <c r="G5580" i="25"/>
  <c r="G5602" i="25"/>
  <c r="G5628" i="25"/>
  <c r="G5650" i="25"/>
  <c r="G5676" i="25"/>
  <c r="G5696" i="25"/>
  <c r="G5722" i="25"/>
  <c r="G5744" i="25"/>
  <c r="G5770" i="25"/>
  <c r="G5790" i="25"/>
  <c r="G5816" i="25"/>
  <c r="G5838" i="25"/>
  <c r="G5864" i="25"/>
  <c r="G5886" i="25"/>
  <c r="G5912" i="25"/>
  <c r="G5932" i="25"/>
  <c r="G5958" i="25"/>
  <c r="G5980" i="25"/>
  <c r="G6006" i="25"/>
  <c r="G6025" i="25"/>
  <c r="G6052" i="25"/>
  <c r="G6073" i="25"/>
  <c r="G6100" i="25"/>
  <c r="G6121" i="25"/>
  <c r="G6148" i="25"/>
  <c r="G6167" i="25"/>
  <c r="G6193" i="25"/>
  <c r="G6215" i="25"/>
  <c r="G6241" i="25"/>
  <c r="G6261" i="25"/>
  <c r="G6287" i="25"/>
  <c r="G6309" i="25"/>
  <c r="G6335" i="25"/>
  <c r="G6357" i="25"/>
  <c r="G6383" i="25"/>
  <c r="G6403" i="25"/>
  <c r="G6429" i="25"/>
  <c r="G6451" i="25"/>
  <c r="G6477" i="25"/>
  <c r="G6497" i="25"/>
  <c r="G6523" i="25"/>
  <c r="G6545" i="25"/>
  <c r="G6571" i="25"/>
  <c r="G6593" i="25"/>
  <c r="G6619" i="25"/>
  <c r="G6639" i="25"/>
  <c r="G6665" i="25"/>
  <c r="G6687" i="25"/>
  <c r="G6713" i="25"/>
  <c r="G6732" i="25"/>
  <c r="G6759" i="25"/>
  <c r="G6780" i="25"/>
  <c r="G6807" i="25"/>
  <c r="G6828" i="25"/>
  <c r="G6855" i="25"/>
  <c r="G6874" i="25"/>
  <c r="G6900" i="25"/>
  <c r="G6922" i="25"/>
  <c r="G6948" i="25"/>
  <c r="G6968" i="25"/>
  <c r="G6994" i="25"/>
  <c r="G7016" i="25"/>
  <c r="G7042" i="25"/>
  <c r="G7064" i="25"/>
  <c r="G7090" i="25"/>
  <c r="G7110" i="25"/>
  <c r="G7136" i="25"/>
  <c r="G7158" i="25"/>
  <c r="G7184" i="25"/>
  <c r="G7204" i="25"/>
  <c r="G7230" i="25"/>
  <c r="G7252" i="25"/>
  <c r="G7278" i="25"/>
  <c r="G7300" i="25"/>
  <c r="G24" i="25"/>
  <c r="G72" i="25"/>
  <c r="G116" i="25"/>
  <c r="G180" i="25"/>
  <c r="G223" i="25"/>
  <c r="G272" i="25"/>
  <c r="G330" i="25"/>
  <c r="G376" i="25"/>
  <c r="G425" i="25"/>
  <c r="G475" i="25"/>
  <c r="G532" i="25"/>
  <c r="G578" i="25"/>
  <c r="G628" i="25"/>
  <c r="G685" i="25"/>
  <c r="G733" i="25"/>
  <c r="G782" i="25"/>
  <c r="G831" i="25"/>
  <c r="G887" i="25"/>
  <c r="G938" i="25"/>
  <c r="G984" i="25"/>
  <c r="G1031" i="25"/>
  <c r="G1084" i="25"/>
  <c r="G1126" i="25"/>
  <c r="G1166" i="25"/>
  <c r="G1215" i="25"/>
  <c r="G1257" i="25"/>
  <c r="G1295" i="25"/>
  <c r="G1344" i="25"/>
  <c r="G1385" i="25"/>
  <c r="G1426" i="25"/>
  <c r="G1466" i="25"/>
  <c r="G1514" i="25"/>
  <c r="G1554" i="25"/>
  <c r="G1597" i="25"/>
  <c r="G1645" i="25"/>
  <c r="G1683" i="25"/>
  <c r="G1726" i="25"/>
  <c r="G1765" i="25"/>
  <c r="G1811" i="25"/>
  <c r="G1854" i="25"/>
  <c r="G1896" i="25"/>
  <c r="G1934" i="25"/>
  <c r="G1983" i="25"/>
  <c r="G2025" i="25"/>
  <c r="G2065" i="25"/>
  <c r="G2114" i="25"/>
  <c r="G2153" i="25"/>
  <c r="G2194" i="25"/>
  <c r="G2239" i="25"/>
  <c r="G2278" i="25"/>
  <c r="G2312" i="25"/>
  <c r="G2352" i="25"/>
  <c r="G2395" i="25"/>
  <c r="G2430" i="25"/>
  <c r="G2470" i="25"/>
  <c r="G2513" i="25"/>
  <c r="G2550" i="25"/>
  <c r="G2587" i="25"/>
  <c r="G2626" i="25"/>
  <c r="G2668" i="25"/>
  <c r="G2707" i="25"/>
  <c r="G2743" i="25"/>
  <c r="G2779" i="25"/>
  <c r="G2825" i="25"/>
  <c r="G2862" i="25"/>
  <c r="G2895" i="25"/>
  <c r="G2929" i="25"/>
  <c r="G2966" i="25"/>
  <c r="G2999" i="25"/>
  <c r="G3036" i="25"/>
  <c r="G3070" i="25"/>
  <c r="G3104" i="25"/>
  <c r="G3139" i="25"/>
  <c r="G3172" i="25"/>
  <c r="G3216" i="25"/>
  <c r="G3251" i="25"/>
  <c r="G3284" i="25"/>
  <c r="G3322" i="25"/>
  <c r="G3353" i="25"/>
  <c r="G3379" i="25"/>
  <c r="G3412" i="25"/>
  <c r="G3444" i="25"/>
  <c r="G3479" i="25"/>
  <c r="G3510" i="25"/>
  <c r="G3543" i="25"/>
  <c r="G3577" i="25"/>
  <c r="G3601" i="25"/>
  <c r="G3636" i="25"/>
  <c r="G3668" i="25"/>
  <c r="G3701" i="25"/>
  <c r="G3735" i="25"/>
  <c r="G3768" i="25"/>
  <c r="G3799" i="25"/>
  <c r="G3834" i="25"/>
  <c r="G3858" i="25"/>
  <c r="G3892" i="25"/>
  <c r="G3925" i="25"/>
  <c r="G3956" i="25"/>
  <c r="G3991" i="25"/>
  <c r="G4025" i="25"/>
  <c r="G4057" i="25"/>
  <c r="G4092" i="25"/>
  <c r="G4115" i="25"/>
  <c r="G4150" i="25"/>
  <c r="G4182" i="25"/>
  <c r="G4214" i="25"/>
  <c r="G4249" i="25"/>
  <c r="G4280" i="25"/>
  <c r="G4313" i="25"/>
  <c r="G4339" i="25"/>
  <c r="G4372" i="25"/>
  <c r="G4407" i="25"/>
  <c r="G4438" i="25"/>
  <c r="G4468" i="25"/>
  <c r="G4499" i="25"/>
  <c r="G4529" i="25"/>
  <c r="G4558" i="25"/>
  <c r="G4582" i="25"/>
  <c r="G4612" i="25"/>
  <c r="G4643" i="25"/>
  <c r="G4673" i="25"/>
  <c r="G4703" i="25"/>
  <c r="G4735" i="25"/>
  <c r="G4764" i="25"/>
  <c r="G4794" i="25"/>
  <c r="G4818" i="25"/>
  <c r="G4847" i="25"/>
  <c r="G4879" i="25"/>
  <c r="G4908" i="25"/>
  <c r="G4938" i="25"/>
  <c r="G4969" i="25"/>
  <c r="G4999" i="25"/>
  <c r="G5029" i="25"/>
  <c r="G5052" i="25"/>
  <c r="G5081" i="25"/>
  <c r="G5109" i="25"/>
  <c r="G5132" i="25"/>
  <c r="G5160" i="25"/>
  <c r="G5189" i="25"/>
  <c r="G5219" i="25"/>
  <c r="G5240" i="25"/>
  <c r="G5271" i="25"/>
  <c r="G5299" i="25"/>
  <c r="G39" i="25"/>
  <c r="G87" i="25"/>
  <c r="G135" i="25"/>
  <c r="G184" i="25"/>
  <c r="G230" i="25"/>
  <c r="G290" i="25"/>
  <c r="G338" i="25"/>
  <c r="G386" i="25"/>
  <c r="G444" i="25"/>
  <c r="G494" i="25"/>
  <c r="G539" i="25"/>
  <c r="G596" i="25"/>
  <c r="G646" i="25"/>
  <c r="G690" i="25"/>
  <c r="G743" i="25"/>
  <c r="G798" i="25"/>
  <c r="G846" i="25"/>
  <c r="G896" i="25"/>
  <c r="G952" i="25"/>
  <c r="G999" i="25"/>
  <c r="G1049" i="25"/>
  <c r="G1092" i="25"/>
  <c r="G1139" i="25"/>
  <c r="G1181" i="25"/>
  <c r="G1224" i="25"/>
  <c r="G1260" i="25"/>
  <c r="G1310" i="25"/>
  <c r="G1352" i="25"/>
  <c r="G1389" i="25"/>
  <c r="G1441" i="25"/>
  <c r="G1480" i="25"/>
  <c r="G1521" i="25"/>
  <c r="G1570" i="25"/>
  <c r="G1609" i="25"/>
  <c r="G1649" i="25"/>
  <c r="G1692" i="25"/>
  <c r="G1740" i="25"/>
  <c r="G1778" i="25"/>
  <c r="G1821" i="25"/>
  <c r="G1869" i="25"/>
  <c r="G1909" i="25"/>
  <c r="G1949" i="25"/>
  <c r="G1991" i="25"/>
  <c r="G2038" i="25"/>
  <c r="G2080" i="25"/>
  <c r="G2120" i="25"/>
  <c r="G2159" i="25"/>
  <c r="G2209" i="25"/>
  <c r="G2245" i="25"/>
  <c r="G2281" i="25"/>
  <c r="G2327" i="25"/>
  <c r="G2365" i="25"/>
  <c r="G2399" i="25"/>
  <c r="G2444" i="25"/>
  <c r="G2483" i="25"/>
  <c r="G2520" i="25"/>
  <c r="G2556" i="25"/>
  <c r="G2600" i="25"/>
  <c r="G2638" i="25"/>
  <c r="G2677" i="25"/>
  <c r="G2720" i="25"/>
  <c r="G2755" i="25"/>
  <c r="G2795" i="25"/>
  <c r="G2830" i="25"/>
  <c r="G2866" i="25"/>
  <c r="G2899" i="25"/>
  <c r="G2942" i="25"/>
  <c r="G2979" i="25"/>
  <c r="G3012" i="25"/>
  <c r="G3048" i="25"/>
  <c r="G3080" i="25"/>
  <c r="G3115" i="25"/>
  <c r="G3152" i="25"/>
  <c r="G3185" i="25"/>
  <c r="G3221" i="25"/>
  <c r="G3255" i="25"/>
  <c r="G3292" i="25"/>
  <c r="G3325" i="25"/>
  <c r="G3358" i="25"/>
  <c r="G3391" i="25"/>
  <c r="G3424" i="25"/>
  <c r="G3456" i="25"/>
  <c r="G3482" i="25"/>
  <c r="G3515" i="25"/>
  <c r="G3548" i="25"/>
  <c r="G3582" i="25"/>
  <c r="G3614" i="25"/>
  <c r="G3649" i="25"/>
  <c r="G3680" i="25"/>
  <c r="G3713" i="25"/>
  <c r="G3739" i="25"/>
  <c r="G3771" i="25"/>
  <c r="G3806" i="25"/>
  <c r="G3838" i="25"/>
  <c r="G3870" i="25"/>
  <c r="G3904" i="25"/>
  <c r="G3938" i="25"/>
  <c r="G3970" i="25"/>
  <c r="G3996" i="25"/>
  <c r="G4028" i="25"/>
  <c r="G4062" i="25"/>
  <c r="G4095" i="25"/>
  <c r="G4127" i="25"/>
  <c r="G4162" i="25"/>
  <c r="G4193" i="25"/>
  <c r="G4219" i="25"/>
  <c r="G4252" i="25"/>
  <c r="G4285" i="25"/>
  <c r="G4320" i="25"/>
  <c r="G4352" i="25"/>
  <c r="G4384" i="25"/>
  <c r="G4419" i="25"/>
  <c r="G4449" i="25"/>
  <c r="G4473" i="25"/>
  <c r="G4503" i="25"/>
  <c r="G4532" i="25"/>
  <c r="G4564" i="25"/>
  <c r="G4593" i="25"/>
  <c r="G4624" i="25"/>
  <c r="G4655" i="25"/>
  <c r="G4685" i="25"/>
  <c r="G4709" i="25"/>
  <c r="G4738" i="25"/>
  <c r="G4768" i="25"/>
  <c r="G4799" i="25"/>
  <c r="G4829" i="25"/>
  <c r="G4858" i="25"/>
  <c r="G4888" i="25"/>
  <c r="G4912" i="25"/>
  <c r="G4944" i="25"/>
  <c r="G4974" i="25"/>
  <c r="G5003" i="25"/>
  <c r="G5035" i="25"/>
  <c r="G5063" i="25"/>
  <c r="G5084" i="25"/>
  <c r="G5115" i="25"/>
  <c r="G5143" i="25"/>
  <c r="G5171" i="25"/>
  <c r="G5194" i="25"/>
  <c r="G5223" i="25"/>
  <c r="G5251" i="25"/>
  <c r="G5274" i="25"/>
  <c r="G5302" i="25"/>
  <c r="G5331" i="25"/>
  <c r="G5359" i="25"/>
  <c r="G5382" i="25"/>
  <c r="G5410" i="25"/>
  <c r="G5441" i="25"/>
  <c r="G5461" i="25"/>
  <c r="G5490" i="25"/>
  <c r="G5519" i="25"/>
  <c r="G5539" i="25"/>
  <c r="G5565" i="25"/>
  <c r="G5587" i="25"/>
  <c r="G5613" i="25"/>
  <c r="G5633" i="25"/>
  <c r="G5659" i="25"/>
  <c r="G5681" i="25"/>
  <c r="G5707" i="25"/>
  <c r="G5729" i="25"/>
  <c r="G5755" i="25"/>
  <c r="G5775" i="25"/>
  <c r="G5801" i="25"/>
  <c r="G5823" i="25"/>
  <c r="G5849" i="25"/>
  <c r="G5868" i="25"/>
  <c r="G5895" i="25"/>
  <c r="G5916" i="25"/>
  <c r="G5943" i="25"/>
  <c r="G5964" i="25"/>
  <c r="G29" i="25"/>
  <c r="G94" i="25"/>
  <c r="G155" i="25"/>
  <c r="G226" i="25"/>
  <c r="G295" i="25"/>
  <c r="G358" i="25"/>
  <c r="G426" i="25"/>
  <c r="G496" i="25"/>
  <c r="G560" i="25"/>
  <c r="G642" i="25"/>
  <c r="G709" i="25"/>
  <c r="G761" i="25"/>
  <c r="G841" i="25"/>
  <c r="G912" i="25"/>
  <c r="G978" i="25"/>
  <c r="G1040" i="25"/>
  <c r="G1103" i="25"/>
  <c r="G1161" i="25"/>
  <c r="G1217" i="25"/>
  <c r="G1274" i="25"/>
  <c r="G1326" i="25"/>
  <c r="G1386" i="25"/>
  <c r="G1444" i="25"/>
  <c r="G1499" i="25"/>
  <c r="G1556" i="25"/>
  <c r="G1613" i="25"/>
  <c r="G1669" i="25"/>
  <c r="G1728" i="25"/>
  <c r="G1785" i="25"/>
  <c r="G1837" i="25"/>
  <c r="G1897" i="25"/>
  <c r="G1962" i="25"/>
  <c r="G2009" i="25"/>
  <c r="G2066" i="25"/>
  <c r="G2130" i="25"/>
  <c r="G2185" i="25"/>
  <c r="G2242" i="25"/>
  <c r="G2294" i="25"/>
  <c r="G2342" i="25"/>
  <c r="G2396" i="25"/>
  <c r="G2450" i="25"/>
  <c r="G2499" i="25"/>
  <c r="G2551" i="25"/>
  <c r="G2605" i="25"/>
  <c r="G2655" i="25"/>
  <c r="G2710" i="25"/>
  <c r="G2762" i="25"/>
  <c r="G2810" i="25"/>
  <c r="G2863" i="25"/>
  <c r="G2910" i="25"/>
  <c r="G2952" i="25"/>
  <c r="G3001" i="25"/>
  <c r="G3050" i="25"/>
  <c r="G3098" i="25"/>
  <c r="G3149" i="25"/>
  <c r="G3191" i="25"/>
  <c r="G3236" i="25"/>
  <c r="G3286" i="25"/>
  <c r="G3327" i="25"/>
  <c r="G3372" i="25"/>
  <c r="G3413" i="25"/>
  <c r="G3458" i="25"/>
  <c r="G3497" i="25"/>
  <c r="G3544" i="25"/>
  <c r="G3584" i="25"/>
  <c r="G3628" i="25"/>
  <c r="G3670" i="25"/>
  <c r="G3715" i="25"/>
  <c r="G3754" i="25"/>
  <c r="G3800" i="25"/>
  <c r="G3840" i="25"/>
  <c r="G3886" i="25"/>
  <c r="G3926" i="25"/>
  <c r="G3973" i="25"/>
  <c r="G4010" i="25"/>
  <c r="G4058" i="25"/>
  <c r="G4097" i="25"/>
  <c r="G4143" i="25"/>
  <c r="G4183" i="25"/>
  <c r="G4229" i="25"/>
  <c r="G4267" i="25"/>
  <c r="G4314" i="25"/>
  <c r="G4355" i="25"/>
  <c r="G4398" i="25"/>
  <c r="G4439" i="25"/>
  <c r="G4481" i="25"/>
  <c r="G43" i="25"/>
  <c r="G112" i="25"/>
  <c r="G183" i="25"/>
  <c r="G247" i="25"/>
  <c r="G312" i="25"/>
  <c r="G384" i="25"/>
  <c r="G451" i="25"/>
  <c r="G515" i="25"/>
  <c r="G588" i="25"/>
  <c r="G651" i="25"/>
  <c r="G718" i="25"/>
  <c r="G797" i="25"/>
  <c r="G866" i="25"/>
  <c r="G918" i="25"/>
  <c r="G998" i="25"/>
  <c r="G1065" i="25"/>
  <c r="G1121" i="25"/>
  <c r="G1180" i="25"/>
  <c r="G1234" i="25"/>
  <c r="G1292" i="25"/>
  <c r="G1350" i="25"/>
  <c r="G1405" i="25"/>
  <c r="G1460" i="25"/>
  <c r="G1520" i="25"/>
  <c r="G1574" i="25"/>
  <c r="G1631" i="25"/>
  <c r="G1691" i="25"/>
  <c r="G1743" i="25"/>
  <c r="G1801" i="25"/>
  <c r="G1858" i="25"/>
  <c r="G1914" i="25"/>
  <c r="G1967" i="25"/>
  <c r="G2027" i="25"/>
  <c r="G2092" i="25"/>
  <c r="G2138" i="25"/>
  <c r="G2208" i="25"/>
  <c r="G2256" i="25"/>
  <c r="G2308" i="25"/>
  <c r="G2364" i="25"/>
  <c r="G2413" i="25"/>
  <c r="G2463" i="25"/>
  <c r="G2515" i="25"/>
  <c r="G2569" i="25"/>
  <c r="G2620" i="25"/>
  <c r="G2672" i="25"/>
  <c r="G2724" i="25"/>
  <c r="G2776" i="25"/>
  <c r="G2828" i="25"/>
  <c r="G2879" i="25"/>
  <c r="G2926" i="25"/>
  <c r="G2968" i="25"/>
  <c r="G3015" i="25"/>
  <c r="G3065" i="25"/>
  <c r="G3114" i="25"/>
  <c r="G3156" i="25"/>
  <c r="G3205" i="25"/>
  <c r="G3254" i="25"/>
  <c r="G3305" i="25"/>
  <c r="G3340" i="25"/>
  <c r="G3390" i="25"/>
  <c r="G3427" i="25"/>
  <c r="G3472" i="25"/>
  <c r="G3512" i="25"/>
  <c r="G3562" i="25"/>
  <c r="G3598" i="25"/>
  <c r="G3648" i="25"/>
  <c r="G3685" i="25"/>
  <c r="G3722" i="25"/>
  <c r="G3770" i="25"/>
  <c r="G3816" i="25"/>
  <c r="G3855" i="25"/>
  <c r="G3901" i="25"/>
  <c r="G3941" i="25"/>
  <c r="G3979" i="25"/>
  <c r="G4027" i="25"/>
  <c r="G4072" i="25"/>
  <c r="G4111" i="25"/>
  <c r="G4158" i="25"/>
  <c r="G4199" i="25"/>
  <c r="G4237" i="25"/>
  <c r="G4283" i="25"/>
  <c r="G4330" i="25"/>
  <c r="G4368" i="25"/>
  <c r="G4415" i="25"/>
  <c r="G4452" i="25"/>
  <c r="G4488" i="25"/>
  <c r="G4531" i="25"/>
  <c r="G4573" i="25"/>
  <c r="G4608" i="25"/>
  <c r="G48" i="25"/>
  <c r="G113" i="25"/>
  <c r="G185" i="25"/>
  <c r="G253" i="25"/>
  <c r="G314" i="25"/>
  <c r="G387" i="25"/>
  <c r="G452" i="25"/>
  <c r="G519" i="25"/>
  <c r="G600" i="25"/>
  <c r="G652" i="25"/>
  <c r="G719" i="25"/>
  <c r="G799" i="25"/>
  <c r="G868" i="25"/>
  <c r="G920" i="25"/>
  <c r="G1001" i="25"/>
  <c r="G1066" i="25"/>
  <c r="G1124" i="25"/>
  <c r="G1185" i="25"/>
  <c r="G1235" i="25"/>
  <c r="G1293" i="25"/>
  <c r="G1353" i="25"/>
  <c r="G1410" i="25"/>
  <c r="G1461" i="25"/>
  <c r="G1522" i="25"/>
  <c r="G1577" i="25"/>
  <c r="G1634" i="25"/>
  <c r="G1701" i="25"/>
  <c r="G1744" i="25"/>
  <c r="G1802" i="25"/>
  <c r="G1870" i="25"/>
  <c r="G1926" i="25"/>
  <c r="G1971" i="25"/>
  <c r="G2039" i="25"/>
  <c r="G2096" i="25"/>
  <c r="G2150" i="25"/>
  <c r="G2211" i="25"/>
  <c r="G2258" i="25"/>
  <c r="G2310" i="25"/>
  <c r="G2366" i="25"/>
  <c r="G2416" i="25"/>
  <c r="G2464" i="25"/>
  <c r="G2521" i="25"/>
  <c r="G2570" i="25"/>
  <c r="G2622" i="25"/>
  <c r="G2684" i="25"/>
  <c r="G2725" i="25"/>
  <c r="G2777" i="25"/>
  <c r="G2839" i="25"/>
  <c r="G2880" i="25"/>
  <c r="G2927" i="25"/>
  <c r="G2980" i="25"/>
  <c r="G3019" i="25"/>
  <c r="G3066" i="25"/>
  <c r="G3119" i="25"/>
  <c r="G3166" i="25"/>
  <c r="G3206" i="25"/>
  <c r="G3257" i="25"/>
  <c r="G3306" i="25"/>
  <c r="G3341" i="25"/>
  <c r="G3392" i="25"/>
  <c r="G3428" i="25"/>
  <c r="G3476" i="25"/>
  <c r="G3516" i="25"/>
  <c r="G3563" i="25"/>
  <c r="G3599" i="25"/>
  <c r="G3650" i="25"/>
  <c r="G3686" i="25"/>
  <c r="G3733" i="25"/>
  <c r="G3772" i="25"/>
  <c r="G3820" i="25"/>
  <c r="G3856" i="25"/>
  <c r="G3907" i="25"/>
  <c r="G3942" i="25"/>
  <c r="G3987" i="25"/>
  <c r="G4030" i="25"/>
  <c r="G4075" i="25"/>
  <c r="G4112" i="25"/>
  <c r="G4163" i="25"/>
  <c r="G4200" i="25"/>
  <c r="G4243" i="25"/>
  <c r="G4287" i="25"/>
  <c r="G4333" i="25"/>
  <c r="G4369" i="25"/>
  <c r="G4420" i="25"/>
  <c r="G4453" i="25"/>
  <c r="G30" i="25"/>
  <c r="G118" i="25"/>
  <c r="G205" i="25"/>
  <c r="G298" i="25"/>
  <c r="G402" i="25"/>
  <c r="G486" i="25"/>
  <c r="G562" i="25"/>
  <c r="G667" i="25"/>
  <c r="G758" i="25"/>
  <c r="G845" i="25"/>
  <c r="G940" i="25"/>
  <c r="G1023" i="25"/>
  <c r="G1106" i="25"/>
  <c r="G1186" i="25"/>
  <c r="G1258" i="25"/>
  <c r="G1329" i="25"/>
  <c r="G1412" i="25"/>
  <c r="G1482" i="25"/>
  <c r="G1559" i="25"/>
  <c r="G1646" i="25"/>
  <c r="G1709" i="25"/>
  <c r="G1793" i="25"/>
  <c r="G1871" i="25"/>
  <c r="G1944" i="25"/>
  <c r="G2019" i="25"/>
  <c r="G2097" i="25"/>
  <c r="G2173" i="25"/>
  <c r="G2243" i="25"/>
  <c r="G2314" i="25"/>
  <c r="G2381" i="25"/>
  <c r="G2451" i="25"/>
  <c r="G2530" i="25"/>
  <c r="G2592" i="25"/>
  <c r="G2656" i="25"/>
  <c r="G2737" i="25"/>
  <c r="G2806" i="25"/>
  <c r="G2864" i="25"/>
  <c r="G2930" i="25"/>
  <c r="G2984" i="25"/>
  <c r="G3052" i="25"/>
  <c r="G3122" i="25"/>
  <c r="G3183" i="25"/>
  <c r="G3240" i="25"/>
  <c r="G3307" i="25"/>
  <c r="G3362" i="25"/>
  <c r="G3423" i="25"/>
  <c r="G3480" i="25"/>
  <c r="G3530" i="25"/>
  <c r="G3594" i="25"/>
  <c r="G3651" i="25"/>
  <c r="G3704" i="25"/>
  <c r="G3756" i="25"/>
  <c r="G3821" i="25"/>
  <c r="G3876" i="25"/>
  <c r="G3927" i="25"/>
  <c r="G3994" i="25"/>
  <c r="G4043" i="25"/>
  <c r="G4098" i="25"/>
  <c r="G4164" i="25"/>
  <c r="G4215" i="25"/>
  <c r="G4268" i="25"/>
  <c r="G4334" i="25"/>
  <c r="G4386" i="25"/>
  <c r="G4440" i="25"/>
  <c r="G4495" i="25"/>
  <c r="G4534" i="25"/>
  <c r="G4579" i="25"/>
  <c r="G4625" i="25"/>
  <c r="G4660" i="25"/>
  <c r="G4700" i="25"/>
  <c r="G4739" i="25"/>
  <c r="G4780" i="25"/>
  <c r="G4816" i="25"/>
  <c r="G4859" i="25"/>
  <c r="G4895" i="25"/>
  <c r="G4936" i="25"/>
  <c r="G4975" i="25"/>
  <c r="G5015" i="25"/>
  <c r="G5050" i="25"/>
  <c r="G5093" i="25"/>
  <c r="G5127" i="25"/>
  <c r="G5158" i="25"/>
  <c r="G5195" i="25"/>
  <c r="G5235" i="25"/>
  <c r="G5266" i="25"/>
  <c r="G5303" i="25"/>
  <c r="G5336" i="25"/>
  <c r="G5367" i="25"/>
  <c r="G5397" i="25"/>
  <c r="G5431" i="25"/>
  <c r="G5470" i="25"/>
  <c r="G5501" i="25"/>
  <c r="G5525" i="25"/>
  <c r="G5553" i="25"/>
  <c r="G5585" i="25"/>
  <c r="G5614" i="25"/>
  <c r="G5643" i="25"/>
  <c r="G5667" i="25"/>
  <c r="G5695" i="25"/>
  <c r="G5724" i="25"/>
  <c r="G5756" i="25"/>
  <c r="G5784" i="25"/>
  <c r="G5808" i="25"/>
  <c r="G5837" i="25"/>
  <c r="G5866" i="25"/>
  <c r="G5896" i="25"/>
  <c r="G5926" i="25"/>
  <c r="G5948" i="25"/>
  <c r="G5979" i="25"/>
  <c r="G6007" i="25"/>
  <c r="G6034" i="25"/>
  <c r="G6057" i="25"/>
  <c r="G6084" i="25"/>
  <c r="G6105" i="25"/>
  <c r="G6135" i="25"/>
  <c r="G6162" i="25"/>
  <c r="G6183" i="25"/>
  <c r="G6210" i="25"/>
  <c r="G6239" i="25"/>
  <c r="G6260" i="25"/>
  <c r="G6288" i="25"/>
  <c r="G6318" i="25"/>
  <c r="G6339" i="25"/>
  <c r="G6366" i="25"/>
  <c r="G6389" i="25"/>
  <c r="G6416" i="25"/>
  <c r="G6443" i="25"/>
  <c r="G6466" i="25"/>
  <c r="G6493" i="25"/>
  <c r="G6521" i="25"/>
  <c r="G6544" i="25"/>
  <c r="G6572" i="25"/>
  <c r="G6599" i="25"/>
  <c r="G6622" i="25"/>
  <c r="G6649" i="25"/>
  <c r="G6672" i="25"/>
  <c r="G6700" i="25"/>
  <c r="G6727" i="25"/>
  <c r="G6750" i="25"/>
  <c r="G6777" i="25"/>
  <c r="G6804" i="25"/>
  <c r="G6825" i="25"/>
  <c r="G6856" i="25"/>
  <c r="G6883" i="25"/>
  <c r="G6904" i="25"/>
  <c r="G6933" i="25"/>
  <c r="G6954" i="25"/>
  <c r="G6981" i="25"/>
  <c r="G7008" i="25"/>
  <c r="G7031" i="25"/>
  <c r="G7059" i="25"/>
  <c r="G7086" i="25"/>
  <c r="G7109" i="25"/>
  <c r="G7137" i="25"/>
  <c r="G7164" i="25"/>
  <c r="G7187" i="25"/>
  <c r="G7215" i="25"/>
  <c r="G7237" i="25"/>
  <c r="G7265" i="25"/>
  <c r="G7292" i="25"/>
  <c r="G7315" i="25"/>
  <c r="G7341" i="25"/>
  <c r="G7361" i="25"/>
  <c r="G7387" i="25"/>
  <c r="G7409" i="25"/>
  <c r="G7435" i="25"/>
  <c r="G7457" i="25"/>
  <c r="G7483" i="25"/>
  <c r="G7503" i="25"/>
  <c r="G7529" i="25"/>
  <c r="G7551" i="25"/>
  <c r="G7577" i="25"/>
  <c r="G7596" i="25"/>
  <c r="G7623" i="25"/>
  <c r="G7644" i="25"/>
  <c r="G62" i="25"/>
  <c r="G152" i="25"/>
  <c r="G242" i="25"/>
  <c r="G337" i="25"/>
  <c r="G421" i="25"/>
  <c r="G508" i="25"/>
  <c r="G606" i="25"/>
  <c r="G689" i="25"/>
  <c r="G775" i="25"/>
  <c r="G871" i="25"/>
  <c r="G960" i="25"/>
  <c r="G1052" i="25"/>
  <c r="G1130" i="25"/>
  <c r="G1200" i="25"/>
  <c r="G1280" i="25"/>
  <c r="G1365" i="25"/>
  <c r="G1438" i="25"/>
  <c r="G1505" i="25"/>
  <c r="G1587" i="25"/>
  <c r="G1665" i="25"/>
  <c r="G1741" i="25"/>
  <c r="G1820" i="25"/>
  <c r="G1887" i="25"/>
  <c r="G1965" i="25"/>
  <c r="G2043" i="25"/>
  <c r="G2117" i="25"/>
  <c r="G2190" i="25"/>
  <c r="G2264" i="25"/>
  <c r="G2333" i="25"/>
  <c r="G2400" i="25"/>
  <c r="G2482" i="25"/>
  <c r="G2538" i="25"/>
  <c r="G2607" i="25"/>
  <c r="G2687" i="25"/>
  <c r="G2753" i="25"/>
  <c r="G2812" i="25"/>
  <c r="G2892" i="25"/>
  <c r="G2948" i="25"/>
  <c r="G3013" i="25"/>
  <c r="G3079" i="25"/>
  <c r="G3135" i="25"/>
  <c r="G3198" i="25"/>
  <c r="G3268" i="25"/>
  <c r="G3324" i="25"/>
  <c r="G3377" i="25"/>
  <c r="G3440" i="25"/>
  <c r="G3495" i="25"/>
  <c r="G3551" i="25"/>
  <c r="G3613" i="25"/>
  <c r="G3664" i="25"/>
  <c r="G3720" i="25"/>
  <c r="G3783" i="25"/>
  <c r="G3836" i="25"/>
  <c r="G3890" i="25"/>
  <c r="G3953" i="25"/>
  <c r="G4008" i="25"/>
  <c r="G4064" i="25"/>
  <c r="G4126" i="25"/>
  <c r="G4178" i="25"/>
  <c r="G4235" i="25"/>
  <c r="G4297" i="25"/>
  <c r="G4350" i="25"/>
  <c r="G4400" i="25"/>
  <c r="G4464" i="25"/>
  <c r="G4512" i="25"/>
  <c r="G4547" i="25"/>
  <c r="G4595" i="25"/>
  <c r="G4637" i="25"/>
  <c r="G4675" i="25"/>
  <c r="G4716" i="25"/>
  <c r="G4751" i="25"/>
  <c r="G4795" i="25"/>
  <c r="G4831" i="25"/>
  <c r="G4872" i="25"/>
  <c r="G4909" i="25"/>
  <c r="G4952" i="25"/>
  <c r="G4987" i="25"/>
  <c r="G5031" i="25"/>
  <c r="G5065" i="25"/>
  <c r="G5097" i="25"/>
  <c r="G5141" i="25"/>
  <c r="G5173" i="25"/>
  <c r="G5207" i="25"/>
  <c r="G5241" i="25"/>
  <c r="G5284" i="25"/>
  <c r="G5315" i="25"/>
  <c r="G5346" i="25"/>
  <c r="G5380" i="25"/>
  <c r="G5411" i="25"/>
  <c r="G5444" i="25"/>
  <c r="G5475" i="25"/>
  <c r="G5507" i="25"/>
  <c r="G5537" i="25"/>
  <c r="G5566" i="25"/>
  <c r="G5595" i="25"/>
  <c r="G5619" i="25"/>
  <c r="G5647" i="25"/>
  <c r="G5679" i="25"/>
  <c r="G5708" i="25"/>
  <c r="G5736" i="25"/>
  <c r="G5760" i="25"/>
  <c r="G5789" i="25"/>
  <c r="G5820" i="25"/>
  <c r="G5850" i="25"/>
  <c r="G5878" i="25"/>
  <c r="G5902" i="25"/>
  <c r="G5931" i="25"/>
  <c r="G5960" i="25"/>
  <c r="G5991" i="25"/>
  <c r="G6011" i="25"/>
  <c r="G6039" i="25"/>
  <c r="G6066" i="25"/>
  <c r="G6089" i="25"/>
  <c r="G6116" i="25"/>
  <c r="G6143" i="25"/>
  <c r="G6166" i="25"/>
  <c r="G6195" i="25"/>
  <c r="G6222" i="25"/>
  <c r="G6245" i="25"/>
  <c r="G6272" i="25"/>
  <c r="G6295" i="25"/>
  <c r="G6322" i="25"/>
  <c r="G6349" i="25"/>
  <c r="G6372" i="25"/>
  <c r="G6400" i="25"/>
  <c r="G6427" i="25"/>
  <c r="G6450" i="25"/>
  <c r="G6478" i="25"/>
  <c r="G6505" i="25"/>
  <c r="G6528" i="25"/>
  <c r="G6556" i="25"/>
  <c r="G6576" i="25"/>
  <c r="G6606" i="25"/>
  <c r="G6633" i="25"/>
  <c r="G6654" i="25"/>
  <c r="G6681" i="25"/>
  <c r="G6711" i="25"/>
  <c r="G6731" i="25"/>
  <c r="G6760" i="25"/>
  <c r="G6789" i="25"/>
  <c r="G6810" i="25"/>
  <c r="G67" i="25"/>
  <c r="G154" i="25"/>
  <c r="G246" i="25"/>
  <c r="G339" i="25"/>
  <c r="G422" i="25"/>
  <c r="G514" i="25"/>
  <c r="G608" i="25"/>
  <c r="G694" i="25"/>
  <c r="G784" i="25"/>
  <c r="G872" i="25"/>
  <c r="G962" i="25"/>
  <c r="G1060" i="25"/>
  <c r="G1140" i="25"/>
  <c r="G1201" i="25"/>
  <c r="G1289" i="25"/>
  <c r="G1366" i="25"/>
  <c r="G1443" i="25"/>
  <c r="G1515" i="25"/>
  <c r="G1588" i="25"/>
  <c r="G1667" i="25"/>
  <c r="G1742" i="25"/>
  <c r="G1832" i="25"/>
  <c r="G1894" i="25"/>
  <c r="G1966" i="25"/>
  <c r="G2055" i="25"/>
  <c r="G2121" i="25"/>
  <c r="G2195" i="25"/>
  <c r="G2273" i="25"/>
  <c r="G2334" i="25"/>
  <c r="G2412" i="25"/>
  <c r="G2484" i="25"/>
  <c r="G2539" i="25"/>
  <c r="G2619" i="25"/>
  <c r="G2691" i="25"/>
  <c r="G2756" i="25"/>
  <c r="G2827" i="25"/>
  <c r="G2893" i="25"/>
  <c r="G2950" i="25"/>
  <c r="G3014" i="25"/>
  <c r="G3084" i="25"/>
  <c r="G3136" i="25"/>
  <c r="G3202" i="25"/>
  <c r="G3270" i="25"/>
  <c r="G3326" i="25"/>
  <c r="G3387" i="25"/>
  <c r="G3442" i="25"/>
  <c r="G3496" i="25"/>
  <c r="G3558" i="25"/>
  <c r="G3615" i="25"/>
  <c r="G3665" i="25"/>
  <c r="G3721" i="25"/>
  <c r="G3784" i="25"/>
  <c r="G3839" i="25"/>
  <c r="G3894" i="25"/>
  <c r="G3954" i="25"/>
  <c r="G4009" i="25"/>
  <c r="G4066" i="25"/>
  <c r="G4128" i="25"/>
  <c r="G4179" i="25"/>
  <c r="G4236" i="25"/>
  <c r="G4298" i="25"/>
  <c r="G4354" i="25"/>
  <c r="G4408" i="25"/>
  <c r="G4465" i="25"/>
  <c r="G4513" i="25"/>
  <c r="G4551" i="25"/>
  <c r="G4596" i="25"/>
  <c r="G4638" i="25"/>
  <c r="G4676" i="25"/>
  <c r="G4717" i="25"/>
  <c r="G4752" i="25"/>
  <c r="G4796" i="25"/>
  <c r="G4832" i="25"/>
  <c r="G4873" i="25"/>
  <c r="G4911" i="25"/>
  <c r="G4953" i="25"/>
  <c r="G4988" i="25"/>
  <c r="G5032" i="25"/>
  <c r="G5067" i="25"/>
  <c r="G5100" i="25"/>
  <c r="G5142" i="25"/>
  <c r="G5175" i="25"/>
  <c r="G5208" i="25"/>
  <c r="G5250" i="25"/>
  <c r="G5285" i="25"/>
  <c r="G5316" i="25"/>
  <c r="G5350" i="25"/>
  <c r="G5381" i="25"/>
  <c r="G5415" i="25"/>
  <c r="G5445" i="25"/>
  <c r="G5476" i="25"/>
  <c r="G5509" i="25"/>
  <c r="G5538" i="25"/>
  <c r="G5567" i="25"/>
  <c r="G5598" i="25"/>
  <c r="G5626" i="25"/>
  <c r="G5651" i="25"/>
  <c r="G5680" i="25"/>
  <c r="G5709" i="25"/>
  <c r="G5737" i="25"/>
  <c r="G5768" i="25"/>
  <c r="G5791" i="25"/>
  <c r="G5821" i="25"/>
  <c r="G5851" i="25"/>
  <c r="G5879" i="25"/>
  <c r="G5908" i="25"/>
  <c r="G5933" i="25"/>
  <c r="G5961" i="25"/>
  <c r="G5992" i="25"/>
  <c r="G6019" i="25"/>
  <c r="G6040" i="25"/>
  <c r="G6069" i="25"/>
  <c r="G6090" i="25"/>
  <c r="G6117" i="25"/>
  <c r="G6144" i="25"/>
  <c r="G6168" i="25"/>
  <c r="G6196" i="25"/>
  <c r="G6223" i="25"/>
  <c r="G6246" i="25"/>
  <c r="G6273" i="25"/>
  <c r="G6300" i="25"/>
  <c r="G6323" i="25"/>
  <c r="G6351" i="25"/>
  <c r="G6373" i="25"/>
  <c r="G6401" i="25"/>
  <c r="G6428" i="25"/>
  <c r="G6452" i="25"/>
  <c r="G6479" i="25"/>
  <c r="G6507" i="25"/>
  <c r="G6529" i="25"/>
  <c r="G6557" i="25"/>
  <c r="G6584" i="25"/>
  <c r="G6607" i="25"/>
  <c r="G6634" i="25"/>
  <c r="G6655" i="25"/>
  <c r="G6684" i="25"/>
  <c r="G6712" i="25"/>
  <c r="G6733" i="25"/>
  <c r="G6763" i="25"/>
  <c r="G6790" i="25"/>
  <c r="G6811" i="25"/>
  <c r="G6838" i="25"/>
  <c r="G6868" i="25"/>
  <c r="G6888" i="25"/>
  <c r="G6916" i="25"/>
  <c r="G6939" i="25"/>
  <c r="G6966" i="25"/>
  <c r="G6993" i="25"/>
  <c r="G7017" i="25"/>
  <c r="G7044" i="25"/>
  <c r="G7072" i="25"/>
  <c r="G7095" i="25"/>
  <c r="G7122" i="25"/>
  <c r="G7149" i="25"/>
  <c r="G7172" i="25"/>
  <c r="G7199" i="25"/>
  <c r="G7222" i="25"/>
  <c r="G7249" i="25"/>
  <c r="G7277" i="25"/>
  <c r="G7301" i="25"/>
  <c r="G7327" i="25"/>
  <c r="G7347" i="25"/>
  <c r="G7373" i="25"/>
  <c r="G7395" i="25"/>
  <c r="G7421" i="25"/>
  <c r="G7440" i="25"/>
  <c r="G7467" i="25"/>
  <c r="G7488" i="25"/>
  <c r="G7515" i="25"/>
  <c r="G7536" i="25"/>
  <c r="G40" i="25"/>
  <c r="G158" i="25"/>
  <c r="G274" i="25"/>
  <c r="G403" i="25"/>
  <c r="G535" i="25"/>
  <c r="G643" i="25"/>
  <c r="G759" i="25"/>
  <c r="G888" i="25"/>
  <c r="G1007" i="25"/>
  <c r="G1107" i="25"/>
  <c r="G1220" i="25"/>
  <c r="G1317" i="25"/>
  <c r="G1420" i="25"/>
  <c r="G1535" i="25"/>
  <c r="G1614" i="25"/>
  <c r="G1710" i="25"/>
  <c r="G1834" i="25"/>
  <c r="G1928" i="25"/>
  <c r="G2022" i="25"/>
  <c r="G2132" i="25"/>
  <c r="G2224" i="25"/>
  <c r="G2326" i="25"/>
  <c r="G2419" i="25"/>
  <c r="G2500" i="25"/>
  <c r="G2599" i="25"/>
  <c r="G2692" i="25"/>
  <c r="G2787" i="25"/>
  <c r="G2873" i="25"/>
  <c r="G2958" i="25"/>
  <c r="G3037" i="25"/>
  <c r="G3123" i="25"/>
  <c r="G3219" i="25"/>
  <c r="G3290" i="25"/>
  <c r="G3363" i="25"/>
  <c r="G3447" i="25"/>
  <c r="G3526" i="25"/>
  <c r="G3595" i="25"/>
  <c r="G3679" i="25"/>
  <c r="G3750" i="25"/>
  <c r="G3822" i="25"/>
  <c r="G3908" i="25"/>
  <c r="G3976" i="25"/>
  <c r="G4044" i="25"/>
  <c r="G4130" i="25"/>
  <c r="G4201" i="25"/>
  <c r="G4270" i="25"/>
  <c r="G4356" i="25"/>
  <c r="G4424" i="25"/>
  <c r="G4500" i="25"/>
  <c r="G4559" i="25"/>
  <c r="G4609" i="25"/>
  <c r="G4661" i="25"/>
  <c r="G4721" i="25"/>
  <c r="G4769" i="25"/>
  <c r="G4827" i="25"/>
  <c r="G4875" i="25"/>
  <c r="G4925" i="25"/>
  <c r="G4984" i="25"/>
  <c r="G5036" i="25"/>
  <c r="G5079" i="25"/>
  <c r="G5128" i="25"/>
  <c r="G5176" i="25"/>
  <c r="G5224" i="25"/>
  <c r="G5272" i="25"/>
  <c r="G5317" i="25"/>
  <c r="G5363" i="25"/>
  <c r="G5407" i="25"/>
  <c r="G5446" i="25"/>
  <c r="G5489" i="25"/>
  <c r="G5532" i="25"/>
  <c r="G5568" i="25"/>
  <c r="G5603" i="25"/>
  <c r="G5644" i="25"/>
  <c r="G5682" i="25"/>
  <c r="G5720" i="25"/>
  <c r="G5757" i="25"/>
  <c r="G5799" i="25"/>
  <c r="G5833" i="25"/>
  <c r="G5867" i="25"/>
  <c r="G5909" i="25"/>
  <c r="G5945" i="25"/>
  <c r="G5981" i="25"/>
  <c r="G6020" i="25"/>
  <c r="G6051" i="25"/>
  <c r="G6085" i="25"/>
  <c r="G6118" i="25"/>
  <c r="G6152" i="25"/>
  <c r="G6184" i="25"/>
  <c r="G6226" i="25"/>
  <c r="G6257" i="25"/>
  <c r="G6292" i="25"/>
  <c r="G6324" i="25"/>
  <c r="G6358" i="25"/>
  <c r="G6396" i="25"/>
  <c r="G6430" i="25"/>
  <c r="G6463" i="25"/>
  <c r="G6495" i="25"/>
  <c r="G6531" i="25"/>
  <c r="G6561" i="25"/>
  <c r="G6600" i="25"/>
  <c r="G6635" i="25"/>
  <c r="G6667" i="25"/>
  <c r="G6701" i="25"/>
  <c r="G6741" i="25"/>
  <c r="G6772" i="25"/>
  <c r="G6805" i="25"/>
  <c r="G6837" i="25"/>
  <c r="G6870" i="25"/>
  <c r="G6899" i="25"/>
  <c r="G6930" i="25"/>
  <c r="G6963" i="25"/>
  <c r="G6992" i="25"/>
  <c r="G7026" i="25"/>
  <c r="G7055" i="25"/>
  <c r="G7080" i="25"/>
  <c r="G7119" i="25"/>
  <c r="G7144" i="25"/>
  <c r="G7174" i="25"/>
  <c r="G7205" i="25"/>
  <c r="G7236" i="25"/>
  <c r="G7267" i="25"/>
  <c r="G7296" i="25"/>
  <c r="G7329" i="25"/>
  <c r="G7357" i="25"/>
  <c r="G7386" i="25"/>
  <c r="G7417" i="25"/>
  <c r="G7439" i="25"/>
  <c r="G7471" i="25"/>
  <c r="G7499" i="25"/>
  <c r="G7528" i="25"/>
  <c r="G7557" i="25"/>
  <c r="G7580" i="25"/>
  <c r="G7607" i="25"/>
  <c r="G7630" i="25"/>
  <c r="G7657" i="25"/>
  <c r="G7684" i="25"/>
  <c r="G7705" i="25"/>
  <c r="G7732" i="25"/>
  <c r="G7751" i="25"/>
  <c r="G7777" i="25"/>
  <c r="G7799" i="25"/>
  <c r="G7825" i="25"/>
  <c r="G7845" i="25"/>
  <c r="G7871" i="25"/>
  <c r="G7893" i="25"/>
  <c r="G7919" i="25"/>
  <c r="G7941" i="25"/>
  <c r="G7967" i="25"/>
  <c r="G7987" i="25"/>
  <c r="G8013" i="25"/>
  <c r="G8035" i="25"/>
  <c r="G8061" i="25"/>
  <c r="G8081" i="25"/>
  <c r="G8107" i="25"/>
  <c r="G8129" i="25"/>
  <c r="G8155" i="25"/>
  <c r="G8177" i="25"/>
  <c r="G8203" i="25"/>
  <c r="G8223" i="25"/>
  <c r="G8249" i="25"/>
  <c r="G8271" i="25"/>
  <c r="G8297" i="25"/>
  <c r="G8316" i="25"/>
  <c r="G8343" i="25"/>
  <c r="G8364" i="25"/>
  <c r="G8391" i="25"/>
  <c r="G8412" i="25"/>
  <c r="G8439" i="25"/>
  <c r="G8458" i="25"/>
  <c r="G42" i="25"/>
  <c r="G160" i="25"/>
  <c r="G289" i="25"/>
  <c r="G407" i="25"/>
  <c r="G538" i="25"/>
  <c r="G648" i="25"/>
  <c r="G760" i="25"/>
  <c r="G893" i="25"/>
  <c r="G1008" i="25"/>
  <c r="G1110" i="25"/>
  <c r="G1225" i="25"/>
  <c r="G1318" i="25"/>
  <c r="G1421" i="25"/>
  <c r="G1536" i="25"/>
  <c r="G1617" i="25"/>
  <c r="G1717" i="25"/>
  <c r="G1835" i="25"/>
  <c r="G1929" i="25"/>
  <c r="G2026" i="25"/>
  <c r="G2134" i="25"/>
  <c r="G2225" i="25"/>
  <c r="G2329" i="25"/>
  <c r="G2420" i="25"/>
  <c r="G2504" i="25"/>
  <c r="G2602" i="25"/>
  <c r="G2693" i="25"/>
  <c r="G2792" i="25"/>
  <c r="G2876" i="25"/>
  <c r="G2962" i="25"/>
  <c r="G3044" i="25"/>
  <c r="G3130" i="25"/>
  <c r="G3220" i="25"/>
  <c r="G3293" i="25"/>
  <c r="G3371" i="25"/>
  <c r="G3449" i="25"/>
  <c r="G3528" i="25"/>
  <c r="G3596" i="25"/>
  <c r="G3682" i="25"/>
  <c r="G3751" i="25"/>
  <c r="G3823" i="25"/>
  <c r="G3910" i="25"/>
  <c r="G3977" i="25"/>
  <c r="G4047" i="25"/>
  <c r="G4133" i="25"/>
  <c r="G4211" i="25"/>
  <c r="G4282" i="25"/>
  <c r="G4366" i="25"/>
  <c r="G4434" i="25"/>
  <c r="G4501" i="25"/>
  <c r="G4560" i="25"/>
  <c r="G4613" i="25"/>
  <c r="G4669" i="25"/>
  <c r="G4722" i="25"/>
  <c r="G4770" i="25"/>
  <c r="G4828" i="25"/>
  <c r="G4880" i="25"/>
  <c r="G4926" i="25"/>
  <c r="G4985" i="25"/>
  <c r="G5037" i="25"/>
  <c r="G5082" i="25"/>
  <c r="G5129" i="25"/>
  <c r="G5179" i="25"/>
  <c r="G5225" i="25"/>
  <c r="G5273" i="25"/>
  <c r="G5320" i="25"/>
  <c r="G5364" i="25"/>
  <c r="G5408" i="25"/>
  <c r="G5455" i="25"/>
  <c r="G5493" i="25"/>
  <c r="G5533" i="25"/>
  <c r="G5572" i="25"/>
  <c r="G5611" i="25"/>
  <c r="G5645" i="25"/>
  <c r="G5689" i="25"/>
  <c r="G5721" i="25"/>
  <c r="G5758" i="25"/>
  <c r="G5800" i="25"/>
  <c r="G5835" i="25"/>
  <c r="G5869" i="25"/>
  <c r="G5913" i="25"/>
  <c r="G5946" i="25"/>
  <c r="G5986" i="25"/>
  <c r="G6021" i="25"/>
  <c r="G6053" i="25"/>
  <c r="G6087" i="25"/>
  <c r="G6123" i="25"/>
  <c r="G6153" i="25"/>
  <c r="G6191" i="25"/>
  <c r="G6227" i="25"/>
  <c r="G6258" i="25"/>
  <c r="G6293" i="25"/>
  <c r="G6325" i="25"/>
  <c r="G6364" i="25"/>
  <c r="G6397" i="25"/>
  <c r="G6431" i="25"/>
  <c r="G6464" i="25"/>
  <c r="G6496" i="25"/>
  <c r="G6536" i="25"/>
  <c r="G6569" i="25"/>
  <c r="G6601" i="25"/>
  <c r="G6636" i="25"/>
  <c r="G6668" i="25"/>
  <c r="G6702" i="25"/>
  <c r="G6742" i="25"/>
  <c r="G6773" i="25"/>
  <c r="G6808" i="25"/>
  <c r="G6841" i="25"/>
  <c r="G6871" i="25"/>
  <c r="G6901" i="25"/>
  <c r="G6934" i="25"/>
  <c r="G6964" i="25"/>
  <c r="G6995" i="25"/>
  <c r="G7027" i="25"/>
  <c r="G7056" i="25"/>
  <c r="G7087" i="25"/>
  <c r="G7120" i="25"/>
  <c r="G7150" i="25"/>
  <c r="G7182" i="25"/>
  <c r="G7212" i="25"/>
  <c r="G7243" i="25"/>
  <c r="G7268" i="25"/>
  <c r="G7306" i="25"/>
  <c r="G7330" i="25"/>
  <c r="G7359" i="25"/>
  <c r="G7388" i="25"/>
  <c r="G7419" i="25"/>
  <c r="G7448" i="25"/>
  <c r="G7472" i="25"/>
  <c r="G7500" i="25"/>
  <c r="G7530" i="25"/>
  <c r="G7558" i="25"/>
  <c r="G7581" i="25"/>
  <c r="G7608" i="25"/>
  <c r="G7636" i="25"/>
  <c r="G7659" i="25"/>
  <c r="G7685" i="25"/>
  <c r="G7707" i="25"/>
  <c r="G7733" i="25"/>
  <c r="G7752" i="25"/>
  <c r="G7779" i="25"/>
  <c r="G7800" i="25"/>
  <c r="G7827" i="25"/>
  <c r="G7846" i="25"/>
  <c r="G7872" i="25"/>
  <c r="G7894" i="25"/>
  <c r="G7920" i="25"/>
  <c r="G7942" i="25"/>
  <c r="G7968" i="25"/>
  <c r="G7988" i="25"/>
  <c r="G8014" i="25"/>
  <c r="G8036" i="25"/>
  <c r="G8062" i="25"/>
  <c r="G8082" i="25"/>
  <c r="G8108" i="25"/>
  <c r="G8130" i="25"/>
  <c r="G8156" i="25"/>
  <c r="G8178" i="25"/>
  <c r="G8204" i="25"/>
  <c r="G8224" i="25"/>
  <c r="G8250" i="25"/>
  <c r="G8272" i="25"/>
  <c r="G8298" i="25"/>
  <c r="G8317" i="25"/>
  <c r="G8344" i="25"/>
  <c r="G8365" i="25"/>
  <c r="G8392" i="25"/>
  <c r="G8413" i="25"/>
  <c r="G8440" i="25"/>
  <c r="G8459" i="25"/>
  <c r="G8485" i="25"/>
  <c r="G74" i="25"/>
  <c r="G199" i="25"/>
  <c r="G311" i="25"/>
  <c r="G446" i="25"/>
  <c r="G557" i="25"/>
  <c r="G672" i="25"/>
  <c r="G803" i="25"/>
  <c r="G914" i="25"/>
  <c r="G1025" i="25"/>
  <c r="G1149" i="25"/>
  <c r="G1242" i="25"/>
  <c r="G1349" i="25"/>
  <c r="G1449" i="25"/>
  <c r="G1541" i="25"/>
  <c r="G1650" i="25"/>
  <c r="G1758" i="25"/>
  <c r="G1840" i="25"/>
  <c r="G1952" i="25"/>
  <c r="G2057" i="25"/>
  <c r="G2158" i="25"/>
  <c r="G2249" i="25"/>
  <c r="G2344" i="25"/>
  <c r="G2437" i="25"/>
  <c r="G2536" i="25"/>
  <c r="G2635" i="25"/>
  <c r="G2722" i="25"/>
  <c r="G2809" i="25"/>
  <c r="G2897" i="25"/>
  <c r="G2982" i="25"/>
  <c r="G3063" i="25"/>
  <c r="G3154" i="25"/>
  <c r="G3234" i="25"/>
  <c r="G3310" i="25"/>
  <c r="G3395" i="25"/>
  <c r="G3464" i="25"/>
  <c r="G3534" i="25"/>
  <c r="G3620" i="25"/>
  <c r="G3696" i="25"/>
  <c r="G3769" i="25"/>
  <c r="G3852" i="25"/>
  <c r="G3922" i="25"/>
  <c r="G4006" i="25"/>
  <c r="G4079" i="25"/>
  <c r="G4147" i="25"/>
  <c r="G4227" i="25"/>
  <c r="G4301" i="25"/>
  <c r="G4383" i="25"/>
  <c r="G4451" i="25"/>
  <c r="G4517" i="25"/>
  <c r="G4577" i="25"/>
  <c r="G4629" i="25"/>
  <c r="G4687" i="25"/>
  <c r="G4736" i="25"/>
  <c r="G4783" i="25"/>
  <c r="G4843" i="25"/>
  <c r="G4893" i="25"/>
  <c r="G4940" i="25"/>
  <c r="G5001" i="25"/>
  <c r="G5048" i="25"/>
  <c r="G52" i="25"/>
  <c r="G207" i="25"/>
  <c r="G362" i="25"/>
  <c r="G540" i="25"/>
  <c r="G710" i="25"/>
  <c r="G850" i="25"/>
  <c r="G1022" i="25"/>
  <c r="G1163" i="25"/>
  <c r="G1296" i="25"/>
  <c r="G1427" i="25"/>
  <c r="G1572" i="25"/>
  <c r="G1702" i="25"/>
  <c r="G1836" i="25"/>
  <c r="G1988" i="25"/>
  <c r="G2098" i="25"/>
  <c r="G2226" i="25"/>
  <c r="G2367" i="25"/>
  <c r="G2485" i="25"/>
  <c r="G2606" i="25"/>
  <c r="G2738" i="25"/>
  <c r="G2848" i="25"/>
  <c r="G2967" i="25"/>
  <c r="G3085" i="25"/>
  <c r="G3184" i="25"/>
  <c r="G3301" i="25"/>
  <c r="G3406" i="25"/>
  <c r="G3498" i="25"/>
  <c r="G3611" i="25"/>
  <c r="G3706" i="25"/>
  <c r="G3805" i="25"/>
  <c r="G3911" i="25"/>
  <c r="G4012" i="25"/>
  <c r="G4108" i="25"/>
  <c r="G4212" i="25"/>
  <c r="G4319" i="25"/>
  <c r="G4421" i="25"/>
  <c r="G4504" i="25"/>
  <c r="G4580" i="25"/>
  <c r="G4656" i="25"/>
  <c r="G4723" i="25"/>
  <c r="G4800" i="25"/>
  <c r="G4860" i="25"/>
  <c r="G4927" i="25"/>
  <c r="G5004" i="25"/>
  <c r="G5068" i="25"/>
  <c r="G5123" i="25"/>
  <c r="G5187" i="25"/>
  <c r="G5238" i="25"/>
  <c r="G5300" i="25"/>
  <c r="G5351" i="25"/>
  <c r="G5396" i="25"/>
  <c r="G5458" i="25"/>
  <c r="G5506" i="25"/>
  <c r="G5551" i="25"/>
  <c r="G5599" i="25"/>
  <c r="G5641" i="25"/>
  <c r="G5692" i="25"/>
  <c r="G5735" i="25"/>
  <c r="G5776" i="25"/>
  <c r="G5824" i="25"/>
  <c r="G5865" i="25"/>
  <c r="G5915" i="25"/>
  <c r="G5959" i="25"/>
  <c r="G6004" i="25"/>
  <c r="G6043" i="25"/>
  <c r="G6083" i="25"/>
  <c r="G6129" i="25"/>
  <c r="G6165" i="25"/>
  <c r="G6208" i="25"/>
  <c r="G6247" i="25"/>
  <c r="G6286" i="25"/>
  <c r="G6334" i="25"/>
  <c r="G6371" i="25"/>
  <c r="G6414" i="25"/>
  <c r="G6457" i="25"/>
  <c r="G6492" i="25"/>
  <c r="G6540" i="25"/>
  <c r="G6575" i="25"/>
  <c r="G6620" i="25"/>
  <c r="G6663" i="25"/>
  <c r="G6699" i="25"/>
  <c r="G6744" i="25"/>
  <c r="G6781" i="25"/>
  <c r="G6823" i="25"/>
  <c r="G6859" i="25"/>
  <c r="G6898" i="25"/>
  <c r="G6936" i="25"/>
  <c r="G6977" i="25"/>
  <c r="G7012" i="25"/>
  <c r="G7045" i="25"/>
  <c r="G7079" i="25"/>
  <c r="G7123" i="25"/>
  <c r="G7157" i="25"/>
  <c r="G7197" i="25"/>
  <c r="G7231" i="25"/>
  <c r="G7266" i="25"/>
  <c r="G7308" i="25"/>
  <c r="G7342" i="25"/>
  <c r="G7374" i="25"/>
  <c r="G7407" i="25"/>
  <c r="G7438" i="25"/>
  <c r="G7479" i="25"/>
  <c r="G7512" i="25"/>
  <c r="G7544" i="25"/>
  <c r="G7576" i="25"/>
  <c r="G7606" i="25"/>
  <c r="G7640" i="25"/>
  <c r="G7669" i="25"/>
  <c r="G7693" i="25"/>
  <c r="G7722" i="25"/>
  <c r="G7750" i="25"/>
  <c r="G7781" i="25"/>
  <c r="G7811" i="25"/>
  <c r="G7833" i="25"/>
  <c r="G7864" i="25"/>
  <c r="G7892" i="25"/>
  <c r="G7923" i="25"/>
  <c r="G7951" i="25"/>
  <c r="G7975" i="25"/>
  <c r="G8003" i="25"/>
  <c r="G8034" i="25"/>
  <c r="G8064" i="25"/>
  <c r="G8093" i="25"/>
  <c r="G8117" i="25"/>
  <c r="G8145" i="25"/>
  <c r="G8173" i="25"/>
  <c r="G8206" i="25"/>
  <c r="G8235" i="25"/>
  <c r="G8259" i="25"/>
  <c r="G8287" i="25"/>
  <c r="G8315" i="25"/>
  <c r="G8348" i="25"/>
  <c r="G8376" i="25"/>
  <c r="G8400" i="25"/>
  <c r="G8429" i="25"/>
  <c r="G8457" i="25"/>
  <c r="G8487" i="25"/>
  <c r="G8508" i="25"/>
  <c r="G8535" i="25"/>
  <c r="G8556" i="25"/>
  <c r="G8583" i="25"/>
  <c r="G8602" i="25"/>
  <c r="G8628" i="25"/>
  <c r="G8650" i="25"/>
  <c r="G8676" i="25"/>
  <c r="G8696" i="25"/>
  <c r="G8722" i="25"/>
  <c r="G8744" i="25"/>
  <c r="G8770" i="25"/>
  <c r="G8792" i="25"/>
  <c r="G8818" i="25"/>
  <c r="G8838" i="25"/>
  <c r="G8864" i="25"/>
  <c r="G8884" i="25"/>
  <c r="G8908" i="25"/>
  <c r="G8926" i="25"/>
  <c r="G8950" i="25"/>
  <c r="G8970" i="25"/>
  <c r="G8994" i="25"/>
  <c r="G9014" i="25"/>
  <c r="G9038" i="25"/>
  <c r="G9056" i="25"/>
  <c r="G9080" i="25"/>
  <c r="G9100" i="25"/>
  <c r="G9122" i="25"/>
  <c r="G9139" i="25"/>
  <c r="G9161" i="25"/>
  <c r="G9178" i="25"/>
  <c r="G9200" i="25"/>
  <c r="G9218" i="25"/>
  <c r="G9239" i="25"/>
  <c r="G9257" i="25"/>
  <c r="G9279" i="25"/>
  <c r="G9296" i="25"/>
  <c r="G9318" i="25"/>
  <c r="G9335" i="25"/>
  <c r="G9357" i="25"/>
  <c r="G9375" i="25"/>
  <c r="G9397" i="25"/>
  <c r="G9414" i="25"/>
  <c r="G9436" i="25"/>
  <c r="G9453" i="25"/>
  <c r="G9475" i="25"/>
  <c r="G9493" i="25"/>
  <c r="G9514" i="25"/>
  <c r="G9532" i="25"/>
  <c r="G9554" i="25"/>
  <c r="G9571" i="25"/>
  <c r="G9593" i="25"/>
  <c r="G9610" i="25"/>
  <c r="G9632" i="25"/>
  <c r="G9650" i="25"/>
  <c r="G9671" i="25"/>
  <c r="G9689" i="25"/>
  <c r="G9711" i="25"/>
  <c r="G9728" i="25"/>
  <c r="G9750" i="25"/>
  <c r="G9767" i="25"/>
  <c r="G9789" i="25"/>
  <c r="G9807" i="25"/>
  <c r="G9829" i="25"/>
  <c r="G9846" i="25"/>
  <c r="G9868" i="25"/>
  <c r="G73" i="25"/>
  <c r="G221" i="25"/>
  <c r="G374" i="25"/>
  <c r="G556" i="25"/>
  <c r="G715" i="25"/>
  <c r="G853" i="25"/>
  <c r="G1024" i="25"/>
  <c r="G1164" i="25"/>
  <c r="G1309" i="25"/>
  <c r="G1446" i="25"/>
  <c r="G1573" i="25"/>
  <c r="G1706" i="25"/>
  <c r="G1839" i="25"/>
  <c r="G1989" i="25"/>
  <c r="G2099" i="25"/>
  <c r="G2248" i="25"/>
  <c r="G2368" i="25"/>
  <c r="G2486" i="25"/>
  <c r="G2634" i="25"/>
  <c r="G2740" i="25"/>
  <c r="G2849" i="25"/>
  <c r="G2981" i="25"/>
  <c r="G3086" i="25"/>
  <c r="G3187" i="25"/>
  <c r="G3308" i="25"/>
  <c r="G3408" i="25"/>
  <c r="G3508" i="25"/>
  <c r="G3619" i="25"/>
  <c r="G3714" i="25"/>
  <c r="G3807" i="25"/>
  <c r="G3920" i="25"/>
  <c r="G4013" i="25"/>
  <c r="G4109" i="25"/>
  <c r="G4218" i="25"/>
  <c r="G4321" i="25"/>
  <c r="G4422" i="25"/>
  <c r="G4516" i="25"/>
  <c r="G4591" i="25"/>
  <c r="G4657" i="25"/>
  <c r="G4724" i="25"/>
  <c r="G4801" i="25"/>
  <c r="G4865" i="25"/>
  <c r="G4939" i="25"/>
  <c r="G5005" i="25"/>
  <c r="G5069" i="25"/>
  <c r="G5130" i="25"/>
  <c r="G5192" i="25"/>
  <c r="G5252" i="25"/>
  <c r="G5301" i="25"/>
  <c r="G5352" i="25"/>
  <c r="G5409" i="25"/>
  <c r="G5459" i="25"/>
  <c r="G5515" i="25"/>
  <c r="G5552" i="25"/>
  <c r="G5600" i="25"/>
  <c r="G5646" i="25"/>
  <c r="G5693" i="25"/>
  <c r="G5739" i="25"/>
  <c r="G5783" i="25"/>
  <c r="G5829" i="25"/>
  <c r="G5877" i="25"/>
  <c r="G5917" i="25"/>
  <c r="G5965" i="25"/>
  <c r="G6005" i="25"/>
  <c r="G6044" i="25"/>
  <c r="G6088" i="25"/>
  <c r="G6130" i="25"/>
  <c r="G6176" i="25"/>
  <c r="G6209" i="25"/>
  <c r="G6255" i="25"/>
  <c r="G6294" i="25"/>
  <c r="G6336" i="25"/>
  <c r="G6379" i="25"/>
  <c r="G6415" i="25"/>
  <c r="G6459" i="25"/>
  <c r="G6498" i="25"/>
  <c r="G6541" i="25"/>
  <c r="G6585" i="25"/>
  <c r="G6621" i="25"/>
  <c r="G6664" i="25"/>
  <c r="G6703" i="25"/>
  <c r="G6745" i="25"/>
  <c r="G6791" i="25"/>
  <c r="G6824" i="25"/>
  <c r="G6860" i="25"/>
  <c r="G6903" i="25"/>
  <c r="G6937" i="25"/>
  <c r="G6978" i="25"/>
  <c r="G7013" i="25"/>
  <c r="G7047" i="25"/>
  <c r="G7091" i="25"/>
  <c r="G7124" i="25"/>
  <c r="G7159" i="25"/>
  <c r="G7198" i="25"/>
  <c r="G7234" i="25"/>
  <c r="G7276" i="25"/>
  <c r="G7309" i="25"/>
  <c r="G7343" i="25"/>
  <c r="G7375" i="25"/>
  <c r="G7408" i="25"/>
  <c r="G7449" i="25"/>
  <c r="G7480" i="25"/>
  <c r="G7513" i="25"/>
  <c r="G7545" i="25"/>
  <c r="G7578" i="25"/>
  <c r="G7609" i="25"/>
  <c r="G7641" i="25"/>
  <c r="G7671" i="25"/>
  <c r="G7699" i="25"/>
  <c r="G7723" i="25"/>
  <c r="G7753" i="25"/>
  <c r="G7784" i="25"/>
  <c r="G7812" i="25"/>
  <c r="G7841" i="25"/>
  <c r="G7865" i="25"/>
  <c r="G7895" i="25"/>
  <c r="G7924" i="25"/>
  <c r="G7954" i="25"/>
  <c r="G7983" i="25"/>
  <c r="G8007" i="25"/>
  <c r="G8037" i="25"/>
  <c r="G8065" i="25"/>
  <c r="G8094" i="25"/>
  <c r="G8124" i="25"/>
  <c r="G8146" i="25"/>
  <c r="G8179" i="25"/>
  <c r="G8207" i="25"/>
  <c r="G8236" i="25"/>
  <c r="G8264" i="25"/>
  <c r="G8288" i="25"/>
  <c r="G8321" i="25"/>
  <c r="G8349" i="25"/>
  <c r="G8377" i="25"/>
  <c r="G88" i="25"/>
  <c r="G227" i="25"/>
  <c r="G383" i="25"/>
  <c r="G559" i="25"/>
  <c r="G716" i="25"/>
  <c r="G870" i="25"/>
  <c r="G1047" i="25"/>
  <c r="G1167" i="25"/>
  <c r="G1312" i="25"/>
  <c r="G1457" i="25"/>
  <c r="G1578" i="25"/>
  <c r="G1708" i="25"/>
  <c r="G1857" i="25"/>
  <c r="G1998" i="25"/>
  <c r="G2116" i="25"/>
  <c r="G2263" i="25"/>
  <c r="G2378" i="25"/>
  <c r="G2487" i="25"/>
  <c r="G2639" i="25"/>
  <c r="G2744" i="25"/>
  <c r="G2856" i="25"/>
  <c r="G2983" i="25"/>
  <c r="G3097" i="25"/>
  <c r="G3192" i="25"/>
  <c r="G3323" i="25"/>
  <c r="G3410" i="25"/>
  <c r="G3511" i="25"/>
  <c r="G3627" i="25"/>
  <c r="G3719" i="25"/>
  <c r="G3808" i="25"/>
  <c r="G3923" i="25"/>
  <c r="G4026" i="25"/>
  <c r="G4124" i="25"/>
  <c r="G4232" i="25"/>
  <c r="G4322" i="25"/>
  <c r="G4423" i="25"/>
  <c r="G4518" i="25"/>
  <c r="G4592" i="25"/>
  <c r="G4659" i="25"/>
  <c r="G4737" i="25"/>
  <c r="G4803" i="25"/>
  <c r="G4866" i="25"/>
  <c r="G4951" i="25"/>
  <c r="G5014" i="25"/>
  <c r="G5077" i="25"/>
  <c r="G5144" i="25"/>
  <c r="G5193" i="25"/>
  <c r="G5253" i="25"/>
  <c r="G5304" i="25"/>
  <c r="G5362" i="25"/>
  <c r="G5416" i="25"/>
  <c r="G5460" i="25"/>
  <c r="G5516" i="25"/>
  <c r="G5555" i="25"/>
  <c r="G5601" i="25"/>
  <c r="G5657" i="25"/>
  <c r="G5694" i="25"/>
  <c r="G5742" i="25"/>
  <c r="G5785" i="25"/>
  <c r="G5830" i="25"/>
  <c r="G5880" i="25"/>
  <c r="G5925" i="25"/>
  <c r="G5971" i="25"/>
  <c r="G6008" i="25"/>
  <c r="G6049" i="25"/>
  <c r="G6097" i="25"/>
  <c r="G6131" i="25"/>
  <c r="G6177" i="25"/>
  <c r="G6213" i="25"/>
  <c r="G6256" i="25"/>
  <c r="G6301" i="25"/>
  <c r="G6337" i="25"/>
  <c r="G6380" i="25"/>
  <c r="G6417" i="25"/>
  <c r="G6462" i="25"/>
  <c r="G6508" i="25"/>
  <c r="G6543" i="25"/>
  <c r="G6586" i="25"/>
  <c r="G6623" i="25"/>
  <c r="G6666" i="25"/>
  <c r="G6714" i="25"/>
  <c r="G6747" i="25"/>
  <c r="G6792" i="25"/>
  <c r="G6829" i="25"/>
  <c r="G6869" i="25"/>
  <c r="G95" i="25"/>
  <c r="G294" i="25"/>
  <c r="G487" i="25"/>
  <c r="G735" i="25"/>
  <c r="G943" i="25"/>
  <c r="G1129" i="25"/>
  <c r="G1325" i="25"/>
  <c r="G1484" i="25"/>
  <c r="G1670" i="25"/>
  <c r="G1872" i="25"/>
  <c r="G2042" i="25"/>
  <c r="G2212" i="25"/>
  <c r="G2382" i="25"/>
  <c r="G2555" i="25"/>
  <c r="G2694" i="25"/>
  <c r="G2881" i="25"/>
  <c r="G3027" i="25"/>
  <c r="G3167" i="25"/>
  <c r="G3337" i="25"/>
  <c r="G3457" i="25"/>
  <c r="G3578" i="25"/>
  <c r="G3737" i="25"/>
  <c r="G3868" i="25"/>
  <c r="G3978" i="25"/>
  <c r="G4134" i="25"/>
  <c r="G4264" i="25"/>
  <c r="G4390" i="25"/>
  <c r="G4519" i="25"/>
  <c r="G4621" i="25"/>
  <c r="G4704" i="25"/>
  <c r="G4809" i="25"/>
  <c r="G4896" i="25"/>
  <c r="G4986" i="25"/>
  <c r="G5083" i="25"/>
  <c r="G5156" i="25"/>
  <c r="G5226" i="25"/>
  <c r="G5313" i="25"/>
  <c r="G5379" i="25"/>
  <c r="G5442" i="25"/>
  <c r="G5520" i="25"/>
  <c r="G5578" i="25"/>
  <c r="G5631" i="25"/>
  <c r="G5697" i="25"/>
  <c r="G5752" i="25"/>
  <c r="G5814" i="25"/>
  <c r="G5881" i="25"/>
  <c r="G5940" i="25"/>
  <c r="G5994" i="25"/>
  <c r="G6056" i="25"/>
  <c r="G6103" i="25"/>
  <c r="G6161" i="25"/>
  <c r="G6214" i="25"/>
  <c r="G6271" i="25"/>
  <c r="G6320" i="25"/>
  <c r="G6384" i="25"/>
  <c r="G6436" i="25"/>
  <c r="G6483" i="25"/>
  <c r="G6546" i="25"/>
  <c r="G6594" i="25"/>
  <c r="G6651" i="25"/>
  <c r="G6715" i="25"/>
  <c r="G6764" i="25"/>
  <c r="G6820" i="25"/>
  <c r="G6872" i="25"/>
  <c r="G6915" i="25"/>
  <c r="G6953" i="25"/>
  <c r="G7001" i="25"/>
  <c r="G7043" i="25"/>
  <c r="G7093" i="25"/>
  <c r="G7135" i="25"/>
  <c r="G7183" i="25"/>
  <c r="G7221" i="25"/>
  <c r="G7264" i="25"/>
  <c r="G7314" i="25"/>
  <c r="G7355" i="25"/>
  <c r="G7393" i="25"/>
  <c r="G7434" i="25"/>
  <c r="G7473" i="25"/>
  <c r="G7517" i="25"/>
  <c r="G7561" i="25"/>
  <c r="G7593" i="25"/>
  <c r="G7628" i="25"/>
  <c r="G7668" i="25"/>
  <c r="G7701" i="25"/>
  <c r="G7736" i="25"/>
  <c r="G7767" i="25"/>
  <c r="G7801" i="25"/>
  <c r="G7832" i="25"/>
  <c r="G7876" i="25"/>
  <c r="G7906" i="25"/>
  <c r="G7937" i="25"/>
  <c r="G7972" i="25"/>
  <c r="G8002" i="25"/>
  <c r="G8046" i="25"/>
  <c r="G8076" i="25"/>
  <c r="G8111" i="25"/>
  <c r="G8142" i="25"/>
  <c r="G8172" i="25"/>
  <c r="G8209" i="25"/>
  <c r="G8242" i="25"/>
  <c r="G8281" i="25"/>
  <c r="G8312" i="25"/>
  <c r="G8347" i="25"/>
  <c r="G8380" i="25"/>
  <c r="G8409" i="25"/>
  <c r="G8443" i="25"/>
  <c r="G8472" i="25"/>
  <c r="G8501" i="25"/>
  <c r="G8524" i="25"/>
  <c r="G8551" i="25"/>
  <c r="G8578" i="25"/>
  <c r="G8601" i="25"/>
  <c r="G8629" i="25"/>
  <c r="G8657" i="25"/>
  <c r="G8680" i="25"/>
  <c r="G8707" i="25"/>
  <c r="G8730" i="25"/>
  <c r="G8757" i="25"/>
  <c r="G8784" i="25"/>
  <c r="G8807" i="25"/>
  <c r="G8835" i="25"/>
  <c r="G8862" i="25"/>
  <c r="G8883" i="25"/>
  <c r="G8909" i="25"/>
  <c r="G8934" i="25"/>
  <c r="G8955" i="25"/>
  <c r="G8980" i="25"/>
  <c r="G8999" i="25"/>
  <c r="G9026" i="25"/>
  <c r="G9051" i="25"/>
  <c r="G9070" i="25"/>
  <c r="G9095" i="25"/>
  <c r="G9119" i="25"/>
  <c r="G9138" i="25"/>
  <c r="G9162" i="25"/>
  <c r="G9185" i="25"/>
  <c r="G9203" i="25"/>
  <c r="G9226" i="25"/>
  <c r="G9245" i="25"/>
  <c r="G9268" i="25"/>
  <c r="G9291" i="25"/>
  <c r="G9309" i="25"/>
  <c r="G9332" i="25"/>
  <c r="G9355" i="25"/>
  <c r="G9374" i="25"/>
  <c r="G9398" i="25"/>
  <c r="G9421" i="25"/>
  <c r="G9439" i="25"/>
  <c r="G9462" i="25"/>
  <c r="G9481" i="25"/>
  <c r="G9503" i="25"/>
  <c r="G9526" i="25"/>
  <c r="G9545" i="25"/>
  <c r="G9568" i="25"/>
  <c r="G9591" i="25"/>
  <c r="G9609" i="25"/>
  <c r="G9633" i="25"/>
  <c r="G9656" i="25"/>
  <c r="G9675" i="25"/>
  <c r="G9698" i="25"/>
  <c r="G9716" i="25"/>
  <c r="G9739" i="25"/>
  <c r="G9762" i="25"/>
  <c r="G9781" i="25"/>
  <c r="G9803" i="25"/>
  <c r="G9826" i="25"/>
  <c r="G9845" i="25"/>
  <c r="G9869" i="25"/>
  <c r="G9886" i="25"/>
  <c r="G9908" i="25"/>
  <c r="G9926" i="25"/>
  <c r="G9947" i="25"/>
  <c r="G9965" i="25"/>
  <c r="G9987" i="25"/>
  <c r="G108" i="25"/>
  <c r="G310" i="25"/>
  <c r="G495" i="25"/>
  <c r="G742" i="25"/>
  <c r="G955" i="25"/>
  <c r="G1146" i="25"/>
  <c r="G1332" i="25"/>
  <c r="G1494" i="25"/>
  <c r="G1671" i="25"/>
  <c r="G1873" i="25"/>
  <c r="G2056" i="25"/>
  <c r="G2213" i="25"/>
  <c r="G2384" i="25"/>
  <c r="G2567" i="25"/>
  <c r="G2711" i="25"/>
  <c r="G2896" i="25"/>
  <c r="G3028" i="25"/>
  <c r="G3168" i="25"/>
  <c r="G3338" i="25"/>
  <c r="G3462" i="25"/>
  <c r="G3580" i="25"/>
  <c r="G3738" i="25"/>
  <c r="G3869" i="25"/>
  <c r="G3995" i="25"/>
  <c r="G4144" i="25"/>
  <c r="G4265" i="25"/>
  <c r="G4392" i="25"/>
  <c r="G4530" i="25"/>
  <c r="G4626" i="25"/>
  <c r="G4708" i="25"/>
  <c r="G4813" i="25"/>
  <c r="G4905" i="25"/>
  <c r="G4989" i="25"/>
  <c r="G5094" i="25"/>
  <c r="G5157" i="25"/>
  <c r="G5236" i="25"/>
  <c r="G5314" i="25"/>
  <c r="G5383" i="25"/>
  <c r="G5443" i="25"/>
  <c r="G5521" i="25"/>
  <c r="G5579" i="25"/>
  <c r="G5632" i="25"/>
  <c r="G5705" i="25"/>
  <c r="G5759" i="25"/>
  <c r="G5815" i="25"/>
  <c r="G5883" i="25"/>
  <c r="G5941" i="25"/>
  <c r="G5995" i="25"/>
  <c r="G6058" i="25"/>
  <c r="G6104" i="25"/>
  <c r="G6163" i="25"/>
  <c r="G6216" i="25"/>
  <c r="G6274" i="25"/>
  <c r="G6321" i="25"/>
  <c r="G6385" i="25"/>
  <c r="G6437" i="25"/>
  <c r="G6490" i="25"/>
  <c r="G6553" i="25"/>
  <c r="G6603" i="25"/>
  <c r="G6652" i="25"/>
  <c r="G6716" i="25"/>
  <c r="G6765" i="25"/>
  <c r="G6821" i="25"/>
  <c r="G6873" i="25"/>
  <c r="G6917" i="25"/>
  <c r="G6961" i="25"/>
  <c r="G7002" i="25"/>
  <c r="G7048" i="25"/>
  <c r="G7096" i="25"/>
  <c r="G7138" i="25"/>
  <c r="G7185" i="25"/>
  <c r="G7228" i="25"/>
  <c r="G7279" i="25"/>
  <c r="G7316" i="25"/>
  <c r="G7356" i="25"/>
  <c r="G7400" i="25"/>
  <c r="G7436" i="25"/>
  <c r="G7484" i="25"/>
  <c r="G7518" i="25"/>
  <c r="G7563" i="25"/>
  <c r="G7594" i="25"/>
  <c r="G7629" i="25"/>
  <c r="G7672" i="25"/>
  <c r="G7702" i="25"/>
  <c r="G7737" i="25"/>
  <c r="G7768" i="25"/>
  <c r="G7803" i="25"/>
  <c r="G7842" i="25"/>
  <c r="G7877" i="25"/>
  <c r="G7907" i="25"/>
  <c r="G7938" i="25"/>
  <c r="G7973" i="25"/>
  <c r="G8008" i="25"/>
  <c r="G8047" i="25"/>
  <c r="G8077" i="25"/>
  <c r="G8112" i="25"/>
  <c r="G8143" i="25"/>
  <c r="G8180" i="25"/>
  <c r="G8211" i="25"/>
  <c r="G8243" i="25"/>
  <c r="G8283" i="25"/>
  <c r="G8313" i="25"/>
  <c r="G8350" i="25"/>
  <c r="G8381" i="25"/>
  <c r="G8415" i="25"/>
  <c r="G8444" i="25"/>
  <c r="G8473" i="25"/>
  <c r="G8504" i="25"/>
  <c r="G8525" i="25"/>
  <c r="G8552" i="25"/>
  <c r="G8579" i="25"/>
  <c r="G8603" i="25"/>
  <c r="G8631" i="25"/>
  <c r="G8658" i="25"/>
  <c r="G8681" i="25"/>
  <c r="G8708" i="25"/>
  <c r="G8735" i="25"/>
  <c r="G8758" i="25"/>
  <c r="G8785" i="25"/>
  <c r="G8808" i="25"/>
  <c r="G8836" i="25"/>
  <c r="G8863" i="25"/>
  <c r="G8885" i="25"/>
  <c r="G8910" i="25"/>
  <c r="G8935" i="25"/>
  <c r="G8956" i="25"/>
  <c r="G8981" i="25"/>
  <c r="G9006" i="25"/>
  <c r="G9027" i="25"/>
  <c r="G9052" i="25"/>
  <c r="G9071" i="25"/>
  <c r="G9098" i="25"/>
  <c r="G9121" i="25"/>
  <c r="G9140" i="25"/>
  <c r="G9163" i="25"/>
  <c r="G9186" i="25"/>
  <c r="G9205" i="25"/>
  <c r="G9227" i="25"/>
  <c r="G9250" i="25"/>
  <c r="G9269" i="25"/>
  <c r="G9292" i="25"/>
  <c r="G9310" i="25"/>
  <c r="G9333" i="25"/>
  <c r="G9356" i="25"/>
  <c r="G9376" i="25"/>
  <c r="G9399" i="25"/>
  <c r="G9422" i="25"/>
  <c r="G9440" i="25"/>
  <c r="G9463" i="25"/>
  <c r="G9486" i="25"/>
  <c r="G9505" i="25"/>
  <c r="G9527" i="25"/>
  <c r="G9546" i="25"/>
  <c r="G9569" i="25"/>
  <c r="G9592" i="25"/>
  <c r="G9611" i="25"/>
  <c r="G9634" i="25"/>
  <c r="G9657" i="25"/>
  <c r="G9676" i="25"/>
  <c r="G9699" i="25"/>
  <c r="G9722" i="25"/>
  <c r="G9740" i="25"/>
  <c r="G9763" i="25"/>
  <c r="G9782" i="25"/>
  <c r="G9805" i="25"/>
  <c r="G9827" i="25"/>
  <c r="G9847" i="25"/>
  <c r="G9870" i="25"/>
  <c r="G9892" i="25"/>
  <c r="G9909" i="25"/>
  <c r="G9931" i="25"/>
  <c r="G9949" i="25"/>
  <c r="G9970" i="25"/>
  <c r="G9988" i="25"/>
  <c r="G111" i="25"/>
  <c r="G336" i="25"/>
  <c r="G497" i="25"/>
  <c r="G757" i="25"/>
  <c r="G958" i="25"/>
  <c r="G1156" i="25"/>
  <c r="G1355" i="25"/>
  <c r="G1500" i="25"/>
  <c r="G1684" i="25"/>
  <c r="G1886" i="25"/>
  <c r="G2058" i="25"/>
  <c r="G2223" i="25"/>
  <c r="G2398" i="25"/>
  <c r="G2568" i="25"/>
  <c r="G2723" i="25"/>
  <c r="G2909" i="25"/>
  <c r="G3030" i="25"/>
  <c r="G3170" i="25"/>
  <c r="G3339" i="25"/>
  <c r="G3466" i="25"/>
  <c r="G3583" i="25"/>
  <c r="G3748" i="25"/>
  <c r="G3871" i="25"/>
  <c r="G4007" i="25"/>
  <c r="G4151" i="25"/>
  <c r="G4266" i="25"/>
  <c r="G4399" i="25"/>
  <c r="G4533" i="25"/>
  <c r="G4630" i="25"/>
  <c r="G4715" i="25"/>
  <c r="G4815" i="25"/>
  <c r="G4906" i="25"/>
  <c r="G5002" i="25"/>
  <c r="G5095" i="25"/>
  <c r="G5161" i="25"/>
  <c r="G5237" i="25"/>
  <c r="G5328" i="25"/>
  <c r="G5392" i="25"/>
  <c r="G5456" i="25"/>
  <c r="G5523" i="25"/>
  <c r="G5581" i="25"/>
  <c r="G5634" i="25"/>
  <c r="G5706" i="25"/>
  <c r="G5769" i="25"/>
  <c r="G5817" i="25"/>
  <c r="G5887" i="25"/>
  <c r="G5944" i="25"/>
  <c r="G5996" i="25"/>
  <c r="G6059" i="25"/>
  <c r="G6113" i="25"/>
  <c r="G6164" i="25"/>
  <c r="G6228" i="25"/>
  <c r="G6275" i="25"/>
  <c r="G6333" i="25"/>
  <c r="G6387" i="25"/>
  <c r="G6442" i="25"/>
  <c r="G6491" i="25"/>
  <c r="G6555" i="25"/>
  <c r="G6608" i="25"/>
  <c r="G6653" i="25"/>
  <c r="G6717" i="25"/>
  <c r="G6766" i="25"/>
  <c r="G6822" i="25"/>
  <c r="G6875" i="25"/>
  <c r="G6920" i="25"/>
  <c r="G6965" i="25"/>
  <c r="G7007" i="25"/>
  <c r="G7057" i="25"/>
  <c r="G7103" i="25"/>
  <c r="G7139" i="25"/>
  <c r="G7186" i="25"/>
  <c r="G7229" i="25"/>
  <c r="G7280" i="25"/>
  <c r="G7321" i="25"/>
  <c r="G7360" i="25"/>
  <c r="G7401" i="25"/>
  <c r="G7437" i="25"/>
  <c r="G7485" i="25"/>
  <c r="G7519" i="25"/>
  <c r="G7564" i="25"/>
  <c r="G7595" i="25"/>
  <c r="G7637" i="25"/>
  <c r="G7673" i="25"/>
  <c r="G7708" i="25"/>
  <c r="G7738" i="25"/>
  <c r="G7771" i="25"/>
  <c r="G7810" i="25"/>
  <c r="G7843" i="25"/>
  <c r="G7878" i="25"/>
  <c r="G7908" i="25"/>
  <c r="G7943" i="25"/>
  <c r="G7974" i="25"/>
  <c r="G8015" i="25"/>
  <c r="G8048" i="25"/>
  <c r="G8079" i="25"/>
  <c r="G8113" i="25"/>
  <c r="G8144" i="25"/>
  <c r="G8185" i="25"/>
  <c r="G8218" i="25"/>
  <c r="G8251" i="25"/>
  <c r="G8284" i="25"/>
  <c r="G8314" i="25"/>
  <c r="G8351" i="25"/>
  <c r="G8382" i="25"/>
  <c r="G8416" i="25"/>
  <c r="G8445" i="25"/>
  <c r="G8475" i="25"/>
  <c r="G8505" i="25"/>
  <c r="G8532" i="25"/>
  <c r="G8553" i="25"/>
  <c r="G8584" i="25"/>
  <c r="G8611" i="25"/>
  <c r="G8632" i="25"/>
  <c r="G8682" i="25"/>
  <c r="G8709" i="25"/>
  <c r="G8736" i="25"/>
  <c r="G8759" i="25"/>
  <c r="G8787" i="25"/>
  <c r="G8814" i="25"/>
  <c r="G8837" i="25"/>
  <c r="G8865" i="25"/>
  <c r="G8890" i="25"/>
  <c r="G8911" i="25"/>
  <c r="G8936" i="25"/>
  <c r="G8957" i="25"/>
  <c r="G8982" i="25"/>
  <c r="G9007" i="25"/>
  <c r="G9028" i="25"/>
  <c r="G9053" i="25"/>
  <c r="G9078" i="25"/>
  <c r="G9099" i="25"/>
  <c r="G9123" i="25"/>
  <c r="G9146" i="25"/>
  <c r="G9164" i="25"/>
  <c r="G9187" i="25"/>
  <c r="G9206" i="25"/>
  <c r="G9229" i="25"/>
  <c r="G9251" i="25"/>
  <c r="G9270" i="25"/>
  <c r="G9293" i="25"/>
  <c r="G9316" i="25"/>
  <c r="G9334" i="25"/>
  <c r="G9358" i="25"/>
  <c r="G9381" i="25"/>
  <c r="G9400" i="25"/>
  <c r="G9423" i="25"/>
  <c r="G9441" i="25"/>
  <c r="G9464" i="25"/>
  <c r="G9487" i="25"/>
  <c r="G9506" i="25"/>
  <c r="G9529" i="25"/>
  <c r="G9551" i="25"/>
  <c r="G9570" i="25"/>
  <c r="G9594" i="25"/>
  <c r="G9617" i="25"/>
  <c r="G9635" i="25"/>
  <c r="G9658" i="25"/>
  <c r="G9677" i="25"/>
  <c r="G9700" i="25"/>
  <c r="G9723" i="25"/>
  <c r="G9741" i="25"/>
  <c r="G9764" i="25"/>
  <c r="G9787" i="25"/>
  <c r="G9806" i="25"/>
  <c r="G9830" i="25"/>
  <c r="G9853" i="25"/>
  <c r="G9871" i="25"/>
  <c r="G9893" i="25"/>
  <c r="G9910" i="25"/>
  <c r="G9932" i="25"/>
  <c r="G133" i="25"/>
  <c r="G408" i="25"/>
  <c r="G650" i="25"/>
  <c r="G979" i="25"/>
  <c r="G1232" i="25"/>
  <c r="G1478" i="25"/>
  <c r="G1739" i="25"/>
  <c r="G1931" i="25"/>
  <c r="G2174" i="25"/>
  <c r="G2428" i="25"/>
  <c r="G2642" i="25"/>
  <c r="G2840" i="25"/>
  <c r="G3049" i="25"/>
  <c r="G3241" i="25"/>
  <c r="G3425" i="25"/>
  <c r="G3629" i="25"/>
  <c r="G3786" i="25"/>
  <c r="G3958" i="25"/>
  <c r="G4165" i="25"/>
  <c r="G4335" i="25"/>
  <c r="G4482" i="25"/>
  <c r="G4639" i="25"/>
  <c r="G4755" i="25"/>
  <c r="G4881" i="25"/>
  <c r="G5016" i="25"/>
  <c r="G5113" i="25"/>
  <c r="G5209" i="25"/>
  <c r="G5329" i="25"/>
  <c r="G5422" i="25"/>
  <c r="G5494" i="25"/>
  <c r="G5586" i="25"/>
  <c r="G5664" i="25"/>
  <c r="G5743" i="25"/>
  <c r="G5836" i="25"/>
  <c r="G5900" i="25"/>
  <c r="G5977" i="25"/>
  <c r="G6065" i="25"/>
  <c r="G6136" i="25"/>
  <c r="G6200" i="25"/>
  <c r="G6279" i="25"/>
  <c r="G6352" i="25"/>
  <c r="G6418" i="25"/>
  <c r="G6509" i="25"/>
  <c r="G6570" i="25"/>
  <c r="G6640" i="25"/>
  <c r="G6718" i="25"/>
  <c r="G6793" i="25"/>
  <c r="G6851" i="25"/>
  <c r="G6921" i="25"/>
  <c r="G6980" i="25"/>
  <c r="G7032" i="25"/>
  <c r="G7104" i="25"/>
  <c r="G7156" i="25"/>
  <c r="G7216" i="25"/>
  <c r="G7281" i="25"/>
  <c r="G7331" i="25"/>
  <c r="G7385" i="25"/>
  <c r="G7450" i="25"/>
  <c r="G7497" i="25"/>
  <c r="G7548" i="25"/>
  <c r="G7597" i="25"/>
  <c r="G7653" i="25"/>
  <c r="G7689" i="25"/>
  <c r="G7739" i="25"/>
  <c r="G7786" i="25"/>
  <c r="G7829" i="25"/>
  <c r="G7879" i="25"/>
  <c r="G7921" i="25"/>
  <c r="G7960" i="25"/>
  <c r="G8016" i="25"/>
  <c r="G8052" i="25"/>
  <c r="G8099" i="25"/>
  <c r="G8147" i="25"/>
  <c r="G8192" i="25"/>
  <c r="G8237" i="25"/>
  <c r="G8285" i="25"/>
  <c r="G8329" i="25"/>
  <c r="G8368" i="25"/>
  <c r="G8421" i="25"/>
  <c r="G8456" i="25"/>
  <c r="G8493" i="25"/>
  <c r="G8533" i="25"/>
  <c r="G8565" i="25"/>
  <c r="G8598" i="25"/>
  <c r="G8635" i="25"/>
  <c r="G8664" i="25"/>
  <c r="G8695" i="25"/>
  <c r="G8729" i="25"/>
  <c r="G8769" i="25"/>
  <c r="G8801" i="25"/>
  <c r="G8833" i="25"/>
  <c r="G8870" i="25"/>
  <c r="G8898" i="25"/>
  <c r="G8927" i="25"/>
  <c r="G8966" i="25"/>
  <c r="G8995" i="25"/>
  <c r="G9023" i="25"/>
  <c r="G9057" i="25"/>
  <c r="G9087" i="25"/>
  <c r="G9114" i="25"/>
  <c r="G9149" i="25"/>
  <c r="G9175" i="25"/>
  <c r="G9202" i="25"/>
  <c r="G9232" i="25"/>
  <c r="G9263" i="25"/>
  <c r="G9290" i="25"/>
  <c r="G9320" i="25"/>
  <c r="G9346" i="25"/>
  <c r="G9373" i="25"/>
  <c r="G9407" i="25"/>
  <c r="G9434" i="25"/>
  <c r="G9461" i="25"/>
  <c r="G9490" i="25"/>
  <c r="G9518" i="25"/>
  <c r="G9544" i="25"/>
  <c r="G9579" i="25"/>
  <c r="G9605" i="25"/>
  <c r="G9631" i="25"/>
  <c r="G9662" i="25"/>
  <c r="G9688" i="25"/>
  <c r="G9715" i="25"/>
  <c r="G9749" i="25"/>
  <c r="G9776" i="25"/>
  <c r="G9802" i="25"/>
  <c r="G9833" i="25"/>
  <c r="G9859" i="25"/>
  <c r="G9885" i="25"/>
  <c r="G9918" i="25"/>
  <c r="G9939" i="25"/>
  <c r="G9963" i="25"/>
  <c r="G9989" i="25"/>
  <c r="G5145" i="25"/>
  <c r="G9669" i="25"/>
  <c r="G140" i="25"/>
  <c r="G442" i="25"/>
  <c r="G668" i="25"/>
  <c r="G982" i="25"/>
  <c r="G1241" i="25"/>
  <c r="G1479" i="25"/>
  <c r="G1757" i="25"/>
  <c r="G1948" i="25"/>
  <c r="G2177" i="25"/>
  <c r="G2434" i="25"/>
  <c r="G2652" i="25"/>
  <c r="G2842" i="25"/>
  <c r="G3053" i="25"/>
  <c r="G3253" i="25"/>
  <c r="G3426" i="25"/>
  <c r="G3634" i="25"/>
  <c r="G3791" i="25"/>
  <c r="G3963" i="25"/>
  <c r="G4167" i="25"/>
  <c r="G4336" i="25"/>
  <c r="G4485" i="25"/>
  <c r="G4644" i="25"/>
  <c r="G4765" i="25"/>
  <c r="G4891" i="25"/>
  <c r="G5017" i="25"/>
  <c r="G5116" i="25"/>
  <c r="G5220" i="25"/>
  <c r="G5332" i="25"/>
  <c r="G5423" i="25"/>
  <c r="G5502" i="25"/>
  <c r="G5588" i="25"/>
  <c r="G5665" i="25"/>
  <c r="G5745" i="25"/>
  <c r="G5839" i="25"/>
  <c r="G5901" i="25"/>
  <c r="G5987" i="25"/>
  <c r="G6070" i="25"/>
  <c r="G6137" i="25"/>
  <c r="G6201" i="25"/>
  <c r="G6280" i="25"/>
  <c r="G6353" i="25"/>
  <c r="G6419" i="25"/>
  <c r="G6510" i="25"/>
  <c r="G6573" i="25"/>
  <c r="G6647" i="25"/>
  <c r="G6726" i="25"/>
  <c r="G6795" i="25"/>
  <c r="G6857" i="25"/>
  <c r="G6923" i="25"/>
  <c r="G6982" i="25"/>
  <c r="G7040" i="25"/>
  <c r="G7105" i="25"/>
  <c r="G7165" i="25"/>
  <c r="G7217" i="25"/>
  <c r="G7282" i="25"/>
  <c r="G7339" i="25"/>
  <c r="G7391" i="25"/>
  <c r="G7451" i="25"/>
  <c r="G7498" i="25"/>
  <c r="G7549" i="25"/>
  <c r="G7605" i="25"/>
  <c r="G7654" i="25"/>
  <c r="G7692" i="25"/>
  <c r="G7747" i="25"/>
  <c r="G7787" i="25"/>
  <c r="G7830" i="25"/>
  <c r="G7880" i="25"/>
  <c r="G7925" i="25"/>
  <c r="G7969" i="25"/>
  <c r="G8020" i="25"/>
  <c r="G8053" i="25"/>
  <c r="G8100" i="25"/>
  <c r="G8157" i="25"/>
  <c r="G8193" i="25"/>
  <c r="G8238" i="25"/>
  <c r="G8286" i="25"/>
  <c r="G8331" i="25"/>
  <c r="G8375" i="25"/>
  <c r="G8422" i="25"/>
  <c r="G8460" i="25"/>
  <c r="G8494" i="25"/>
  <c r="G8536" i="25"/>
  <c r="G8566" i="25"/>
  <c r="G8599" i="25"/>
  <c r="G8636" i="25"/>
  <c r="G8665" i="25"/>
  <c r="G8697" i="25"/>
  <c r="G8740" i="25"/>
  <c r="G8771" i="25"/>
  <c r="G8802" i="25"/>
  <c r="G8839" i="25"/>
  <c r="G8871" i="25"/>
  <c r="G8899" i="25"/>
  <c r="G8937" i="25"/>
  <c r="G8967" i="25"/>
  <c r="G8996" i="25"/>
  <c r="G9029" i="25"/>
  <c r="G9064" i="25"/>
  <c r="G9092" i="25"/>
  <c r="G9124" i="25"/>
  <c r="G9150" i="25"/>
  <c r="G9176" i="25"/>
  <c r="G9211" i="25"/>
  <c r="G9237" i="25"/>
  <c r="G9265" i="25"/>
  <c r="G9294" i="25"/>
  <c r="G9321" i="25"/>
  <c r="G9347" i="25"/>
  <c r="G9382" i="25"/>
  <c r="G9409" i="25"/>
  <c r="G9435" i="25"/>
  <c r="G9465" i="25"/>
  <c r="G9491" i="25"/>
  <c r="G9519" i="25"/>
  <c r="G9553" i="25"/>
  <c r="G9580" i="25"/>
  <c r="G9606" i="25"/>
  <c r="G9637" i="25"/>
  <c r="G9663" i="25"/>
  <c r="G9690" i="25"/>
  <c r="G9724" i="25"/>
  <c r="G9751" i="25"/>
  <c r="G9777" i="25"/>
  <c r="G9808" i="25"/>
  <c r="G9834" i="25"/>
  <c r="G9860" i="25"/>
  <c r="G9894" i="25"/>
  <c r="G9919" i="25"/>
  <c r="G9944" i="25"/>
  <c r="G9964" i="25"/>
  <c r="G9990" i="25"/>
  <c r="G182" i="25"/>
  <c r="G763" i="25"/>
  <c r="G1067" i="25"/>
  <c r="G1259" i="25"/>
  <c r="G1539" i="25"/>
  <c r="G1775" i="25"/>
  <c r="G2002" i="25"/>
  <c r="G2279" i="25"/>
  <c r="G2452" i="25"/>
  <c r="G2657" i="25"/>
  <c r="G2912" i="25"/>
  <c r="G3099" i="25"/>
  <c r="G3271" i="25"/>
  <c r="G3481" i="25"/>
  <c r="G3652" i="25"/>
  <c r="G3835" i="25"/>
  <c r="G4039" i="25"/>
  <c r="G4184" i="25"/>
  <c r="G4367" i="25"/>
  <c r="G4544" i="25"/>
  <c r="G4671" i="25"/>
  <c r="G4779" i="25"/>
  <c r="G5038" i="25"/>
  <c r="G5254" i="25"/>
  <c r="G5337" i="25"/>
  <c r="G5428" i="25"/>
  <c r="G5524" i="25"/>
  <c r="G5612" i="25"/>
  <c r="G5673" i="25"/>
  <c r="G5848" i="25"/>
  <c r="G5927" i="25"/>
  <c r="G6009" i="25"/>
  <c r="G6072" i="25"/>
  <c r="G6229" i="25"/>
  <c r="G6305" i="25"/>
  <c r="G6444" i="25"/>
  <c r="G6587" i="25"/>
  <c r="G6671" i="25"/>
  <c r="G6797" i="25"/>
  <c r="G6935" i="25"/>
  <c r="G7060" i="25"/>
  <c r="G7170" i="25"/>
  <c r="G7344" i="25"/>
  <c r="G7453" i="25"/>
  <c r="G7565" i="25"/>
  <c r="G7709" i="25"/>
  <c r="G7794" i="25"/>
  <c r="G7929" i="25"/>
  <c r="G8022" i="25"/>
  <c r="G8115" i="25"/>
  <c r="G8195" i="25"/>
  <c r="G8299" i="25"/>
  <c r="G8383" i="25"/>
  <c r="G8427" i="25"/>
  <c r="G8506" i="25"/>
  <c r="G8571" i="25"/>
  <c r="G8643" i="25"/>
  <c r="G8706" i="25"/>
  <c r="G8773" i="25"/>
  <c r="G8848" i="25"/>
  <c r="G8877" i="25"/>
  <c r="G8939" i="25"/>
  <c r="G8998" i="25"/>
  <c r="G9035" i="25"/>
  <c r="G9094" i="25"/>
  <c r="G9152" i="25"/>
  <c r="G9213" i="25"/>
  <c r="G9267" i="25"/>
  <c r="G9323" i="25"/>
  <c r="G9350" i="25"/>
  <c r="G9411" i="25"/>
  <c r="G9467" i="25"/>
  <c r="G9525" i="25"/>
  <c r="G9582" i="25"/>
  <c r="G9643" i="25"/>
  <c r="G9726" i="25"/>
  <c r="G9779" i="25"/>
  <c r="G9841" i="25"/>
  <c r="G9867" i="25"/>
  <c r="G9921" i="25"/>
  <c r="G9973" i="25"/>
  <c r="G198" i="25"/>
  <c r="G802" i="25"/>
  <c r="G1271" i="25"/>
  <c r="G1777" i="25"/>
  <c r="G2280" i="25"/>
  <c r="G2669" i="25"/>
  <c r="G3100" i="25"/>
  <c r="G3492" i="25"/>
  <c r="G3653" i="25"/>
  <c r="G4040" i="25"/>
  <c r="G4382" i="25"/>
  <c r="G4686" i="25"/>
  <c r="G4923" i="25"/>
  <c r="G5146" i="25"/>
  <c r="G5344" i="25"/>
  <c r="G5430" i="25"/>
  <c r="G5615" i="25"/>
  <c r="G5772" i="25"/>
  <c r="G5852" i="25"/>
  <c r="G6010" i="25"/>
  <c r="G6150" i="25"/>
  <c r="G6231" i="25"/>
  <c r="G6367" i="25"/>
  <c r="G6515" i="25"/>
  <c r="G6588" i="25"/>
  <c r="G6730" i="25"/>
  <c r="G6885" i="25"/>
  <c r="G6946" i="25"/>
  <c r="G7061" i="25"/>
  <c r="G7171" i="25"/>
  <c r="G7293" i="25"/>
  <c r="G7405" i="25"/>
  <c r="G7511" i="25"/>
  <c r="G7615" i="25"/>
  <c r="G7714" i="25"/>
  <c r="G7797" i="25"/>
  <c r="G7890" i="25"/>
  <c r="G7985" i="25"/>
  <c r="G8068" i="25"/>
  <c r="G8160" i="25"/>
  <c r="G8255" i="25"/>
  <c r="G8336" i="25"/>
  <c r="G8428" i="25"/>
  <c r="G8507" i="25"/>
  <c r="G8572" i="25"/>
  <c r="G8644" i="25"/>
  <c r="G8710" i="25"/>
  <c r="G8775" i="25"/>
  <c r="G8849" i="25"/>
  <c r="G8912" i="25"/>
  <c r="G8971" i="25"/>
  <c r="G9039" i="25"/>
  <c r="G9067" i="25"/>
  <c r="G9127" i="25"/>
  <c r="G9188" i="25"/>
  <c r="G9242" i="25"/>
  <c r="G9303" i="25"/>
  <c r="G9359" i="25"/>
  <c r="G9412" i="25"/>
  <c r="G9473" i="25"/>
  <c r="G9530" i="25"/>
  <c r="G9583" i="25"/>
  <c r="G9618" i="25"/>
  <c r="G9644" i="25"/>
  <c r="G9701" i="25"/>
  <c r="G9754" i="25"/>
  <c r="G9788" i="25"/>
  <c r="G9842" i="25"/>
  <c r="G9897" i="25"/>
  <c r="G9922" i="25"/>
  <c r="G9974" i="25"/>
  <c r="G200" i="25"/>
  <c r="G468" i="25"/>
  <c r="G809" i="25"/>
  <c r="G1069" i="25"/>
  <c r="G1277" i="25"/>
  <c r="G1552" i="25"/>
  <c r="G1779" i="25"/>
  <c r="G2282" i="25"/>
  <c r="G2480" i="25"/>
  <c r="G2686" i="25"/>
  <c r="G2916" i="25"/>
  <c r="G3106" i="25"/>
  <c r="G3276" i="25"/>
  <c r="G3493" i="25"/>
  <c r="G3663" i="25"/>
  <c r="G3853" i="25"/>
  <c r="G4042" i="25"/>
  <c r="G4196" i="25"/>
  <c r="G4385" i="25"/>
  <c r="G4546" i="25"/>
  <c r="G4688" i="25"/>
  <c r="G4786" i="25"/>
  <c r="G4924" i="25"/>
  <c r="G5049" i="25"/>
  <c r="G5147" i="25"/>
  <c r="G5259" i="25"/>
  <c r="G5345" i="25"/>
  <c r="G5437" i="25"/>
  <c r="G5540" i="25"/>
  <c r="G5616" i="25"/>
  <c r="G5691" i="25"/>
  <c r="G5773" i="25"/>
  <c r="G5853" i="25"/>
  <c r="G5929" i="25"/>
  <c r="G6022" i="25"/>
  <c r="G6082" i="25"/>
  <c r="G6151" i="25"/>
  <c r="G6232" i="25"/>
  <c r="G6307" i="25"/>
  <c r="G6370" i="25"/>
  <c r="G6449" i="25"/>
  <c r="G6522" i="25"/>
  <c r="G6589" i="25"/>
  <c r="G6679" i="25"/>
  <c r="G6743" i="25"/>
  <c r="G6812" i="25"/>
  <c r="G6886" i="25"/>
  <c r="G6947" i="25"/>
  <c r="G7000" i="25"/>
  <c r="G7065" i="25"/>
  <c r="G7121" i="25"/>
  <c r="G7173" i="25"/>
  <c r="G7247" i="25"/>
  <c r="G7294" i="25"/>
  <c r="G7354" i="25"/>
  <c r="G7410" i="25"/>
  <c r="G7463" i="25"/>
  <c r="G7516" i="25"/>
  <c r="G142" i="25"/>
  <c r="G447" i="25"/>
  <c r="G688" i="25"/>
  <c r="G985" i="25"/>
  <c r="G1254" i="25"/>
  <c r="G1481" i="25"/>
  <c r="G1763" i="25"/>
  <c r="G1964" i="25"/>
  <c r="G2188" i="25"/>
  <c r="G2449" i="25"/>
  <c r="G2654" i="25"/>
  <c r="G2843" i="25"/>
  <c r="G3071" i="25"/>
  <c r="G3258" i="25"/>
  <c r="G3439" i="25"/>
  <c r="G3643" i="25"/>
  <c r="G3792" i="25"/>
  <c r="G3971" i="25"/>
  <c r="G4177" i="25"/>
  <c r="G4349" i="25"/>
  <c r="G4487" i="25"/>
  <c r="G4652" i="25"/>
  <c r="G4767" i="25"/>
  <c r="G4894" i="25"/>
  <c r="G5019" i="25"/>
  <c r="G5117" i="25"/>
  <c r="G5221" i="25"/>
  <c r="G5333" i="25"/>
  <c r="G5424" i="25"/>
  <c r="G5503" i="25"/>
  <c r="G5593" i="25"/>
  <c r="G5672" i="25"/>
  <c r="G5751" i="25"/>
  <c r="G5847" i="25"/>
  <c r="G5914" i="25"/>
  <c r="G5993" i="25"/>
  <c r="G6071" i="25"/>
  <c r="G6138" i="25"/>
  <c r="G6207" i="25"/>
  <c r="G6285" i="25"/>
  <c r="G6354" i="25"/>
  <c r="G6432" i="25"/>
  <c r="G6511" i="25"/>
  <c r="G6574" i="25"/>
  <c r="G6648" i="25"/>
  <c r="G6728" i="25"/>
  <c r="G6796" i="25"/>
  <c r="G6858" i="25"/>
  <c r="G6929" i="25"/>
  <c r="G6985" i="25"/>
  <c r="G7041" i="25"/>
  <c r="G7107" i="25"/>
  <c r="G7169" i="25"/>
  <c r="G7218" i="25"/>
  <c r="G7283" i="25"/>
  <c r="G7340" i="25"/>
  <c r="G7392" i="25"/>
  <c r="G7452" i="25"/>
  <c r="G7501" i="25"/>
  <c r="G7552" i="25"/>
  <c r="G7611" i="25"/>
  <c r="G7655" i="25"/>
  <c r="G7700" i="25"/>
  <c r="G7748" i="25"/>
  <c r="G7793" i="25"/>
  <c r="G7831" i="25"/>
  <c r="G7881" i="25"/>
  <c r="G7928" i="25"/>
  <c r="G7971" i="25"/>
  <c r="G8021" i="25"/>
  <c r="G8063" i="25"/>
  <c r="G8101" i="25"/>
  <c r="G8158" i="25"/>
  <c r="G8194" i="25"/>
  <c r="G8239" i="25"/>
  <c r="G8289" i="25"/>
  <c r="G8334" i="25"/>
  <c r="G8379" i="25"/>
  <c r="G8425" i="25"/>
  <c r="G8461" i="25"/>
  <c r="G8500" i="25"/>
  <c r="G8537" i="25"/>
  <c r="G8569" i="25"/>
  <c r="G8600" i="25"/>
  <c r="G8641" i="25"/>
  <c r="G8667" i="25"/>
  <c r="G8705" i="25"/>
  <c r="G8741" i="25"/>
  <c r="G8772" i="25"/>
  <c r="G8805" i="25"/>
  <c r="G8847" i="25"/>
  <c r="G8876" i="25"/>
  <c r="G8906" i="25"/>
  <c r="G8938" i="25"/>
  <c r="G8968" i="25"/>
  <c r="G8997" i="25"/>
  <c r="G9034" i="25"/>
  <c r="G9065" i="25"/>
  <c r="G9093" i="25"/>
  <c r="G9125" i="25"/>
  <c r="G9151" i="25"/>
  <c r="G9177" i="25"/>
  <c r="G9212" i="25"/>
  <c r="G9238" i="25"/>
  <c r="G9266" i="25"/>
  <c r="G9295" i="25"/>
  <c r="G9322" i="25"/>
  <c r="G9349" i="25"/>
  <c r="G9383" i="25"/>
  <c r="G9410" i="25"/>
  <c r="G9437" i="25"/>
  <c r="G9466" i="25"/>
  <c r="G9494" i="25"/>
  <c r="G9520" i="25"/>
  <c r="G9555" i="25"/>
  <c r="G9581" i="25"/>
  <c r="G9607" i="25"/>
  <c r="G9638" i="25"/>
  <c r="G9664" i="25"/>
  <c r="G9695" i="25"/>
  <c r="G9725" i="25"/>
  <c r="G9752" i="25"/>
  <c r="G9778" i="25"/>
  <c r="G9813" i="25"/>
  <c r="G9839" i="25"/>
  <c r="G9866" i="25"/>
  <c r="G9895" i="25"/>
  <c r="G9920" i="25"/>
  <c r="G9945" i="25"/>
  <c r="G9971" i="25"/>
  <c r="G9991" i="25"/>
  <c r="G464" i="25"/>
  <c r="G4921" i="25"/>
  <c r="G5771" i="25"/>
  <c r="G6149" i="25"/>
  <c r="G6365" i="25"/>
  <c r="G6514" i="25"/>
  <c r="G6729" i="25"/>
  <c r="G6884" i="25"/>
  <c r="G6987" i="25"/>
  <c r="G7108" i="25"/>
  <c r="G7235" i="25"/>
  <c r="G7291" i="25"/>
  <c r="G7404" i="25"/>
  <c r="G7504" i="25"/>
  <c r="G7614" i="25"/>
  <c r="G7656" i="25"/>
  <c r="G7749" i="25"/>
  <c r="G7844" i="25"/>
  <c r="G7889" i="25"/>
  <c r="G7984" i="25"/>
  <c r="G8067" i="25"/>
  <c r="G8159" i="25"/>
  <c r="G8252" i="25"/>
  <c r="G8335" i="25"/>
  <c r="G8469" i="25"/>
  <c r="G8538" i="25"/>
  <c r="G8612" i="25"/>
  <c r="G8674" i="25"/>
  <c r="G8742" i="25"/>
  <c r="G8806" i="25"/>
  <c r="G8907" i="25"/>
  <c r="G8969" i="25"/>
  <c r="G9066" i="25"/>
  <c r="G9126" i="25"/>
  <c r="G9179" i="25"/>
  <c r="G9241" i="25"/>
  <c r="G9297" i="25"/>
  <c r="G9385" i="25"/>
  <c r="G9438" i="25"/>
  <c r="G9499" i="25"/>
  <c r="G9556" i="25"/>
  <c r="G9608" i="25"/>
  <c r="G9697" i="25"/>
  <c r="G9753" i="25"/>
  <c r="G9814" i="25"/>
  <c r="G9896" i="25"/>
  <c r="G9946" i="25"/>
  <c r="G9997" i="25"/>
  <c r="G466" i="25"/>
  <c r="G1068" i="25"/>
  <c r="G1540" i="25"/>
  <c r="G2003" i="25"/>
  <c r="G2454" i="25"/>
  <c r="G2915" i="25"/>
  <c r="G3272" i="25"/>
  <c r="G3851" i="25"/>
  <c r="G4195" i="25"/>
  <c r="G4545" i="25"/>
  <c r="G4781" i="25"/>
  <c r="G5045" i="25"/>
  <c r="G5257" i="25"/>
  <c r="G5536" i="25"/>
  <c r="G5677" i="25"/>
  <c r="G5928" i="25"/>
  <c r="G6075" i="25"/>
  <c r="G6306" i="25"/>
  <c r="G6445" i="25"/>
  <c r="G6678" i="25"/>
  <c r="G6809" i="25"/>
  <c r="G6999" i="25"/>
  <c r="G7111" i="25"/>
  <c r="G7244" i="25"/>
  <c r="G7345" i="25"/>
  <c r="G7458" i="25"/>
  <c r="G7566" i="25"/>
  <c r="G7660" i="25"/>
  <c r="G7755" i="25"/>
  <c r="G7849" i="25"/>
  <c r="G7935" i="25"/>
  <c r="G8023" i="25"/>
  <c r="G8116" i="25"/>
  <c r="G8205" i="25"/>
  <c r="G8300" i="25"/>
  <c r="G8393" i="25"/>
  <c r="G8470" i="25"/>
  <c r="G8539" i="25"/>
  <c r="G8613" i="25"/>
  <c r="G8675" i="25"/>
  <c r="G8743" i="25"/>
  <c r="G8815" i="25"/>
  <c r="G8878" i="25"/>
  <c r="G8942" i="25"/>
  <c r="G9008" i="25"/>
  <c r="G9101" i="25"/>
  <c r="G9153" i="25"/>
  <c r="G9214" i="25"/>
  <c r="G9271" i="25"/>
  <c r="G9329" i="25"/>
  <c r="G9386" i="25"/>
  <c r="G9447" i="25"/>
  <c r="G9500" i="25"/>
  <c r="G9557" i="25"/>
  <c r="G9670" i="25"/>
  <c r="G9727" i="25"/>
  <c r="G9815" i="25"/>
  <c r="G9872" i="25"/>
  <c r="G9950" i="25"/>
  <c r="G9998" i="25"/>
  <c r="G264" i="25"/>
  <c r="G821" i="25"/>
  <c r="G1370" i="25"/>
  <c r="G1796" i="25"/>
  <c r="G2168" i="25"/>
  <c r="G2582" i="25"/>
  <c r="G3011" i="25"/>
  <c r="G3397" i="25"/>
  <c r="G3782" i="25"/>
  <c r="G4096" i="25"/>
  <c r="G4480" i="25"/>
  <c r="G4750" i="25"/>
  <c r="G4973" i="25"/>
  <c r="G5206" i="25"/>
  <c r="G5395" i="25"/>
  <c r="G5573" i="25"/>
  <c r="G5730" i="25"/>
  <c r="G5899" i="25"/>
  <c r="G6037" i="25"/>
  <c r="G6197" i="25"/>
  <c r="G6348" i="25"/>
  <c r="G6481" i="25"/>
  <c r="G6637" i="25"/>
  <c r="G6779" i="25"/>
  <c r="G6913" i="25"/>
  <c r="G7030" i="25"/>
  <c r="G7152" i="25"/>
  <c r="G7263" i="25"/>
  <c r="G7379" i="25"/>
  <c r="G7496" i="25"/>
  <c r="G7591" i="25"/>
  <c r="G7676" i="25"/>
  <c r="G7763" i="25"/>
  <c r="G7828" i="25"/>
  <c r="G7909" i="25"/>
  <c r="G7990" i="25"/>
  <c r="G8069" i="25"/>
  <c r="G8140" i="25"/>
  <c r="G8221" i="25"/>
  <c r="G8302" i="25"/>
  <c r="G8367" i="25"/>
  <c r="G8446" i="25"/>
  <c r="G8518" i="25"/>
  <c r="G8573" i="25"/>
  <c r="G8626" i="25"/>
  <c r="G8691" i="25"/>
  <c r="G8753" i="25"/>
  <c r="G8800" i="25"/>
  <c r="G8854" i="25"/>
  <c r="G8921" i="25"/>
  <c r="G8978" i="25"/>
  <c r="G9021" i="25"/>
  <c r="G9081" i="25"/>
  <c r="G9134" i="25"/>
  <c r="G9174" i="25"/>
  <c r="G9225" i="25"/>
  <c r="G9280" i="25"/>
  <c r="G9330" i="25"/>
  <c r="G9370" i="25"/>
  <c r="G9425" i="25"/>
  <c r="G9476" i="25"/>
  <c r="G9517" i="25"/>
  <c r="G9567" i="25"/>
  <c r="G9621" i="25"/>
  <c r="G9673" i="25"/>
  <c r="G9713" i="25"/>
  <c r="G9766" i="25"/>
  <c r="G9818" i="25"/>
  <c r="G9858" i="25"/>
  <c r="G9907" i="25"/>
  <c r="G9957" i="25"/>
  <c r="G9999" i="25"/>
  <c r="G266" i="25"/>
  <c r="G828" i="25"/>
  <c r="G1383" i="25"/>
  <c r="G1815" i="25"/>
  <c r="G2298" i="25"/>
  <c r="G2772" i="25"/>
  <c r="G3150" i="25"/>
  <c r="G3533" i="25"/>
  <c r="G3884" i="25"/>
  <c r="G4251" i="25"/>
  <c r="G4567" i="25"/>
  <c r="G4842" i="25"/>
  <c r="G5062" i="25"/>
  <c r="G5280" i="25"/>
  <c r="G5472" i="25"/>
  <c r="G5627" i="25"/>
  <c r="G5788" i="25"/>
  <c r="G5956" i="25"/>
  <c r="G6101" i="25"/>
  <c r="G6243" i="25"/>
  <c r="G6399" i="25"/>
  <c r="G6527" i="25"/>
  <c r="G6685" i="25"/>
  <c r="G6836" i="25"/>
  <c r="G6951" i="25"/>
  <c r="G7073" i="25"/>
  <c r="G7189" i="25"/>
  <c r="G7307" i="25"/>
  <c r="G7422" i="25"/>
  <c r="G7531" i="25"/>
  <c r="G7620" i="25"/>
  <c r="G7687" i="25"/>
  <c r="G7765" i="25"/>
  <c r="G7856" i="25"/>
  <c r="G7912" i="25"/>
  <c r="G7999" i="25"/>
  <c r="G8085" i="25"/>
  <c r="G8164" i="25"/>
  <c r="G8226" i="25"/>
  <c r="G8304" i="25"/>
  <c r="G8395" i="25"/>
  <c r="G8455" i="25"/>
  <c r="G8520" i="25"/>
  <c r="G8586" i="25"/>
  <c r="G8645" i="25"/>
  <c r="G8693" i="25"/>
  <c r="G8755" i="25"/>
  <c r="G8820" i="25"/>
  <c r="G8867" i="25"/>
  <c r="G8923" i="25"/>
  <c r="G8983" i="25"/>
  <c r="G9040" i="25"/>
  <c r="G9083" i="25"/>
  <c r="G9136" i="25"/>
  <c r="G9190" i="25"/>
  <c r="G9231" i="25"/>
  <c r="G9282" i="25"/>
  <c r="G9337" i="25"/>
  <c r="G9387" i="25"/>
  <c r="G9427" i="25"/>
  <c r="G9478" i="25"/>
  <c r="G9533" i="25"/>
  <c r="G9578" i="25"/>
  <c r="G9623" i="25"/>
  <c r="G9682" i="25"/>
  <c r="G9729" i="25"/>
  <c r="G9774" i="25"/>
  <c r="G9820" i="25"/>
  <c r="G9879" i="25"/>
  <c r="G9913" i="25"/>
  <c r="G9959" i="25"/>
  <c r="G10001" i="25"/>
  <c r="G265" i="25"/>
  <c r="G822" i="25"/>
  <c r="G1371" i="25"/>
  <c r="G1800" i="25"/>
  <c r="G2295" i="25"/>
  <c r="G2763" i="25"/>
  <c r="G3133" i="25"/>
  <c r="G3529" i="25"/>
  <c r="G3877" i="25"/>
  <c r="G4250" i="25"/>
  <c r="G4565" i="25"/>
  <c r="G4830" i="25"/>
  <c r="G5053" i="25"/>
  <c r="G5265" i="25"/>
  <c r="G5471" i="25"/>
  <c r="G5617" i="25"/>
  <c r="G5787" i="25"/>
  <c r="G5947" i="25"/>
  <c r="G6099" i="25"/>
  <c r="G6240" i="25"/>
  <c r="G6388" i="25"/>
  <c r="G6524" i="25"/>
  <c r="G6680" i="25"/>
  <c r="G6835" i="25"/>
  <c r="G6949" i="25"/>
  <c r="G7071" i="25"/>
  <c r="G7188" i="25"/>
  <c r="G7295" i="25"/>
  <c r="G7420" i="25"/>
  <c r="G7527" i="25"/>
  <c r="G7592" i="25"/>
  <c r="G7686" i="25"/>
  <c r="G7764" i="25"/>
  <c r="G7851" i="25"/>
  <c r="G7911" i="25"/>
  <c r="G7998" i="25"/>
  <c r="G8080" i="25"/>
  <c r="G8141" i="25"/>
  <c r="G8225" i="25"/>
  <c r="G8303" i="25"/>
  <c r="G8394" i="25"/>
  <c r="G8454" i="25"/>
  <c r="G8519" i="25"/>
  <c r="G8585" i="25"/>
  <c r="G8627" i="25"/>
  <c r="G8692" i="25"/>
  <c r="G8754" i="25"/>
  <c r="G8819" i="25"/>
  <c r="G8866" i="25"/>
  <c r="G8922" i="25"/>
  <c r="G8979" i="25"/>
  <c r="G9022" i="25"/>
  <c r="G9082" i="25"/>
  <c r="G9135" i="25"/>
  <c r="G9189" i="25"/>
  <c r="G9230" i="25"/>
  <c r="G9281" i="25"/>
  <c r="G9331" i="25"/>
  <c r="G9371" i="25"/>
  <c r="G9426" i="25"/>
  <c r="G9477" i="25"/>
  <c r="G9531" i="25"/>
  <c r="G9572" i="25"/>
  <c r="G9622" i="25"/>
  <c r="G9674" i="25"/>
  <c r="G9714" i="25"/>
  <c r="G9769" i="25"/>
  <c r="G9819" i="25"/>
  <c r="G9873" i="25"/>
  <c r="G9911" i="25"/>
  <c r="G9958" i="25"/>
  <c r="G10000" i="25"/>
  <c r="G353" i="25"/>
  <c r="G913" i="25"/>
  <c r="G1391" i="25"/>
  <c r="G1910" i="25"/>
  <c r="G2330" i="25"/>
  <c r="G2797" i="25"/>
  <c r="G3222" i="25"/>
  <c r="G3564" i="25"/>
  <c r="G3939" i="25"/>
  <c r="G4296" i="25"/>
  <c r="G4597" i="25"/>
  <c r="G4845" i="25"/>
  <c r="G5096" i="25"/>
  <c r="G5287" i="25"/>
  <c r="G5477" i="25"/>
  <c r="G5658" i="25"/>
  <c r="G5803" i="25"/>
  <c r="G5972" i="25"/>
  <c r="G6114" i="25"/>
  <c r="G6259" i="25"/>
  <c r="G6404" i="25"/>
  <c r="G6558" i="25"/>
  <c r="G6693" i="25"/>
  <c r="G6844" i="25"/>
  <c r="G6967" i="25"/>
  <c r="G7077" i="25"/>
  <c r="G7201" i="25"/>
  <c r="G7323" i="25"/>
  <c r="G7424" i="25"/>
  <c r="G7535" i="25"/>
  <c r="G7624" i="25"/>
  <c r="G7715" i="25"/>
  <c r="G7780" i="25"/>
  <c r="G7858" i="25"/>
  <c r="G7944" i="25"/>
  <c r="G8001" i="25"/>
  <c r="G8092" i="25"/>
  <c r="G8170" i="25"/>
  <c r="G8256" i="25"/>
  <c r="G8327" i="25"/>
  <c r="G8399" i="25"/>
  <c r="G8478" i="25"/>
  <c r="G8523" i="25"/>
  <c r="G8588" i="25"/>
  <c r="G8649" i="25"/>
  <c r="G8713" i="25"/>
  <c r="G8760" i="25"/>
  <c r="G8823" i="25"/>
  <c r="G8882" i="25"/>
  <c r="G8925" i="25"/>
  <c r="G8985" i="25"/>
  <c r="G9042" i="25"/>
  <c r="G9106" i="25"/>
  <c r="G9147" i="25"/>
  <c r="G9193" i="25"/>
  <c r="G9244" i="25"/>
  <c r="G9284" i="25"/>
  <c r="G9343" i="25"/>
  <c r="G9389" i="25"/>
  <c r="G9448" i="25"/>
  <c r="G9488" i="25"/>
  <c r="G9539" i="25"/>
  <c r="G9585" i="25"/>
  <c r="G9630" i="25"/>
  <c r="G9685" i="25"/>
  <c r="G9736" i="25"/>
  <c r="G9790" i="25"/>
  <c r="G9831" i="25"/>
  <c r="G9881" i="25"/>
  <c r="G9925" i="25"/>
  <c r="G9962" i="25"/>
  <c r="G10003" i="25"/>
  <c r="G354" i="25"/>
  <c r="G915" i="25"/>
  <c r="G1403" i="25"/>
  <c r="G1913" i="25"/>
  <c r="G2343" i="25"/>
  <c r="G2808" i="25"/>
  <c r="G3223" i="25"/>
  <c r="G3565" i="25"/>
  <c r="G3940" i="25"/>
  <c r="G4300" i="25"/>
  <c r="G4606" i="25"/>
  <c r="G4848" i="25"/>
  <c r="G5101" i="25"/>
  <c r="G5288" i="25"/>
  <c r="G5487" i="25"/>
  <c r="G5660" i="25"/>
  <c r="G5804" i="25"/>
  <c r="G5973" i="25"/>
  <c r="G6115" i="25"/>
  <c r="G6262" i="25"/>
  <c r="G6412" i="25"/>
  <c r="G6559" i="25"/>
  <c r="G6694" i="25"/>
  <c r="G6845" i="25"/>
  <c r="G6969" i="25"/>
  <c r="G7078" i="25"/>
  <c r="G7203" i="25"/>
  <c r="G7326" i="25"/>
  <c r="G7425" i="25"/>
  <c r="G7542" i="25"/>
  <c r="G7627" i="25"/>
  <c r="G7719" i="25"/>
  <c r="G7785" i="25"/>
  <c r="G7859" i="25"/>
  <c r="G7950" i="25"/>
  <c r="G8028" i="25"/>
  <c r="G8095" i="25"/>
  <c r="G8171" i="25"/>
  <c r="G8257" i="25"/>
  <c r="G8328" i="25"/>
  <c r="G8406" i="25"/>
  <c r="G8479" i="25"/>
  <c r="G8540" i="25"/>
  <c r="G8596" i="25"/>
  <c r="G8651" i="25"/>
  <c r="G8715" i="25"/>
  <c r="G8768" i="25"/>
  <c r="G8824" i="25"/>
  <c r="G8891" i="25"/>
  <c r="G8943" i="25"/>
  <c r="G8992" i="25"/>
  <c r="G9043" i="25"/>
  <c r="G9107" i="25"/>
  <c r="G9148" i="25"/>
  <c r="G9198" i="25"/>
  <c r="G9253" i="25"/>
  <c r="G9304" i="25"/>
  <c r="G9344" i="25"/>
  <c r="G9394" i="25"/>
  <c r="G9449" i="25"/>
  <c r="G9489" i="25"/>
  <c r="G9541" i="25"/>
  <c r="G9595" i="25"/>
  <c r="G9645" i="25"/>
  <c r="G9686" i="25"/>
  <c r="G9737" i="25"/>
  <c r="G9791" i="25"/>
  <c r="G9832" i="25"/>
  <c r="G9882" i="25"/>
  <c r="G9933" i="25"/>
  <c r="G9975" i="25"/>
  <c r="G575" i="25"/>
  <c r="G1088" i="25"/>
  <c r="G1607" i="25"/>
  <c r="G2005" i="25"/>
  <c r="G2363" i="25"/>
  <c r="G2811" i="25"/>
  <c r="G3235" i="25"/>
  <c r="G3567" i="25"/>
  <c r="G3943" i="25"/>
  <c r="G4304" i="25"/>
  <c r="G4607" i="25"/>
  <c r="G4857" i="25"/>
  <c r="G5110" i="25"/>
  <c r="G5289" i="25"/>
  <c r="G5488" i="25"/>
  <c r="G5663" i="25"/>
  <c r="G5807" i="25"/>
  <c r="G5974" i="25"/>
  <c r="G6128" i="25"/>
  <c r="G6270" i="25"/>
  <c r="G6413" i="25"/>
  <c r="G6560" i="25"/>
  <c r="G6697" i="25"/>
  <c r="G6850" i="25"/>
  <c r="G6979" i="25"/>
  <c r="G7092" i="25"/>
  <c r="G7213" i="25"/>
  <c r="G7328" i="25"/>
  <c r="G7433" i="25"/>
  <c r="G7543" i="25"/>
  <c r="G7642" i="25"/>
  <c r="G7720" i="25"/>
  <c r="G7798" i="25"/>
  <c r="G7863" i="25"/>
  <c r="G7955" i="25"/>
  <c r="G8029" i="25"/>
  <c r="G8098" i="25"/>
  <c r="G8187" i="25"/>
  <c r="G8265" i="25"/>
  <c r="G8337" i="25"/>
  <c r="G8407" i="25"/>
  <c r="G8484" i="25"/>
  <c r="G8548" i="25"/>
  <c r="G8597" i="25"/>
  <c r="G8661" i="25"/>
  <c r="G8720" i="25"/>
  <c r="G8776" i="25"/>
  <c r="G8831" i="25"/>
  <c r="G8894" i="25"/>
  <c r="G8948" i="25"/>
  <c r="G8993" i="25"/>
  <c r="G9050" i="25"/>
  <c r="G9109" i="25"/>
  <c r="G9159" i="25"/>
  <c r="G9199" i="25"/>
  <c r="G9254" i="25"/>
  <c r="G9305" i="25"/>
  <c r="G9345" i="25"/>
  <c r="G9395" i="25"/>
  <c r="G9450" i="25"/>
  <c r="G9501" i="25"/>
  <c r="G9542" i="25"/>
  <c r="G9596" i="25"/>
  <c r="G9646" i="25"/>
  <c r="G9687" i="25"/>
  <c r="G9738" i="25"/>
  <c r="G9793" i="25"/>
  <c r="G9843" i="25"/>
  <c r="G9883" i="25"/>
  <c r="G9934" i="25"/>
  <c r="G9976" i="25"/>
  <c r="G579" i="25"/>
  <c r="G1090" i="25"/>
  <c r="G1608" i="25"/>
  <c r="G2077" i="25"/>
  <c r="G2514" i="25"/>
  <c r="G2934" i="25"/>
  <c r="G3354" i="25"/>
  <c r="G3683" i="25"/>
  <c r="G4061" i="25"/>
  <c r="G4436" i="25"/>
  <c r="G4689" i="25"/>
  <c r="G4956" i="25"/>
  <c r="G5163" i="25"/>
  <c r="G5365" i="25"/>
  <c r="G5548" i="25"/>
  <c r="G5710" i="25"/>
  <c r="G5854" i="25"/>
  <c r="G6023" i="25"/>
  <c r="G6178" i="25"/>
  <c r="G6308" i="25"/>
  <c r="G6465" i="25"/>
  <c r="G6609" i="25"/>
  <c r="G6751" i="25"/>
  <c r="G6887" i="25"/>
  <c r="G7014" i="25"/>
  <c r="G7125" i="25"/>
  <c r="G7248" i="25"/>
  <c r="G7362" i="25"/>
  <c r="G7464" i="25"/>
  <c r="G7567" i="25"/>
  <c r="G7643" i="25"/>
  <c r="G7721" i="25"/>
  <c r="G7813" i="25"/>
  <c r="G7866" i="25"/>
  <c r="G7956" i="25"/>
  <c r="G8033" i="25"/>
  <c r="G8125" i="25"/>
  <c r="G8190" i="25"/>
  <c r="G8268" i="25"/>
  <c r="G8352" i="25"/>
  <c r="G8408" i="25"/>
  <c r="G8488" i="25"/>
  <c r="G8549" i="25"/>
  <c r="G8614" i="25"/>
  <c r="G8662" i="25"/>
  <c r="G8721" i="25"/>
  <c r="G8783" i="25"/>
  <c r="G8832" i="25"/>
  <c r="G8895" i="25"/>
  <c r="G8949" i="25"/>
  <c r="G9009" i="25"/>
  <c r="G9054" i="25"/>
  <c r="G9110" i="25"/>
  <c r="G9160" i="25"/>
  <c r="G9201" i="25"/>
  <c r="G9255" i="25"/>
  <c r="G9306" i="25"/>
  <c r="G9361" i="25"/>
  <c r="G9401" i="25"/>
  <c r="G9451" i="25"/>
  <c r="G9502" i="25"/>
  <c r="G9543" i="25"/>
  <c r="G9597" i="25"/>
  <c r="G9647" i="25"/>
  <c r="G9702" i="25"/>
  <c r="G9742" i="25"/>
  <c r="G9794" i="25"/>
  <c r="G9844" i="25"/>
  <c r="G9884" i="25"/>
  <c r="G9935" i="25"/>
  <c r="G9977" i="25"/>
  <c r="G604" i="25"/>
  <c r="G1102" i="25"/>
  <c r="G1612" i="25"/>
  <c r="G2082" i="25"/>
  <c r="G2534" i="25"/>
  <c r="G2943" i="25"/>
  <c r="G3355" i="25"/>
  <c r="G3687" i="25"/>
  <c r="G4078" i="25"/>
  <c r="G4450" i="25"/>
  <c r="G4690" i="25"/>
  <c r="G4957" i="25"/>
  <c r="G5172" i="25"/>
  <c r="G5368" i="25"/>
  <c r="G5549" i="25"/>
  <c r="G5711" i="25"/>
  <c r="G5862" i="25"/>
  <c r="G6024" i="25"/>
  <c r="G6179" i="25"/>
  <c r="G6310" i="25"/>
  <c r="G6467" i="25"/>
  <c r="G6615" i="25"/>
  <c r="G6756" i="25"/>
  <c r="G6889" i="25"/>
  <c r="G7015" i="25"/>
  <c r="G7126" i="25"/>
  <c r="G7251" i="25"/>
  <c r="G7369" i="25"/>
  <c r="G7465" i="25"/>
  <c r="G7575" i="25"/>
  <c r="G7645" i="25"/>
  <c r="G7724" i="25"/>
  <c r="G7815" i="25"/>
  <c r="G7891" i="25"/>
  <c r="G7957" i="25"/>
  <c r="G8038" i="25"/>
  <c r="G8127" i="25"/>
  <c r="G8191" i="25"/>
  <c r="G8269" i="25"/>
  <c r="G8360" i="25"/>
  <c r="G8430" i="25"/>
  <c r="G8491" i="25"/>
  <c r="G8550" i="25"/>
  <c r="G8615" i="25"/>
  <c r="G8663" i="25"/>
  <c r="G8723" i="25"/>
  <c r="G8788" i="25"/>
  <c r="G8850" i="25"/>
  <c r="G8896" i="25"/>
  <c r="G8951" i="25"/>
  <c r="G9010" i="25"/>
  <c r="G9055" i="25"/>
  <c r="G9111" i="25"/>
  <c r="G9165" i="25"/>
  <c r="G9215" i="25"/>
  <c r="G9256" i="25"/>
  <c r="G9775" i="25"/>
  <c r="G9424" i="25"/>
  <c r="G9015" i="25"/>
  <c r="G8509" i="25"/>
  <c r="G7817" i="25"/>
  <c r="G6907" i="25"/>
  <c r="G4093" i="25"/>
  <c r="G9651" i="25"/>
  <c r="G8677" i="25"/>
  <c r="G4081" i="25"/>
  <c r="G9983" i="25"/>
  <c r="G9413" i="25"/>
  <c r="G2773" i="25"/>
  <c r="G9821" i="25"/>
  <c r="G2154" i="25"/>
  <c r="G2137" i="25"/>
  <c r="G9703" i="25"/>
  <c r="G9906" i="25"/>
  <c r="G9800" i="25"/>
  <c r="G9683" i="25"/>
  <c r="G9565" i="25"/>
  <c r="G9452" i="25"/>
  <c r="G9319" i="25"/>
  <c r="G9191" i="25"/>
  <c r="G9041" i="25"/>
  <c r="G8879" i="25"/>
  <c r="G8694" i="25"/>
  <c r="G8521" i="25"/>
  <c r="G8322" i="25"/>
  <c r="G8086" i="25"/>
  <c r="G7857" i="25"/>
  <c r="G7621" i="25"/>
  <c r="G7313" i="25"/>
  <c r="G6952" i="25"/>
  <c r="G6537" i="25"/>
  <c r="G6102" i="25"/>
  <c r="G5629" i="25"/>
  <c r="G5064" i="25"/>
  <c r="G4263" i="25"/>
  <c r="G3155" i="25"/>
  <c r="G1906" i="25"/>
  <c r="G340" i="25"/>
  <c r="O26" i="19"/>
  <c r="F9" i="19"/>
  <c r="F8" i="19"/>
  <c r="Q11" i="19"/>
  <c r="O24" i="19"/>
  <c r="P24" i="19"/>
  <c r="F7" i="19"/>
  <c r="F13" i="19"/>
  <c r="Q12" i="19"/>
  <c r="K8" i="14"/>
  <c r="I35" i="13" s="1"/>
  <c r="D37" i="8"/>
  <c r="E37" i="8"/>
  <c r="F37" i="8"/>
  <c r="G37" i="8"/>
  <c r="H37" i="8"/>
  <c r="I37" i="8"/>
  <c r="C37" i="8"/>
  <c r="C7" i="8"/>
  <c r="C41" i="11" s="1"/>
  <c r="C29" i="18"/>
  <c r="D2" i="18"/>
  <c r="E2" i="18" s="1"/>
  <c r="F2" i="18" s="1"/>
  <c r="G2" i="18" s="1"/>
  <c r="H2" i="18" s="1"/>
  <c r="I2" i="18" s="1"/>
  <c r="F7" i="18"/>
  <c r="G7" i="18" s="1"/>
  <c r="D50" i="17"/>
  <c r="E50" i="17"/>
  <c r="F50" i="17"/>
  <c r="G50" i="17"/>
  <c r="H50" i="17"/>
  <c r="I50" i="17"/>
  <c r="C50" i="17"/>
  <c r="D35" i="17"/>
  <c r="E35" i="17"/>
  <c r="F35" i="17"/>
  <c r="G35" i="17"/>
  <c r="H35" i="17"/>
  <c r="I35" i="17"/>
  <c r="C35" i="17"/>
  <c r="C2" i="17"/>
  <c r="B28" i="17"/>
  <c r="B8" i="17"/>
  <c r="B7" i="17"/>
  <c r="B6" i="17"/>
  <c r="B5" i="17"/>
  <c r="B13" i="17"/>
  <c r="B12" i="17"/>
  <c r="D2" i="17"/>
  <c r="E2" i="17"/>
  <c r="F2" i="17"/>
  <c r="G2" i="17"/>
  <c r="H2" i="17"/>
  <c r="I2" i="17"/>
  <c r="B2" i="14"/>
  <c r="B2" i="15"/>
  <c r="B23" i="15"/>
  <c r="C27" i="15"/>
  <c r="C39" i="15"/>
  <c r="D39" i="15"/>
  <c r="E39" i="15"/>
  <c r="F39" i="15"/>
  <c r="G39" i="15"/>
  <c r="H39" i="15"/>
  <c r="I39" i="15"/>
  <c r="C40" i="15"/>
  <c r="D40" i="15"/>
  <c r="E40" i="15"/>
  <c r="F40" i="15"/>
  <c r="G40" i="15"/>
  <c r="H40" i="15"/>
  <c r="I40" i="15"/>
  <c r="D38" i="15"/>
  <c r="E38" i="15"/>
  <c r="F38" i="15"/>
  <c r="G38" i="15"/>
  <c r="H38" i="15"/>
  <c r="I38" i="15"/>
  <c r="C38" i="15"/>
  <c r="C35" i="15"/>
  <c r="D35" i="15"/>
  <c r="E35" i="15"/>
  <c r="F35" i="15"/>
  <c r="G35" i="15"/>
  <c r="H35" i="15"/>
  <c r="I35" i="15"/>
  <c r="C36" i="15"/>
  <c r="D36" i="15"/>
  <c r="E36" i="15"/>
  <c r="F36" i="15"/>
  <c r="G36" i="15"/>
  <c r="H36" i="15"/>
  <c r="I36" i="15"/>
  <c r="C37" i="15"/>
  <c r="D37" i="15"/>
  <c r="E37" i="15"/>
  <c r="F37" i="15"/>
  <c r="G37" i="15"/>
  <c r="H37" i="15"/>
  <c r="I37" i="15"/>
  <c r="D34" i="15"/>
  <c r="E34" i="15"/>
  <c r="F34" i="15"/>
  <c r="G34" i="15"/>
  <c r="H34" i="15"/>
  <c r="I34" i="15"/>
  <c r="C34" i="15"/>
  <c r="D33" i="15"/>
  <c r="E33" i="15"/>
  <c r="F33" i="15"/>
  <c r="G33" i="15"/>
  <c r="H33" i="15"/>
  <c r="I33" i="15"/>
  <c r="C33" i="15"/>
  <c r="C29" i="15"/>
  <c r="D29" i="15"/>
  <c r="E29" i="15"/>
  <c r="F29" i="15"/>
  <c r="G29" i="15"/>
  <c r="H29" i="15"/>
  <c r="I29" i="15"/>
  <c r="C30" i="15"/>
  <c r="D30" i="15"/>
  <c r="E30" i="15"/>
  <c r="F30" i="15"/>
  <c r="G30" i="15"/>
  <c r="H30" i="15"/>
  <c r="I30" i="15"/>
  <c r="C31" i="15"/>
  <c r="D31" i="15"/>
  <c r="E31" i="15"/>
  <c r="F31" i="15"/>
  <c r="G31" i="15"/>
  <c r="H31" i="15"/>
  <c r="I31" i="15"/>
  <c r="D28" i="15"/>
  <c r="E28" i="15"/>
  <c r="F28" i="15"/>
  <c r="G28" i="15"/>
  <c r="H28" i="15"/>
  <c r="I28" i="15"/>
  <c r="C28" i="15"/>
  <c r="D27" i="15"/>
  <c r="E27" i="15"/>
  <c r="F27" i="15"/>
  <c r="G27" i="15"/>
  <c r="H27" i="15"/>
  <c r="I27" i="15"/>
  <c r="D25" i="15"/>
  <c r="E25" i="15"/>
  <c r="F25" i="15"/>
  <c r="G25" i="15"/>
  <c r="H25" i="15"/>
  <c r="I25" i="15"/>
  <c r="C25" i="15"/>
  <c r="C4" i="15"/>
  <c r="C7" i="15"/>
  <c r="D7" i="15"/>
  <c r="E7" i="15"/>
  <c r="F7" i="15"/>
  <c r="G7" i="15"/>
  <c r="H7" i="15"/>
  <c r="I7" i="15"/>
  <c r="C8" i="15"/>
  <c r="D8" i="15"/>
  <c r="E8" i="15"/>
  <c r="F8" i="15"/>
  <c r="G8" i="15"/>
  <c r="H8" i="15"/>
  <c r="I8" i="15"/>
  <c r="C9" i="15"/>
  <c r="D9" i="15"/>
  <c r="E9" i="15"/>
  <c r="F9" i="15"/>
  <c r="G9" i="15"/>
  <c r="H9" i="15"/>
  <c r="I9" i="15"/>
  <c r="C10" i="15"/>
  <c r="D10" i="15"/>
  <c r="E10" i="15"/>
  <c r="F10" i="15"/>
  <c r="G10" i="15"/>
  <c r="H10" i="15"/>
  <c r="I10" i="15"/>
  <c r="C11" i="15"/>
  <c r="D11" i="15"/>
  <c r="E11" i="15"/>
  <c r="F11" i="15"/>
  <c r="G11" i="15"/>
  <c r="H11" i="15"/>
  <c r="I11" i="15"/>
  <c r="C12" i="15"/>
  <c r="D12" i="15"/>
  <c r="E12" i="15"/>
  <c r="F12" i="15"/>
  <c r="G12" i="15"/>
  <c r="H12" i="15"/>
  <c r="I12" i="15"/>
  <c r="C13" i="15"/>
  <c r="D13" i="15"/>
  <c r="E13" i="15"/>
  <c r="F13" i="15"/>
  <c r="G13" i="15"/>
  <c r="H13" i="15"/>
  <c r="I13" i="15"/>
  <c r="C14" i="15"/>
  <c r="D14" i="15"/>
  <c r="E14" i="15"/>
  <c r="F14" i="15"/>
  <c r="G14" i="15"/>
  <c r="H14" i="15"/>
  <c r="I14" i="15"/>
  <c r="C15" i="15"/>
  <c r="D15" i="15"/>
  <c r="E15" i="15"/>
  <c r="F15" i="15"/>
  <c r="G15" i="15"/>
  <c r="H15" i="15"/>
  <c r="I15" i="15"/>
  <c r="C16" i="15"/>
  <c r="D16" i="15"/>
  <c r="E16" i="15"/>
  <c r="F16" i="15"/>
  <c r="G16" i="15"/>
  <c r="H16" i="15"/>
  <c r="I16" i="15"/>
  <c r="C17" i="15"/>
  <c r="D17" i="15"/>
  <c r="E17" i="15"/>
  <c r="F17" i="15"/>
  <c r="G17" i="15"/>
  <c r="H17" i="15"/>
  <c r="I17" i="15"/>
  <c r="C18" i="15"/>
  <c r="D18" i="15"/>
  <c r="E18" i="15"/>
  <c r="F18" i="15"/>
  <c r="G18" i="15"/>
  <c r="H18" i="15"/>
  <c r="I18" i="15"/>
  <c r="C19" i="15"/>
  <c r="D19" i="15"/>
  <c r="E19" i="15"/>
  <c r="F19" i="15"/>
  <c r="G19" i="15"/>
  <c r="H19" i="15"/>
  <c r="I19" i="15"/>
  <c r="C20" i="15"/>
  <c r="D20" i="15"/>
  <c r="E20" i="15"/>
  <c r="F20" i="15"/>
  <c r="G20" i="15"/>
  <c r="H20" i="15"/>
  <c r="I20" i="15"/>
  <c r="D6" i="15"/>
  <c r="E6" i="15"/>
  <c r="F6" i="15"/>
  <c r="G6" i="15"/>
  <c r="H6" i="15"/>
  <c r="I6" i="15"/>
  <c r="I4" i="15"/>
  <c r="H4" i="15"/>
  <c r="G4" i="15"/>
  <c r="F4" i="15"/>
  <c r="E4" i="15"/>
  <c r="D4" i="15"/>
  <c r="W7" i="14"/>
  <c r="W9" i="14" s="1"/>
  <c r="K11" i="14"/>
  <c r="I48" i="13" l="1"/>
  <c r="I7" i="13"/>
  <c r="I41" i="13"/>
  <c r="I42" i="13"/>
  <c r="J35" i="13"/>
  <c r="O12" i="19"/>
  <c r="Q10" i="19"/>
  <c r="O10" i="19"/>
  <c r="P10" i="19"/>
  <c r="P11" i="19"/>
  <c r="Q7" i="19"/>
  <c r="H7" i="19"/>
  <c r="K13" i="14"/>
  <c r="I8" i="13" s="1"/>
  <c r="K21" i="25"/>
  <c r="L21" i="25" s="1"/>
  <c r="M21" i="25" s="1"/>
  <c r="K22" i="25"/>
  <c r="L22" i="25" s="1"/>
  <c r="M22" i="25" s="1"/>
  <c r="K20" i="25"/>
  <c r="L20" i="25" s="1"/>
  <c r="M20" i="25" s="1"/>
  <c r="K16" i="25"/>
  <c r="K15" i="25"/>
  <c r="K14" i="25"/>
  <c r="K13" i="25"/>
  <c r="H8" i="19"/>
  <c r="Q8" i="19"/>
  <c r="H9" i="19"/>
  <c r="Q9" i="19"/>
  <c r="H13" i="19"/>
  <c r="Q13" i="19"/>
  <c r="I14" i="17"/>
  <c r="C14" i="17"/>
  <c r="C16" i="17" s="1"/>
  <c r="C30" i="17" s="1"/>
  <c r="F14" i="17"/>
  <c r="H14" i="17"/>
  <c r="G14" i="17"/>
  <c r="H7" i="18"/>
  <c r="I7" i="18" s="1"/>
  <c r="E14" i="17"/>
  <c r="D14" i="17"/>
  <c r="D9" i="17"/>
  <c r="I9" i="17"/>
  <c r="H9" i="17"/>
  <c r="G9" i="17"/>
  <c r="F9" i="17"/>
  <c r="E9" i="17"/>
  <c r="J42" i="13" l="1"/>
  <c r="J41" i="13"/>
  <c r="Q20" i="19"/>
  <c r="Q17" i="19"/>
  <c r="Q16" i="19"/>
  <c r="Q18" i="19"/>
  <c r="Q25" i="19" s="1"/>
  <c r="Q15" i="19"/>
  <c r="Q19" i="19"/>
  <c r="O9" i="19"/>
  <c r="P9" i="19"/>
  <c r="O8" i="19"/>
  <c r="P8" i="19"/>
  <c r="O7" i="19"/>
  <c r="P7" i="19"/>
  <c r="O13" i="19"/>
  <c r="P13" i="19"/>
  <c r="F16" i="17"/>
  <c r="F30" i="17" s="1"/>
  <c r="G16" i="17"/>
  <c r="G30" i="17" s="1"/>
  <c r="H16" i="17"/>
  <c r="H30" i="17" s="1"/>
  <c r="I16" i="17"/>
  <c r="I30" i="17" s="1"/>
  <c r="E16" i="17"/>
  <c r="D16" i="17"/>
  <c r="D38" i="17" s="1"/>
  <c r="D44" i="17" s="1"/>
  <c r="E49" i="13"/>
  <c r="C8" i="13" l="1"/>
  <c r="I22" i="13" s="1"/>
  <c r="P17" i="19"/>
  <c r="AD13" i="14"/>
  <c r="P20" i="19"/>
  <c r="P16" i="19"/>
  <c r="P18" i="19"/>
  <c r="P15" i="19"/>
  <c r="P19" i="19"/>
  <c r="O20" i="19"/>
  <c r="O19" i="19"/>
  <c r="O18" i="19"/>
  <c r="O23" i="19" s="1"/>
  <c r="O25" i="19" s="1"/>
  <c r="O27" i="19" s="1"/>
  <c r="O17" i="19"/>
  <c r="O16" i="19"/>
  <c r="O15" i="19"/>
  <c r="Q23" i="19"/>
  <c r="Q27" i="19"/>
  <c r="H38" i="17"/>
  <c r="H44" i="17" s="1"/>
  <c r="G38" i="17"/>
  <c r="G44" i="17" s="1"/>
  <c r="I38" i="17"/>
  <c r="I44" i="17" s="1"/>
  <c r="D30" i="17"/>
  <c r="E30" i="17"/>
  <c r="E38" i="17"/>
  <c r="E44" i="17" s="1"/>
  <c r="F38" i="17"/>
  <c r="F44" i="17" s="1"/>
  <c r="P23" i="19" l="1"/>
  <c r="P25" i="19" s="1"/>
  <c r="P27" i="19" s="1"/>
  <c r="P29" i="19"/>
  <c r="Q29" i="19"/>
  <c r="O29" i="19"/>
  <c r="E47" i="13"/>
  <c r="D4" i="21" l="1"/>
  <c r="F4" i="21"/>
  <c r="E48" i="13"/>
  <c r="E50" i="13" s="1"/>
  <c r="I49" i="13" s="1"/>
  <c r="I50" i="13" s="1"/>
  <c r="C4" i="8" l="1"/>
  <c r="C4" i="11" s="1"/>
  <c r="D4" i="8"/>
  <c r="D4" i="11" s="1"/>
  <c r="E4" i="11"/>
  <c r="F4" i="8"/>
  <c r="F4" i="11" s="1"/>
  <c r="G4" i="8"/>
  <c r="G4" i="11" s="1"/>
  <c r="H4" i="8"/>
  <c r="H4" i="11" s="1"/>
  <c r="I4" i="8"/>
  <c r="I4" i="11" s="1"/>
  <c r="D57" i="8"/>
  <c r="E57" i="8"/>
  <c r="F57" i="8"/>
  <c r="G57" i="8"/>
  <c r="H57" i="8"/>
  <c r="I57" i="8"/>
  <c r="C57" i="8"/>
  <c r="C61" i="8"/>
  <c r="C32" i="11" s="1"/>
  <c r="D61" i="8"/>
  <c r="E61" i="8"/>
  <c r="F61" i="8"/>
  <c r="G61" i="8"/>
  <c r="H61" i="8"/>
  <c r="H32" i="11" s="1"/>
  <c r="I61" i="8"/>
  <c r="I32" i="11" s="1"/>
  <c r="C62" i="8"/>
  <c r="D62" i="8"/>
  <c r="E62" i="8"/>
  <c r="F62" i="8"/>
  <c r="G62" i="8"/>
  <c r="H62" i="8"/>
  <c r="I62" i="8"/>
  <c r="J56" i="26" s="1"/>
  <c r="D60" i="8"/>
  <c r="E60" i="8"/>
  <c r="F60" i="8"/>
  <c r="G60" i="8"/>
  <c r="H60" i="8"/>
  <c r="I60" i="8"/>
  <c r="C60" i="8"/>
  <c r="C55" i="8"/>
  <c r="D55" i="8"/>
  <c r="E55" i="8"/>
  <c r="F55" i="8"/>
  <c r="G55" i="8"/>
  <c r="H55" i="8"/>
  <c r="I55" i="8"/>
  <c r="C56" i="8"/>
  <c r="D56" i="8"/>
  <c r="E56" i="8"/>
  <c r="F56" i="8"/>
  <c r="G56" i="8"/>
  <c r="H56" i="8"/>
  <c r="I56" i="8"/>
  <c r="D54" i="8"/>
  <c r="E54" i="8"/>
  <c r="F54" i="8"/>
  <c r="G54" i="8"/>
  <c r="H54" i="8"/>
  <c r="I54" i="8"/>
  <c r="C54" i="8"/>
  <c r="C49" i="8"/>
  <c r="D49" i="8"/>
  <c r="E49" i="8"/>
  <c r="F49" i="8"/>
  <c r="G49" i="8"/>
  <c r="H49" i="8"/>
  <c r="I49" i="8"/>
  <c r="C50" i="8"/>
  <c r="D50" i="8"/>
  <c r="E50" i="8"/>
  <c r="F50" i="8"/>
  <c r="G50" i="8"/>
  <c r="H50" i="8"/>
  <c r="I50" i="8"/>
  <c r="C51" i="8"/>
  <c r="D51" i="8"/>
  <c r="E51" i="8"/>
  <c r="F51" i="8"/>
  <c r="G51" i="8"/>
  <c r="H51" i="8"/>
  <c r="I51" i="8"/>
  <c r="D48" i="8"/>
  <c r="E48" i="8"/>
  <c r="F48" i="8"/>
  <c r="G48" i="8"/>
  <c r="H48" i="8"/>
  <c r="I48" i="8"/>
  <c r="C48" i="8"/>
  <c r="C25" i="8"/>
  <c r="D25" i="8"/>
  <c r="E25" i="8"/>
  <c r="C8" i="12" s="1"/>
  <c r="F25" i="8"/>
  <c r="D8" i="12" s="1"/>
  <c r="G25" i="8"/>
  <c r="E8" i="12" s="1"/>
  <c r="H25" i="8"/>
  <c r="F8" i="12" s="1"/>
  <c r="I25" i="8"/>
  <c r="G8" i="12" s="1"/>
  <c r="D22" i="8"/>
  <c r="E22" i="8"/>
  <c r="F22" i="8"/>
  <c r="G22" i="8"/>
  <c r="H22" i="8"/>
  <c r="I22" i="8"/>
  <c r="C22" i="8"/>
  <c r="D16" i="8"/>
  <c r="E16" i="8"/>
  <c r="F16" i="8"/>
  <c r="G16" i="8"/>
  <c r="H16" i="8"/>
  <c r="I16" i="8"/>
  <c r="C16" i="8"/>
  <c r="D7" i="8"/>
  <c r="D29" i="11" s="1"/>
  <c r="E7" i="8"/>
  <c r="F7" i="8"/>
  <c r="G7" i="8"/>
  <c r="H7" i="8"/>
  <c r="I7" i="8"/>
  <c r="B6" i="6"/>
  <c r="C16" i="13" s="1"/>
  <c r="E1" i="6"/>
  <c r="H1" i="28" s="1"/>
  <c r="F32" i="11" l="1"/>
  <c r="C17" i="13"/>
  <c r="D15" i="13" s="1"/>
  <c r="D16" i="13"/>
  <c r="J23" i="13" s="1"/>
  <c r="G32" i="11"/>
  <c r="E32" i="11"/>
  <c r="D32" i="11"/>
  <c r="D38" i="11" s="1"/>
  <c r="I9" i="13"/>
  <c r="I23" i="13" s="1"/>
  <c r="D33" i="11"/>
  <c r="D8" i="8"/>
  <c r="D6" i="11" s="1"/>
  <c r="C32" i="18"/>
  <c r="J54" i="26"/>
  <c r="J55" i="26" s="1"/>
  <c r="J58" i="26" s="1"/>
  <c r="G30" i="11"/>
  <c r="G37" i="11" s="1"/>
  <c r="I29" i="11"/>
  <c r="I36" i="11" s="1"/>
  <c r="H29" i="11"/>
  <c r="H36" i="11" s="1"/>
  <c r="K10" i="11"/>
  <c r="G33" i="11"/>
  <c r="C34" i="11"/>
  <c r="G29" i="11"/>
  <c r="G36" i="11" s="1"/>
  <c r="I34" i="11"/>
  <c r="H34" i="11"/>
  <c r="G34" i="11"/>
  <c r="H33" i="11"/>
  <c r="E33" i="11"/>
  <c r="E30" i="11"/>
  <c r="E37" i="11" s="1"/>
  <c r="E34" i="11"/>
  <c r="D30" i="11"/>
  <c r="D37" i="11" s="1"/>
  <c r="D34" i="11"/>
  <c r="E29" i="11"/>
  <c r="E36" i="11" s="1"/>
  <c r="F8" i="8"/>
  <c r="D5" i="12" s="1"/>
  <c r="F33" i="11"/>
  <c r="F30" i="11"/>
  <c r="F37" i="11" s="1"/>
  <c r="F34" i="11"/>
  <c r="F29" i="11"/>
  <c r="F36" i="11" s="1"/>
  <c r="C30" i="11"/>
  <c r="C37" i="11" s="1"/>
  <c r="I30" i="11"/>
  <c r="I37" i="11" s="1"/>
  <c r="H30" i="11"/>
  <c r="H37" i="11" s="1"/>
  <c r="C33" i="11"/>
  <c r="C23" i="8"/>
  <c r="I33" i="11"/>
  <c r="L10" i="11"/>
  <c r="C29" i="11"/>
  <c r="C36" i="11" s="1"/>
  <c r="C38" i="11"/>
  <c r="F52" i="8"/>
  <c r="E52" i="8"/>
  <c r="E8" i="8"/>
  <c r="D58" i="8"/>
  <c r="G63" i="8"/>
  <c r="G31" i="11" s="1"/>
  <c r="E30" i="26" s="1"/>
  <c r="D52" i="8"/>
  <c r="I63" i="8"/>
  <c r="I31" i="11" s="1"/>
  <c r="G30" i="26" s="1"/>
  <c r="H63" i="8"/>
  <c r="C52" i="8"/>
  <c r="C58" i="8"/>
  <c r="I52" i="8"/>
  <c r="H52" i="8"/>
  <c r="G52" i="8"/>
  <c r="F63" i="8"/>
  <c r="F31" i="11" s="1"/>
  <c r="D30" i="26" s="1"/>
  <c r="E63" i="8"/>
  <c r="E31" i="11" s="1"/>
  <c r="C30" i="26" s="1"/>
  <c r="C63" i="8"/>
  <c r="C31" i="11" s="1"/>
  <c r="D63" i="8"/>
  <c r="I58" i="8"/>
  <c r="H58" i="8"/>
  <c r="G58" i="8"/>
  <c r="F58" i="8"/>
  <c r="E58" i="8"/>
  <c r="H26" i="8"/>
  <c r="G26" i="8"/>
  <c r="D17" i="8"/>
  <c r="D19" i="11" s="1"/>
  <c r="C17" i="8"/>
  <c r="C19" i="11" s="1"/>
  <c r="C11" i="8"/>
  <c r="C26" i="8"/>
  <c r="C20" i="11" s="1"/>
  <c r="H17" i="8"/>
  <c r="H19" i="11" s="1"/>
  <c r="I8" i="8"/>
  <c r="G5" i="12" s="1"/>
  <c r="D13" i="8"/>
  <c r="D14" i="8" s="1"/>
  <c r="D12" i="11" s="1"/>
  <c r="I23" i="8"/>
  <c r="H23" i="8"/>
  <c r="I17" i="8"/>
  <c r="I19" i="11" s="1"/>
  <c r="D23" i="8"/>
  <c r="I11" i="8"/>
  <c r="H13" i="8"/>
  <c r="H14" i="8" s="1"/>
  <c r="I26" i="8"/>
  <c r="G17" i="8"/>
  <c r="G19" i="11" s="1"/>
  <c r="F23" i="8"/>
  <c r="E17" i="8"/>
  <c r="E19" i="11" s="1"/>
  <c r="G13" i="8"/>
  <c r="G19" i="8" s="1"/>
  <c r="E6" i="12" s="1"/>
  <c r="E10" i="12" s="1"/>
  <c r="E12" i="12" s="1"/>
  <c r="E17" i="12" s="1"/>
  <c r="F11" i="8"/>
  <c r="D11" i="8"/>
  <c r="D26" i="8"/>
  <c r="D20" i="11" s="1"/>
  <c r="F17" i="8"/>
  <c r="F19" i="11" s="1"/>
  <c r="E23" i="8"/>
  <c r="F26" i="8"/>
  <c r="C13" i="8"/>
  <c r="E11" i="8"/>
  <c r="G23" i="8"/>
  <c r="E26" i="8"/>
  <c r="H8" i="8"/>
  <c r="F5" i="12" s="1"/>
  <c r="E13" i="8"/>
  <c r="E14" i="8" s="1"/>
  <c r="G8" i="8"/>
  <c r="E5" i="12" s="1"/>
  <c r="I13" i="8"/>
  <c r="H11" i="8"/>
  <c r="G11" i="8"/>
  <c r="F13" i="8"/>
  <c r="E20" i="11" l="1"/>
  <c r="C9" i="12"/>
  <c r="C9" i="26"/>
  <c r="C5" i="12"/>
  <c r="I20" i="11"/>
  <c r="G9" i="12"/>
  <c r="J24" i="13"/>
  <c r="D13" i="18" s="1"/>
  <c r="E8" i="18" s="1"/>
  <c r="F20" i="11"/>
  <c r="L20" i="11" s="1"/>
  <c r="D9" i="12"/>
  <c r="G20" i="11"/>
  <c r="E9" i="12"/>
  <c r="H20" i="11"/>
  <c r="K20" i="11" s="1"/>
  <c r="F9" i="12"/>
  <c r="J22" i="13"/>
  <c r="D20" i="13"/>
  <c r="D17" i="13"/>
  <c r="G31" i="17"/>
  <c r="F8" i="18"/>
  <c r="H8" i="18"/>
  <c r="I8" i="18"/>
  <c r="G8" i="18"/>
  <c r="C19" i="8"/>
  <c r="C20" i="8" s="1"/>
  <c r="I38" i="11"/>
  <c r="G31" i="26" s="1"/>
  <c r="G29" i="26"/>
  <c r="G38" i="11"/>
  <c r="E31" i="26" s="1"/>
  <c r="E29" i="26"/>
  <c r="F38" i="11"/>
  <c r="D31" i="26" s="1"/>
  <c r="D29" i="26"/>
  <c r="E38" i="11"/>
  <c r="C31" i="26" s="1"/>
  <c r="C29" i="26"/>
  <c r="H38" i="11"/>
  <c r="F31" i="26" s="1"/>
  <c r="F29" i="26"/>
  <c r="E12" i="11"/>
  <c r="C10" i="26"/>
  <c r="E6" i="11"/>
  <c r="H12" i="11"/>
  <c r="F10" i="26"/>
  <c r="G6" i="11"/>
  <c r="E9" i="26"/>
  <c r="H64" i="8"/>
  <c r="H31" i="11"/>
  <c r="F30" i="26" s="1"/>
  <c r="I6" i="11"/>
  <c r="G9" i="26"/>
  <c r="D64" i="8"/>
  <c r="D31" i="11"/>
  <c r="F6" i="11"/>
  <c r="D9" i="26"/>
  <c r="H6" i="11"/>
  <c r="F9" i="26"/>
  <c r="F64" i="8"/>
  <c r="I64" i="8"/>
  <c r="K33" i="11"/>
  <c r="L33" i="11"/>
  <c r="L19" i="11"/>
  <c r="E64" i="8"/>
  <c r="L32" i="11"/>
  <c r="K30" i="11"/>
  <c r="K32" i="11"/>
  <c r="K29" i="11"/>
  <c r="D36" i="11"/>
  <c r="D39" i="11" s="1"/>
  <c r="L34" i="11"/>
  <c r="G21" i="15"/>
  <c r="G15" i="11"/>
  <c r="G23" i="11"/>
  <c r="G27" i="11"/>
  <c r="L30" i="11"/>
  <c r="K34" i="11"/>
  <c r="G64" i="8"/>
  <c r="K19" i="11"/>
  <c r="L29" i="11"/>
  <c r="C39" i="11"/>
  <c r="K37" i="11"/>
  <c r="L37" i="11"/>
  <c r="D19" i="8"/>
  <c r="C64" i="8"/>
  <c r="H19" i="8"/>
  <c r="F6" i="12" s="1"/>
  <c r="F10" i="12" s="1"/>
  <c r="F12" i="12" s="1"/>
  <c r="F17" i="12" s="1"/>
  <c r="C14" i="8"/>
  <c r="C12" i="11" s="1"/>
  <c r="E19" i="8"/>
  <c r="C6" i="12" s="1"/>
  <c r="C10" i="12" s="1"/>
  <c r="C12" i="12" s="1"/>
  <c r="C17" i="12" s="1"/>
  <c r="G14" i="8"/>
  <c r="I14" i="8"/>
  <c r="I19" i="8"/>
  <c r="G6" i="12" s="1"/>
  <c r="G10" i="12" s="1"/>
  <c r="G12" i="12" s="1"/>
  <c r="G17" i="12" s="1"/>
  <c r="D5" i="18" s="1"/>
  <c r="G20" i="8"/>
  <c r="G28" i="8"/>
  <c r="F14" i="8"/>
  <c r="F19" i="8"/>
  <c r="D6" i="12" s="1"/>
  <c r="D10" i="12" s="1"/>
  <c r="D12" i="12" s="1"/>
  <c r="D17" i="12" s="1"/>
  <c r="C18" i="18" l="1"/>
  <c r="H8" i="12"/>
  <c r="I8" i="12"/>
  <c r="J8" i="12"/>
  <c r="K8" i="12"/>
  <c r="L8" i="12"/>
  <c r="E11" i="26"/>
  <c r="E7" i="12"/>
  <c r="C21" i="15"/>
  <c r="F31" i="17"/>
  <c r="D31" i="17"/>
  <c r="E31" i="17"/>
  <c r="E7" i="11"/>
  <c r="C28" i="8"/>
  <c r="C34" i="8" s="1"/>
  <c r="C31" i="17"/>
  <c r="C33" i="17" s="1"/>
  <c r="C23" i="11"/>
  <c r="I31" i="17"/>
  <c r="I33" i="17" s="1"/>
  <c r="H31" i="17"/>
  <c r="C15" i="11"/>
  <c r="C21" i="11" s="1"/>
  <c r="I39" i="11"/>
  <c r="G32" i="26" s="1"/>
  <c r="E20" i="8"/>
  <c r="C27" i="11"/>
  <c r="F39" i="11"/>
  <c r="D32" i="26" s="1"/>
  <c r="G39" i="11"/>
  <c r="E32" i="26" s="1"/>
  <c r="H39" i="11"/>
  <c r="F32" i="26" s="1"/>
  <c r="K38" i="11"/>
  <c r="L38" i="11"/>
  <c r="E39" i="11"/>
  <c r="C32" i="26" s="1"/>
  <c r="L6" i="11"/>
  <c r="K31" i="11"/>
  <c r="K6" i="11"/>
  <c r="G12" i="11"/>
  <c r="E10" i="26"/>
  <c r="H33" i="17"/>
  <c r="L31" i="11"/>
  <c r="F12" i="11"/>
  <c r="D10" i="26"/>
  <c r="G21" i="11"/>
  <c r="E12" i="26"/>
  <c r="I12" i="11"/>
  <c r="G10" i="26"/>
  <c r="E28" i="8"/>
  <c r="E34" i="8" s="1"/>
  <c r="E35" i="8" s="1"/>
  <c r="D20" i="8"/>
  <c r="D14" i="11" s="1"/>
  <c r="D28" i="8"/>
  <c r="D32" i="8" s="1"/>
  <c r="K36" i="11"/>
  <c r="L36" i="11"/>
  <c r="C14" i="11"/>
  <c r="C13" i="11"/>
  <c r="G40" i="17"/>
  <c r="G42" i="17" s="1"/>
  <c r="G45" i="17" s="1"/>
  <c r="G52" i="17" s="1"/>
  <c r="G33" i="17"/>
  <c r="E21" i="15"/>
  <c r="E23" i="11"/>
  <c r="E27" i="11"/>
  <c r="E15" i="11"/>
  <c r="F21" i="15"/>
  <c r="F23" i="11"/>
  <c r="F27" i="11"/>
  <c r="F7" i="11"/>
  <c r="F15" i="11"/>
  <c r="G34" i="8"/>
  <c r="G13" i="11"/>
  <c r="G14" i="11"/>
  <c r="H28" i="8"/>
  <c r="H21" i="15"/>
  <c r="H15" i="11"/>
  <c r="H23" i="11"/>
  <c r="H27" i="11"/>
  <c r="H7" i="11"/>
  <c r="D21" i="15"/>
  <c r="D23" i="11"/>
  <c r="D27" i="11"/>
  <c r="D15" i="11"/>
  <c r="D7" i="11"/>
  <c r="I21" i="15"/>
  <c r="I15" i="11"/>
  <c r="I23" i="11"/>
  <c r="I27" i="11"/>
  <c r="I7" i="11"/>
  <c r="G7" i="11"/>
  <c r="H20" i="8"/>
  <c r="G29" i="8"/>
  <c r="G16" i="11" s="1"/>
  <c r="G32" i="8"/>
  <c r="F20" i="8"/>
  <c r="F28" i="8"/>
  <c r="I28" i="8"/>
  <c r="I20" i="8"/>
  <c r="D11" i="26" l="1"/>
  <c r="D7" i="12"/>
  <c r="L9" i="12"/>
  <c r="L10" i="12"/>
  <c r="L12" i="12" s="1"/>
  <c r="L17" i="12" s="1"/>
  <c r="I5" i="18" s="1"/>
  <c r="K9" i="12"/>
  <c r="K10" i="12"/>
  <c r="K12" i="12" s="1"/>
  <c r="K17" i="12" s="1"/>
  <c r="H5" i="18" s="1"/>
  <c r="J9" i="12"/>
  <c r="J10" i="12"/>
  <c r="J12" i="12" s="1"/>
  <c r="J17" i="12" s="1"/>
  <c r="G5" i="18" s="1"/>
  <c r="G11" i="26"/>
  <c r="G7" i="12"/>
  <c r="G53" i="17"/>
  <c r="G55" i="17" s="1"/>
  <c r="C58" i="17"/>
  <c r="D12" i="18" s="1"/>
  <c r="H9" i="12"/>
  <c r="H10" i="12"/>
  <c r="H12" i="12" s="1"/>
  <c r="H17" i="12" s="1"/>
  <c r="E5" i="18" s="1"/>
  <c r="F11" i="26"/>
  <c r="F7" i="12"/>
  <c r="C11" i="26"/>
  <c r="C7" i="12"/>
  <c r="I9" i="12"/>
  <c r="I10" i="12"/>
  <c r="I12" i="12" s="1"/>
  <c r="I17" i="12" s="1"/>
  <c r="F5" i="18" s="1"/>
  <c r="E13" i="11"/>
  <c r="E14" i="11"/>
  <c r="C32" i="8"/>
  <c r="C29" i="8"/>
  <c r="C16" i="11" s="1"/>
  <c r="C40" i="17"/>
  <c r="C42" i="17" s="1"/>
  <c r="C35" i="8"/>
  <c r="C17" i="11" s="1"/>
  <c r="C39" i="8"/>
  <c r="C45" i="8" s="1"/>
  <c r="C24" i="11" s="1"/>
  <c r="K39" i="11"/>
  <c r="L39" i="11"/>
  <c r="K12" i="11"/>
  <c r="E29" i="8"/>
  <c r="E16" i="11" s="1"/>
  <c r="L12" i="11"/>
  <c r="E32" i="8"/>
  <c r="C25" i="11"/>
  <c r="E17" i="11"/>
  <c r="C13" i="26"/>
  <c r="F21" i="11"/>
  <c r="D12" i="26"/>
  <c r="H21" i="11"/>
  <c r="F12" i="26"/>
  <c r="E21" i="11"/>
  <c r="C12" i="26"/>
  <c r="I21" i="11"/>
  <c r="G12" i="26"/>
  <c r="E39" i="8"/>
  <c r="C14" i="26" s="1"/>
  <c r="D8" i="11"/>
  <c r="D34" i="8"/>
  <c r="D25" i="11" s="1"/>
  <c r="D13" i="11"/>
  <c r="D29" i="8"/>
  <c r="D16" i="11" s="1"/>
  <c r="E8" i="11"/>
  <c r="K27" i="11"/>
  <c r="L27" i="11"/>
  <c r="I13" i="11"/>
  <c r="I14" i="11"/>
  <c r="G25" i="11"/>
  <c r="I34" i="8"/>
  <c r="I39" i="8" s="1"/>
  <c r="I8" i="11"/>
  <c r="E40" i="17"/>
  <c r="E42" i="17" s="1"/>
  <c r="E45" i="17" s="1"/>
  <c r="E52" i="17" s="1"/>
  <c r="E33" i="17"/>
  <c r="F34" i="8"/>
  <c r="G9" i="11" s="1"/>
  <c r="F8" i="11"/>
  <c r="H13" i="11"/>
  <c r="H14" i="11"/>
  <c r="K7" i="11"/>
  <c r="F14" i="11"/>
  <c r="F13" i="11"/>
  <c r="I40" i="17"/>
  <c r="I53" i="17"/>
  <c r="L15" i="11"/>
  <c r="D21" i="11"/>
  <c r="F40" i="17"/>
  <c r="F42" i="17" s="1"/>
  <c r="F45" i="17" s="1"/>
  <c r="F52" i="17" s="1"/>
  <c r="F33" i="17"/>
  <c r="F53" i="17" s="1"/>
  <c r="L23" i="11"/>
  <c r="H40" i="17"/>
  <c r="H42" i="17" s="1"/>
  <c r="H45" i="17" s="1"/>
  <c r="H52" i="17" s="1"/>
  <c r="H53" i="17"/>
  <c r="H34" i="8"/>
  <c r="H8" i="11"/>
  <c r="K15" i="11"/>
  <c r="D40" i="17"/>
  <c r="D42" i="17" s="1"/>
  <c r="D45" i="17" s="1"/>
  <c r="D33" i="17"/>
  <c r="D53" i="17" s="1"/>
  <c r="H32" i="8"/>
  <c r="G35" i="8"/>
  <c r="L7" i="11"/>
  <c r="K23" i="11"/>
  <c r="H29" i="8"/>
  <c r="H16" i="11" s="1"/>
  <c r="G39" i="8"/>
  <c r="G8" i="11"/>
  <c r="E25" i="11"/>
  <c r="F29" i="8"/>
  <c r="F16" i="11" s="1"/>
  <c r="F32" i="8"/>
  <c r="I29" i="8"/>
  <c r="I16" i="11" s="1"/>
  <c r="I32" i="8"/>
  <c r="C60" i="17" l="1"/>
  <c r="C19" i="18"/>
  <c r="C61" i="17"/>
  <c r="D35" i="8"/>
  <c r="D17" i="11" s="1"/>
  <c r="E45" i="8"/>
  <c r="E24" i="11" s="1"/>
  <c r="E26" i="11" s="1"/>
  <c r="K21" i="11"/>
  <c r="K16" i="11"/>
  <c r="D39" i="8"/>
  <c r="E40" i="8" s="1"/>
  <c r="C15" i="26" s="1"/>
  <c r="D9" i="11"/>
  <c r="E9" i="11"/>
  <c r="G14" i="26"/>
  <c r="G45" i="8"/>
  <c r="G24" i="11" s="1"/>
  <c r="G26" i="11" s="1"/>
  <c r="E14" i="26"/>
  <c r="G17" i="11"/>
  <c r="E13" i="26"/>
  <c r="I9" i="11"/>
  <c r="I35" i="8"/>
  <c r="G13" i="26" s="1"/>
  <c r="L21" i="11"/>
  <c r="L14" i="11"/>
  <c r="K8" i="11"/>
  <c r="F35" i="8"/>
  <c r="F39" i="8"/>
  <c r="L16" i="11"/>
  <c r="K13" i="11"/>
  <c r="K14" i="11"/>
  <c r="E53" i="17"/>
  <c r="E55" i="17" s="1"/>
  <c r="F55" i="17"/>
  <c r="C26" i="11"/>
  <c r="D52" i="17"/>
  <c r="D55" i="17" s="1"/>
  <c r="L8" i="11"/>
  <c r="H55" i="17"/>
  <c r="I42" i="17"/>
  <c r="I45" i="17" s="1"/>
  <c r="I25" i="11"/>
  <c r="H25" i="11"/>
  <c r="H9" i="11"/>
  <c r="H35" i="8"/>
  <c r="H39" i="8"/>
  <c r="F14" i="26" s="1"/>
  <c r="L13" i="11"/>
  <c r="F25" i="11"/>
  <c r="F9" i="11"/>
  <c r="I45" i="8"/>
  <c r="I24" i="11" s="1"/>
  <c r="D45" i="8" l="1"/>
  <c r="D40" i="8"/>
  <c r="I17" i="11"/>
  <c r="H17" i="11"/>
  <c r="F13" i="26"/>
  <c r="F40" i="8"/>
  <c r="D15" i="26" s="1"/>
  <c r="D14" i="26"/>
  <c r="F17" i="11"/>
  <c r="D13" i="26"/>
  <c r="I40" i="8"/>
  <c r="G15" i="26" s="1"/>
  <c r="D24" i="11"/>
  <c r="D26" i="11" s="1"/>
  <c r="K9" i="11"/>
  <c r="G40" i="8"/>
  <c r="E15" i="26" s="1"/>
  <c r="F45" i="8"/>
  <c r="F24" i="11" s="1"/>
  <c r="F26" i="11" s="1"/>
  <c r="L9" i="11"/>
  <c r="I26" i="11"/>
  <c r="K25" i="11"/>
  <c r="I52" i="17"/>
  <c r="C62" i="17"/>
  <c r="H40" i="8"/>
  <c r="F15" i="26" s="1"/>
  <c r="H45" i="8"/>
  <c r="H24" i="11" s="1"/>
  <c r="L25" i="11"/>
  <c r="I55" i="17" l="1"/>
  <c r="F57" i="17" s="1"/>
  <c r="J52" i="17"/>
  <c r="K17" i="11"/>
  <c r="L17" i="11"/>
  <c r="I48" i="17"/>
  <c r="I47" i="17"/>
  <c r="H26" i="11"/>
  <c r="K26" i="11" s="1"/>
  <c r="K24" i="11"/>
  <c r="L24" i="11"/>
  <c r="L26" i="11" l="1"/>
  <c r="E10" i="18"/>
  <c r="F10" i="18"/>
  <c r="G10" i="18" l="1"/>
  <c r="C17" i="18" l="1"/>
  <c r="C21" i="18" s="1"/>
  <c r="C26" i="18" s="1"/>
  <c r="H10" i="18"/>
  <c r="I10" i="18" l="1"/>
  <c r="C25" i="18" s="1"/>
  <c r="C27" i="18" l="1"/>
  <c r="C31" i="18" s="1"/>
  <c r="E95" i="6" l="1"/>
  <c r="K16" i="18"/>
  <c r="E96" i="6"/>
  <c r="I96" i="6"/>
  <c r="F96" i="6"/>
  <c r="G96" i="6"/>
  <c r="H96" i="6"/>
  <c r="J96" i="6"/>
  <c r="K96" i="6"/>
  <c r="F95" i="6"/>
  <c r="G95" i="6"/>
  <c r="H95" i="6"/>
  <c r="I95" i="6"/>
  <c r="J95" i="6"/>
  <c r="K95" i="6"/>
  <c r="C34" i="18"/>
  <c r="C37" i="18" l="1"/>
  <c r="K27" i="18"/>
  <c r="C43" i="11" l="1"/>
  <c r="C42" i="11"/>
  <c r="D43" i="11"/>
  <c r="F43" i="11"/>
  <c r="F42" i="11"/>
  <c r="F41" i="11"/>
  <c r="D41" i="11"/>
  <c r="E43" i="11"/>
  <c r="E42" i="11"/>
  <c r="E41" i="11"/>
  <c r="I41" i="11"/>
  <c r="I42" i="11"/>
  <c r="I43" i="11"/>
  <c r="H43" i="11"/>
  <c r="H41" i="11"/>
  <c r="H42" i="11"/>
  <c r="G41" i="11"/>
  <c r="G42" i="11"/>
  <c r="G43" i="11"/>
  <c r="D42" i="11"/>
  <c r="K42" i="11" l="1"/>
  <c r="L42" i="11"/>
  <c r="L41" i="11"/>
  <c r="L43" i="11"/>
  <c r="K43" i="11"/>
  <c r="K41" i="1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<sst xmlns="http://schemas.openxmlformats.org/spreadsheetml/2006/main" count="875" uniqueCount="579">
  <si>
    <t>COMPANY NAME</t>
  </si>
  <si>
    <t>Sales</t>
  </si>
  <si>
    <t>Expenses</t>
  </si>
  <si>
    <t>Operating Profit</t>
  </si>
  <si>
    <t>Other Income</t>
  </si>
  <si>
    <t>Depreciation</t>
  </si>
  <si>
    <t>Interest</t>
  </si>
  <si>
    <t>Profit before tax</t>
  </si>
  <si>
    <t>Tax</t>
  </si>
  <si>
    <t>Net profit</t>
  </si>
  <si>
    <t>Sales Growth</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</si>
  <si>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</si>
  <si>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</si>
  <si>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</si>
  <si>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</si>
  <si>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</si>
  <si>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</si>
  <si>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</si>
  <si>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</si>
  <si>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</si>
  <si>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</si>
  <si>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</si>
  <si>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</si>
  <si>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</si>
  <si>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</si>
  <si>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</si>
  <si>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</si>
  <si>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</si>
  <si>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</si>
  <si>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</si>
  <si>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</si>
  <si>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EPS</t>
  </si>
  <si>
    <t>LATEST VERSION</t>
  </si>
  <si>
    <t>CURRENT VERSION</t>
  </si>
  <si>
    <t>INDIAN HOTELS CO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</si>
  <si>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</si>
  <si>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</si>
  <si>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</si>
  <si>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</si>
  <si>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</si>
  <si>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</si>
  <si>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</si>
  <si>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</si>
  <si>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</si>
  <si>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</si>
  <si>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</si>
  <si>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</si>
  <si>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</si>
  <si>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</si>
  <si>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</si>
  <si>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</si>
  <si>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</si>
  <si>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</si>
  <si>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</si>
  <si>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</si>
  <si>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</si>
  <si>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Years</t>
  </si>
  <si>
    <t>Income Statements</t>
  </si>
  <si>
    <t>#</t>
  </si>
  <si>
    <t>-</t>
  </si>
  <si>
    <t>COGS</t>
  </si>
  <si>
    <t>COGS % Sales</t>
  </si>
  <si>
    <t>Gross Profit</t>
  </si>
  <si>
    <t>Gross Margin</t>
  </si>
  <si>
    <t>Selling &amp; General Expenses</t>
  </si>
  <si>
    <t>S&amp;G Exp.</t>
  </si>
  <si>
    <t>EBITDA</t>
  </si>
  <si>
    <t>EBITDA Margin</t>
  </si>
  <si>
    <t>Interest % Sales</t>
  </si>
  <si>
    <t>Depreciation % Sales</t>
  </si>
  <si>
    <t>EBT</t>
  </si>
  <si>
    <t>EBT % Sales</t>
  </si>
  <si>
    <t xml:space="preserve">Tax </t>
  </si>
  <si>
    <t>Effective Tax Rate</t>
  </si>
  <si>
    <t>Net Profit</t>
  </si>
  <si>
    <t>Net Margin</t>
  </si>
  <si>
    <t>Dividend per share</t>
  </si>
  <si>
    <t>Retained Earnings</t>
  </si>
  <si>
    <t>EPS Growth</t>
  </si>
  <si>
    <t>Dividend payout ratio</t>
  </si>
  <si>
    <t>Balance Sheet</t>
  </si>
  <si>
    <t>Total Liabilities</t>
  </si>
  <si>
    <t>Fixed Assets Net Block</t>
  </si>
  <si>
    <t>Total Non Current Assets</t>
  </si>
  <si>
    <t>Total Current Assets</t>
  </si>
  <si>
    <t>Cash from Operating Activity -</t>
  </si>
  <si>
    <t>Profit from operations</t>
  </si>
  <si>
    <t>Payables</t>
  </si>
  <si>
    <t>Other WC items</t>
  </si>
  <si>
    <t>Working capital changes</t>
  </si>
  <si>
    <t>Direct taxes</t>
  </si>
  <si>
    <t>Cash from Investing Activity -</t>
  </si>
  <si>
    <t>Fixed assets purchased</t>
  </si>
  <si>
    <t>Fixed assets sold</t>
  </si>
  <si>
    <t>Investments purchased</t>
  </si>
  <si>
    <t>Investments sold</t>
  </si>
  <si>
    <t>Interest received</t>
  </si>
  <si>
    <t>Investment in group cos</t>
  </si>
  <si>
    <t>Redemp n Canc of Shares</t>
  </si>
  <si>
    <t>Acquisition of companies</t>
  </si>
  <si>
    <t>Other investing items</t>
  </si>
  <si>
    <t>Cash from Financing Activity -</t>
  </si>
  <si>
    <t>Proceeds from shares</t>
  </si>
  <si>
    <t>Proceeds from borrowings</t>
  </si>
  <si>
    <t>Repayment of borrowings</t>
  </si>
  <si>
    <t>Interest paid fin</t>
  </si>
  <si>
    <t>Financial liabilities</t>
  </si>
  <si>
    <t>Other financing items</t>
  </si>
  <si>
    <t>Cash Flow  Statements</t>
  </si>
  <si>
    <t>Cash From Operating Activities</t>
  </si>
  <si>
    <t>Cash From Investing Activities</t>
  </si>
  <si>
    <t>Cash From Financing Activities</t>
  </si>
  <si>
    <t>Operating Activities</t>
  </si>
  <si>
    <t>Investing Activities</t>
  </si>
  <si>
    <t>Financing Activities</t>
  </si>
  <si>
    <t>Total Assets</t>
  </si>
  <si>
    <t>SalesGrowth</t>
  </si>
  <si>
    <t>EBITDA Growth</t>
  </si>
  <si>
    <t>Net Profit Growth</t>
  </si>
  <si>
    <t>Dividend Growth</t>
  </si>
  <si>
    <t>Operating Margin</t>
  </si>
  <si>
    <t>EBIT Margin</t>
  </si>
  <si>
    <t>EBT Margin</t>
  </si>
  <si>
    <t>Net Profit Margin</t>
  </si>
  <si>
    <t>SalesExpenses%Sales</t>
  </si>
  <si>
    <t>Depreciation%Sales</t>
  </si>
  <si>
    <t>OperatingIncome%Sales</t>
  </si>
  <si>
    <t>Retained Earnings%</t>
  </si>
  <si>
    <t>Self Sustained Growth Rate</t>
  </si>
  <si>
    <t>Interest Coverage Ratio</t>
  </si>
  <si>
    <t>Debtor Turnover Ratio</t>
  </si>
  <si>
    <t>Creditor Turnover Ratio</t>
  </si>
  <si>
    <t>Inventory Turnover Ratio</t>
  </si>
  <si>
    <t>Fixed Assets Turnover Ratio</t>
  </si>
  <si>
    <t>Capital Turnover Ratio</t>
  </si>
  <si>
    <t>Debtor Days</t>
  </si>
  <si>
    <t>Payable Days</t>
  </si>
  <si>
    <t>Inventory Days</t>
  </si>
  <si>
    <t>Cash Conversion Cycle</t>
  </si>
  <si>
    <t>CFO/Sales</t>
  </si>
  <si>
    <t>CFO/Total Asset</t>
  </si>
  <si>
    <t>CFO/Total Debt</t>
  </si>
  <si>
    <t>EBT Growth</t>
  </si>
  <si>
    <t>Return on Capital Employed</t>
  </si>
  <si>
    <t>Mean</t>
  </si>
  <si>
    <t>Median</t>
  </si>
  <si>
    <t>Trend</t>
  </si>
  <si>
    <t>Year</t>
  </si>
  <si>
    <t xml:space="preserve">Weighted Average Cost of  Capital </t>
  </si>
  <si>
    <t>All figures are in INR unless stated otherwise</t>
  </si>
  <si>
    <t>Peer Comps</t>
  </si>
  <si>
    <t>Name of Company</t>
  </si>
  <si>
    <t>Country</t>
  </si>
  <si>
    <t>Total Debt</t>
  </si>
  <si>
    <t>Total Equity</t>
  </si>
  <si>
    <t>Debt/</t>
  </si>
  <si>
    <t>Equity</t>
  </si>
  <si>
    <t>Capital</t>
  </si>
  <si>
    <t xml:space="preserve">Levered </t>
  </si>
  <si>
    <t xml:space="preserve">Unlevered </t>
  </si>
  <si>
    <t>India</t>
  </si>
  <si>
    <t>Average</t>
  </si>
  <si>
    <t>Cost of Debt</t>
  </si>
  <si>
    <t>Pre Tax Cost of Debt</t>
  </si>
  <si>
    <t>Tax Rate</t>
  </si>
  <si>
    <t>Post Tax Cost of Debt</t>
  </si>
  <si>
    <t>Cost of Equity</t>
  </si>
  <si>
    <t>Risk Free Rate</t>
  </si>
  <si>
    <t>Equity Risk Premium</t>
  </si>
  <si>
    <t>Capital Structure</t>
  </si>
  <si>
    <t>Current</t>
  </si>
  <si>
    <t>Total Capital</t>
  </si>
  <si>
    <t>Levered Beta</t>
  </si>
  <si>
    <t>Comps Median Unlevered Beta</t>
  </si>
  <si>
    <t>Target Debt/Equity</t>
  </si>
  <si>
    <t>Debt/Equity</t>
  </si>
  <si>
    <t>Weighted Average Cost of Capital</t>
  </si>
  <si>
    <t>Debt</t>
  </si>
  <si>
    <t>Total Cost</t>
  </si>
  <si>
    <t>Total Weight</t>
  </si>
  <si>
    <t>Note:</t>
  </si>
  <si>
    <t>1. Tax Rate Consider as Marginal Tax Rate for the company</t>
  </si>
  <si>
    <t>2. Levered Beta is based on 5 year montly data</t>
  </si>
  <si>
    <t>Date</t>
  </si>
  <si>
    <t>Weekly Return</t>
  </si>
  <si>
    <t>Nifty Weekly Return</t>
  </si>
  <si>
    <t>Beta 1</t>
  </si>
  <si>
    <t>Beta 2</t>
  </si>
  <si>
    <t>Beta 3</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</si>
  <si>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</si>
  <si>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</si>
  <si>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</si>
  <si>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</si>
  <si>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</si>
  <si>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</si>
  <si>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</si>
  <si>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</si>
  <si>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</si>
  <si>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</si>
  <si>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</si>
  <si>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</si>
  <si>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</si>
  <si>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</si>
  <si>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</si>
  <si>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</si>
  <si>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</si>
  <si>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</si>
  <si>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</si>
  <si>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</si>
  <si>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</si>
  <si>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</si>
  <si>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X Variable 1</t>
  </si>
  <si>
    <t>Beta Drifting</t>
  </si>
  <si>
    <t>Levered Raw Beta</t>
  </si>
  <si>
    <t>Raw Beta Weight</t>
  </si>
  <si>
    <t>Market Beta</t>
  </si>
  <si>
    <t>Market Beta Weight</t>
  </si>
  <si>
    <t>Adjusted Beta</t>
  </si>
  <si>
    <t xml:space="preserve"> </t>
  </si>
  <si>
    <t>Taken from 10 yrs yield of govt. bond</t>
  </si>
  <si>
    <t>Annual</t>
  </si>
  <si>
    <t>Average Return</t>
  </si>
  <si>
    <t>Dividend Yield</t>
  </si>
  <si>
    <t>Total Market Return</t>
  </si>
  <si>
    <t>Rm Calulation</t>
  </si>
  <si>
    <t>Particular</t>
  </si>
  <si>
    <t>Equity Capital</t>
  </si>
  <si>
    <t>Borrowings -</t>
  </si>
  <si>
    <t>Long term Borrowings</t>
  </si>
  <si>
    <t>Short term Borrowings</t>
  </si>
  <si>
    <t>Lease Liabilities</t>
  </si>
  <si>
    <t>Other Borrowings</t>
  </si>
  <si>
    <t>Other Liabilities -</t>
  </si>
  <si>
    <t>Trade Payables</t>
  </si>
  <si>
    <t>Other liability items</t>
  </si>
  <si>
    <t>Fixed Assets -</t>
  </si>
  <si>
    <t>Building</t>
  </si>
  <si>
    <t>Plant Machinery</t>
  </si>
  <si>
    <t>Equipments</t>
  </si>
  <si>
    <t>Furniture n fittings</t>
  </si>
  <si>
    <t>Intangible Assets</t>
  </si>
  <si>
    <t>Other fixed assets</t>
  </si>
  <si>
    <t>Gross Block</t>
  </si>
  <si>
    <t>Accumulated Depreciation</t>
  </si>
  <si>
    <t>CWIP</t>
  </si>
  <si>
    <t>Other Assets -</t>
  </si>
  <si>
    <t>Inventories</t>
  </si>
  <si>
    <t>Trade receivables</t>
  </si>
  <si>
    <t>Cash Equivalents</t>
  </si>
  <si>
    <t>Loans n Advances</t>
  </si>
  <si>
    <t>Other asset items</t>
  </si>
  <si>
    <t>Particulars</t>
  </si>
  <si>
    <t>Calculation of ROIC</t>
  </si>
  <si>
    <t>Current Assets</t>
  </si>
  <si>
    <t>Current Liabilites</t>
  </si>
  <si>
    <t>Total Current Liabilities</t>
  </si>
  <si>
    <t>Net Working Capital</t>
  </si>
  <si>
    <t>Non current Asset</t>
  </si>
  <si>
    <t>Invested Capital</t>
  </si>
  <si>
    <t>EBIT</t>
  </si>
  <si>
    <t>ROIC</t>
  </si>
  <si>
    <t>Calculation of Reinvestment Rate</t>
  </si>
  <si>
    <t>Net Capex</t>
  </si>
  <si>
    <t>Change in working Capital</t>
  </si>
  <si>
    <t>Marginal Tax Rate</t>
  </si>
  <si>
    <t xml:space="preserve">Reinvestment </t>
  </si>
  <si>
    <t>Reinvestment Rate</t>
  </si>
  <si>
    <t>Calculation of Growth Rate</t>
  </si>
  <si>
    <t xml:space="preserve">Intrinsic Growth </t>
  </si>
  <si>
    <t>5 year Average</t>
  </si>
  <si>
    <t>5 year Median</t>
  </si>
  <si>
    <t>Calculation of PV of FCFF</t>
  </si>
  <si>
    <t>Free Cash Flow to Firm</t>
  </si>
  <si>
    <t>Mid Year Convention</t>
  </si>
  <si>
    <t>Discounting Factor</t>
  </si>
  <si>
    <t>PV of FCFF</t>
  </si>
  <si>
    <t>Terminal Growth</t>
  </si>
  <si>
    <t>WACC</t>
  </si>
  <si>
    <t>Calculation of Terminal Value</t>
  </si>
  <si>
    <t>FCFF(N+1)</t>
  </si>
  <si>
    <t>Terminal Growth Rate</t>
  </si>
  <si>
    <t>Terminal Value</t>
  </si>
  <si>
    <t>Calculation of Equity Value</t>
  </si>
  <si>
    <t>PV of Terminal Value</t>
  </si>
  <si>
    <t>Value  of Operating Asset</t>
  </si>
  <si>
    <t>Add: Cash</t>
  </si>
  <si>
    <t>Less: Debt</t>
  </si>
  <si>
    <t>Value of Equity</t>
  </si>
  <si>
    <t>No. of Share</t>
  </si>
  <si>
    <t>Equity Value per share</t>
  </si>
  <si>
    <t>Share Price</t>
  </si>
  <si>
    <t>Discount/Premium</t>
  </si>
  <si>
    <t>Price</t>
  </si>
  <si>
    <t>Non controlling int</t>
  </si>
  <si>
    <t>Land</t>
  </si>
  <si>
    <t>Vehicles</t>
  </si>
  <si>
    <t>Dividends received</t>
  </si>
  <si>
    <t>Redemption of debentures</t>
  </si>
  <si>
    <t>Net Capex = Ending PPE - Open. PPE +Depr.</t>
  </si>
  <si>
    <t>Comparable Company Valuation</t>
  </si>
  <si>
    <t xml:space="preserve">Company </t>
  </si>
  <si>
    <t>Ticker</t>
  </si>
  <si>
    <t>Share O/S</t>
  </si>
  <si>
    <t>Equity Value</t>
  </si>
  <si>
    <t>Net Debt</t>
  </si>
  <si>
    <t>Enterprise Value</t>
  </si>
  <si>
    <t>Market Data</t>
  </si>
  <si>
    <t>Revenue</t>
  </si>
  <si>
    <t>Net Income</t>
  </si>
  <si>
    <t>Valuation</t>
  </si>
  <si>
    <t>Financials</t>
  </si>
  <si>
    <t>S.No.</t>
  </si>
  <si>
    <t>CMP Rs.</t>
  </si>
  <si>
    <t>No. Eq. Shares Cr.</t>
  </si>
  <si>
    <t>Debt Rs.Cr.</t>
  </si>
  <si>
    <t>Cash End Rs.Cr.</t>
  </si>
  <si>
    <t>EV Rs.Cr.</t>
  </si>
  <si>
    <t>Sales Rs.Cr.</t>
  </si>
  <si>
    <t>NP 12M Rs.Cr.</t>
  </si>
  <si>
    <t>EV/Revenue</t>
  </si>
  <si>
    <t>EV/EBITDA</t>
  </si>
  <si>
    <t>P/E</t>
  </si>
  <si>
    <t>High</t>
  </si>
  <si>
    <t>Q3</t>
  </si>
  <si>
    <t>Q1</t>
  </si>
  <si>
    <t>Low</t>
  </si>
  <si>
    <t>Implied Enterprise Value</t>
  </si>
  <si>
    <t>Implied Market Value</t>
  </si>
  <si>
    <t>Share Outstanding</t>
  </si>
  <si>
    <t>Implied Value Per Share</t>
  </si>
  <si>
    <t>Amt. In Crores</t>
  </si>
  <si>
    <t>Forward looking Reinvestment Rate</t>
  </si>
  <si>
    <t>Forecast Growth</t>
  </si>
  <si>
    <t>Reinvestment Rate (Based on expected Growth)</t>
  </si>
  <si>
    <t>Reinvestment Rate (Based on TerminalGrowth)</t>
  </si>
  <si>
    <t>Football Field Analysis</t>
  </si>
  <si>
    <t>Sensitivity Analysis Of Value of Operating Assest</t>
  </si>
  <si>
    <t>Sensitivity Analysis Of Share Price</t>
  </si>
  <si>
    <t>Comps</t>
  </si>
  <si>
    <t>DCF Bear</t>
  </si>
  <si>
    <t>DCF Bull</t>
  </si>
  <si>
    <t>52W H/L</t>
  </si>
  <si>
    <t>Open Low</t>
  </si>
  <si>
    <t>Open High</t>
  </si>
  <si>
    <t>DCF Base</t>
  </si>
  <si>
    <t>Return</t>
  </si>
  <si>
    <t>Sorted Return</t>
  </si>
  <si>
    <t>Calculation of Value At Risk- Dmart(Historical)</t>
  </si>
  <si>
    <t>SD</t>
  </si>
  <si>
    <t>Min</t>
  </si>
  <si>
    <t>Max</t>
  </si>
  <si>
    <t>Percentile</t>
  </si>
  <si>
    <t>CMP</t>
  </si>
  <si>
    <t>VAR %</t>
  </si>
  <si>
    <t>Stock Price</t>
  </si>
  <si>
    <t>VAR (INR)</t>
  </si>
  <si>
    <t>Confidence</t>
  </si>
  <si>
    <t>Replication</t>
  </si>
  <si>
    <t>Stimulated Returns</t>
  </si>
  <si>
    <t>Historical Appoarch</t>
  </si>
  <si>
    <t>Calculation of Value At Risk- Dmart(Stimulation)</t>
  </si>
  <si>
    <t>Monte Carlo Appoarch</t>
  </si>
  <si>
    <r>
      <t>1.30</t>
    </r>
    <r>
      <rPr>
        <vertAlign val="superscript"/>
        <sz val="11"/>
        <color theme="1"/>
        <rFont val="Calibri"/>
        <family val="2"/>
        <scheme val="minor"/>
      </rPr>
      <t xml:space="preserve"> 1</t>
    </r>
  </si>
  <si>
    <r>
      <t>Return on Equity</t>
    </r>
    <r>
      <rPr>
        <strike/>
        <sz val="11"/>
        <color theme="1"/>
        <rFont val="Calibri"/>
        <family val="2"/>
        <scheme val="minor"/>
      </rPr>
      <t>%</t>
    </r>
  </si>
  <si>
    <r>
      <t xml:space="preserve">Tax Rate </t>
    </r>
    <r>
      <rPr>
        <vertAlign val="superscript"/>
        <sz val="11"/>
        <color theme="1"/>
        <rFont val="Calibri"/>
        <family val="2"/>
        <scheme val="minor"/>
      </rPr>
      <t>1</t>
    </r>
  </si>
  <si>
    <r>
      <t xml:space="preserve">Beta </t>
    </r>
    <r>
      <rPr>
        <vertAlign val="superscript"/>
        <sz val="11"/>
        <color theme="1"/>
        <rFont val="Calibri"/>
        <family val="2"/>
        <scheme val="minor"/>
      </rPr>
      <t>2</t>
    </r>
  </si>
  <si>
    <r>
      <t xml:space="preserve">Beta </t>
    </r>
    <r>
      <rPr>
        <vertAlign val="superscript"/>
        <sz val="11"/>
        <color theme="1"/>
        <rFont val="Calibri"/>
        <family val="2"/>
        <scheme val="minor"/>
      </rPr>
      <t>3</t>
    </r>
  </si>
  <si>
    <r>
      <t xml:space="preserve">Levered Beta </t>
    </r>
    <r>
      <rPr>
        <vertAlign val="superscript"/>
        <sz val="11"/>
        <color theme="1"/>
        <rFont val="Calibri"/>
        <family val="2"/>
        <scheme val="minor"/>
      </rPr>
      <t>4</t>
    </r>
  </si>
  <si>
    <t>VAR- Historical Appoarch</t>
  </si>
  <si>
    <t>VAR- Monte Carlo Appoarch</t>
  </si>
  <si>
    <t xml:space="preserve">Average </t>
  </si>
  <si>
    <t xml:space="preserve">Working Capital </t>
  </si>
  <si>
    <t>Total Sales</t>
  </si>
  <si>
    <t xml:space="preserve">EPS </t>
  </si>
  <si>
    <t>Price to Earning</t>
  </si>
  <si>
    <t>SCREENER.IN</t>
  </si>
  <si>
    <t>Narration</t>
  </si>
  <si>
    <t>Trailing</t>
  </si>
  <si>
    <t>Best Case</t>
  </si>
  <si>
    <t>Worst Case</t>
  </si>
  <si>
    <t>Price to earning</t>
  </si>
  <si>
    <t>RATIOS:</t>
  </si>
  <si>
    <t>Dividend Payout</t>
  </si>
  <si>
    <t>OPM</t>
  </si>
  <si>
    <t>TRENDS:</t>
  </si>
  <si>
    <t>10 YEARS</t>
  </si>
  <si>
    <t>7 YEARS</t>
  </si>
  <si>
    <t>5 YEARS</t>
  </si>
  <si>
    <t>3 YEARS</t>
  </si>
  <si>
    <t>RECENT</t>
  </si>
  <si>
    <t>BEST</t>
  </si>
  <si>
    <t>WORST</t>
  </si>
  <si>
    <t>EV/Sales</t>
  </si>
  <si>
    <t>Book  Value</t>
  </si>
  <si>
    <t>Price to Book</t>
  </si>
  <si>
    <t>Top Shareholders</t>
  </si>
  <si>
    <t>Promoters</t>
  </si>
  <si>
    <t>FII</t>
  </si>
  <si>
    <t>DII</t>
  </si>
  <si>
    <t>Holding Share</t>
  </si>
  <si>
    <t>No. of Share O/S</t>
  </si>
  <si>
    <t>Less: Cash &amp; Equivalents</t>
  </si>
  <si>
    <t>Add: Total Debt</t>
  </si>
  <si>
    <t>Designation</t>
  </si>
  <si>
    <t>Remuneration</t>
  </si>
  <si>
    <t>X of Median Salary</t>
  </si>
  <si>
    <t>MD &amp; CEO</t>
  </si>
  <si>
    <t>Inventory Turnover</t>
  </si>
  <si>
    <t xml:space="preserve">Cash Conversion Cycle </t>
  </si>
  <si>
    <t>Like for Like Growth</t>
  </si>
  <si>
    <t>Subsidy received</t>
  </si>
  <si>
    <t>Dividends paid</t>
  </si>
  <si>
    <t>Company</t>
  </si>
  <si>
    <t>Indian Hotels Co</t>
  </si>
  <si>
    <t>ITC Hotels</t>
  </si>
  <si>
    <t>Leela Palaces Hotels</t>
  </si>
  <si>
    <t>EIH</t>
  </si>
  <si>
    <t>Chalet Hotels</t>
  </si>
  <si>
    <t>Ventive Hospital</t>
  </si>
  <si>
    <t>Lemon Tree Hotel</t>
  </si>
  <si>
    <t>Mar Cap Rs.Cr.</t>
  </si>
  <si>
    <t>IHCL Weekly Return</t>
  </si>
  <si>
    <t>Sep 27,2026</t>
  </si>
  <si>
    <t>ITC Hotels Weekly Return</t>
  </si>
  <si>
    <t>Leea Hotels Weekly Return</t>
  </si>
  <si>
    <t>EIHO Hotels Weekly Return</t>
  </si>
  <si>
    <t>Indian Hotel</t>
  </si>
  <si>
    <t>Leela Hotels</t>
  </si>
  <si>
    <t>Advance from Customers</t>
  </si>
  <si>
    <t>EBIT(1-TR) [NOPAT]</t>
  </si>
  <si>
    <t>EBITDA Margin %</t>
  </si>
  <si>
    <t>PAT 12M Rs.Cr.</t>
  </si>
  <si>
    <t>Global Outlook</t>
  </si>
  <si>
    <t>(Real GDP, annual percent change)</t>
  </si>
  <si>
    <t>2026 (PROJECTIONS)</t>
  </si>
  <si>
    <t>2027 (PROJECTIONS)</t>
  </si>
  <si>
    <t>World Output</t>
  </si>
  <si>
    <t>Advanced Economies</t>
  </si>
  <si>
    <t>United States</t>
  </si>
  <si>
    <t>Euro Area</t>
  </si>
  <si>
    <t>Japan</t>
  </si>
  <si>
    <t>Other Advanced Economies</t>
  </si>
  <si>
    <t>Emerging Market and Developing Economies</t>
  </si>
  <si>
    <t>Emerging and Developing Asia</t>
  </si>
  <si>
    <t>China</t>
  </si>
  <si>
    <t>Latin America and the Caribbean</t>
  </si>
  <si>
    <t>Emerging Market and Middle-Income Economies</t>
  </si>
  <si>
    <t>Low-Income Developing Countries</t>
  </si>
  <si>
    <t>IMF, World Economic Outlook</t>
  </si>
  <si>
    <t>Real GDP</t>
  </si>
  <si>
    <t>Inflation</t>
  </si>
  <si>
    <t>2025E</t>
  </si>
  <si>
    <t>2026F</t>
  </si>
  <si>
    <t>2027F</t>
  </si>
  <si>
    <t>World</t>
  </si>
  <si>
    <t>Emerging Economies</t>
  </si>
  <si>
    <t>United States (US)</t>
  </si>
  <si>
    <t>United Kingdom (UK)</t>
  </si>
  <si>
    <t>FTAs in India (in Lakhs)</t>
  </si>
  <si>
    <t>NRI Arrivals (in Lakhs)</t>
  </si>
  <si>
    <t>International Tourist Arrivals (in Lakhs)</t>
  </si>
  <si>
    <t>India Tourism Data</t>
  </si>
  <si>
    <t>Ministry of Tourism, Statistics 2025-2026</t>
  </si>
  <si>
    <t>NRI Arrivals</t>
  </si>
  <si>
    <t xml:space="preserve">FTAs </t>
  </si>
  <si>
    <t>(in Lakhs)</t>
  </si>
  <si>
    <t>% Distribution of FTAs by Purpose of Visit</t>
  </si>
  <si>
    <t>Source Territory/ Country</t>
  </si>
  <si>
    <t>FTAs (in numbers)</t>
  </si>
  <si>
    <t>Business and Professional</t>
  </si>
  <si>
    <t>Indian Diaspora</t>
  </si>
  <si>
    <t>Leisure Holiday and Recreation</t>
  </si>
  <si>
    <t>Medical</t>
  </si>
  <si>
    <t>Others</t>
  </si>
  <si>
    <t>Pilgrimage</t>
  </si>
  <si>
    <t>Student</t>
  </si>
  <si>
    <t>Grand Total</t>
  </si>
  <si>
    <t>% Break Down of Purpose of visit</t>
  </si>
  <si>
    <t>ITA</t>
  </si>
  <si>
    <t>previous year</t>
  </si>
  <si>
    <t>IN INR Cr.</t>
  </si>
  <si>
    <t>Annual Growth Rate (%)</t>
  </si>
  <si>
    <t>Domestic</t>
  </si>
  <si>
    <t>Foreign</t>
  </si>
  <si>
    <t>Year (Tourist Visit )</t>
  </si>
  <si>
    <t>Forex Earning From Tourism</t>
  </si>
  <si>
    <t>India's Outlook &amp; Key Risks &amp;Opporunity</t>
  </si>
  <si>
    <t>Key Indicator</t>
  </si>
  <si>
    <t>Nominal GDP</t>
  </si>
  <si>
    <t>GDP in Amount</t>
  </si>
  <si>
    <t>Inflation Rate</t>
  </si>
  <si>
    <t>Unemployement Rate</t>
  </si>
  <si>
    <t>4 Trillion USD</t>
  </si>
  <si>
    <t>Food Inflation</t>
  </si>
  <si>
    <t>RBI Interest Rate</t>
  </si>
  <si>
    <t>2025-2026</t>
  </si>
  <si>
    <t>PIB, Trading view</t>
  </si>
  <si>
    <t>Macroeconomic Outlook</t>
  </si>
  <si>
    <t>Industry Outlook</t>
  </si>
  <si>
    <t>Room Income</t>
  </si>
  <si>
    <t>Food, Beverage &amp; Banqueting Income</t>
  </si>
  <si>
    <t>Other Operating Income</t>
  </si>
  <si>
    <t>Management &amp; Reimbursable Fees</t>
  </si>
  <si>
    <t>Non-operating Income</t>
  </si>
  <si>
    <t>Total Income</t>
  </si>
  <si>
    <t>Occupancy (%)</t>
  </si>
  <si>
    <t>Average Rate Per Room</t>
  </si>
  <si>
    <t>Revenue Per Available Room (RevPAR)</t>
  </si>
  <si>
    <t>Category</t>
  </si>
  <si>
    <t>Number of equity shares held</t>
  </si>
  <si>
    <t>% of holding</t>
  </si>
  <si>
    <t>Other Entities of the Promoter Group</t>
  </si>
  <si>
    <t>Mutual Funds &amp; UTI</t>
  </si>
  <si>
    <t>Banks, Financial Institutions, States and Central Government</t>
  </si>
  <si>
    <t>Insurance Companies</t>
  </si>
  <si>
    <t>Foreign Institutional Investors and Foreign Portfolio Investors – Corporate</t>
  </si>
  <si>
    <t>NRI's / OCB's / Foreign Nationals</t>
  </si>
  <si>
    <t>Corporate Bodies / Trust</t>
  </si>
  <si>
    <t>Indian Public &amp; Others</t>
  </si>
  <si>
    <t>Alternate Investment Fund</t>
  </si>
  <si>
    <t>IEPF account</t>
  </si>
  <si>
    <t># of Shares</t>
  </si>
  <si>
    <t>Name</t>
  </si>
  <si>
    <t>% Increase in remuneration over the previous year</t>
  </si>
  <si>
    <t>Ratio to median Remuneration</t>
  </si>
  <si>
    <t>Non-Executive Directors</t>
  </si>
  <si>
    <t>Mr. N. Chandrasekaran¹</t>
  </si>
  <si>
    <t>Mr. Nasser Munjee</t>
  </si>
  <si>
    <t>Mr. Venkataramanan Anantharaman</t>
  </si>
  <si>
    <t>Ms. Hema Ravichandar</t>
  </si>
  <si>
    <t>Mr. Anupam Narayan</t>
  </si>
  <si>
    <t>Executive Director</t>
  </si>
  <si>
    <t>Mr. Puneet Chhatwal – Managing Director &amp; Chief Executive Officer</t>
  </si>
  <si>
    <t>Key Managerial Personnel</t>
  </si>
  <si>
    <t>Mr. Ankur Dalwani- Executive Vice President &amp; Chief Financial Officer²</t>
  </si>
  <si>
    <t>***</t>
  </si>
  <si>
    <t>Mr. Beejal Desai, Executive VP – Corporate Affairs &amp; Company Secretary (Group)³</t>
  </si>
  <si>
    <t>Ms. Melisa Alva – Senior Vice President &amp; Company Secretary4</t>
  </si>
  <si>
    <t>¹ As a policy, Mr. N Chandrasekaran, Chairman, has abstained from receiving commission from the Company.</t>
  </si>
  <si>
    <t>² Mr. Ankur Dalwani appointed w.e.f. July 1, 2024.</t>
  </si>
  <si>
    <t>³ Mr. Beejal Desai superannuated on February 12, 2026.</t>
  </si>
  <si>
    <t>4 Ms. Melisa Alva appointed w.e.f. February 13, 2026.</t>
  </si>
  <si>
    <t>*** Since the remuneration is only for part of the year (either in current year or previous year), the percentage increase in remuneration and the ratio of their remuneration to median remuneration is not comparable and hence not stated.</t>
  </si>
  <si>
    <t xml:space="preserve">Mr. Venkataramanan </t>
  </si>
  <si>
    <t>Non Executive</t>
  </si>
  <si>
    <t>Mr. Puneet Chhatwal</t>
  </si>
  <si>
    <t>As a policy, Mr. N Chandrasekaran, Chairman, has abstained from receiving commission from the Company.</t>
  </si>
  <si>
    <t>Mr. Ankur Dalwani appointed w.e.f. July 1, 2024.</t>
  </si>
  <si>
    <t>Ms. Melisa Alva appointed w.e.f. February 13, 2026.</t>
  </si>
  <si>
    <t>Value (CMP)</t>
  </si>
  <si>
    <t>Public+Government</t>
  </si>
  <si>
    <t>Income Segment</t>
  </si>
  <si>
    <t>Other Ratios</t>
  </si>
  <si>
    <t>RevPAR</t>
  </si>
  <si>
    <t>IHCL is one of India’s leading hospitality companies. IHCL and its subsidiaries comprise diversified portfolio across luxury, upscale/upper upscale and lean luxury/midscale segments. IHCL’s operations are spread across four continents, 12 countries and over 100 cities.</t>
  </si>
  <si>
    <t>Share Price 5 Years</t>
  </si>
  <si>
    <t>Key Metrics</t>
  </si>
  <si>
    <t>Mr. Beejal Desai superannuated on February 12, 2026.</t>
  </si>
  <si>
    <t>Assumption For DCF</t>
  </si>
  <si>
    <t>D&amp;A</t>
  </si>
  <si>
    <t>D&amp;A % Sales</t>
  </si>
  <si>
    <t>NOPAT</t>
  </si>
  <si>
    <t>Capex</t>
  </si>
  <si>
    <t>FCFF</t>
  </si>
  <si>
    <t>Capex % of sales</t>
  </si>
  <si>
    <t>NWC % of sales</t>
  </si>
  <si>
    <t>Loans &amp; advances</t>
  </si>
  <si>
    <t>Trade payables</t>
  </si>
  <si>
    <t>Advances from customers</t>
  </si>
  <si>
    <t>Average NWC % Sales</t>
  </si>
  <si>
    <t>(From Mgnt Discussion , Firm's Revenue target)</t>
  </si>
  <si>
    <t>(From Mgnt Discussion , To maintain Margin of 35%)</t>
  </si>
  <si>
    <t>(Assume to be constant)</t>
  </si>
  <si>
    <t>(Assume as per the Indian Corporate Tax)</t>
  </si>
  <si>
    <t>Average Capex%of Sales</t>
  </si>
  <si>
    <t>(Taken as approx 10%)</t>
  </si>
  <si>
    <t>Notes</t>
  </si>
  <si>
    <t>Total Debt (incl. Lease)</t>
  </si>
  <si>
    <t>Normalised ROIC (3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</si>
</sst>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_(* #,##0.00_);_(* \(#,##0.00\);_(* &quot;-&quot;??_);_(@_)"/>
    <numFmt numFmtId="165" formatCode="[$-409]mmm\-yy;@"/>
    <numFmt numFmtId="166" formatCode="#,##0.00;\(#,##0.00\)"/>
    <numFmt numFmtId="167" formatCode="#,##0.00&quot;x&quot;;\(#,##0.00\)&quot;x&quot;"/>
    <numFmt numFmtId="168" formatCode="#,##0\ &quot;days&quot;;\(#,##0\)\ &quot;days&quot;"/>
    <numFmt numFmtId="169" formatCode="yyyy&quot;A&quot;"/>
    <numFmt numFmtId="170" formatCode="yyyy&quot;E&quot;"/>
    <numFmt numFmtId="171" formatCode="#,##0.00;\(#,##0.00\);\-"/>
    <numFmt numFmtId="172" formatCode="0.0%"/>
    <numFmt numFmtId="173" formatCode="mmm/yy&quot;A&quot;"/>
    <numFmt numFmtId="174" formatCode="mmm/yy&quot;E&quot;"/>
    <numFmt numFmtId="175" formatCode="0.000"/>
    <numFmt numFmtId="176" formatCode="0.00&quot;x&quot;"/>
    <numFmt numFmtId="177" formatCode="mmm\ dd\,yyyy"/>
    <numFmt numFmtId="178" formatCode="0.00\x"/>
    <numFmt numFmtId="179" formatCode="[$-14009]dd/mm/yyyy;@"/>
    <numFmt numFmtId="180" formatCode="0.0"/>
    <numFmt numFmtId="181" formatCode="mmm\,yyyy"/>
    <numFmt numFmtId="182" formatCode="#,##0.000"/>
  </numFmts>
  <fonts count="27"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0" tint="-0.499984740745262"/>
      <name val="Calibri"/>
      <family val="2"/>
      <scheme val="minor"/>
    </font>
    <font>
      <sz val="18"/>
      <color theme="1"/>
      <name val="Calibri"/>
      <family val="2"/>
      <scheme val="minor"/>
    </font>
    <font>
      <sz val="16"/>
      <color theme="1"/>
      <name val="Calibri"/>
      <family val="2"/>
      <scheme val="minor"/>
    </font>
    <font>
      <sz val="8"/>
      <name val="Calibri"/>
      <family val="2"/>
      <scheme val="minor"/>
    </font>
    <font>
      <sz val="11"/>
      <color theme="7" tint="-0.249977111117893"/>
      <name val="Calibri"/>
      <family val="2"/>
      <scheme val="minor"/>
    </font>
    <font>
      <i/>
      <sz val="11"/>
      <color theme="1"/>
      <name val="Calibri"/>
      <family val="2"/>
      <scheme val="minor"/>
    </font>
    <font>
      <i/>
      <sz val="14"/>
      <color theme="1"/>
      <name val="Calibri"/>
      <family val="2"/>
      <scheme val="minor"/>
    </font>
    <font>
      <b/>
      <sz val="14"/>
      <color theme="0"/>
      <name val="Calibri"/>
      <family val="2"/>
      <scheme val="minor"/>
    </font>
    <font>
      <sz val="11"/>
      <color theme="0" tint="-0.34998626667073579"/>
      <name val="Calibri"/>
      <family val="2"/>
      <scheme val="minor"/>
    </font>
    <font>
      <vertAlign val="superscript"/>
      <sz val="11"/>
      <color theme="1"/>
      <name val="Calibri"/>
      <family val="2"/>
      <scheme val="minor"/>
    </font>
    <font>
      <strike/>
      <sz val="11"/>
      <color theme="1"/>
      <name val="Calibri"/>
      <family val="2"/>
      <scheme val="minor"/>
    </font>
    <font>
      <sz val="11"/>
      <color rgb="FF3333FF"/>
      <name val="Calibri"/>
      <family val="2"/>
      <scheme val="minor"/>
    </font>
    <font>
      <sz val="14"/>
      <color theme="1"/>
      <name val="Calibri"/>
      <family val="2"/>
      <scheme val="minor"/>
    </font>
    <font>
      <b/>
      <sz val="14"/>
      <color theme="1"/>
      <name val="Calibri"/>
      <family val="2"/>
      <scheme val="minor"/>
    </font>
    <font>
      <b/>
      <sz val="16"/>
      <color theme="0"/>
      <name val="Calibri"/>
      <family val="2"/>
      <scheme val="minor"/>
    </font>
    <font>
      <b/>
      <sz val="11"/>
      <color rgb="FFFF0000"/>
      <name val="Calibri"/>
      <family val="2"/>
      <scheme val="minor"/>
    </font>
    <font>
      <sz val="11"/>
      <color rgb="FF22222F"/>
      <name val="Arial"/>
      <family val="2"/>
    </font>
    <font>
      <i/>
      <sz val="11"/>
      <color theme="3" tint="0.39997558519241921"/>
      <name val="Calibri"/>
      <family val="2"/>
      <scheme val="minor"/>
    </font>
    <font>
      <sz val="11"/>
      <color theme="7"/>
      <name val="Calibri"/>
      <family val="2"/>
      <scheme val="minor"/>
    </font>
    <font>
      <b/>
      <sz val="12"/>
      <color theme="0"/>
      <name val="Calibri"/>
      <family val="2"/>
      <scheme val="minor"/>
    </font>
  </fonts>
  <fills count="14">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7" tint="-0.49998474074526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006600"/>
        <bgColor indexed="64"/>
      </patternFill>
    </fill>
    <fill>
      <patternFill patternType="solid">
        <fgColor theme="4" tint="0.39997558519241921"/>
        <bgColor indexed="65"/>
      </patternFill>
    </fill>
    <fill>
      <patternFill patternType="solid">
        <fgColor theme="6" tint="0.39997558519241921"/>
        <bgColor indexed="65"/>
      </patternFill>
    </fill>
    <fill>
      <patternFill patternType="solid">
        <fgColor theme="7" tint="0.79998168889431442"/>
        <bgColor indexed="64"/>
      </patternFill>
    </fill>
    <fill>
      <patternFill patternType="solid">
        <fgColor theme="7" tint="0.59999389629810485"/>
        <bgColor indexed="64"/>
      </patternFill>
    </fill>
  </fills>
  <borders count="26">
    <border>
      <left/>
      <right/>
      <top/>
      <bottom/>
      <diagonal/>
    </border>
    <border>
      <left/>
      <right/>
      <top style="hair">
        <color theme="7" tint="-0.499984740745262"/>
      </top>
      <bottom style="hair">
        <color theme="7" tint="-0.499984740745262"/>
      </bottom>
      <diagonal/>
    </border>
    <border>
      <left/>
      <right/>
      <top style="hair">
        <color theme="7" tint="-0.499984740745262"/>
      </top>
      <bottom/>
      <diagonal/>
    </border>
    <border>
      <left/>
      <right/>
      <top style="medium">
        <color auto="1"/>
      </top>
      <bottom/>
      <diagonal/>
    </border>
    <border>
      <left/>
      <right/>
      <top/>
      <bottom style="medium">
        <color auto="1"/>
      </bottom>
      <diagonal/>
    </border>
    <border>
      <left/>
      <right/>
      <top style="thin">
        <color auto="1"/>
      </top>
      <bottom/>
      <diagonal/>
    </border>
    <border>
      <left/>
      <right/>
      <top/>
      <bottom style="thin">
        <color auto="1"/>
      </bottom>
      <diagonal/>
    </border>
    <border>
      <left/>
      <right/>
      <top style="dashed">
        <color auto="1"/>
      </top>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medium">
        <color indexed="64"/>
      </top>
      <bottom style="thin">
        <color auto="1"/>
      </bottom>
      <diagonal/>
    </border>
    <border>
      <left/>
      <right/>
      <top style="dashed">
        <color auto="1"/>
      </top>
      <bottom style="dashed">
        <color auto="1"/>
      </bottom>
      <diagonal/>
    </border>
    <border>
      <left/>
      <right/>
      <top style="thin">
        <color auto="1"/>
      </top>
      <bottom style="medium">
        <color auto="1"/>
      </bottom>
      <diagonal/>
    </border>
    <border>
      <left/>
      <right/>
      <top style="dashed">
        <color auto="1"/>
      </top>
      <bottom style="thin">
        <color auto="1"/>
      </bottom>
      <diagonal/>
    </border>
    <border>
      <left/>
      <right/>
      <top/>
      <bottom style="thin">
        <color theme="0"/>
      </bottom>
      <diagonal/>
    </border>
    <border>
      <left/>
      <right/>
      <top style="thin">
        <color theme="0"/>
      </top>
      <bottom/>
      <diagonal/>
    </border>
    <border>
      <left/>
      <right style="medium">
        <color auto="1"/>
      </right>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medium">
        <color indexed="64"/>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bottom/>
      <diagonal/>
    </border>
    <border>
      <left/>
      <right/>
      <top style="dotted">
        <color auto="1"/>
      </top>
      <bottom style="dotted">
        <color auto="1"/>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1" borderId="0" applyNumberFormat="0" applyBorder="0" applyAlignment="0" applyProtection="0"/>
  </cellStyleXfs>
  <cellXfs count="221">
    <xf numFmtId="0" fontId="0" fillId="0" borderId="0" xfId="0"/>
    <xf numFmtId="43" fontId="1" fillId="0" borderId="0" xfId="1" applyFont="1" applyBorder="1"/>
    <xf numFmtId="0" fontId="1" fillId="0" borderId="0" xfId="0" applyFont="1"/>
    <xf numFmtId="43" fontId="0" fillId="0" borderId="0" xfId="1" applyFont="1" applyBorder="1"/>
    <xf numFmtId="43"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164" fontId="0" fillId="0" borderId="0" xfId="1" applyNumberFormat="1" applyFont="1" applyBorder="1"/>
    <xf numFmtId="166" fontId="0" fillId="0" borderId="0" xfId="0" applyNumberFormat="1"/>
    <xf numFmtId="0" fontId="7" fillId="0" borderId="0" xfId="0" applyFont="1"/>
    <xf numFmtId="10" fontId="7" fillId="0" borderId="0" xfId="4" applyNumberFormat="1" applyFont="1"/>
    <xf numFmtId="0" fontId="5" fillId="0" borderId="0" xfId="0" applyFont="1" applyAlignment="1">
      <alignment vertical="center"/>
    </xf>
    <xf numFmtId="165" fontId="5" fillId="0" borderId="0" xfId="0" applyNumberFormat="1" applyFont="1" applyAlignment="1">
      <alignment vertical="center"/>
    </xf>
    <xf numFmtId="3" fontId="0" fillId="0" borderId="0" xfId="0" applyNumberFormat="1"/>
    <xf numFmtId="0" fontId="1" fillId="0" borderId="1" xfId="0" applyFont="1" applyBorder="1"/>
    <xf numFmtId="166" fontId="1" fillId="0" borderId="1" xfId="0" applyNumberFormat="1" applyFont="1" applyBorder="1"/>
    <xf numFmtId="166" fontId="0" fillId="0" borderId="1" xfId="0" applyNumberFormat="1" applyBorder="1"/>
    <xf numFmtId="10" fontId="0" fillId="0" borderId="0" xfId="4" applyNumberFormat="1" applyFont="1"/>
    <xf numFmtId="0" fontId="0" fillId="8" borderId="0" xfId="0" applyFill="1"/>
    <xf numFmtId="0" fontId="2" fillId="8" borderId="0" xfId="0" applyFont="1" applyFill="1" applyAlignment="1">
      <alignment horizontal="center"/>
    </xf>
    <xf numFmtId="0" fontId="8" fillId="0" borderId="0" xfId="0" applyFont="1"/>
    <xf numFmtId="0" fontId="9" fillId="0" borderId="0" xfId="0" applyFont="1"/>
    <xf numFmtId="0" fontId="1" fillId="0" borderId="11" xfId="0" applyFont="1" applyBorder="1"/>
    <xf numFmtId="171" fontId="0" fillId="0" borderId="0" xfId="0" applyNumberFormat="1"/>
    <xf numFmtId="171" fontId="1" fillId="0" borderId="11" xfId="0" applyNumberFormat="1" applyFont="1" applyBorder="1"/>
    <xf numFmtId="171" fontId="0" fillId="0" borderId="7" xfId="0" applyNumberFormat="1" applyBorder="1"/>
    <xf numFmtId="171" fontId="1" fillId="0" borderId="0" xfId="0" applyNumberFormat="1" applyFont="1"/>
    <xf numFmtId="171" fontId="0" fillId="0" borderId="11" xfId="0" applyNumberFormat="1" applyBorder="1"/>
    <xf numFmtId="0" fontId="1" fillId="0" borderId="12" xfId="0" applyFont="1" applyBorder="1"/>
    <xf numFmtId="10" fontId="0" fillId="0" borderId="0" xfId="0" applyNumberFormat="1"/>
    <xf numFmtId="9" fontId="0" fillId="0" borderId="0" xfId="0" applyNumberFormat="1"/>
    <xf numFmtId="172" fontId="11" fillId="6" borderId="0" xfId="0" applyNumberFormat="1" applyFont="1" applyFill="1"/>
    <xf numFmtId="0" fontId="1" fillId="7" borderId="12" xfId="0" applyFont="1" applyFill="1" applyBorder="1"/>
    <xf numFmtId="2" fontId="0" fillId="0" borderId="0" xfId="0" applyNumberFormat="1"/>
    <xf numFmtId="2" fontId="1" fillId="0" borderId="12" xfId="0" applyNumberFormat="1" applyFont="1" applyBorder="1"/>
    <xf numFmtId="2" fontId="1" fillId="0" borderId="0" xfId="0" applyNumberFormat="1" applyFont="1"/>
    <xf numFmtId="171" fontId="1" fillId="0" borderId="5" xfId="0" applyNumberFormat="1" applyFont="1" applyBorder="1"/>
    <xf numFmtId="0" fontId="1" fillId="0" borderId="5" xfId="0" applyFont="1" applyBorder="1"/>
    <xf numFmtId="0" fontId="13" fillId="0" borderId="0" xfId="0" applyFont="1"/>
    <xf numFmtId="0" fontId="0" fillId="0" borderId="11" xfId="0" applyBorder="1"/>
    <xf numFmtId="0" fontId="0" fillId="0" borderId="7" xfId="0" applyBorder="1"/>
    <xf numFmtId="0" fontId="2" fillId="4" borderId="0" xfId="0" applyFont="1" applyFill="1"/>
    <xf numFmtId="0" fontId="12" fillId="0" borderId="0" xfId="0" applyFont="1"/>
    <xf numFmtId="2" fontId="15" fillId="0" borderId="0" xfId="0" applyNumberFormat="1" applyFont="1"/>
    <xf numFmtId="10" fontId="1" fillId="0" borderId="16" xfId="0" applyNumberFormat="1" applyFont="1" applyBorder="1"/>
    <xf numFmtId="9" fontId="1" fillId="0" borderId="4" xfId="0" applyNumberFormat="1" applyFont="1" applyBorder="1"/>
    <xf numFmtId="171" fontId="0" fillId="0" borderId="17" xfId="0" applyNumberFormat="1" applyBorder="1"/>
    <xf numFmtId="171" fontId="0" fillId="0" borderId="19" xfId="0" applyNumberFormat="1" applyBorder="1"/>
    <xf numFmtId="172" fontId="8" fillId="0" borderId="0" xfId="0" applyNumberFormat="1" applyFont="1"/>
    <xf numFmtId="0" fontId="0" fillId="0" borderId="0" xfId="0" applyAlignment="1">
      <alignment horizontal="center"/>
    </xf>
    <xf numFmtId="171" fontId="0" fillId="0" borderId="22" xfId="0" applyNumberFormat="1" applyBorder="1"/>
    <xf numFmtId="171" fontId="0" fillId="0" borderId="23" xfId="0" applyNumberFormat="1" applyBorder="1"/>
    <xf numFmtId="0" fontId="1" fillId="0" borderId="0" xfId="0" applyFont="1" applyAlignment="1">
      <alignment horizontal="center"/>
    </xf>
    <xf numFmtId="4" fontId="0" fillId="0" borderId="9" xfId="0" applyNumberFormat="1" applyBorder="1"/>
    <xf numFmtId="179" fontId="0" fillId="0" borderId="9" xfId="0" applyNumberFormat="1" applyBorder="1"/>
    <xf numFmtId="0" fontId="0" fillId="0" borderId="9" xfId="4" applyNumberFormat="1" applyFont="1" applyBorder="1"/>
    <xf numFmtId="0" fontId="1" fillId="0" borderId="8" xfId="0" applyFont="1" applyBorder="1" applyAlignment="1">
      <alignment horizontal="left"/>
    </xf>
    <xf numFmtId="0" fontId="1" fillId="0" borderId="8" xfId="0" applyFont="1" applyBorder="1"/>
    <xf numFmtId="0" fontId="1" fillId="0" borderId="8" xfId="0" applyFont="1" applyBorder="1" applyAlignment="1">
      <alignment horizontal="right"/>
    </xf>
    <xf numFmtId="10" fontId="0" fillId="0" borderId="8" xfId="4" applyNumberFormat="1" applyFont="1" applyBorder="1"/>
    <xf numFmtId="10" fontId="0" fillId="0" borderId="8" xfId="0" applyNumberFormat="1" applyBorder="1"/>
    <xf numFmtId="2" fontId="0" fillId="0" borderId="8" xfId="0" applyNumberFormat="1" applyBorder="1"/>
    <xf numFmtId="0" fontId="0" fillId="0" borderId="8" xfId="0" applyBorder="1"/>
    <xf numFmtId="0" fontId="0" fillId="0" borderId="9" xfId="0" applyBorder="1"/>
    <xf numFmtId="171" fontId="0" fillId="7" borderId="0" xfId="0" applyNumberFormat="1" applyFill="1"/>
    <xf numFmtId="0" fontId="0" fillId="7" borderId="0" xfId="0" applyFill="1"/>
    <xf numFmtId="175" fontId="0" fillId="0" borderId="0" xfId="0" applyNumberFormat="1"/>
    <xf numFmtId="0" fontId="0" fillId="6" borderId="0" xfId="0" applyFill="1"/>
    <xf numFmtId="10" fontId="0" fillId="6" borderId="0" xfId="0" applyNumberFormat="1" applyFill="1"/>
    <xf numFmtId="171" fontId="0" fillId="0" borderId="21" xfId="0" applyNumberFormat="1" applyBorder="1"/>
    <xf numFmtId="171" fontId="0" fillId="0" borderId="18" xfId="0" applyNumberFormat="1" applyBorder="1"/>
    <xf numFmtId="171" fontId="0" fillId="0" borderId="9" xfId="0" applyNumberFormat="1" applyBorder="1"/>
    <xf numFmtId="171" fontId="0" fillId="0" borderId="20" xfId="0" applyNumberFormat="1" applyBorder="1"/>
    <xf numFmtId="172" fontId="0" fillId="0" borderId="0" xfId="0" applyNumberFormat="1"/>
    <xf numFmtId="176" fontId="0" fillId="0" borderId="0" xfId="0" applyNumberFormat="1"/>
    <xf numFmtId="0" fontId="2" fillId="0" borderId="0" xfId="0" applyFont="1" applyAlignment="1">
      <alignment horizontal="center"/>
    </xf>
    <xf numFmtId="0" fontId="0" fillId="0" borderId="6" xfId="0" applyBorder="1"/>
    <xf numFmtId="0" fontId="2" fillId="4" borderId="9" xfId="0" applyFont="1" applyFill="1" applyBorder="1"/>
    <xf numFmtId="0" fontId="2" fillId="4" borderId="9" xfId="0" applyFont="1" applyFill="1" applyBorder="1" applyAlignment="1">
      <alignment wrapText="1"/>
    </xf>
    <xf numFmtId="0" fontId="2" fillId="0" borderId="0" xfId="0" applyFont="1"/>
    <xf numFmtId="177" fontId="0" fillId="0" borderId="9" xfId="0" applyNumberFormat="1" applyBorder="1" applyAlignment="1">
      <alignment horizontal="center"/>
    </xf>
    <xf numFmtId="10" fontId="0" fillId="0" borderId="9" xfId="4" applyNumberFormat="1" applyFont="1" applyBorder="1"/>
    <xf numFmtId="10" fontId="0" fillId="0" borderId="0" xfId="4" applyNumberFormat="1" applyFont="1" applyBorder="1"/>
    <xf numFmtId="2" fontId="0" fillId="0" borderId="0" xfId="4" applyNumberFormat="1" applyFont="1" applyBorder="1"/>
    <xf numFmtId="10" fontId="1" fillId="0" borderId="0" xfId="0" applyNumberFormat="1" applyFont="1"/>
    <xf numFmtId="10" fontId="0" fillId="6" borderId="0" xfId="4" applyNumberFormat="1" applyFont="1" applyFill="1" applyBorder="1"/>
    <xf numFmtId="2" fontId="0" fillId="6" borderId="0" xfId="4" applyNumberFormat="1" applyFont="1" applyFill="1" applyBorder="1"/>
    <xf numFmtId="0" fontId="0" fillId="0" borderId="4" xfId="0" applyBorder="1"/>
    <xf numFmtId="166" fontId="6" fillId="0" borderId="0" xfId="0" applyNumberFormat="1" applyFont="1"/>
    <xf numFmtId="0" fontId="2" fillId="0" borderId="0" xfId="0" applyFont="1" applyAlignment="1">
      <alignment horizontal="center" vertical="center"/>
    </xf>
    <xf numFmtId="0" fontId="0" fillId="0" borderId="2" xfId="0" applyBorder="1"/>
    <xf numFmtId="10" fontId="0" fillId="0" borderId="2" xfId="4" applyNumberFormat="1" applyFont="1" applyBorder="1"/>
    <xf numFmtId="0" fontId="0" fillId="0" borderId="1" xfId="0" applyBorder="1"/>
    <xf numFmtId="167" fontId="0" fillId="0" borderId="0" xfId="0" applyNumberFormat="1"/>
    <xf numFmtId="167" fontId="0" fillId="0" borderId="2" xfId="0" applyNumberFormat="1" applyBorder="1"/>
    <xf numFmtId="168" fontId="0" fillId="0" borderId="0" xfId="0" applyNumberFormat="1"/>
    <xf numFmtId="168" fontId="0" fillId="0" borderId="2" xfId="0" applyNumberFormat="1" applyBorder="1"/>
    <xf numFmtId="0" fontId="0" fillId="0" borderId="3" xfId="0" applyBorder="1"/>
    <xf numFmtId="0" fontId="18" fillId="0" borderId="0" xfId="0" applyFont="1"/>
    <xf numFmtId="166" fontId="18" fillId="0" borderId="0" xfId="0" applyNumberFormat="1" applyFont="1"/>
    <xf numFmtId="10" fontId="18" fillId="0" borderId="0" xfId="4" applyNumberFormat="1" applyFont="1"/>
    <xf numFmtId="2" fontId="6" fillId="0" borderId="0" xfId="0" applyNumberFormat="1" applyFont="1"/>
    <xf numFmtId="2" fontId="0" fillId="7" borderId="0" xfId="0" applyNumberFormat="1" applyFill="1"/>
    <xf numFmtId="10" fontId="0" fillId="0" borderId="5" xfId="0" applyNumberFormat="1" applyBorder="1"/>
    <xf numFmtId="0" fontId="1" fillId="0" borderId="6" xfId="0" applyFont="1" applyBorder="1"/>
    <xf numFmtId="10" fontId="0" fillId="0" borderId="6" xfId="0" applyNumberFormat="1" applyBorder="1"/>
    <xf numFmtId="10" fontId="11" fillId="0" borderId="0" xfId="0" applyNumberFormat="1" applyFont="1"/>
    <xf numFmtId="10" fontId="18" fillId="0" borderId="0" xfId="0" applyNumberFormat="1" applyFont="1"/>
    <xf numFmtId="10" fontId="6" fillId="0" borderId="0" xfId="0" applyNumberFormat="1" applyFont="1"/>
    <xf numFmtId="10" fontId="0" fillId="7" borderId="7" xfId="0" applyNumberFormat="1" applyFill="1" applyBorder="1"/>
    <xf numFmtId="0" fontId="1" fillId="0" borderId="6" xfId="0" applyFont="1" applyBorder="1" applyAlignment="1">
      <alignment horizontal="center"/>
    </xf>
    <xf numFmtId="10" fontId="0" fillId="0" borderId="7" xfId="4" applyNumberFormat="1" applyFont="1" applyBorder="1"/>
    <xf numFmtId="2" fontId="0" fillId="7" borderId="7" xfId="0" applyNumberFormat="1" applyFill="1" applyBorder="1"/>
    <xf numFmtId="0" fontId="1" fillId="7" borderId="7" xfId="0" applyFont="1" applyFill="1" applyBorder="1"/>
    <xf numFmtId="10" fontId="1" fillId="7" borderId="7" xfId="4" applyNumberFormat="1" applyFont="1" applyFill="1" applyBorder="1"/>
    <xf numFmtId="0" fontId="1" fillId="0" borderId="3" xfId="0" applyFont="1" applyBorder="1"/>
    <xf numFmtId="171" fontId="1" fillId="0" borderId="3" xfId="0" applyNumberFormat="1" applyFont="1" applyBorder="1"/>
    <xf numFmtId="4" fontId="1" fillId="0" borderId="12" xfId="0" applyNumberFormat="1" applyFont="1" applyBorder="1"/>
    <xf numFmtId="172" fontId="1" fillId="0" borderId="12" xfId="4" applyNumberFormat="1" applyFont="1" applyBorder="1"/>
    <xf numFmtId="9" fontId="11" fillId="0" borderId="11" xfId="4" applyFont="1" applyBorder="1"/>
    <xf numFmtId="0" fontId="0" fillId="0" borderId="13" xfId="0" applyBorder="1"/>
    <xf numFmtId="172" fontId="0" fillId="0" borderId="0" xfId="4" applyNumberFormat="1" applyFont="1"/>
    <xf numFmtId="172" fontId="1" fillId="0" borderId="0" xfId="0" applyNumberFormat="1" applyFont="1"/>
    <xf numFmtId="0" fontId="2" fillId="9" borderId="0" xfId="0" applyFont="1" applyFill="1" applyAlignment="1">
      <alignment vertical="center"/>
    </xf>
    <xf numFmtId="165" fontId="2" fillId="9" borderId="0" xfId="0" applyNumberFormat="1" applyFont="1" applyFill="1" applyAlignment="1">
      <alignment vertical="center"/>
    </xf>
    <xf numFmtId="0" fontId="2" fillId="9" borderId="0" xfId="0" applyFont="1" applyFill="1"/>
    <xf numFmtId="0" fontId="5" fillId="9" borderId="9" xfId="0" applyFont="1" applyFill="1" applyBorder="1" applyAlignment="1">
      <alignment horizontal="center"/>
    </xf>
    <xf numFmtId="0" fontId="5" fillId="9" borderId="0" xfId="0" applyFont="1" applyFill="1"/>
    <xf numFmtId="0" fontId="5" fillId="9" borderId="24" xfId="0" applyFont="1" applyFill="1" applyBorder="1"/>
    <xf numFmtId="0" fontId="5" fillId="9" borderId="9" xfId="0" applyFont="1" applyFill="1" applyBorder="1"/>
    <xf numFmtId="0" fontId="19" fillId="0" borderId="0" xfId="0" applyFont="1"/>
    <xf numFmtId="0" fontId="19" fillId="6" borderId="11" xfId="0" applyFont="1" applyFill="1" applyBorder="1"/>
    <xf numFmtId="171" fontId="19" fillId="6" borderId="11" xfId="0" applyNumberFormat="1" applyFont="1" applyFill="1" applyBorder="1"/>
    <xf numFmtId="178" fontId="19" fillId="6" borderId="11" xfId="0" applyNumberFormat="1" applyFont="1" applyFill="1" applyBorder="1"/>
    <xf numFmtId="0" fontId="19" fillId="0" borderId="11" xfId="0" applyFont="1" applyBorder="1"/>
    <xf numFmtId="171" fontId="19" fillId="0" borderId="11" xfId="0" applyNumberFormat="1" applyFont="1" applyBorder="1"/>
    <xf numFmtId="178" fontId="19" fillId="0" borderId="11" xfId="0" applyNumberFormat="1" applyFont="1" applyBorder="1"/>
    <xf numFmtId="0" fontId="19" fillId="0" borderId="7" xfId="0" applyFont="1" applyBorder="1"/>
    <xf numFmtId="171" fontId="19" fillId="0" borderId="7" xfId="0" applyNumberFormat="1" applyFont="1" applyBorder="1"/>
    <xf numFmtId="2" fontId="19" fillId="0" borderId="0" xfId="0" applyNumberFormat="1" applyFont="1"/>
    <xf numFmtId="0" fontId="20" fillId="6" borderId="11" xfId="0" applyFont="1" applyFill="1" applyBorder="1"/>
    <xf numFmtId="178" fontId="20" fillId="6" borderId="11" xfId="0" applyNumberFormat="1" applyFont="1" applyFill="1" applyBorder="1"/>
    <xf numFmtId="0" fontId="20" fillId="6" borderId="8" xfId="0" applyFont="1" applyFill="1" applyBorder="1"/>
    <xf numFmtId="171" fontId="20" fillId="6" borderId="8" xfId="0" applyNumberFormat="1" applyFont="1" applyFill="1" applyBorder="1"/>
    <xf numFmtId="166" fontId="0" fillId="0" borderId="7" xfId="0" applyNumberFormat="1" applyBorder="1"/>
    <xf numFmtId="17" fontId="0" fillId="0" borderId="0" xfId="0" applyNumberFormat="1"/>
    <xf numFmtId="4" fontId="0" fillId="0" borderId="0" xfId="0" applyNumberFormat="1"/>
    <xf numFmtId="0" fontId="5" fillId="0" borderId="0" xfId="0" applyFont="1"/>
    <xf numFmtId="17" fontId="5" fillId="0" borderId="0" xfId="0" applyNumberFormat="1" applyFont="1"/>
    <xf numFmtId="0" fontId="5" fillId="0" borderId="0" xfId="0" applyFont="1" applyAlignment="1">
      <alignment horizontal="center"/>
    </xf>
    <xf numFmtId="0" fontId="22" fillId="0" borderId="0" xfId="0" applyFont="1"/>
    <xf numFmtId="0" fontId="2" fillId="3" borderId="0" xfId="0" applyFont="1" applyFill="1"/>
    <xf numFmtId="0" fontId="2" fillId="3" borderId="0" xfId="0" applyFont="1" applyFill="1" applyAlignment="1">
      <alignment horizontal="center"/>
    </xf>
    <xf numFmtId="9" fontId="3" fillId="0" borderId="0" xfId="1" applyNumberFormat="1" applyFont="1" applyBorder="1"/>
    <xf numFmtId="43" fontId="2" fillId="10" borderId="0" xfId="5" applyNumberFormat="1" applyFont="1" applyBorder="1"/>
    <xf numFmtId="43" fontId="2" fillId="11" borderId="0" xfId="6" applyNumberFormat="1" applyFont="1" applyBorder="1"/>
    <xf numFmtId="17" fontId="2" fillId="0" borderId="0" xfId="0" applyNumberFormat="1" applyFont="1"/>
    <xf numFmtId="0" fontId="0" fillId="0" borderId="25" xfId="0" applyBorder="1"/>
    <xf numFmtId="10" fontId="0" fillId="0" borderId="25" xfId="0" applyNumberFormat="1" applyBorder="1"/>
    <xf numFmtId="2" fontId="0" fillId="0" borderId="25" xfId="0" applyNumberFormat="1" applyBorder="1"/>
    <xf numFmtId="10" fontId="0" fillId="0" borderId="25" xfId="4" applyNumberFormat="1" applyFont="1" applyBorder="1"/>
    <xf numFmtId="180" fontId="0" fillId="0" borderId="25" xfId="0" applyNumberFormat="1" applyBorder="1"/>
    <xf numFmtId="167" fontId="0" fillId="0" borderId="25" xfId="0" applyNumberFormat="1" applyBorder="1"/>
    <xf numFmtId="43" fontId="1" fillId="0" borderId="6" xfId="0" applyNumberFormat="1" applyFont="1" applyBorder="1"/>
    <xf numFmtId="43" fontId="0" fillId="0" borderId="25" xfId="0" applyNumberFormat="1" applyBorder="1"/>
    <xf numFmtId="43" fontId="1" fillId="0" borderId="0" xfId="0" applyNumberFormat="1" applyFont="1"/>
    <xf numFmtId="0" fontId="0" fillId="0" borderId="0" xfId="0" applyAlignment="1">
      <alignment vertical="center"/>
    </xf>
    <xf numFmtId="10" fontId="0" fillId="0" borderId="0" xfId="0" applyNumberFormat="1" applyAlignment="1">
      <alignment horizontal="center"/>
    </xf>
    <xf numFmtId="0" fontId="0" fillId="4" borderId="0" xfId="0" applyFill="1"/>
    <xf numFmtId="0" fontId="2" fillId="4" borderId="0" xfId="0" applyFont="1" applyFill="1" applyAlignment="1">
      <alignment vertical="center"/>
    </xf>
    <xf numFmtId="165" fontId="2" fillId="4" borderId="0" xfId="0" applyNumberFormat="1" applyFont="1" applyFill="1" applyAlignment="1">
      <alignment vertical="center"/>
    </xf>
    <xf numFmtId="0" fontId="1" fillId="12" borderId="0" xfId="0" applyFont="1" applyFill="1"/>
    <xf numFmtId="0" fontId="0" fillId="12" borderId="0" xfId="0" applyFill="1"/>
    <xf numFmtId="165" fontId="2" fillId="4" borderId="0" xfId="0" applyNumberFormat="1" applyFont="1" applyFill="1" applyAlignment="1">
      <alignment horizontal="center" vertical="center"/>
    </xf>
    <xf numFmtId="181" fontId="0" fillId="0" borderId="9" xfId="0" applyNumberFormat="1" applyBorder="1" applyAlignment="1">
      <alignment horizontal="center"/>
    </xf>
    <xf numFmtId="0" fontId="12" fillId="0" borderId="10" xfId="0" applyFont="1" applyBorder="1" applyAlignment="1">
      <alignment horizontal="center"/>
    </xf>
    <xf numFmtId="0" fontId="12" fillId="0" borderId="10" xfId="0" applyFont="1" applyBorder="1" applyAlignment="1">
      <alignment horizontal="centerContinuous"/>
    </xf>
    <xf numFmtId="2" fontId="6" fillId="0" borderId="0" xfId="4" applyNumberFormat="1" applyFont="1"/>
    <xf numFmtId="2" fontId="6" fillId="0" borderId="5" xfId="4" applyNumberFormat="1" applyFont="1" applyBorder="1"/>
    <xf numFmtId="2" fontId="6" fillId="0" borderId="6" xfId="4" applyNumberFormat="1" applyFont="1" applyBorder="1"/>
    <xf numFmtId="3" fontId="23" fillId="5" borderId="0" xfId="0" applyNumberFormat="1" applyFont="1" applyFill="1" applyAlignment="1">
      <alignment horizontal="right" vertical="center" wrapText="1"/>
    </xf>
    <xf numFmtId="173" fontId="2" fillId="4" borderId="0" xfId="0" applyNumberFormat="1" applyFont="1" applyFill="1" applyAlignment="1">
      <alignment vertical="center"/>
    </xf>
    <xf numFmtId="174" fontId="2" fillId="4" borderId="0" xfId="0" applyNumberFormat="1" applyFont="1" applyFill="1" applyAlignment="1">
      <alignment vertical="center"/>
    </xf>
    <xf numFmtId="0" fontId="14" fillId="4" borderId="0" xfId="0" applyFont="1" applyFill="1" applyAlignment="1">
      <alignment vertical="center"/>
    </xf>
    <xf numFmtId="0" fontId="14" fillId="4" borderId="0" xfId="0" applyFont="1" applyFill="1" applyAlignment="1">
      <alignment vertical="center" wrapText="1"/>
    </xf>
    <xf numFmtId="0" fontId="14" fillId="4" borderId="15" xfId="0" applyFont="1" applyFill="1" applyBorder="1" applyAlignment="1">
      <alignment vertical="center"/>
    </xf>
    <xf numFmtId="0" fontId="14" fillId="4" borderId="0" xfId="0" applyFont="1" applyFill="1"/>
    <xf numFmtId="0" fontId="5" fillId="4" borderId="0" xfId="0" applyFont="1" applyFill="1" applyAlignment="1">
      <alignment horizontal="center"/>
    </xf>
    <xf numFmtId="0" fontId="24" fillId="0" borderId="0" xfId="0" applyFont="1"/>
    <xf numFmtId="0" fontId="1" fillId="7" borderId="0" xfId="0" applyFont="1" applyFill="1"/>
    <xf numFmtId="0" fontId="5" fillId="4" borderId="0" xfId="0" applyFont="1" applyFill="1"/>
    <xf numFmtId="0" fontId="5" fillId="4" borderId="0" xfId="0" applyFont="1" applyFill="1" applyAlignment="1">
      <alignment wrapText="1"/>
    </xf>
    <xf numFmtId="180" fontId="0" fillId="0" borderId="0" xfId="0" applyNumberFormat="1"/>
    <xf numFmtId="17" fontId="2" fillId="4" borderId="0" xfId="0" applyNumberFormat="1" applyFont="1" applyFill="1"/>
    <xf numFmtId="0" fontId="1" fillId="0" borderId="25" xfId="0" applyFont="1" applyBorder="1"/>
    <xf numFmtId="0" fontId="0" fillId="0" borderId="0" xfId="0" applyAlignment="1">
      <alignment vertical="center" wrapText="1"/>
    </xf>
    <xf numFmtId="0" fontId="0" fillId="13" borderId="0" xfId="0" applyFill="1"/>
    <xf numFmtId="169" fontId="0" fillId="13" borderId="0" xfId="0" applyNumberFormat="1" applyFill="1"/>
    <xf numFmtId="170" fontId="0" fillId="13" borderId="0" xfId="0" applyNumberFormat="1" applyFill="1"/>
    <xf numFmtId="10" fontId="6" fillId="0" borderId="0" xfId="4" applyNumberFormat="1" applyFont="1"/>
    <xf numFmtId="9" fontId="25" fillId="0" borderId="0" xfId="0" applyNumberFormat="1" applyFont="1"/>
    <xf numFmtId="182" fontId="1" fillId="0" borderId="12" xfId="0" applyNumberFormat="1" applyFont="1" applyBorder="1"/>
    <xf numFmtId="182" fontId="1" fillId="0" borderId="0" xfId="0" applyNumberFormat="1" applyFont="1"/>
    <xf numFmtId="9" fontId="11" fillId="0" borderId="0" xfId="0" applyNumberFormat="1" applyFont="1"/>
    <xf numFmtId="10" fontId="0" fillId="7" borderId="0" xfId="4" applyNumberFormat="1" applyFont="1" applyFill="1"/>
    <xf numFmtId="167" fontId="0" fillId="0" borderId="11" xfId="0" applyNumberFormat="1" applyBorder="1"/>
    <xf numFmtId="168" fontId="0" fillId="0" borderId="11" xfId="0" applyNumberFormat="1" applyBorder="1"/>
    <xf numFmtId="0" fontId="0" fillId="0" borderId="0" xfId="0" applyAlignment="1">
      <alignment horizontal="center" vertical="center" wrapText="1"/>
    </xf>
    <xf numFmtId="0" fontId="2" fillId="4" borderId="0" xfId="0" applyFont="1" applyFill="1" applyAlignment="1">
      <alignment horizontal="center"/>
    </xf>
    <xf numFmtId="0" fontId="5" fillId="4" borderId="0" xfId="0" applyFont="1" applyFill="1" applyAlignment="1">
      <alignment horizontal="center"/>
    </xf>
    <xf numFmtId="0" fontId="0" fillId="4" borderId="0" xfId="0" applyFill="1" applyAlignment="1">
      <alignment horizontal="center"/>
    </xf>
    <xf numFmtId="0" fontId="14" fillId="4" borderId="0" xfId="0" applyFont="1" applyFill="1" applyAlignment="1">
      <alignment horizontal="center" vertical="center"/>
    </xf>
    <xf numFmtId="0" fontId="0" fillId="13" borderId="0" xfId="0" applyFill="1" applyAlignment="1">
      <alignment horizontal="center"/>
    </xf>
    <xf numFmtId="0" fontId="14" fillId="4" borderId="0" xfId="0" applyFont="1" applyFill="1" applyAlignment="1">
      <alignment horizontal="center"/>
    </xf>
    <xf numFmtId="0" fontId="26" fillId="4" borderId="0" xfId="0" applyFont="1" applyFill="1" applyAlignment="1">
      <alignment horizontal="center"/>
    </xf>
    <xf numFmtId="0" fontId="14" fillId="4" borderId="14" xfId="0" applyFont="1" applyFill="1" applyBorder="1" applyAlignment="1">
      <alignment horizontal="center" vertical="center"/>
    </xf>
    <xf numFmtId="0" fontId="21" fillId="4" borderId="0" xfId="0" applyFont="1" applyFill="1" applyAlignment="1">
      <alignment horizontal="center"/>
    </xf>
    <xf numFmtId="0" fontId="21" fillId="9" borderId="0" xfId="0" applyFont="1" applyFill="1" applyAlignment="1">
      <alignment horizontal="center"/>
    </xf>
    <xf numFmtId="43" fontId="4" fillId="0" borderId="0" xfId="2" applyNumberFormat="1" applyBorder="1" applyAlignment="1" applyProtection="1">
      <alignment horizontal="center"/>
    </xf>
    <xf numFmtId="43" fontId="2" fillId="2" borderId="0" xfId="3" applyNumberFormat="1" applyFont="1" applyBorder="1" applyAlignment="1">
      <alignment horizontal="center"/>
    </xf>
  </cellXfs>
  <cellStyles count="7">
    <cellStyle name="60% - Accent1" xfId="5" builtinId="32"/>
    <cellStyle name="60% - Accent3" xfId="6" builtinId="40"/>
    <cellStyle name="Accent6" xfId="3" builtinId="49"/>
    <cellStyle name="Comma" xfId="1" builtinId="3"/>
    <cellStyle name="Hyperlink" xfId="2" builtinId="8"/>
    <cellStyle name="Normal" xfId="0" builtinId="0"/>
    <cellStyle name="Percent" xfId="4" builtinId="5"/>
  </cellStyles>
  <dxfs count="19">
    <dxf>
      <font>
        <b/>
        <i val="0"/>
        <color theme="0"/>
      </font>
      <fill>
        <patternFill>
          <bgColor theme="5"/>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06600"/>
      <color rgb="FFD2FBC7"/>
      <color rgb="FF3333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microsoft.com/office/2017/06/relationships/rdRichValue" Target="richData/rdrichvalue.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4">
                  <a:lumMod val="50000"/>
                </a:schemeClr>
              </a:solidFill>
              <a:ln>
                <a:solidFill>
                  <a:schemeClr val="accent4">
                    <a:lumMod val="50000"/>
                  </a:schemeClr>
                </a:solidFill>
              </a:ln>
              <a:effectLst/>
            </c:spPr>
            <c:extLst>
              <c:ext xmlns:c16="http://schemas.microsoft.com/office/drawing/2014/chart" uri="{C3380CC4-5D6E-409C-BE32-E72D297353CC}">
                <c16:uniqueId val="{00000001-E991-409E-B91D-A5B57162431A}"/>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E991-409E-B91D-A5B57162431A}"/>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E991-409E-B91D-A5B57162431A}"/>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7-E991-409E-B91D-A5B5716243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'Data_One Pager'!$T$3:$T$6</c:f>
              <c:strCache>
                <c:ptCount val="4"/>
                <c:pt idx="0">
                  <c:v>Promoters</c:v>
                </c:pt>
                <c:pt idx="1">
                  <c:v>DII</c:v>
                </c:pt>
                <c:pt idx="2">
                  <c:v>FII</c:v>
                </c:pt>
                <c:pt idx="3">
                  <c:v>Public+Government</c:v>
                </c:pt>
              </c:strCache>
            </c:strRef>
          </c:cat>
          <c:val>
            <c:numRef>
              <c:f>'Data_One Pager'!$U$3:$U$6</c:f>
              <c:numCache>
                <c:formatCode>0.00%</c:formatCode>
                <c:ptCount val="4"/>
                <c:pt idx="0">
                  <c:v>0.38119999999999998</c:v>
                </c:pt>
                <c:pt idx="1">
                  <c:v>0.2447</c:v>
                </c:pt>
                <c:pt idx="2">
                  <c:v>0.21709999999999999</c:v>
                </c:pt>
                <c:pt idx="3">
                  <c:v>0.15720000000000001</c:v>
                </c:pt>
              </c:numCache>
            </c:numRef>
          </c:val>
          <c:extLst>
            <c:ext xmlns:c16="http://schemas.microsoft.com/office/drawing/2014/chart" uri="{C3380CC4-5D6E-409C-BE32-E72D297353CC}">
              <c16:uniqueId val="{00000008-E991-409E-B91D-A5B57162431A}"/>
            </c:ext>
          </c:extLst>
        </c:ser>
        <c:dLbls>
          <c:dLblPos val="outEnd"/>
          <c:showLegendKey val="0"/>
          <c:showVal val="1"/>
          <c:showCatName val="0"/>
          <c:showSerName val="0"/>
          <c:showPercent val="0"/>
          <c:showBubbleSize val="0"/>
        </c:dLbls>
        <c:gapWidth val="182"/>
        <c:axId val="1305259824"/>
        <c:axId val="1269643216"/>
      </c:barChart>
      <c:catAx>
        <c:axId val="13052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43216"/>
        <c:crosses val="autoZero"/>
        <c:auto val="1"/>
        <c:lblAlgn val="ctr"/>
        <c:lblOffset val="100"/>
        <c:noMultiLvlLbl val="0"/>
      </c:catAx>
      <c:valAx>
        <c:axId val="126964321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259824"/>
        <c:crosses val="autoZero"/>
        <c:crossBetween val="between"/>
        <c:majorUnit val="0.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'Data_One Pager'!$B$1</c:f>
              <c:strCache>
                <c:ptCount val="1"/>
                <c:pt idx="0">
                  <c:v>Price</c:v>
                </c:pt>
              </c:strCache>
            </c:strRef>
          </c:tx>
          <c:spPr>
            <a:ln w="28575" cap="rnd">
              <a:solidFill>
                <a:schemeClr val="accent4">
                  <a:lumMod val="50000"/>
                </a:schemeClr>
              </a:solidFill>
              <a:round/>
            </a:ln>
            <a:effectLst/>
          </c:spPr>
          <c:marker>
            <c:symbol val="none"/>
          </c:marker>
          <c:cat>
            <c:numRef>
              <c:f>'Data_One Pager'!$A$2:$A$992</c:f>
              <c:numCache>
                <c:formatCode>mmm\ dd\,yyyy</c:formatCode>
                <c:ptCount val="991"/>
                <c:pt idx="0">
                  <c:v>46301</c:v>
                </c:pt>
                <c:pt idx="1">
                  <c:v>46300</c:v>
                </c:pt>
                <c:pt idx="2">
                  <c:v>46296</c:v>
                </c:pt>
                <c:pt idx="3">
                  <c:v>46295</c:v>
                </c:pt>
                <c:pt idx="4">
                  <c:v>46294</c:v>
                </c:pt>
                <c:pt idx="5">
                  <c:v>46293</c:v>
                </c:pt>
                <c:pt idx="6">
                  <c:v>46290</c:v>
                </c:pt>
                <c:pt idx="7">
                  <c:v>46289</c:v>
                </c:pt>
                <c:pt idx="8">
                  <c:v>46288</c:v>
                </c:pt>
                <c:pt idx="9">
                  <c:v>46287</c:v>
                </c:pt>
                <c:pt idx="10">
                  <c:v>46286</c:v>
                </c:pt>
                <c:pt idx="11">
                  <c:v>46283</c:v>
                </c:pt>
                <c:pt idx="12">
                  <c:v>46282</c:v>
                </c:pt>
                <c:pt idx="13">
                  <c:v>46281</c:v>
                </c:pt>
                <c:pt idx="14">
                  <c:v>46280</c:v>
                </c:pt>
                <c:pt idx="15">
                  <c:v>46276</c:v>
                </c:pt>
                <c:pt idx="16">
                  <c:v>46275</c:v>
                </c:pt>
                <c:pt idx="17">
                  <c:v>46274</c:v>
                </c:pt>
                <c:pt idx="18">
                  <c:v>46273</c:v>
                </c:pt>
                <c:pt idx="19">
                  <c:v>46272</c:v>
                </c:pt>
                <c:pt idx="20">
                  <c:v>46269</c:v>
                </c:pt>
                <c:pt idx="21">
                  <c:v>46268</c:v>
                </c:pt>
                <c:pt idx="22">
                  <c:v>46267</c:v>
                </c:pt>
                <c:pt idx="23">
                  <c:v>46266</c:v>
                </c:pt>
                <c:pt idx="24">
                  <c:v>46265</c:v>
                </c:pt>
                <c:pt idx="25">
                  <c:v>46262</c:v>
                </c:pt>
                <c:pt idx="26">
                  <c:v>46261</c:v>
                </c:pt>
                <c:pt idx="27">
                  <c:v>46260</c:v>
                </c:pt>
                <c:pt idx="28">
                  <c:v>46259</c:v>
                </c:pt>
                <c:pt idx="29">
                  <c:v>46258</c:v>
                </c:pt>
                <c:pt idx="30">
                  <c:v>46255</c:v>
                </c:pt>
                <c:pt idx="31">
                  <c:v>46254</c:v>
                </c:pt>
                <c:pt idx="32">
                  <c:v>46253</c:v>
                </c:pt>
                <c:pt idx="33">
                  <c:v>46252</c:v>
                </c:pt>
                <c:pt idx="34">
                  <c:v>46251</c:v>
                </c:pt>
                <c:pt idx="35">
                  <c:v>46248</c:v>
                </c:pt>
                <c:pt idx="36">
                  <c:v>46247</c:v>
                </c:pt>
                <c:pt idx="37">
                  <c:v>46246</c:v>
                </c:pt>
                <c:pt idx="38">
                  <c:v>46245</c:v>
                </c:pt>
                <c:pt idx="39">
                  <c:v>46244</c:v>
                </c:pt>
                <c:pt idx="40">
                  <c:v>46241</c:v>
                </c:pt>
                <c:pt idx="41">
                  <c:v>46240</c:v>
                </c:pt>
                <c:pt idx="42">
                  <c:v>46239</c:v>
                </c:pt>
                <c:pt idx="43">
                  <c:v>46238</c:v>
                </c:pt>
                <c:pt idx="44">
                  <c:v>46237</c:v>
                </c:pt>
                <c:pt idx="45">
                  <c:v>46234</c:v>
                </c:pt>
                <c:pt idx="46">
                  <c:v>46233</c:v>
                </c:pt>
                <c:pt idx="47">
                  <c:v>46232</c:v>
                </c:pt>
                <c:pt idx="48">
                  <c:v>46231</c:v>
                </c:pt>
                <c:pt idx="49">
                  <c:v>46230</c:v>
                </c:pt>
                <c:pt idx="50">
                  <c:v>46227</c:v>
                </c:pt>
                <c:pt idx="51">
                  <c:v>46226</c:v>
                </c:pt>
                <c:pt idx="52">
                  <c:v>46225</c:v>
                </c:pt>
                <c:pt idx="53">
                  <c:v>46224</c:v>
                </c:pt>
                <c:pt idx="54">
                  <c:v>46223</c:v>
                </c:pt>
                <c:pt idx="55">
                  <c:v>46220</c:v>
                </c:pt>
                <c:pt idx="56">
                  <c:v>46219</c:v>
                </c:pt>
                <c:pt idx="57">
                  <c:v>46218</c:v>
                </c:pt>
                <c:pt idx="58">
                  <c:v>46217</c:v>
                </c:pt>
                <c:pt idx="59">
                  <c:v>46216</c:v>
                </c:pt>
                <c:pt idx="60">
                  <c:v>46213</c:v>
                </c:pt>
                <c:pt idx="61">
                  <c:v>46212</c:v>
                </c:pt>
                <c:pt idx="62">
                  <c:v>46211</c:v>
                </c:pt>
                <c:pt idx="63">
                  <c:v>46210</c:v>
                </c:pt>
                <c:pt idx="64">
                  <c:v>46209</c:v>
                </c:pt>
                <c:pt idx="65">
                  <c:v>46206</c:v>
                </c:pt>
                <c:pt idx="66">
                  <c:v>46205</c:v>
                </c:pt>
                <c:pt idx="67">
                  <c:v>46204</c:v>
                </c:pt>
                <c:pt idx="68">
                  <c:v>46203</c:v>
                </c:pt>
                <c:pt idx="69">
                  <c:v>46202</c:v>
                </c:pt>
                <c:pt idx="70">
                  <c:v>46198</c:v>
                </c:pt>
                <c:pt idx="71">
                  <c:v>46197</c:v>
                </c:pt>
                <c:pt idx="72">
                  <c:v>46196</c:v>
                </c:pt>
                <c:pt idx="73">
                  <c:v>46195</c:v>
                </c:pt>
                <c:pt idx="74">
                  <c:v>46192</c:v>
                </c:pt>
                <c:pt idx="75">
                  <c:v>46191</c:v>
                </c:pt>
                <c:pt idx="76">
                  <c:v>46190</c:v>
                </c:pt>
                <c:pt idx="77">
                  <c:v>46189</c:v>
                </c:pt>
                <c:pt idx="78">
                  <c:v>46188</c:v>
                </c:pt>
                <c:pt idx="79">
                  <c:v>46185</c:v>
                </c:pt>
                <c:pt idx="80">
                  <c:v>46184</c:v>
                </c:pt>
                <c:pt idx="81">
                  <c:v>46183</c:v>
                </c:pt>
                <c:pt idx="82">
                  <c:v>46182</c:v>
                </c:pt>
                <c:pt idx="83">
                  <c:v>46181</c:v>
                </c:pt>
                <c:pt idx="84">
                  <c:v>46178</c:v>
                </c:pt>
                <c:pt idx="85">
                  <c:v>46177</c:v>
                </c:pt>
                <c:pt idx="86">
                  <c:v>46176</c:v>
                </c:pt>
                <c:pt idx="87">
                  <c:v>46175</c:v>
                </c:pt>
                <c:pt idx="88">
                  <c:v>46174</c:v>
                </c:pt>
                <c:pt idx="89">
                  <c:v>46171</c:v>
                </c:pt>
                <c:pt idx="90">
                  <c:v>46169</c:v>
                </c:pt>
                <c:pt idx="91">
                  <c:v>46168</c:v>
                </c:pt>
                <c:pt idx="92">
                  <c:v>46167</c:v>
                </c:pt>
                <c:pt idx="93">
                  <c:v>46164</c:v>
                </c:pt>
                <c:pt idx="94">
                  <c:v>46163</c:v>
                </c:pt>
                <c:pt idx="95">
                  <c:v>46162</c:v>
                </c:pt>
                <c:pt idx="96">
                  <c:v>46161</c:v>
                </c:pt>
                <c:pt idx="97">
                  <c:v>46160</c:v>
                </c:pt>
                <c:pt idx="98">
                  <c:v>46157</c:v>
                </c:pt>
                <c:pt idx="99">
                  <c:v>46156</c:v>
                </c:pt>
                <c:pt idx="100">
                  <c:v>46155</c:v>
                </c:pt>
                <c:pt idx="101">
                  <c:v>46154</c:v>
                </c:pt>
                <c:pt idx="102">
                  <c:v>46153</c:v>
                </c:pt>
                <c:pt idx="103">
                  <c:v>46150</c:v>
                </c:pt>
                <c:pt idx="104">
                  <c:v>46149</c:v>
                </c:pt>
                <c:pt idx="105">
                  <c:v>46148</c:v>
                </c:pt>
                <c:pt idx="106">
                  <c:v>46147</c:v>
                </c:pt>
                <c:pt idx="107">
                  <c:v>46146</c:v>
                </c:pt>
                <c:pt idx="108">
                  <c:v>46142</c:v>
                </c:pt>
                <c:pt idx="109">
                  <c:v>46141</c:v>
                </c:pt>
                <c:pt idx="110">
                  <c:v>46140</c:v>
                </c:pt>
                <c:pt idx="111">
                  <c:v>46139</c:v>
                </c:pt>
                <c:pt idx="112">
                  <c:v>46136</c:v>
                </c:pt>
                <c:pt idx="113">
                  <c:v>46135</c:v>
                </c:pt>
                <c:pt idx="114">
                  <c:v>46134</c:v>
                </c:pt>
                <c:pt idx="115">
                  <c:v>46133</c:v>
                </c:pt>
                <c:pt idx="116">
                  <c:v>46132</c:v>
                </c:pt>
                <c:pt idx="117">
                  <c:v>46129</c:v>
                </c:pt>
                <c:pt idx="118">
                  <c:v>46128</c:v>
                </c:pt>
                <c:pt idx="119">
                  <c:v>46127</c:v>
                </c:pt>
                <c:pt idx="120">
                  <c:v>46125</c:v>
                </c:pt>
                <c:pt idx="121">
                  <c:v>46122</c:v>
                </c:pt>
                <c:pt idx="122">
                  <c:v>46121</c:v>
                </c:pt>
                <c:pt idx="123">
                  <c:v>46120</c:v>
                </c:pt>
                <c:pt idx="124">
                  <c:v>46119</c:v>
                </c:pt>
                <c:pt idx="125">
                  <c:v>46118</c:v>
                </c:pt>
                <c:pt idx="126">
                  <c:v>46114</c:v>
                </c:pt>
                <c:pt idx="127">
                  <c:v>46113</c:v>
                </c:pt>
                <c:pt idx="128">
                  <c:v>46111</c:v>
                </c:pt>
                <c:pt idx="129">
                  <c:v>46108</c:v>
                </c:pt>
                <c:pt idx="130">
                  <c:v>46106</c:v>
                </c:pt>
                <c:pt idx="131">
                  <c:v>46105</c:v>
                </c:pt>
                <c:pt idx="132">
                  <c:v>46104</c:v>
                </c:pt>
                <c:pt idx="133">
                  <c:v>46101</c:v>
                </c:pt>
                <c:pt idx="134">
                  <c:v>46100</c:v>
                </c:pt>
                <c:pt idx="135">
                  <c:v>46099</c:v>
                </c:pt>
                <c:pt idx="136">
                  <c:v>46098</c:v>
                </c:pt>
                <c:pt idx="137">
                  <c:v>46097</c:v>
                </c:pt>
                <c:pt idx="138">
                  <c:v>46094</c:v>
                </c:pt>
                <c:pt idx="139">
                  <c:v>46093</c:v>
                </c:pt>
                <c:pt idx="140">
                  <c:v>46092</c:v>
                </c:pt>
                <c:pt idx="141">
                  <c:v>46091</c:v>
                </c:pt>
                <c:pt idx="142">
                  <c:v>46090</c:v>
                </c:pt>
                <c:pt idx="143">
                  <c:v>46087</c:v>
                </c:pt>
                <c:pt idx="144">
                  <c:v>46086</c:v>
                </c:pt>
                <c:pt idx="145">
                  <c:v>46085</c:v>
                </c:pt>
                <c:pt idx="146">
                  <c:v>46083</c:v>
                </c:pt>
                <c:pt idx="147">
                  <c:v>46080</c:v>
                </c:pt>
                <c:pt idx="148">
                  <c:v>46079</c:v>
                </c:pt>
                <c:pt idx="149">
                  <c:v>46078</c:v>
                </c:pt>
                <c:pt idx="150">
                  <c:v>46077</c:v>
                </c:pt>
                <c:pt idx="151">
                  <c:v>46076</c:v>
                </c:pt>
                <c:pt idx="152">
                  <c:v>46073</c:v>
                </c:pt>
                <c:pt idx="153">
                  <c:v>46072</c:v>
                </c:pt>
                <c:pt idx="154">
                  <c:v>46071</c:v>
                </c:pt>
                <c:pt idx="155">
                  <c:v>46070</c:v>
                </c:pt>
                <c:pt idx="156">
                  <c:v>46069</c:v>
                </c:pt>
                <c:pt idx="157">
                  <c:v>46066</c:v>
                </c:pt>
                <c:pt idx="158">
                  <c:v>46065</c:v>
                </c:pt>
                <c:pt idx="159">
                  <c:v>46064</c:v>
                </c:pt>
                <c:pt idx="160">
                  <c:v>46063</c:v>
                </c:pt>
                <c:pt idx="161">
                  <c:v>46062</c:v>
                </c:pt>
                <c:pt idx="162">
                  <c:v>46059</c:v>
                </c:pt>
                <c:pt idx="163">
                  <c:v>46058</c:v>
                </c:pt>
                <c:pt idx="164">
                  <c:v>46057</c:v>
                </c:pt>
                <c:pt idx="165">
                  <c:v>46056</c:v>
                </c:pt>
                <c:pt idx="166">
                  <c:v>46055</c:v>
                </c:pt>
                <c:pt idx="167">
                  <c:v>46054</c:v>
                </c:pt>
                <c:pt idx="168">
                  <c:v>46052</c:v>
                </c:pt>
                <c:pt idx="169">
                  <c:v>46051</c:v>
                </c:pt>
                <c:pt idx="170">
                  <c:v>46050</c:v>
                </c:pt>
                <c:pt idx="171">
                  <c:v>46049</c:v>
                </c:pt>
                <c:pt idx="172">
                  <c:v>46045</c:v>
                </c:pt>
                <c:pt idx="173">
                  <c:v>46044</c:v>
                </c:pt>
                <c:pt idx="174">
                  <c:v>46043</c:v>
                </c:pt>
                <c:pt idx="175">
                  <c:v>46042</c:v>
                </c:pt>
                <c:pt idx="176">
                  <c:v>46041</c:v>
                </c:pt>
                <c:pt idx="177">
                  <c:v>46038</c:v>
                </c:pt>
                <c:pt idx="178">
                  <c:v>46036</c:v>
                </c:pt>
                <c:pt idx="179">
                  <c:v>46035</c:v>
                </c:pt>
                <c:pt idx="180">
                  <c:v>46034</c:v>
                </c:pt>
                <c:pt idx="181">
                  <c:v>46031</c:v>
                </c:pt>
                <c:pt idx="182">
                  <c:v>46030</c:v>
                </c:pt>
                <c:pt idx="183">
                  <c:v>46029</c:v>
                </c:pt>
                <c:pt idx="184">
                  <c:v>46028</c:v>
                </c:pt>
                <c:pt idx="185">
                  <c:v>46027</c:v>
                </c:pt>
                <c:pt idx="186">
                  <c:v>46024</c:v>
                </c:pt>
                <c:pt idx="187">
                  <c:v>46023</c:v>
                </c:pt>
                <c:pt idx="188">
                  <c:v>46022</c:v>
                </c:pt>
                <c:pt idx="189">
                  <c:v>46021</c:v>
                </c:pt>
                <c:pt idx="190">
                  <c:v>46020</c:v>
                </c:pt>
                <c:pt idx="191">
                  <c:v>46017</c:v>
                </c:pt>
                <c:pt idx="192">
                  <c:v>46015</c:v>
                </c:pt>
                <c:pt idx="193">
                  <c:v>46014</c:v>
                </c:pt>
                <c:pt idx="194">
                  <c:v>46013</c:v>
                </c:pt>
                <c:pt idx="195">
                  <c:v>46010</c:v>
                </c:pt>
                <c:pt idx="196">
                  <c:v>46009</c:v>
                </c:pt>
                <c:pt idx="197">
                  <c:v>46008</c:v>
                </c:pt>
                <c:pt idx="198">
                  <c:v>46007</c:v>
                </c:pt>
                <c:pt idx="199">
                  <c:v>46006</c:v>
                </c:pt>
                <c:pt idx="200">
                  <c:v>46003</c:v>
                </c:pt>
                <c:pt idx="201">
                  <c:v>46002</c:v>
                </c:pt>
                <c:pt idx="202">
                  <c:v>46001</c:v>
                </c:pt>
                <c:pt idx="203">
                  <c:v>46000</c:v>
                </c:pt>
                <c:pt idx="204">
                  <c:v>45999</c:v>
                </c:pt>
                <c:pt idx="205">
                  <c:v>45996</c:v>
                </c:pt>
                <c:pt idx="206">
                  <c:v>45995</c:v>
                </c:pt>
                <c:pt idx="207">
                  <c:v>45994</c:v>
                </c:pt>
                <c:pt idx="208">
                  <c:v>45993</c:v>
                </c:pt>
                <c:pt idx="209">
                  <c:v>45992</c:v>
                </c:pt>
                <c:pt idx="210">
                  <c:v>45989</c:v>
                </c:pt>
                <c:pt idx="211">
                  <c:v>45988</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45965</c:v>
                </c:pt>
                <c:pt idx="228">
                  <c:v>45964</c:v>
                </c:pt>
                <c:pt idx="229">
                  <c:v>45961</c:v>
                </c:pt>
                <c:pt idx="230">
                  <c:v>45960</c:v>
                </c:pt>
                <c:pt idx="231">
                  <c:v>45959</c:v>
                </c:pt>
                <c:pt idx="232">
                  <c:v>45958</c:v>
                </c:pt>
                <c:pt idx="233">
                  <c:v>45957</c:v>
                </c:pt>
                <c:pt idx="234">
                  <c:v>45954</c:v>
                </c:pt>
                <c:pt idx="235">
                  <c:v>45953</c:v>
                </c:pt>
                <c:pt idx="236">
                  <c:v>45951</c:v>
                </c:pt>
                <c:pt idx="237">
                  <c:v>45950</c:v>
                </c:pt>
                <c:pt idx="238">
                  <c:v>45947</c:v>
                </c:pt>
                <c:pt idx="239">
                  <c:v>45946</c:v>
                </c:pt>
                <c:pt idx="240">
                  <c:v>45945</c:v>
                </c:pt>
                <c:pt idx="241">
                  <c:v>45944</c:v>
                </c:pt>
                <c:pt idx="242">
                  <c:v>45943</c:v>
                </c:pt>
                <c:pt idx="243">
                  <c:v>45940</c:v>
                </c:pt>
                <c:pt idx="244">
                  <c:v>45939</c:v>
                </c:pt>
                <c:pt idx="245">
                  <c:v>45938</c:v>
                </c:pt>
                <c:pt idx="246">
                  <c:v>45937</c:v>
                </c:pt>
                <c:pt idx="247">
                  <c:v>45936</c:v>
                </c:pt>
                <c:pt idx="248">
                  <c:v>45933</c:v>
                </c:pt>
                <c:pt idx="249">
                  <c:v>45931</c:v>
                </c:pt>
                <c:pt idx="250">
                  <c:v>45930</c:v>
                </c:pt>
                <c:pt idx="251">
                  <c:v>45929</c:v>
                </c:pt>
                <c:pt idx="252">
                  <c:v>45926</c:v>
                </c:pt>
                <c:pt idx="253">
                  <c:v>45925</c:v>
                </c:pt>
                <c:pt idx="254">
                  <c:v>45924</c:v>
                </c:pt>
                <c:pt idx="255">
                  <c:v>45923</c:v>
                </c:pt>
                <c:pt idx="256">
                  <c:v>45922</c:v>
                </c:pt>
                <c:pt idx="257">
                  <c:v>45919</c:v>
                </c:pt>
                <c:pt idx="258">
                  <c:v>45918</c:v>
                </c:pt>
                <c:pt idx="259">
                  <c:v>45917</c:v>
                </c:pt>
                <c:pt idx="260">
                  <c:v>45916</c:v>
                </c:pt>
                <c:pt idx="261">
                  <c:v>45915</c:v>
                </c:pt>
                <c:pt idx="262">
                  <c:v>45912</c:v>
                </c:pt>
                <c:pt idx="263">
                  <c:v>45911</c:v>
                </c:pt>
                <c:pt idx="264">
                  <c:v>45910</c:v>
                </c:pt>
                <c:pt idx="265">
                  <c:v>45909</c:v>
                </c:pt>
                <c:pt idx="266">
                  <c:v>45908</c:v>
                </c:pt>
                <c:pt idx="267">
                  <c:v>45905</c:v>
                </c:pt>
                <c:pt idx="268">
                  <c:v>45904</c:v>
                </c:pt>
                <c:pt idx="269">
                  <c:v>45903</c:v>
                </c:pt>
                <c:pt idx="270">
                  <c:v>45902</c:v>
                </c:pt>
                <c:pt idx="271">
                  <c:v>45901</c:v>
                </c:pt>
                <c:pt idx="272">
                  <c:v>45898</c:v>
                </c:pt>
                <c:pt idx="273">
                  <c:v>45897</c:v>
                </c:pt>
                <c:pt idx="274">
                  <c:v>45895</c:v>
                </c:pt>
                <c:pt idx="275">
                  <c:v>45894</c:v>
                </c:pt>
                <c:pt idx="276">
                  <c:v>45891</c:v>
                </c:pt>
                <c:pt idx="277">
                  <c:v>45890</c:v>
                </c:pt>
                <c:pt idx="278">
                  <c:v>45889</c:v>
                </c:pt>
                <c:pt idx="279">
                  <c:v>45888</c:v>
                </c:pt>
                <c:pt idx="280">
                  <c:v>45887</c:v>
                </c:pt>
                <c:pt idx="281">
                  <c:v>45883</c:v>
                </c:pt>
                <c:pt idx="282">
                  <c:v>45882</c:v>
                </c:pt>
                <c:pt idx="283">
                  <c:v>45881</c:v>
                </c:pt>
                <c:pt idx="284">
                  <c:v>45880</c:v>
                </c:pt>
                <c:pt idx="285">
                  <c:v>45877</c:v>
                </c:pt>
                <c:pt idx="286">
                  <c:v>45876</c:v>
                </c:pt>
                <c:pt idx="287">
                  <c:v>45875</c:v>
                </c:pt>
                <c:pt idx="288">
                  <c:v>45874</c:v>
                </c:pt>
                <c:pt idx="289">
                  <c:v>45873</c:v>
                </c:pt>
                <c:pt idx="290">
                  <c:v>45870</c:v>
                </c:pt>
                <c:pt idx="291">
                  <c:v>45869</c:v>
                </c:pt>
                <c:pt idx="292">
                  <c:v>45868</c:v>
                </c:pt>
                <c:pt idx="293">
                  <c:v>45867</c:v>
                </c:pt>
                <c:pt idx="294">
                  <c:v>45866</c:v>
                </c:pt>
                <c:pt idx="295">
                  <c:v>45863</c:v>
                </c:pt>
                <c:pt idx="296">
                  <c:v>45862</c:v>
                </c:pt>
                <c:pt idx="297">
                  <c:v>45861</c:v>
                </c:pt>
                <c:pt idx="298">
                  <c:v>45860</c:v>
                </c:pt>
                <c:pt idx="299">
                  <c:v>45859</c:v>
                </c:pt>
                <c:pt idx="300">
                  <c:v>45856</c:v>
                </c:pt>
                <c:pt idx="301">
                  <c:v>45855</c:v>
                </c:pt>
                <c:pt idx="302">
                  <c:v>45854</c:v>
                </c:pt>
                <c:pt idx="303">
                  <c:v>45853</c:v>
                </c:pt>
                <c:pt idx="304">
                  <c:v>45852</c:v>
                </c:pt>
                <c:pt idx="305">
                  <c:v>45849</c:v>
                </c:pt>
                <c:pt idx="306">
                  <c:v>45848</c:v>
                </c:pt>
                <c:pt idx="307">
                  <c:v>45847</c:v>
                </c:pt>
                <c:pt idx="308">
                  <c:v>45846</c:v>
                </c:pt>
                <c:pt idx="309">
                  <c:v>45845</c:v>
                </c:pt>
                <c:pt idx="310">
                  <c:v>45842</c:v>
                </c:pt>
                <c:pt idx="311">
                  <c:v>45841</c:v>
                </c:pt>
                <c:pt idx="312">
                  <c:v>45840</c:v>
                </c:pt>
                <c:pt idx="313">
                  <c:v>45839</c:v>
                </c:pt>
                <c:pt idx="314">
                  <c:v>45838</c:v>
                </c:pt>
                <c:pt idx="315">
                  <c:v>45835</c:v>
                </c:pt>
                <c:pt idx="316">
                  <c:v>45834</c:v>
                </c:pt>
                <c:pt idx="317">
                  <c:v>45833</c:v>
                </c:pt>
                <c:pt idx="318">
                  <c:v>45832</c:v>
                </c:pt>
                <c:pt idx="319">
                  <c:v>45831</c:v>
                </c:pt>
                <c:pt idx="320">
                  <c:v>45828</c:v>
                </c:pt>
                <c:pt idx="321">
                  <c:v>45827</c:v>
                </c:pt>
                <c:pt idx="322">
                  <c:v>45826</c:v>
                </c:pt>
                <c:pt idx="323">
                  <c:v>45825</c:v>
                </c:pt>
                <c:pt idx="324">
                  <c:v>45824</c:v>
                </c:pt>
                <c:pt idx="325">
                  <c:v>45821</c:v>
                </c:pt>
                <c:pt idx="326">
                  <c:v>45820</c:v>
                </c:pt>
                <c:pt idx="327">
                  <c:v>45819</c:v>
                </c:pt>
                <c:pt idx="328">
                  <c:v>45818</c:v>
                </c:pt>
                <c:pt idx="329">
                  <c:v>45817</c:v>
                </c:pt>
                <c:pt idx="330">
                  <c:v>45814</c:v>
                </c:pt>
                <c:pt idx="331">
                  <c:v>45813</c:v>
                </c:pt>
                <c:pt idx="332">
                  <c:v>45812</c:v>
                </c:pt>
                <c:pt idx="333">
                  <c:v>45811</c:v>
                </c:pt>
                <c:pt idx="334">
                  <c:v>45810</c:v>
                </c:pt>
                <c:pt idx="335">
                  <c:v>45807</c:v>
                </c:pt>
                <c:pt idx="336">
                  <c:v>45806</c:v>
                </c:pt>
                <c:pt idx="337">
                  <c:v>45805</c:v>
                </c:pt>
                <c:pt idx="338">
                  <c:v>45804</c:v>
                </c:pt>
                <c:pt idx="339">
                  <c:v>45803</c:v>
                </c:pt>
                <c:pt idx="340">
                  <c:v>45800</c:v>
                </c:pt>
                <c:pt idx="341">
                  <c:v>45799</c:v>
                </c:pt>
                <c:pt idx="342">
                  <c:v>45798</c:v>
                </c:pt>
                <c:pt idx="343">
                  <c:v>45797</c:v>
                </c:pt>
                <c:pt idx="344">
                  <c:v>45796</c:v>
                </c:pt>
                <c:pt idx="345">
                  <c:v>45793</c:v>
                </c:pt>
                <c:pt idx="346">
                  <c:v>45792</c:v>
                </c:pt>
                <c:pt idx="347">
                  <c:v>45791</c:v>
                </c:pt>
                <c:pt idx="348">
                  <c:v>45790</c:v>
                </c:pt>
                <c:pt idx="349">
                  <c:v>45789</c:v>
                </c:pt>
                <c:pt idx="350">
                  <c:v>45786</c:v>
                </c:pt>
                <c:pt idx="351">
                  <c:v>45785</c:v>
                </c:pt>
                <c:pt idx="352">
                  <c:v>45784</c:v>
                </c:pt>
                <c:pt idx="353">
                  <c:v>45783</c:v>
                </c:pt>
                <c:pt idx="354">
                  <c:v>45782</c:v>
                </c:pt>
                <c:pt idx="355">
                  <c:v>45779</c:v>
                </c:pt>
                <c:pt idx="356">
                  <c:v>45777</c:v>
                </c:pt>
                <c:pt idx="357">
                  <c:v>45776</c:v>
                </c:pt>
                <c:pt idx="358">
                  <c:v>45775</c:v>
                </c:pt>
                <c:pt idx="359">
                  <c:v>45772</c:v>
                </c:pt>
                <c:pt idx="360">
                  <c:v>45771</c:v>
                </c:pt>
                <c:pt idx="361">
                  <c:v>45770</c:v>
                </c:pt>
                <c:pt idx="362">
                  <c:v>45769</c:v>
                </c:pt>
                <c:pt idx="363">
                  <c:v>45768</c:v>
                </c:pt>
                <c:pt idx="364">
                  <c:v>45764</c:v>
                </c:pt>
                <c:pt idx="365">
                  <c:v>45763</c:v>
                </c:pt>
                <c:pt idx="366">
                  <c:v>45762</c:v>
                </c:pt>
                <c:pt idx="367">
                  <c:v>45758</c:v>
                </c:pt>
                <c:pt idx="368">
                  <c:v>45756</c:v>
                </c:pt>
                <c:pt idx="369">
                  <c:v>45755</c:v>
                </c:pt>
                <c:pt idx="370">
                  <c:v>45754</c:v>
                </c:pt>
                <c:pt idx="371">
                  <c:v>45751</c:v>
                </c:pt>
                <c:pt idx="372">
                  <c:v>45750</c:v>
                </c:pt>
                <c:pt idx="373">
                  <c:v>45749</c:v>
                </c:pt>
                <c:pt idx="374">
                  <c:v>45748</c:v>
                </c:pt>
                <c:pt idx="375">
                  <c:v>45744</c:v>
                </c:pt>
                <c:pt idx="376">
                  <c:v>45743</c:v>
                </c:pt>
                <c:pt idx="377">
                  <c:v>45742</c:v>
                </c:pt>
                <c:pt idx="378">
                  <c:v>45741</c:v>
                </c:pt>
                <c:pt idx="379">
                  <c:v>45740</c:v>
                </c:pt>
                <c:pt idx="380">
                  <c:v>45737</c:v>
                </c:pt>
                <c:pt idx="381">
                  <c:v>45736</c:v>
                </c:pt>
                <c:pt idx="382">
                  <c:v>45735</c:v>
                </c:pt>
                <c:pt idx="383">
                  <c:v>45734</c:v>
                </c:pt>
                <c:pt idx="384">
                  <c:v>45733</c:v>
                </c:pt>
                <c:pt idx="385">
                  <c:v>45729</c:v>
                </c:pt>
                <c:pt idx="386">
                  <c:v>45728</c:v>
                </c:pt>
                <c:pt idx="387">
                  <c:v>45727</c:v>
                </c:pt>
                <c:pt idx="388">
                  <c:v>45726</c:v>
                </c:pt>
                <c:pt idx="389">
                  <c:v>45723</c:v>
                </c:pt>
                <c:pt idx="390">
                  <c:v>45722</c:v>
                </c:pt>
                <c:pt idx="391">
                  <c:v>45721</c:v>
                </c:pt>
                <c:pt idx="392">
                  <c:v>45720</c:v>
                </c:pt>
                <c:pt idx="393">
                  <c:v>45719</c:v>
                </c:pt>
                <c:pt idx="394">
                  <c:v>45716</c:v>
                </c:pt>
                <c:pt idx="395">
                  <c:v>45715</c:v>
                </c:pt>
                <c:pt idx="396">
                  <c:v>45713</c:v>
                </c:pt>
                <c:pt idx="397">
                  <c:v>45712</c:v>
                </c:pt>
                <c:pt idx="398">
                  <c:v>45709</c:v>
                </c:pt>
                <c:pt idx="399">
                  <c:v>45708</c:v>
                </c:pt>
                <c:pt idx="400">
                  <c:v>45707</c:v>
                </c:pt>
                <c:pt idx="401">
                  <c:v>45706</c:v>
                </c:pt>
                <c:pt idx="402">
                  <c:v>45705</c:v>
                </c:pt>
                <c:pt idx="403">
                  <c:v>45702</c:v>
                </c:pt>
                <c:pt idx="404">
                  <c:v>45701</c:v>
                </c:pt>
                <c:pt idx="405">
                  <c:v>45700</c:v>
                </c:pt>
                <c:pt idx="406">
                  <c:v>45699</c:v>
                </c:pt>
                <c:pt idx="407">
                  <c:v>45698</c:v>
                </c:pt>
                <c:pt idx="408">
                  <c:v>45695</c:v>
                </c:pt>
                <c:pt idx="409">
                  <c:v>45694</c:v>
                </c:pt>
                <c:pt idx="410">
                  <c:v>45693</c:v>
                </c:pt>
                <c:pt idx="411">
                  <c:v>45692</c:v>
                </c:pt>
                <c:pt idx="412">
                  <c:v>45691</c:v>
                </c:pt>
                <c:pt idx="413">
                  <c:v>45689</c:v>
                </c:pt>
                <c:pt idx="414">
                  <c:v>45688</c:v>
                </c:pt>
                <c:pt idx="415">
                  <c:v>45687</c:v>
                </c:pt>
                <c:pt idx="416">
                  <c:v>45686</c:v>
                </c:pt>
                <c:pt idx="417">
                  <c:v>45685</c:v>
                </c:pt>
                <c:pt idx="418">
                  <c:v>45684</c:v>
                </c:pt>
                <c:pt idx="419">
                  <c:v>45681</c:v>
                </c:pt>
                <c:pt idx="420">
                  <c:v>45680</c:v>
                </c:pt>
                <c:pt idx="421">
                  <c:v>45679</c:v>
                </c:pt>
                <c:pt idx="422">
                  <c:v>45678</c:v>
                </c:pt>
                <c:pt idx="423">
                  <c:v>45677</c:v>
                </c:pt>
                <c:pt idx="424">
                  <c:v>45674</c:v>
                </c:pt>
                <c:pt idx="425">
                  <c:v>45673</c:v>
                </c:pt>
                <c:pt idx="426">
                  <c:v>45672</c:v>
                </c:pt>
                <c:pt idx="427">
                  <c:v>45671</c:v>
                </c:pt>
                <c:pt idx="428">
                  <c:v>45670</c:v>
                </c:pt>
                <c:pt idx="429">
                  <c:v>45667</c:v>
                </c:pt>
                <c:pt idx="430">
                  <c:v>45666</c:v>
                </c:pt>
                <c:pt idx="431">
                  <c:v>45665</c:v>
                </c:pt>
                <c:pt idx="432">
                  <c:v>45664</c:v>
                </c:pt>
                <c:pt idx="433">
                  <c:v>45663</c:v>
                </c:pt>
                <c:pt idx="434">
                  <c:v>45660</c:v>
                </c:pt>
                <c:pt idx="435">
                  <c:v>45659</c:v>
                </c:pt>
                <c:pt idx="436">
                  <c:v>45658</c:v>
                </c:pt>
                <c:pt idx="437">
                  <c:v>45657</c:v>
                </c:pt>
                <c:pt idx="438">
                  <c:v>45656</c:v>
                </c:pt>
                <c:pt idx="439">
                  <c:v>45653</c:v>
                </c:pt>
                <c:pt idx="440">
                  <c:v>45652</c:v>
                </c:pt>
                <c:pt idx="441">
                  <c:v>45650</c:v>
                </c:pt>
                <c:pt idx="442">
                  <c:v>45649</c:v>
                </c:pt>
                <c:pt idx="443">
                  <c:v>45646</c:v>
                </c:pt>
                <c:pt idx="444">
                  <c:v>45645</c:v>
                </c:pt>
                <c:pt idx="445">
                  <c:v>45644</c:v>
                </c:pt>
                <c:pt idx="446">
                  <c:v>45643</c:v>
                </c:pt>
                <c:pt idx="447">
                  <c:v>45642</c:v>
                </c:pt>
                <c:pt idx="448">
                  <c:v>45639</c:v>
                </c:pt>
                <c:pt idx="449">
                  <c:v>45638</c:v>
                </c:pt>
                <c:pt idx="450">
                  <c:v>45637</c:v>
                </c:pt>
                <c:pt idx="451">
                  <c:v>45636</c:v>
                </c:pt>
                <c:pt idx="452">
                  <c:v>45635</c:v>
                </c:pt>
                <c:pt idx="453">
                  <c:v>45632</c:v>
                </c:pt>
                <c:pt idx="454">
                  <c:v>45631</c:v>
                </c:pt>
                <c:pt idx="455">
                  <c:v>45630</c:v>
                </c:pt>
                <c:pt idx="456">
                  <c:v>45629</c:v>
                </c:pt>
                <c:pt idx="457">
                  <c:v>45628</c:v>
                </c:pt>
                <c:pt idx="458">
                  <c:v>45625</c:v>
                </c:pt>
                <c:pt idx="459">
                  <c:v>45624</c:v>
                </c:pt>
                <c:pt idx="460">
                  <c:v>45623</c:v>
                </c:pt>
                <c:pt idx="461">
                  <c:v>45622</c:v>
                </c:pt>
                <c:pt idx="462">
                  <c:v>45621</c:v>
                </c:pt>
                <c:pt idx="463">
                  <c:v>45618</c:v>
                </c:pt>
                <c:pt idx="464">
                  <c:v>45617</c:v>
                </c:pt>
                <c:pt idx="465">
                  <c:v>45615</c:v>
                </c:pt>
                <c:pt idx="466">
                  <c:v>45614</c:v>
                </c:pt>
                <c:pt idx="467">
                  <c:v>45610</c:v>
                </c:pt>
                <c:pt idx="468">
                  <c:v>45609</c:v>
                </c:pt>
                <c:pt idx="469">
                  <c:v>45608</c:v>
                </c:pt>
                <c:pt idx="470">
                  <c:v>45607</c:v>
                </c:pt>
                <c:pt idx="471">
                  <c:v>45604</c:v>
                </c:pt>
                <c:pt idx="472">
                  <c:v>45603</c:v>
                </c:pt>
                <c:pt idx="473">
                  <c:v>45602</c:v>
                </c:pt>
                <c:pt idx="474">
                  <c:v>45601</c:v>
                </c:pt>
                <c:pt idx="475">
                  <c:v>45600</c:v>
                </c:pt>
                <c:pt idx="476">
                  <c:v>45597</c:v>
                </c:pt>
                <c:pt idx="477">
                  <c:v>45596</c:v>
                </c:pt>
                <c:pt idx="478">
                  <c:v>45595</c:v>
                </c:pt>
                <c:pt idx="479">
                  <c:v>45594</c:v>
                </c:pt>
                <c:pt idx="480">
                  <c:v>45593</c:v>
                </c:pt>
                <c:pt idx="481">
                  <c:v>45590</c:v>
                </c:pt>
                <c:pt idx="482">
                  <c:v>45589</c:v>
                </c:pt>
                <c:pt idx="483">
                  <c:v>45588</c:v>
                </c:pt>
                <c:pt idx="484">
                  <c:v>45587</c:v>
                </c:pt>
                <c:pt idx="485">
                  <c:v>45586</c:v>
                </c:pt>
                <c:pt idx="486">
                  <c:v>45583</c:v>
                </c:pt>
                <c:pt idx="487">
                  <c:v>45582</c:v>
                </c:pt>
                <c:pt idx="488">
                  <c:v>45581</c:v>
                </c:pt>
                <c:pt idx="489">
                  <c:v>45580</c:v>
                </c:pt>
                <c:pt idx="490">
                  <c:v>45579</c:v>
                </c:pt>
                <c:pt idx="491">
                  <c:v>45576</c:v>
                </c:pt>
                <c:pt idx="492">
                  <c:v>45575</c:v>
                </c:pt>
                <c:pt idx="493">
                  <c:v>45574</c:v>
                </c:pt>
                <c:pt idx="494">
                  <c:v>45573</c:v>
                </c:pt>
                <c:pt idx="495">
                  <c:v>45572</c:v>
                </c:pt>
                <c:pt idx="496">
                  <c:v>45569</c:v>
                </c:pt>
                <c:pt idx="497">
                  <c:v>45568</c:v>
                </c:pt>
                <c:pt idx="498">
                  <c:v>45566</c:v>
                </c:pt>
                <c:pt idx="499">
                  <c:v>45565</c:v>
                </c:pt>
                <c:pt idx="500">
                  <c:v>45562</c:v>
                </c:pt>
                <c:pt idx="501">
                  <c:v>45561</c:v>
                </c:pt>
                <c:pt idx="502">
                  <c:v>45560</c:v>
                </c:pt>
                <c:pt idx="503">
                  <c:v>45559</c:v>
                </c:pt>
                <c:pt idx="504">
                  <c:v>45558</c:v>
                </c:pt>
                <c:pt idx="505">
                  <c:v>45555</c:v>
                </c:pt>
                <c:pt idx="506">
                  <c:v>45554</c:v>
                </c:pt>
                <c:pt idx="507">
                  <c:v>45553</c:v>
                </c:pt>
                <c:pt idx="508">
                  <c:v>45552</c:v>
                </c:pt>
                <c:pt idx="509">
                  <c:v>45551</c:v>
                </c:pt>
                <c:pt idx="510">
                  <c:v>45548</c:v>
                </c:pt>
                <c:pt idx="511">
                  <c:v>45547</c:v>
                </c:pt>
                <c:pt idx="512">
                  <c:v>45546</c:v>
                </c:pt>
                <c:pt idx="513">
                  <c:v>45545</c:v>
                </c:pt>
                <c:pt idx="514">
                  <c:v>45544</c:v>
                </c:pt>
                <c:pt idx="515">
                  <c:v>45541</c:v>
                </c:pt>
                <c:pt idx="516">
                  <c:v>45540</c:v>
                </c:pt>
                <c:pt idx="517">
                  <c:v>45539</c:v>
                </c:pt>
                <c:pt idx="518">
                  <c:v>45538</c:v>
                </c:pt>
                <c:pt idx="519">
                  <c:v>45537</c:v>
                </c:pt>
                <c:pt idx="520">
                  <c:v>45534</c:v>
                </c:pt>
                <c:pt idx="521">
                  <c:v>45533</c:v>
                </c:pt>
                <c:pt idx="522">
                  <c:v>45532</c:v>
                </c:pt>
                <c:pt idx="523">
                  <c:v>45531</c:v>
                </c:pt>
                <c:pt idx="524">
                  <c:v>45530</c:v>
                </c:pt>
                <c:pt idx="525">
                  <c:v>45527</c:v>
                </c:pt>
                <c:pt idx="526">
                  <c:v>45526</c:v>
                </c:pt>
                <c:pt idx="527">
                  <c:v>45525</c:v>
                </c:pt>
                <c:pt idx="528">
                  <c:v>45524</c:v>
                </c:pt>
                <c:pt idx="529">
                  <c:v>45523</c:v>
                </c:pt>
                <c:pt idx="530">
                  <c:v>45520</c:v>
                </c:pt>
                <c:pt idx="531">
                  <c:v>45518</c:v>
                </c:pt>
                <c:pt idx="532">
                  <c:v>45517</c:v>
                </c:pt>
                <c:pt idx="533">
                  <c:v>45516</c:v>
                </c:pt>
                <c:pt idx="534">
                  <c:v>45513</c:v>
                </c:pt>
                <c:pt idx="535">
                  <c:v>45512</c:v>
                </c:pt>
                <c:pt idx="536">
                  <c:v>45511</c:v>
                </c:pt>
                <c:pt idx="537">
                  <c:v>45510</c:v>
                </c:pt>
                <c:pt idx="538">
                  <c:v>45509</c:v>
                </c:pt>
                <c:pt idx="539">
                  <c:v>45506</c:v>
                </c:pt>
                <c:pt idx="540">
                  <c:v>45505</c:v>
                </c:pt>
                <c:pt idx="541">
                  <c:v>45504</c:v>
                </c:pt>
                <c:pt idx="542">
                  <c:v>45503</c:v>
                </c:pt>
                <c:pt idx="543">
                  <c:v>45502</c:v>
                </c:pt>
                <c:pt idx="544">
                  <c:v>45499</c:v>
                </c:pt>
                <c:pt idx="545">
                  <c:v>45498</c:v>
                </c:pt>
                <c:pt idx="546">
                  <c:v>45497</c:v>
                </c:pt>
                <c:pt idx="547">
                  <c:v>45496</c:v>
                </c:pt>
                <c:pt idx="548">
                  <c:v>45495</c:v>
                </c:pt>
                <c:pt idx="549">
                  <c:v>45492</c:v>
                </c:pt>
                <c:pt idx="550">
                  <c:v>45491</c:v>
                </c:pt>
                <c:pt idx="551">
                  <c:v>45489</c:v>
                </c:pt>
                <c:pt idx="552">
                  <c:v>45488</c:v>
                </c:pt>
                <c:pt idx="553">
                  <c:v>45485</c:v>
                </c:pt>
                <c:pt idx="554">
                  <c:v>45484</c:v>
                </c:pt>
                <c:pt idx="555">
                  <c:v>45483</c:v>
                </c:pt>
                <c:pt idx="556">
                  <c:v>45482</c:v>
                </c:pt>
                <c:pt idx="557">
                  <c:v>45481</c:v>
                </c:pt>
                <c:pt idx="558">
                  <c:v>45478</c:v>
                </c:pt>
                <c:pt idx="559">
                  <c:v>45477</c:v>
                </c:pt>
                <c:pt idx="560">
                  <c:v>45476</c:v>
                </c:pt>
                <c:pt idx="561">
                  <c:v>45475</c:v>
                </c:pt>
                <c:pt idx="562">
                  <c:v>45474</c:v>
                </c:pt>
                <c:pt idx="563">
                  <c:v>45471</c:v>
                </c:pt>
                <c:pt idx="564">
                  <c:v>45470</c:v>
                </c:pt>
                <c:pt idx="565">
                  <c:v>45469</c:v>
                </c:pt>
                <c:pt idx="566">
                  <c:v>45468</c:v>
                </c:pt>
                <c:pt idx="567">
                  <c:v>45467</c:v>
                </c:pt>
                <c:pt idx="568">
                  <c:v>45464</c:v>
                </c:pt>
                <c:pt idx="569">
                  <c:v>45463</c:v>
                </c:pt>
                <c:pt idx="570">
                  <c:v>45462</c:v>
                </c:pt>
                <c:pt idx="571">
                  <c:v>45461</c:v>
                </c:pt>
                <c:pt idx="572">
                  <c:v>45457</c:v>
                </c:pt>
                <c:pt idx="573">
                  <c:v>45456</c:v>
                </c:pt>
                <c:pt idx="574">
                  <c:v>45455</c:v>
                </c:pt>
                <c:pt idx="575">
                  <c:v>45454</c:v>
                </c:pt>
                <c:pt idx="576">
                  <c:v>45453</c:v>
                </c:pt>
                <c:pt idx="577">
                  <c:v>45450</c:v>
                </c:pt>
                <c:pt idx="578">
                  <c:v>45449</c:v>
                </c:pt>
                <c:pt idx="579">
                  <c:v>45448</c:v>
                </c:pt>
                <c:pt idx="580">
                  <c:v>45447</c:v>
                </c:pt>
                <c:pt idx="581">
                  <c:v>45446</c:v>
                </c:pt>
                <c:pt idx="582">
                  <c:v>45443</c:v>
                </c:pt>
                <c:pt idx="583">
                  <c:v>45442</c:v>
                </c:pt>
                <c:pt idx="584">
                  <c:v>45441</c:v>
                </c:pt>
                <c:pt idx="585">
                  <c:v>45440</c:v>
                </c:pt>
                <c:pt idx="586">
                  <c:v>45439</c:v>
                </c:pt>
                <c:pt idx="587">
                  <c:v>45436</c:v>
                </c:pt>
                <c:pt idx="588">
                  <c:v>45435</c:v>
                </c:pt>
                <c:pt idx="589">
                  <c:v>45434</c:v>
                </c:pt>
                <c:pt idx="590">
                  <c:v>45433</c:v>
                </c:pt>
                <c:pt idx="591">
                  <c:v>45430</c:v>
                </c:pt>
                <c:pt idx="592">
                  <c:v>45429</c:v>
                </c:pt>
                <c:pt idx="593">
                  <c:v>45428</c:v>
                </c:pt>
                <c:pt idx="594">
                  <c:v>45427</c:v>
                </c:pt>
                <c:pt idx="595">
                  <c:v>45426</c:v>
                </c:pt>
                <c:pt idx="596">
                  <c:v>45425</c:v>
                </c:pt>
                <c:pt idx="597">
                  <c:v>45422</c:v>
                </c:pt>
                <c:pt idx="598">
                  <c:v>45421</c:v>
                </c:pt>
                <c:pt idx="599">
                  <c:v>45420</c:v>
                </c:pt>
                <c:pt idx="600">
                  <c:v>45419</c:v>
                </c:pt>
                <c:pt idx="601">
                  <c:v>45418</c:v>
                </c:pt>
                <c:pt idx="602">
                  <c:v>45415</c:v>
                </c:pt>
                <c:pt idx="603">
                  <c:v>45414</c:v>
                </c:pt>
                <c:pt idx="604">
                  <c:v>45412</c:v>
                </c:pt>
                <c:pt idx="605">
                  <c:v>45411</c:v>
                </c:pt>
                <c:pt idx="606">
                  <c:v>45408</c:v>
                </c:pt>
                <c:pt idx="607">
                  <c:v>45407</c:v>
                </c:pt>
                <c:pt idx="608">
                  <c:v>45406</c:v>
                </c:pt>
                <c:pt idx="609">
                  <c:v>45405</c:v>
                </c:pt>
                <c:pt idx="610">
                  <c:v>45404</c:v>
                </c:pt>
                <c:pt idx="611">
                  <c:v>45401</c:v>
                </c:pt>
                <c:pt idx="612">
                  <c:v>45400</c:v>
                </c:pt>
                <c:pt idx="613">
                  <c:v>45398</c:v>
                </c:pt>
                <c:pt idx="614">
                  <c:v>45397</c:v>
                </c:pt>
                <c:pt idx="615">
                  <c:v>45394</c:v>
                </c:pt>
                <c:pt idx="616">
                  <c:v>45392</c:v>
                </c:pt>
                <c:pt idx="617">
                  <c:v>45391</c:v>
                </c:pt>
                <c:pt idx="618">
                  <c:v>45390</c:v>
                </c:pt>
                <c:pt idx="619">
                  <c:v>45387</c:v>
                </c:pt>
                <c:pt idx="620">
                  <c:v>45386</c:v>
                </c:pt>
                <c:pt idx="621">
                  <c:v>45385</c:v>
                </c:pt>
                <c:pt idx="622">
                  <c:v>45384</c:v>
                </c:pt>
                <c:pt idx="623">
                  <c:v>45383</c:v>
                </c:pt>
                <c:pt idx="624">
                  <c:v>45379</c:v>
                </c:pt>
                <c:pt idx="625">
                  <c:v>45378</c:v>
                </c:pt>
                <c:pt idx="626">
                  <c:v>45377</c:v>
                </c:pt>
                <c:pt idx="627">
                  <c:v>45373</c:v>
                </c:pt>
                <c:pt idx="628">
                  <c:v>45372</c:v>
                </c:pt>
                <c:pt idx="629">
                  <c:v>45371</c:v>
                </c:pt>
                <c:pt idx="630">
                  <c:v>45370</c:v>
                </c:pt>
                <c:pt idx="631">
                  <c:v>45369</c:v>
                </c:pt>
                <c:pt idx="632">
                  <c:v>45366</c:v>
                </c:pt>
                <c:pt idx="633">
                  <c:v>45365</c:v>
                </c:pt>
                <c:pt idx="634">
                  <c:v>45364</c:v>
                </c:pt>
                <c:pt idx="635">
                  <c:v>45363</c:v>
                </c:pt>
                <c:pt idx="636">
                  <c:v>45362</c:v>
                </c:pt>
                <c:pt idx="637">
                  <c:v>45358</c:v>
                </c:pt>
                <c:pt idx="638">
                  <c:v>45357</c:v>
                </c:pt>
                <c:pt idx="639">
                  <c:v>45356</c:v>
                </c:pt>
                <c:pt idx="640">
                  <c:v>45355</c:v>
                </c:pt>
                <c:pt idx="641">
                  <c:v>45353</c:v>
                </c:pt>
                <c:pt idx="642">
                  <c:v>45352</c:v>
                </c:pt>
                <c:pt idx="643">
                  <c:v>45351</c:v>
                </c:pt>
                <c:pt idx="644">
                  <c:v>45350</c:v>
                </c:pt>
                <c:pt idx="645">
                  <c:v>45349</c:v>
                </c:pt>
                <c:pt idx="646">
                  <c:v>45348</c:v>
                </c:pt>
                <c:pt idx="647">
                  <c:v>45345</c:v>
                </c:pt>
                <c:pt idx="648">
                  <c:v>45344</c:v>
                </c:pt>
                <c:pt idx="649">
                  <c:v>45343</c:v>
                </c:pt>
                <c:pt idx="650">
                  <c:v>45342</c:v>
                </c:pt>
                <c:pt idx="651">
                  <c:v>45341</c:v>
                </c:pt>
                <c:pt idx="652">
                  <c:v>45338</c:v>
                </c:pt>
                <c:pt idx="653">
                  <c:v>45337</c:v>
                </c:pt>
                <c:pt idx="654">
                  <c:v>45336</c:v>
                </c:pt>
                <c:pt idx="655">
                  <c:v>45335</c:v>
                </c:pt>
                <c:pt idx="656">
                  <c:v>45334</c:v>
                </c:pt>
                <c:pt idx="657">
                  <c:v>45331</c:v>
                </c:pt>
                <c:pt idx="658">
                  <c:v>45330</c:v>
                </c:pt>
                <c:pt idx="659">
                  <c:v>45329</c:v>
                </c:pt>
                <c:pt idx="660">
                  <c:v>45328</c:v>
                </c:pt>
                <c:pt idx="661">
                  <c:v>45327</c:v>
                </c:pt>
                <c:pt idx="662">
                  <c:v>45324</c:v>
                </c:pt>
                <c:pt idx="663">
                  <c:v>45323</c:v>
                </c:pt>
                <c:pt idx="664">
                  <c:v>45322</c:v>
                </c:pt>
                <c:pt idx="665">
                  <c:v>45321</c:v>
                </c:pt>
                <c:pt idx="666">
                  <c:v>45320</c:v>
                </c:pt>
                <c:pt idx="667">
                  <c:v>45316</c:v>
                </c:pt>
                <c:pt idx="668">
                  <c:v>45315</c:v>
                </c:pt>
                <c:pt idx="669">
                  <c:v>45314</c:v>
                </c:pt>
                <c:pt idx="670">
                  <c:v>45311</c:v>
                </c:pt>
                <c:pt idx="671">
                  <c:v>45310</c:v>
                </c:pt>
                <c:pt idx="672">
                  <c:v>45309</c:v>
                </c:pt>
                <c:pt idx="673">
                  <c:v>45308</c:v>
                </c:pt>
                <c:pt idx="674">
                  <c:v>45307</c:v>
                </c:pt>
                <c:pt idx="675">
                  <c:v>45306</c:v>
                </c:pt>
                <c:pt idx="676">
                  <c:v>45303</c:v>
                </c:pt>
                <c:pt idx="677">
                  <c:v>45302</c:v>
                </c:pt>
                <c:pt idx="678">
                  <c:v>45301</c:v>
                </c:pt>
                <c:pt idx="679">
                  <c:v>45300</c:v>
                </c:pt>
                <c:pt idx="680">
                  <c:v>45299</c:v>
                </c:pt>
                <c:pt idx="681">
                  <c:v>45296</c:v>
                </c:pt>
                <c:pt idx="682">
                  <c:v>45295</c:v>
                </c:pt>
                <c:pt idx="683">
                  <c:v>45294</c:v>
                </c:pt>
                <c:pt idx="684">
                  <c:v>45293</c:v>
                </c:pt>
                <c:pt idx="685">
                  <c:v>45292</c:v>
                </c:pt>
                <c:pt idx="686">
                  <c:v>45289</c:v>
                </c:pt>
                <c:pt idx="687">
                  <c:v>45288</c:v>
                </c:pt>
                <c:pt idx="688">
                  <c:v>45287</c:v>
                </c:pt>
                <c:pt idx="689">
                  <c:v>45286</c:v>
                </c:pt>
                <c:pt idx="690">
                  <c:v>45282</c:v>
                </c:pt>
                <c:pt idx="691">
                  <c:v>45281</c:v>
                </c:pt>
                <c:pt idx="692">
                  <c:v>45280</c:v>
                </c:pt>
                <c:pt idx="693">
                  <c:v>45279</c:v>
                </c:pt>
                <c:pt idx="694">
                  <c:v>45278</c:v>
                </c:pt>
                <c:pt idx="695">
                  <c:v>45275</c:v>
                </c:pt>
                <c:pt idx="696">
                  <c:v>45274</c:v>
                </c:pt>
                <c:pt idx="697">
                  <c:v>45273</c:v>
                </c:pt>
                <c:pt idx="698">
                  <c:v>45272</c:v>
                </c:pt>
                <c:pt idx="699">
                  <c:v>45271</c:v>
                </c:pt>
                <c:pt idx="700">
                  <c:v>45268</c:v>
                </c:pt>
                <c:pt idx="701">
                  <c:v>45267</c:v>
                </c:pt>
                <c:pt idx="702">
                  <c:v>45266</c:v>
                </c:pt>
                <c:pt idx="703">
                  <c:v>45265</c:v>
                </c:pt>
                <c:pt idx="704">
                  <c:v>45264</c:v>
                </c:pt>
                <c:pt idx="705">
                  <c:v>45261</c:v>
                </c:pt>
                <c:pt idx="706">
                  <c:v>45260</c:v>
                </c:pt>
                <c:pt idx="707">
                  <c:v>45259</c:v>
                </c:pt>
                <c:pt idx="708">
                  <c:v>45258</c:v>
                </c:pt>
                <c:pt idx="709">
                  <c:v>45254</c:v>
                </c:pt>
                <c:pt idx="710">
                  <c:v>45253</c:v>
                </c:pt>
                <c:pt idx="711">
                  <c:v>45252</c:v>
                </c:pt>
                <c:pt idx="712">
                  <c:v>45251</c:v>
                </c:pt>
                <c:pt idx="713">
                  <c:v>45250</c:v>
                </c:pt>
                <c:pt idx="714">
                  <c:v>45247</c:v>
                </c:pt>
                <c:pt idx="715">
                  <c:v>45246</c:v>
                </c:pt>
                <c:pt idx="716">
                  <c:v>45245</c:v>
                </c:pt>
                <c:pt idx="717">
                  <c:v>45243</c:v>
                </c:pt>
                <c:pt idx="718">
                  <c:v>45242</c:v>
                </c:pt>
                <c:pt idx="719">
                  <c:v>45240</c:v>
                </c:pt>
                <c:pt idx="720">
                  <c:v>45239</c:v>
                </c:pt>
                <c:pt idx="721">
                  <c:v>45238</c:v>
                </c:pt>
                <c:pt idx="722">
                  <c:v>45237</c:v>
                </c:pt>
                <c:pt idx="723">
                  <c:v>45236</c:v>
                </c:pt>
                <c:pt idx="724">
                  <c:v>45233</c:v>
                </c:pt>
                <c:pt idx="725">
                  <c:v>45232</c:v>
                </c:pt>
                <c:pt idx="726">
                  <c:v>45231</c:v>
                </c:pt>
                <c:pt idx="727">
                  <c:v>45230</c:v>
                </c:pt>
                <c:pt idx="728">
                  <c:v>45229</c:v>
                </c:pt>
                <c:pt idx="729">
                  <c:v>45226</c:v>
                </c:pt>
                <c:pt idx="730">
                  <c:v>45225</c:v>
                </c:pt>
                <c:pt idx="731">
                  <c:v>45224</c:v>
                </c:pt>
                <c:pt idx="732">
                  <c:v>45222</c:v>
                </c:pt>
                <c:pt idx="733">
                  <c:v>45219</c:v>
                </c:pt>
                <c:pt idx="734">
                  <c:v>45218</c:v>
                </c:pt>
                <c:pt idx="735">
                  <c:v>45217</c:v>
                </c:pt>
                <c:pt idx="736">
                  <c:v>45216</c:v>
                </c:pt>
                <c:pt idx="737">
                  <c:v>45215</c:v>
                </c:pt>
                <c:pt idx="738">
                  <c:v>45212</c:v>
                </c:pt>
                <c:pt idx="739">
                  <c:v>45211</c:v>
                </c:pt>
                <c:pt idx="740">
                  <c:v>45210</c:v>
                </c:pt>
                <c:pt idx="741">
                  <c:v>45209</c:v>
                </c:pt>
                <c:pt idx="742">
                  <c:v>45208</c:v>
                </c:pt>
                <c:pt idx="743">
                  <c:v>45205</c:v>
                </c:pt>
                <c:pt idx="744">
                  <c:v>45204</c:v>
                </c:pt>
                <c:pt idx="745">
                  <c:v>45203</c:v>
                </c:pt>
                <c:pt idx="746">
                  <c:v>45202</c:v>
                </c:pt>
                <c:pt idx="747">
                  <c:v>45198</c:v>
                </c:pt>
                <c:pt idx="748">
                  <c:v>45197</c:v>
                </c:pt>
                <c:pt idx="749">
                  <c:v>45196</c:v>
                </c:pt>
                <c:pt idx="750">
                  <c:v>45195</c:v>
                </c:pt>
                <c:pt idx="751">
                  <c:v>45194</c:v>
                </c:pt>
                <c:pt idx="752">
                  <c:v>45191</c:v>
                </c:pt>
                <c:pt idx="753">
                  <c:v>45190</c:v>
                </c:pt>
                <c:pt idx="754">
                  <c:v>45189</c:v>
                </c:pt>
                <c:pt idx="755">
                  <c:v>45187</c:v>
                </c:pt>
                <c:pt idx="756">
                  <c:v>45184</c:v>
                </c:pt>
                <c:pt idx="757">
                  <c:v>45183</c:v>
                </c:pt>
                <c:pt idx="758">
                  <c:v>45182</c:v>
                </c:pt>
                <c:pt idx="759">
                  <c:v>45181</c:v>
                </c:pt>
                <c:pt idx="760">
                  <c:v>45180</c:v>
                </c:pt>
                <c:pt idx="761">
                  <c:v>45177</c:v>
                </c:pt>
                <c:pt idx="762">
                  <c:v>45176</c:v>
                </c:pt>
                <c:pt idx="763">
                  <c:v>45175</c:v>
                </c:pt>
                <c:pt idx="764">
                  <c:v>45174</c:v>
                </c:pt>
                <c:pt idx="765">
                  <c:v>45173</c:v>
                </c:pt>
                <c:pt idx="766">
                  <c:v>45170</c:v>
                </c:pt>
                <c:pt idx="767">
                  <c:v>45169</c:v>
                </c:pt>
                <c:pt idx="768">
                  <c:v>45168</c:v>
                </c:pt>
                <c:pt idx="769">
                  <c:v>45167</c:v>
                </c:pt>
                <c:pt idx="770">
                  <c:v>45166</c:v>
                </c:pt>
                <c:pt idx="771">
                  <c:v>45163</c:v>
                </c:pt>
                <c:pt idx="772">
                  <c:v>45162</c:v>
                </c:pt>
                <c:pt idx="773">
                  <c:v>45161</c:v>
                </c:pt>
                <c:pt idx="774">
                  <c:v>45160</c:v>
                </c:pt>
                <c:pt idx="775">
                  <c:v>45159</c:v>
                </c:pt>
                <c:pt idx="776">
                  <c:v>45156</c:v>
                </c:pt>
                <c:pt idx="777">
                  <c:v>45155</c:v>
                </c:pt>
                <c:pt idx="778">
                  <c:v>45154</c:v>
                </c:pt>
                <c:pt idx="779">
                  <c:v>45152</c:v>
                </c:pt>
                <c:pt idx="780">
                  <c:v>45149</c:v>
                </c:pt>
                <c:pt idx="781">
                  <c:v>45148</c:v>
                </c:pt>
                <c:pt idx="782">
                  <c:v>45147</c:v>
                </c:pt>
                <c:pt idx="783">
                  <c:v>45146</c:v>
                </c:pt>
                <c:pt idx="784">
                  <c:v>45145</c:v>
                </c:pt>
                <c:pt idx="785">
                  <c:v>45142</c:v>
                </c:pt>
                <c:pt idx="786">
                  <c:v>45141</c:v>
                </c:pt>
                <c:pt idx="787">
                  <c:v>45140</c:v>
                </c:pt>
                <c:pt idx="788">
                  <c:v>45139</c:v>
                </c:pt>
                <c:pt idx="789">
                  <c:v>45138</c:v>
                </c:pt>
                <c:pt idx="790">
                  <c:v>45135</c:v>
                </c:pt>
                <c:pt idx="791">
                  <c:v>45134</c:v>
                </c:pt>
                <c:pt idx="792">
                  <c:v>45133</c:v>
                </c:pt>
                <c:pt idx="793">
                  <c:v>45132</c:v>
                </c:pt>
                <c:pt idx="794">
                  <c:v>45131</c:v>
                </c:pt>
                <c:pt idx="795">
                  <c:v>45128</c:v>
                </c:pt>
                <c:pt idx="796">
                  <c:v>45127</c:v>
                </c:pt>
                <c:pt idx="797">
                  <c:v>45126</c:v>
                </c:pt>
                <c:pt idx="798">
                  <c:v>45125</c:v>
                </c:pt>
                <c:pt idx="799">
                  <c:v>45124</c:v>
                </c:pt>
                <c:pt idx="800">
                  <c:v>45121</c:v>
                </c:pt>
                <c:pt idx="801">
                  <c:v>45120</c:v>
                </c:pt>
                <c:pt idx="802">
                  <c:v>45119</c:v>
                </c:pt>
                <c:pt idx="803">
                  <c:v>45118</c:v>
                </c:pt>
                <c:pt idx="804">
                  <c:v>45117</c:v>
                </c:pt>
                <c:pt idx="805">
                  <c:v>45114</c:v>
                </c:pt>
                <c:pt idx="806">
                  <c:v>45113</c:v>
                </c:pt>
                <c:pt idx="807">
                  <c:v>45112</c:v>
                </c:pt>
                <c:pt idx="808">
                  <c:v>45111</c:v>
                </c:pt>
                <c:pt idx="809">
                  <c:v>45110</c:v>
                </c:pt>
                <c:pt idx="810">
                  <c:v>45107</c:v>
                </c:pt>
                <c:pt idx="811">
                  <c:v>45105</c:v>
                </c:pt>
                <c:pt idx="812">
                  <c:v>45104</c:v>
                </c:pt>
                <c:pt idx="813">
                  <c:v>45103</c:v>
                </c:pt>
                <c:pt idx="814">
                  <c:v>45100</c:v>
                </c:pt>
                <c:pt idx="815">
                  <c:v>45099</c:v>
                </c:pt>
                <c:pt idx="816">
                  <c:v>45098</c:v>
                </c:pt>
                <c:pt idx="817">
                  <c:v>45097</c:v>
                </c:pt>
                <c:pt idx="818">
                  <c:v>45096</c:v>
                </c:pt>
                <c:pt idx="819">
                  <c:v>45093</c:v>
                </c:pt>
                <c:pt idx="820">
                  <c:v>45092</c:v>
                </c:pt>
                <c:pt idx="821">
                  <c:v>45091</c:v>
                </c:pt>
                <c:pt idx="822">
                  <c:v>45090</c:v>
                </c:pt>
                <c:pt idx="823">
                  <c:v>45089</c:v>
                </c:pt>
                <c:pt idx="824">
                  <c:v>45086</c:v>
                </c:pt>
                <c:pt idx="825">
                  <c:v>45085</c:v>
                </c:pt>
                <c:pt idx="826">
                  <c:v>45084</c:v>
                </c:pt>
                <c:pt idx="827">
                  <c:v>45083</c:v>
                </c:pt>
                <c:pt idx="828">
                  <c:v>45082</c:v>
                </c:pt>
                <c:pt idx="829">
                  <c:v>45079</c:v>
                </c:pt>
                <c:pt idx="830">
                  <c:v>45078</c:v>
                </c:pt>
                <c:pt idx="831">
                  <c:v>45077</c:v>
                </c:pt>
                <c:pt idx="832">
                  <c:v>45076</c:v>
                </c:pt>
                <c:pt idx="833">
                  <c:v>45075</c:v>
                </c:pt>
                <c:pt idx="834">
                  <c:v>45072</c:v>
                </c:pt>
                <c:pt idx="835">
                  <c:v>45071</c:v>
                </c:pt>
                <c:pt idx="836">
                  <c:v>45070</c:v>
                </c:pt>
                <c:pt idx="837">
                  <c:v>45069</c:v>
                </c:pt>
                <c:pt idx="838">
                  <c:v>45068</c:v>
                </c:pt>
                <c:pt idx="839">
                  <c:v>45065</c:v>
                </c:pt>
                <c:pt idx="840">
                  <c:v>45064</c:v>
                </c:pt>
                <c:pt idx="841">
                  <c:v>45063</c:v>
                </c:pt>
                <c:pt idx="842">
                  <c:v>45062</c:v>
                </c:pt>
                <c:pt idx="843">
                  <c:v>45061</c:v>
                </c:pt>
                <c:pt idx="844">
                  <c:v>45058</c:v>
                </c:pt>
                <c:pt idx="845">
                  <c:v>45057</c:v>
                </c:pt>
                <c:pt idx="846">
                  <c:v>45056</c:v>
                </c:pt>
                <c:pt idx="847">
                  <c:v>45055</c:v>
                </c:pt>
                <c:pt idx="848">
                  <c:v>45054</c:v>
                </c:pt>
                <c:pt idx="849">
                  <c:v>45051</c:v>
                </c:pt>
                <c:pt idx="850">
                  <c:v>45050</c:v>
                </c:pt>
                <c:pt idx="851">
                  <c:v>45049</c:v>
                </c:pt>
                <c:pt idx="852">
                  <c:v>45048</c:v>
                </c:pt>
                <c:pt idx="853">
                  <c:v>45044</c:v>
                </c:pt>
                <c:pt idx="854">
                  <c:v>45043</c:v>
                </c:pt>
                <c:pt idx="855">
                  <c:v>45042</c:v>
                </c:pt>
                <c:pt idx="856">
                  <c:v>45041</c:v>
                </c:pt>
                <c:pt idx="857">
                  <c:v>45040</c:v>
                </c:pt>
                <c:pt idx="858">
                  <c:v>45037</c:v>
                </c:pt>
                <c:pt idx="859">
                  <c:v>45036</c:v>
                </c:pt>
                <c:pt idx="860">
                  <c:v>45035</c:v>
                </c:pt>
                <c:pt idx="861">
                  <c:v>45034</c:v>
                </c:pt>
                <c:pt idx="862">
                  <c:v>45033</c:v>
                </c:pt>
                <c:pt idx="863">
                  <c:v>45029</c:v>
                </c:pt>
                <c:pt idx="864">
                  <c:v>45028</c:v>
                </c:pt>
                <c:pt idx="865">
                  <c:v>45027</c:v>
                </c:pt>
                <c:pt idx="866">
                  <c:v>45026</c:v>
                </c:pt>
                <c:pt idx="867">
                  <c:v>45022</c:v>
                </c:pt>
                <c:pt idx="868">
                  <c:v>45021</c:v>
                </c:pt>
                <c:pt idx="869">
                  <c:v>45019</c:v>
                </c:pt>
                <c:pt idx="870">
                  <c:v>45016</c:v>
                </c:pt>
                <c:pt idx="871">
                  <c:v>45014</c:v>
                </c:pt>
                <c:pt idx="872">
                  <c:v>45013</c:v>
                </c:pt>
                <c:pt idx="873">
                  <c:v>45012</c:v>
                </c:pt>
                <c:pt idx="874">
                  <c:v>45009</c:v>
                </c:pt>
                <c:pt idx="875">
                  <c:v>45008</c:v>
                </c:pt>
                <c:pt idx="876">
                  <c:v>45007</c:v>
                </c:pt>
                <c:pt idx="877">
                  <c:v>45006</c:v>
                </c:pt>
                <c:pt idx="878">
                  <c:v>45005</c:v>
                </c:pt>
                <c:pt idx="879">
                  <c:v>45002</c:v>
                </c:pt>
                <c:pt idx="880">
                  <c:v>45001</c:v>
                </c:pt>
                <c:pt idx="881">
                  <c:v>45000</c:v>
                </c:pt>
                <c:pt idx="882">
                  <c:v>44999</c:v>
                </c:pt>
                <c:pt idx="883">
                  <c:v>44998</c:v>
                </c:pt>
                <c:pt idx="884">
                  <c:v>44995</c:v>
                </c:pt>
                <c:pt idx="885">
                  <c:v>44994</c:v>
                </c:pt>
                <c:pt idx="886">
                  <c:v>44993</c:v>
                </c:pt>
                <c:pt idx="887">
                  <c:v>44991</c:v>
                </c:pt>
                <c:pt idx="888">
                  <c:v>44988</c:v>
                </c:pt>
                <c:pt idx="889">
                  <c:v>44987</c:v>
                </c:pt>
                <c:pt idx="890">
                  <c:v>44986</c:v>
                </c:pt>
                <c:pt idx="891">
                  <c:v>44985</c:v>
                </c:pt>
                <c:pt idx="892">
                  <c:v>44984</c:v>
                </c:pt>
                <c:pt idx="893">
                  <c:v>44981</c:v>
                </c:pt>
                <c:pt idx="894">
                  <c:v>44980</c:v>
                </c:pt>
                <c:pt idx="895">
                  <c:v>44979</c:v>
                </c:pt>
                <c:pt idx="896">
                  <c:v>44978</c:v>
                </c:pt>
                <c:pt idx="897">
                  <c:v>44977</c:v>
                </c:pt>
                <c:pt idx="898">
                  <c:v>44974</c:v>
                </c:pt>
                <c:pt idx="899">
                  <c:v>44973</c:v>
                </c:pt>
                <c:pt idx="900">
                  <c:v>44972</c:v>
                </c:pt>
                <c:pt idx="901">
                  <c:v>44971</c:v>
                </c:pt>
                <c:pt idx="902">
                  <c:v>44970</c:v>
                </c:pt>
                <c:pt idx="903">
                  <c:v>44967</c:v>
                </c:pt>
                <c:pt idx="904">
                  <c:v>44966</c:v>
                </c:pt>
                <c:pt idx="905">
                  <c:v>44965</c:v>
                </c:pt>
                <c:pt idx="906">
                  <c:v>44964</c:v>
                </c:pt>
                <c:pt idx="907">
                  <c:v>44963</c:v>
                </c:pt>
                <c:pt idx="908">
                  <c:v>44960</c:v>
                </c:pt>
                <c:pt idx="909">
                  <c:v>44959</c:v>
                </c:pt>
                <c:pt idx="910">
                  <c:v>44958</c:v>
                </c:pt>
                <c:pt idx="911">
                  <c:v>44957</c:v>
                </c:pt>
                <c:pt idx="912">
                  <c:v>44956</c:v>
                </c:pt>
                <c:pt idx="913">
                  <c:v>44953</c:v>
                </c:pt>
                <c:pt idx="914">
                  <c:v>44951</c:v>
                </c:pt>
                <c:pt idx="915">
                  <c:v>44950</c:v>
                </c:pt>
                <c:pt idx="916">
                  <c:v>44949</c:v>
                </c:pt>
                <c:pt idx="917">
                  <c:v>44946</c:v>
                </c:pt>
                <c:pt idx="918">
                  <c:v>44945</c:v>
                </c:pt>
                <c:pt idx="919">
                  <c:v>44944</c:v>
                </c:pt>
                <c:pt idx="920">
                  <c:v>44943</c:v>
                </c:pt>
                <c:pt idx="921">
                  <c:v>44942</c:v>
                </c:pt>
                <c:pt idx="922">
                  <c:v>44939</c:v>
                </c:pt>
                <c:pt idx="923">
                  <c:v>44938</c:v>
                </c:pt>
                <c:pt idx="924">
                  <c:v>44937</c:v>
                </c:pt>
                <c:pt idx="925">
                  <c:v>44936</c:v>
                </c:pt>
                <c:pt idx="926">
                  <c:v>44935</c:v>
                </c:pt>
                <c:pt idx="927">
                  <c:v>44932</c:v>
                </c:pt>
                <c:pt idx="928">
                  <c:v>44931</c:v>
                </c:pt>
                <c:pt idx="929">
                  <c:v>44930</c:v>
                </c:pt>
                <c:pt idx="930">
                  <c:v>44929</c:v>
                </c:pt>
                <c:pt idx="931">
                  <c:v>44928</c:v>
                </c:pt>
                <c:pt idx="932">
                  <c:v>44925</c:v>
                </c:pt>
                <c:pt idx="933">
                  <c:v>44924</c:v>
                </c:pt>
                <c:pt idx="934">
                  <c:v>44923</c:v>
                </c:pt>
                <c:pt idx="935">
                  <c:v>44922</c:v>
                </c:pt>
                <c:pt idx="936">
                  <c:v>44921</c:v>
                </c:pt>
                <c:pt idx="937">
                  <c:v>44918</c:v>
                </c:pt>
                <c:pt idx="938">
                  <c:v>44917</c:v>
                </c:pt>
                <c:pt idx="939">
                  <c:v>44916</c:v>
                </c:pt>
                <c:pt idx="940">
                  <c:v>44915</c:v>
                </c:pt>
                <c:pt idx="941">
                  <c:v>44914</c:v>
                </c:pt>
                <c:pt idx="942">
                  <c:v>44911</c:v>
                </c:pt>
                <c:pt idx="943">
                  <c:v>44910</c:v>
                </c:pt>
                <c:pt idx="944">
                  <c:v>44909</c:v>
                </c:pt>
                <c:pt idx="945">
                  <c:v>44908</c:v>
                </c:pt>
                <c:pt idx="946">
                  <c:v>44907</c:v>
                </c:pt>
                <c:pt idx="947">
                  <c:v>44904</c:v>
                </c:pt>
                <c:pt idx="948">
                  <c:v>44903</c:v>
                </c:pt>
                <c:pt idx="949">
                  <c:v>44902</c:v>
                </c:pt>
                <c:pt idx="950">
                  <c:v>44901</c:v>
                </c:pt>
                <c:pt idx="951">
                  <c:v>44900</c:v>
                </c:pt>
                <c:pt idx="952">
                  <c:v>44897</c:v>
                </c:pt>
                <c:pt idx="953">
                  <c:v>44896</c:v>
                </c:pt>
                <c:pt idx="954">
                  <c:v>44895</c:v>
                </c:pt>
                <c:pt idx="955">
                  <c:v>44894</c:v>
                </c:pt>
                <c:pt idx="956">
                  <c:v>44893</c:v>
                </c:pt>
                <c:pt idx="957">
                  <c:v>44890</c:v>
                </c:pt>
                <c:pt idx="958">
                  <c:v>44889</c:v>
                </c:pt>
                <c:pt idx="959">
                  <c:v>44888</c:v>
                </c:pt>
                <c:pt idx="960">
                  <c:v>44887</c:v>
                </c:pt>
                <c:pt idx="961">
                  <c:v>44886</c:v>
                </c:pt>
                <c:pt idx="962">
                  <c:v>44883</c:v>
                </c:pt>
                <c:pt idx="963">
                  <c:v>44882</c:v>
                </c:pt>
                <c:pt idx="964">
                  <c:v>44881</c:v>
                </c:pt>
                <c:pt idx="965">
                  <c:v>44880</c:v>
                </c:pt>
                <c:pt idx="966">
                  <c:v>44879</c:v>
                </c:pt>
                <c:pt idx="967">
                  <c:v>44876</c:v>
                </c:pt>
                <c:pt idx="968">
                  <c:v>44875</c:v>
                </c:pt>
                <c:pt idx="969">
                  <c:v>44874</c:v>
                </c:pt>
                <c:pt idx="970">
                  <c:v>44872</c:v>
                </c:pt>
                <c:pt idx="971">
                  <c:v>44869</c:v>
                </c:pt>
                <c:pt idx="972">
                  <c:v>44868</c:v>
                </c:pt>
                <c:pt idx="973">
                  <c:v>44867</c:v>
                </c:pt>
                <c:pt idx="974">
                  <c:v>44866</c:v>
                </c:pt>
                <c:pt idx="975">
                  <c:v>44865</c:v>
                </c:pt>
                <c:pt idx="976">
                  <c:v>44862</c:v>
                </c:pt>
                <c:pt idx="977">
                  <c:v>44861</c:v>
                </c:pt>
                <c:pt idx="978">
                  <c:v>44859</c:v>
                </c:pt>
                <c:pt idx="979">
                  <c:v>44858</c:v>
                </c:pt>
                <c:pt idx="980">
                  <c:v>44855</c:v>
                </c:pt>
                <c:pt idx="981">
                  <c:v>44854</c:v>
                </c:pt>
                <c:pt idx="982">
                  <c:v>44853</c:v>
                </c:pt>
                <c:pt idx="983">
                  <c:v>44852</c:v>
                </c:pt>
                <c:pt idx="984">
                  <c:v>44851</c:v>
                </c:pt>
                <c:pt idx="985">
                  <c:v>44848</c:v>
                </c:pt>
                <c:pt idx="986">
                  <c:v>44847</c:v>
                </c:pt>
                <c:pt idx="987">
                  <c:v>44846</c:v>
                </c:pt>
                <c:pt idx="988">
                  <c:v>44845</c:v>
                </c:pt>
                <c:pt idx="989">
                  <c:v>44844</c:v>
                </c:pt>
                <c:pt idx="990">
                  <c:v>44841</c:v>
                </c:pt>
              </c:numCache>
            </c:numRef>
          </c:cat>
          <c:val>
            <c:numRef>
              <c:f>'Data_One Pager'!$B$2:$B$992</c:f>
              <c:numCache>
                <c:formatCode>#,##0.00</c:formatCode>
                <c:ptCount val="991"/>
                <c:pt idx="0">
                  <c:v>736</c:v>
                </c:pt>
                <c:pt idx="1">
                  <c:v>725</c:v>
                </c:pt>
                <c:pt idx="2">
                  <c:v>718</c:v>
                </c:pt>
                <c:pt idx="3">
                  <c:v>728.65</c:v>
                </c:pt>
                <c:pt idx="4">
                  <c:v>714.35</c:v>
                </c:pt>
                <c:pt idx="5">
                  <c:v>711</c:v>
                </c:pt>
                <c:pt idx="6">
                  <c:v>726.8</c:v>
                </c:pt>
                <c:pt idx="7">
                  <c:v>728.8</c:v>
                </c:pt>
                <c:pt idx="8">
                  <c:v>743.7</c:v>
                </c:pt>
                <c:pt idx="9">
                  <c:v>736.25</c:v>
                </c:pt>
                <c:pt idx="10">
                  <c:v>745</c:v>
                </c:pt>
                <c:pt idx="11">
                  <c:v>732.75</c:v>
                </c:pt>
                <c:pt idx="12">
                  <c:v>726.65</c:v>
                </c:pt>
                <c:pt idx="13">
                  <c:v>713.4</c:v>
                </c:pt>
                <c:pt idx="14">
                  <c:v>715</c:v>
                </c:pt>
                <c:pt idx="15">
                  <c:v>718.5</c:v>
                </c:pt>
                <c:pt idx="16">
                  <c:v>715.75</c:v>
                </c:pt>
                <c:pt idx="17">
                  <c:v>722.75</c:v>
                </c:pt>
                <c:pt idx="18">
                  <c:v>720</c:v>
                </c:pt>
                <c:pt idx="19">
                  <c:v>716.2</c:v>
                </c:pt>
                <c:pt idx="20">
                  <c:v>720</c:v>
                </c:pt>
                <c:pt idx="21">
                  <c:v>732</c:v>
                </c:pt>
                <c:pt idx="22">
                  <c:v>727.7</c:v>
                </c:pt>
                <c:pt idx="23">
                  <c:v>718</c:v>
                </c:pt>
                <c:pt idx="24">
                  <c:v>737.9</c:v>
                </c:pt>
                <c:pt idx="25">
                  <c:v>706.4</c:v>
                </c:pt>
                <c:pt idx="26">
                  <c:v>718.5</c:v>
                </c:pt>
                <c:pt idx="27">
                  <c:v>721</c:v>
                </c:pt>
                <c:pt idx="28">
                  <c:v>730</c:v>
                </c:pt>
                <c:pt idx="29">
                  <c:v>728.9</c:v>
                </c:pt>
                <c:pt idx="30">
                  <c:v>730</c:v>
                </c:pt>
                <c:pt idx="31">
                  <c:v>735.85</c:v>
                </c:pt>
                <c:pt idx="32">
                  <c:v>723.35</c:v>
                </c:pt>
                <c:pt idx="33">
                  <c:v>719</c:v>
                </c:pt>
                <c:pt idx="34">
                  <c:v>720</c:v>
                </c:pt>
                <c:pt idx="35">
                  <c:v>720</c:v>
                </c:pt>
                <c:pt idx="36">
                  <c:v>721.75</c:v>
                </c:pt>
                <c:pt idx="37">
                  <c:v>724</c:v>
                </c:pt>
                <c:pt idx="38">
                  <c:v>724</c:v>
                </c:pt>
                <c:pt idx="39">
                  <c:v>728.7</c:v>
                </c:pt>
                <c:pt idx="40">
                  <c:v>731</c:v>
                </c:pt>
                <c:pt idx="41">
                  <c:v>736</c:v>
                </c:pt>
                <c:pt idx="42">
                  <c:v>741.05</c:v>
                </c:pt>
                <c:pt idx="43">
                  <c:v>750</c:v>
                </c:pt>
                <c:pt idx="44">
                  <c:v>752</c:v>
                </c:pt>
                <c:pt idx="45">
                  <c:v>738.55</c:v>
                </c:pt>
                <c:pt idx="46">
                  <c:v>749.25</c:v>
                </c:pt>
                <c:pt idx="47">
                  <c:v>738.2</c:v>
                </c:pt>
                <c:pt idx="48">
                  <c:v>734.7</c:v>
                </c:pt>
                <c:pt idx="49">
                  <c:v>733.75</c:v>
                </c:pt>
                <c:pt idx="50">
                  <c:v>727.45</c:v>
                </c:pt>
                <c:pt idx="51">
                  <c:v>724.05</c:v>
                </c:pt>
                <c:pt idx="52">
                  <c:v>724.85</c:v>
                </c:pt>
                <c:pt idx="53">
                  <c:v>731.6</c:v>
                </c:pt>
                <c:pt idx="54">
                  <c:v>725.05</c:v>
                </c:pt>
                <c:pt idx="55">
                  <c:v>727.9</c:v>
                </c:pt>
                <c:pt idx="56">
                  <c:v>731.45</c:v>
                </c:pt>
                <c:pt idx="57">
                  <c:v>743.2</c:v>
                </c:pt>
                <c:pt idx="58">
                  <c:v>733.3</c:v>
                </c:pt>
                <c:pt idx="59">
                  <c:v>738.55</c:v>
                </c:pt>
                <c:pt idx="60">
                  <c:v>752.3</c:v>
                </c:pt>
                <c:pt idx="61">
                  <c:v>731.45</c:v>
                </c:pt>
                <c:pt idx="62">
                  <c:v>722.9</c:v>
                </c:pt>
                <c:pt idx="63">
                  <c:v>745.95</c:v>
                </c:pt>
                <c:pt idx="64">
                  <c:v>738.15</c:v>
                </c:pt>
                <c:pt idx="65">
                  <c:v>728.6</c:v>
                </c:pt>
                <c:pt idx="66">
                  <c:v>720.7</c:v>
                </c:pt>
                <c:pt idx="67">
                  <c:v>718.75</c:v>
                </c:pt>
                <c:pt idx="68">
                  <c:v>713.95</c:v>
                </c:pt>
                <c:pt idx="69">
                  <c:v>707.05</c:v>
                </c:pt>
                <c:pt idx="70">
                  <c:v>720.65</c:v>
                </c:pt>
                <c:pt idx="71">
                  <c:v>725.5</c:v>
                </c:pt>
                <c:pt idx="72">
                  <c:v>724.05</c:v>
                </c:pt>
                <c:pt idx="73">
                  <c:v>733</c:v>
                </c:pt>
                <c:pt idx="74">
                  <c:v>724.75</c:v>
                </c:pt>
                <c:pt idx="75">
                  <c:v>710.45</c:v>
                </c:pt>
                <c:pt idx="76">
                  <c:v>699.1</c:v>
                </c:pt>
                <c:pt idx="77">
                  <c:v>694.4</c:v>
                </c:pt>
                <c:pt idx="78">
                  <c:v>689.85</c:v>
                </c:pt>
                <c:pt idx="79">
                  <c:v>679.45</c:v>
                </c:pt>
                <c:pt idx="80">
                  <c:v>655.7</c:v>
                </c:pt>
                <c:pt idx="81">
                  <c:v>665.85</c:v>
                </c:pt>
                <c:pt idx="82">
                  <c:v>666.7</c:v>
                </c:pt>
                <c:pt idx="83">
                  <c:v>652.25</c:v>
                </c:pt>
                <c:pt idx="84">
                  <c:v>657.6</c:v>
                </c:pt>
                <c:pt idx="85">
                  <c:v>661.55</c:v>
                </c:pt>
                <c:pt idx="86">
                  <c:v>656.3</c:v>
                </c:pt>
                <c:pt idx="87">
                  <c:v>661.65</c:v>
                </c:pt>
                <c:pt idx="88">
                  <c:v>646.75</c:v>
                </c:pt>
                <c:pt idx="89">
                  <c:v>654.25</c:v>
                </c:pt>
                <c:pt idx="90">
                  <c:v>667.7</c:v>
                </c:pt>
                <c:pt idx="91">
                  <c:v>657.15</c:v>
                </c:pt>
                <c:pt idx="92">
                  <c:v>663.55</c:v>
                </c:pt>
                <c:pt idx="93">
                  <c:v>650.25</c:v>
                </c:pt>
                <c:pt idx="94">
                  <c:v>657.4</c:v>
                </c:pt>
                <c:pt idx="95">
                  <c:v>659.6</c:v>
                </c:pt>
                <c:pt idx="96">
                  <c:v>652.75</c:v>
                </c:pt>
                <c:pt idx="97">
                  <c:v>648.54999999999995</c:v>
                </c:pt>
                <c:pt idx="98">
                  <c:v>656.25</c:v>
                </c:pt>
                <c:pt idx="99">
                  <c:v>650.20000000000005</c:v>
                </c:pt>
                <c:pt idx="100">
                  <c:v>637.4</c:v>
                </c:pt>
                <c:pt idx="101">
                  <c:v>634.4</c:v>
                </c:pt>
                <c:pt idx="102">
                  <c:v>661.3</c:v>
                </c:pt>
                <c:pt idx="103">
                  <c:v>673.05</c:v>
                </c:pt>
                <c:pt idx="104">
                  <c:v>669.1</c:v>
                </c:pt>
                <c:pt idx="105">
                  <c:v>666.15</c:v>
                </c:pt>
                <c:pt idx="106">
                  <c:v>647.79999999999995</c:v>
                </c:pt>
                <c:pt idx="107">
                  <c:v>643.70000000000005</c:v>
                </c:pt>
                <c:pt idx="108">
                  <c:v>635.85</c:v>
                </c:pt>
                <c:pt idx="109">
                  <c:v>644.65</c:v>
                </c:pt>
                <c:pt idx="110">
                  <c:v>652.45000000000005</c:v>
                </c:pt>
                <c:pt idx="111">
                  <c:v>647.85</c:v>
                </c:pt>
                <c:pt idx="112">
                  <c:v>635.35</c:v>
                </c:pt>
                <c:pt idx="113">
                  <c:v>639.45000000000005</c:v>
                </c:pt>
                <c:pt idx="114">
                  <c:v>659.7</c:v>
                </c:pt>
                <c:pt idx="115">
                  <c:v>666.15</c:v>
                </c:pt>
                <c:pt idx="116">
                  <c:v>659.5</c:v>
                </c:pt>
                <c:pt idx="117">
                  <c:v>659.3</c:v>
                </c:pt>
                <c:pt idx="118">
                  <c:v>652.75</c:v>
                </c:pt>
                <c:pt idx="119">
                  <c:v>646.4</c:v>
                </c:pt>
                <c:pt idx="120">
                  <c:v>634.95000000000005</c:v>
                </c:pt>
                <c:pt idx="121">
                  <c:v>641.5</c:v>
                </c:pt>
                <c:pt idx="122">
                  <c:v>629.1</c:v>
                </c:pt>
                <c:pt idx="123">
                  <c:v>636.35</c:v>
                </c:pt>
                <c:pt idx="124">
                  <c:v>600.4</c:v>
                </c:pt>
                <c:pt idx="125">
                  <c:v>595.4</c:v>
                </c:pt>
                <c:pt idx="126">
                  <c:v>582.75</c:v>
                </c:pt>
                <c:pt idx="127">
                  <c:v>585.20000000000005</c:v>
                </c:pt>
                <c:pt idx="128">
                  <c:v>570.95000000000005</c:v>
                </c:pt>
                <c:pt idx="129">
                  <c:v>590.9</c:v>
                </c:pt>
                <c:pt idx="130">
                  <c:v>617.29999999999995</c:v>
                </c:pt>
                <c:pt idx="131">
                  <c:v>604.04999999999995</c:v>
                </c:pt>
                <c:pt idx="132">
                  <c:v>582.45000000000005</c:v>
                </c:pt>
                <c:pt idx="133">
                  <c:v>615.54999999999995</c:v>
                </c:pt>
                <c:pt idx="134">
                  <c:v>613.65</c:v>
                </c:pt>
                <c:pt idx="135">
                  <c:v>636.95000000000005</c:v>
                </c:pt>
                <c:pt idx="136">
                  <c:v>622.04999999999995</c:v>
                </c:pt>
                <c:pt idx="137">
                  <c:v>613.35</c:v>
                </c:pt>
                <c:pt idx="138">
                  <c:v>609.85</c:v>
                </c:pt>
                <c:pt idx="139">
                  <c:v>624.95000000000005</c:v>
                </c:pt>
                <c:pt idx="140">
                  <c:v>624.04999999999995</c:v>
                </c:pt>
                <c:pt idx="141">
                  <c:v>629.4</c:v>
                </c:pt>
                <c:pt idx="142">
                  <c:v>611.70000000000005</c:v>
                </c:pt>
                <c:pt idx="143">
                  <c:v>623.85</c:v>
                </c:pt>
                <c:pt idx="144">
                  <c:v>629.70000000000005</c:v>
                </c:pt>
                <c:pt idx="145">
                  <c:v>633.75</c:v>
                </c:pt>
                <c:pt idx="146">
                  <c:v>651</c:v>
                </c:pt>
                <c:pt idx="147">
                  <c:v>667.05</c:v>
                </c:pt>
                <c:pt idx="148">
                  <c:v>680.95</c:v>
                </c:pt>
                <c:pt idx="149">
                  <c:v>676.7</c:v>
                </c:pt>
                <c:pt idx="150">
                  <c:v>676.15</c:v>
                </c:pt>
                <c:pt idx="151">
                  <c:v>675.1</c:v>
                </c:pt>
                <c:pt idx="152">
                  <c:v>674.95</c:v>
                </c:pt>
                <c:pt idx="153">
                  <c:v>672.1</c:v>
                </c:pt>
                <c:pt idx="154">
                  <c:v>695.1</c:v>
                </c:pt>
                <c:pt idx="155">
                  <c:v>687.75</c:v>
                </c:pt>
                <c:pt idx="156">
                  <c:v>691</c:v>
                </c:pt>
                <c:pt idx="157">
                  <c:v>699.9</c:v>
                </c:pt>
                <c:pt idx="158">
                  <c:v>712</c:v>
                </c:pt>
                <c:pt idx="159">
                  <c:v>707.55</c:v>
                </c:pt>
                <c:pt idx="160">
                  <c:v>702.55</c:v>
                </c:pt>
                <c:pt idx="161">
                  <c:v>695</c:v>
                </c:pt>
                <c:pt idx="162">
                  <c:v>683.2</c:v>
                </c:pt>
                <c:pt idx="163">
                  <c:v>689.15</c:v>
                </c:pt>
                <c:pt idx="164">
                  <c:v>686.15</c:v>
                </c:pt>
                <c:pt idx="165">
                  <c:v>681.5</c:v>
                </c:pt>
                <c:pt idx="166">
                  <c:v>663.9</c:v>
                </c:pt>
                <c:pt idx="167">
                  <c:v>664.3</c:v>
                </c:pt>
                <c:pt idx="168">
                  <c:v>674.15</c:v>
                </c:pt>
                <c:pt idx="169">
                  <c:v>664.6</c:v>
                </c:pt>
                <c:pt idx="170">
                  <c:v>656.2</c:v>
                </c:pt>
                <c:pt idx="171">
                  <c:v>651.35</c:v>
                </c:pt>
                <c:pt idx="172">
                  <c:v>645.79999999999995</c:v>
                </c:pt>
                <c:pt idx="173">
                  <c:v>656.55</c:v>
                </c:pt>
                <c:pt idx="174">
                  <c:v>653.6</c:v>
                </c:pt>
                <c:pt idx="175">
                  <c:v>645.5</c:v>
                </c:pt>
                <c:pt idx="176">
                  <c:v>668.35</c:v>
                </c:pt>
                <c:pt idx="177">
                  <c:v>684.45</c:v>
                </c:pt>
                <c:pt idx="178">
                  <c:v>689.45</c:v>
                </c:pt>
                <c:pt idx="179">
                  <c:v>678.15</c:v>
                </c:pt>
                <c:pt idx="180">
                  <c:v>690.1</c:v>
                </c:pt>
                <c:pt idx="181">
                  <c:v>693.1</c:v>
                </c:pt>
                <c:pt idx="182">
                  <c:v>704.35</c:v>
                </c:pt>
                <c:pt idx="183">
                  <c:v>715.35</c:v>
                </c:pt>
                <c:pt idx="184">
                  <c:v>726.4</c:v>
                </c:pt>
                <c:pt idx="185">
                  <c:v>744.2</c:v>
                </c:pt>
                <c:pt idx="186">
                  <c:v>748.65</c:v>
                </c:pt>
                <c:pt idx="187">
                  <c:v>738.6</c:v>
                </c:pt>
                <c:pt idx="188">
                  <c:v>738.85</c:v>
                </c:pt>
                <c:pt idx="189">
                  <c:v>729.55</c:v>
                </c:pt>
                <c:pt idx="190">
                  <c:v>742.15</c:v>
                </c:pt>
                <c:pt idx="191">
                  <c:v>739.6</c:v>
                </c:pt>
                <c:pt idx="192">
                  <c:v>740.1</c:v>
                </c:pt>
                <c:pt idx="193">
                  <c:v>738.3</c:v>
                </c:pt>
                <c:pt idx="194">
                  <c:v>740.15</c:v>
                </c:pt>
                <c:pt idx="195">
                  <c:v>731.2</c:v>
                </c:pt>
                <c:pt idx="196">
                  <c:v>722</c:v>
                </c:pt>
                <c:pt idx="197">
                  <c:v>713.2</c:v>
                </c:pt>
                <c:pt idx="198">
                  <c:v>725.25</c:v>
                </c:pt>
                <c:pt idx="199">
                  <c:v>731.15</c:v>
                </c:pt>
                <c:pt idx="200">
                  <c:v>735.05</c:v>
                </c:pt>
                <c:pt idx="201">
                  <c:v>729</c:v>
                </c:pt>
                <c:pt idx="202">
                  <c:v>718.6</c:v>
                </c:pt>
                <c:pt idx="203">
                  <c:v>727.75</c:v>
                </c:pt>
                <c:pt idx="204">
                  <c:v>718.1</c:v>
                </c:pt>
                <c:pt idx="205">
                  <c:v>730.9</c:v>
                </c:pt>
                <c:pt idx="206">
                  <c:v>729.55</c:v>
                </c:pt>
                <c:pt idx="207">
                  <c:v>734.6</c:v>
                </c:pt>
                <c:pt idx="208">
                  <c:v>742.5</c:v>
                </c:pt>
                <c:pt idx="209">
                  <c:v>749.05</c:v>
                </c:pt>
                <c:pt idx="210">
                  <c:v>744.3</c:v>
                </c:pt>
                <c:pt idx="211">
                  <c:v>735</c:v>
                </c:pt>
                <c:pt idx="212">
                  <c:v>731.4</c:v>
                </c:pt>
                <c:pt idx="213">
                  <c:v>726.5</c:v>
                </c:pt>
                <c:pt idx="214">
                  <c:v>721.15</c:v>
                </c:pt>
                <c:pt idx="215">
                  <c:v>733.2</c:v>
                </c:pt>
                <c:pt idx="216">
                  <c:v>733.35</c:v>
                </c:pt>
                <c:pt idx="217">
                  <c:v>719.55</c:v>
                </c:pt>
                <c:pt idx="218">
                  <c:v>712.75</c:v>
                </c:pt>
                <c:pt idx="219">
                  <c:v>722.3</c:v>
                </c:pt>
                <c:pt idx="220">
                  <c:v>720.8</c:v>
                </c:pt>
                <c:pt idx="221">
                  <c:v>717.7</c:v>
                </c:pt>
                <c:pt idx="222">
                  <c:v>706.95</c:v>
                </c:pt>
                <c:pt idx="223">
                  <c:v>697.75</c:v>
                </c:pt>
                <c:pt idx="224">
                  <c:v>703.8</c:v>
                </c:pt>
                <c:pt idx="225">
                  <c:v>691.3</c:v>
                </c:pt>
                <c:pt idx="226">
                  <c:v>697</c:v>
                </c:pt>
                <c:pt idx="227">
                  <c:v>743.2</c:v>
                </c:pt>
                <c:pt idx="228">
                  <c:v>747.15</c:v>
                </c:pt>
                <c:pt idx="229">
                  <c:v>741.8</c:v>
                </c:pt>
                <c:pt idx="230">
                  <c:v>749.65</c:v>
                </c:pt>
                <c:pt idx="231">
                  <c:v>746.75</c:v>
                </c:pt>
                <c:pt idx="232">
                  <c:v>741.75</c:v>
                </c:pt>
                <c:pt idx="233">
                  <c:v>746.55</c:v>
                </c:pt>
                <c:pt idx="234">
                  <c:v>735.9</c:v>
                </c:pt>
                <c:pt idx="235">
                  <c:v>737.55</c:v>
                </c:pt>
                <c:pt idx="236">
                  <c:v>744.25</c:v>
                </c:pt>
                <c:pt idx="237">
                  <c:v>743</c:v>
                </c:pt>
                <c:pt idx="238">
                  <c:v>735.4</c:v>
                </c:pt>
                <c:pt idx="239">
                  <c:v>738.05</c:v>
                </c:pt>
                <c:pt idx="240">
                  <c:v>727.75</c:v>
                </c:pt>
                <c:pt idx="241">
                  <c:v>721.15</c:v>
                </c:pt>
                <c:pt idx="242">
                  <c:v>726.05</c:v>
                </c:pt>
                <c:pt idx="243">
                  <c:v>735.55</c:v>
                </c:pt>
                <c:pt idx="244">
                  <c:v>732.15</c:v>
                </c:pt>
                <c:pt idx="245">
                  <c:v>730</c:v>
                </c:pt>
                <c:pt idx="246">
                  <c:v>733.25</c:v>
                </c:pt>
                <c:pt idx="247">
                  <c:v>723.55</c:v>
                </c:pt>
                <c:pt idx="248">
                  <c:v>724.45</c:v>
                </c:pt>
                <c:pt idx="249">
                  <c:v>723.25</c:v>
                </c:pt>
                <c:pt idx="250">
                  <c:v>720.3</c:v>
                </c:pt>
                <c:pt idx="251">
                  <c:v>724.3</c:v>
                </c:pt>
                <c:pt idx="252">
                  <c:v>709.8</c:v>
                </c:pt>
                <c:pt idx="253">
                  <c:v>732.15</c:v>
                </c:pt>
                <c:pt idx="254">
                  <c:v>746</c:v>
                </c:pt>
                <c:pt idx="255">
                  <c:v>752</c:v>
                </c:pt>
                <c:pt idx="256">
                  <c:v>769.4</c:v>
                </c:pt>
                <c:pt idx="257">
                  <c:v>775.55</c:v>
                </c:pt>
                <c:pt idx="258">
                  <c:v>782.05</c:v>
                </c:pt>
                <c:pt idx="259">
                  <c:v>780.25</c:v>
                </c:pt>
                <c:pt idx="260">
                  <c:v>778.65</c:v>
                </c:pt>
                <c:pt idx="261">
                  <c:v>790.85</c:v>
                </c:pt>
                <c:pt idx="262">
                  <c:v>777.7</c:v>
                </c:pt>
                <c:pt idx="263">
                  <c:v>773.95</c:v>
                </c:pt>
                <c:pt idx="264">
                  <c:v>775.5</c:v>
                </c:pt>
                <c:pt idx="265">
                  <c:v>775.5</c:v>
                </c:pt>
                <c:pt idx="266">
                  <c:v>777.7</c:v>
                </c:pt>
                <c:pt idx="267">
                  <c:v>774.75</c:v>
                </c:pt>
                <c:pt idx="268">
                  <c:v>774.75</c:v>
                </c:pt>
                <c:pt idx="269">
                  <c:v>773.95</c:v>
                </c:pt>
                <c:pt idx="270">
                  <c:v>765.6</c:v>
                </c:pt>
                <c:pt idx="271">
                  <c:v>759.85</c:v>
                </c:pt>
                <c:pt idx="272">
                  <c:v>758.45</c:v>
                </c:pt>
                <c:pt idx="273">
                  <c:v>765.15</c:v>
                </c:pt>
                <c:pt idx="274">
                  <c:v>769.05</c:v>
                </c:pt>
                <c:pt idx="275">
                  <c:v>785.55</c:v>
                </c:pt>
                <c:pt idx="276">
                  <c:v>788.85</c:v>
                </c:pt>
                <c:pt idx="277">
                  <c:v>795.65</c:v>
                </c:pt>
                <c:pt idx="278">
                  <c:v>806.8</c:v>
                </c:pt>
                <c:pt idx="279">
                  <c:v>775.15</c:v>
                </c:pt>
                <c:pt idx="280">
                  <c:v>775.5</c:v>
                </c:pt>
                <c:pt idx="281">
                  <c:v>774.35</c:v>
                </c:pt>
                <c:pt idx="282">
                  <c:v>769.8</c:v>
                </c:pt>
                <c:pt idx="283">
                  <c:v>747.45</c:v>
                </c:pt>
                <c:pt idx="284">
                  <c:v>746.75</c:v>
                </c:pt>
                <c:pt idx="285">
                  <c:v>735.75</c:v>
                </c:pt>
                <c:pt idx="286">
                  <c:v>742.3</c:v>
                </c:pt>
                <c:pt idx="287">
                  <c:v>746.6</c:v>
                </c:pt>
                <c:pt idx="288">
                  <c:v>751.05</c:v>
                </c:pt>
                <c:pt idx="289">
                  <c:v>748.8</c:v>
                </c:pt>
                <c:pt idx="290">
                  <c:v>741.15</c:v>
                </c:pt>
                <c:pt idx="291">
                  <c:v>740.75</c:v>
                </c:pt>
                <c:pt idx="292">
                  <c:v>744.9</c:v>
                </c:pt>
                <c:pt idx="293">
                  <c:v>748.2</c:v>
                </c:pt>
                <c:pt idx="294">
                  <c:v>744.8</c:v>
                </c:pt>
                <c:pt idx="295">
                  <c:v>746.15</c:v>
                </c:pt>
                <c:pt idx="296">
                  <c:v>754</c:v>
                </c:pt>
                <c:pt idx="297">
                  <c:v>754.4</c:v>
                </c:pt>
                <c:pt idx="298">
                  <c:v>756.3</c:v>
                </c:pt>
                <c:pt idx="299">
                  <c:v>771.7</c:v>
                </c:pt>
                <c:pt idx="300">
                  <c:v>766.2</c:v>
                </c:pt>
                <c:pt idx="301">
                  <c:v>753.95</c:v>
                </c:pt>
                <c:pt idx="302">
                  <c:v>751.2</c:v>
                </c:pt>
                <c:pt idx="303">
                  <c:v>744.05</c:v>
                </c:pt>
                <c:pt idx="304">
                  <c:v>729.15</c:v>
                </c:pt>
                <c:pt idx="305">
                  <c:v>735.2</c:v>
                </c:pt>
                <c:pt idx="306">
                  <c:v>743.35</c:v>
                </c:pt>
                <c:pt idx="307">
                  <c:v>750.15</c:v>
                </c:pt>
                <c:pt idx="308">
                  <c:v>739.3</c:v>
                </c:pt>
                <c:pt idx="309">
                  <c:v>737.15</c:v>
                </c:pt>
                <c:pt idx="310">
                  <c:v>747.55</c:v>
                </c:pt>
                <c:pt idx="311">
                  <c:v>748.25</c:v>
                </c:pt>
                <c:pt idx="312">
                  <c:v>756</c:v>
                </c:pt>
                <c:pt idx="313">
                  <c:v>762.05</c:v>
                </c:pt>
                <c:pt idx="314">
                  <c:v>760.3</c:v>
                </c:pt>
                <c:pt idx="315">
                  <c:v>767.4</c:v>
                </c:pt>
                <c:pt idx="316">
                  <c:v>782.95</c:v>
                </c:pt>
                <c:pt idx="317">
                  <c:v>781.9</c:v>
                </c:pt>
                <c:pt idx="318">
                  <c:v>764.1</c:v>
                </c:pt>
                <c:pt idx="319">
                  <c:v>760.1</c:v>
                </c:pt>
                <c:pt idx="320">
                  <c:v>765.65</c:v>
                </c:pt>
                <c:pt idx="321">
                  <c:v>747.3</c:v>
                </c:pt>
                <c:pt idx="322">
                  <c:v>763.3</c:v>
                </c:pt>
                <c:pt idx="323">
                  <c:v>756.65</c:v>
                </c:pt>
                <c:pt idx="324">
                  <c:v>754.9</c:v>
                </c:pt>
                <c:pt idx="325">
                  <c:v>735.15</c:v>
                </c:pt>
                <c:pt idx="326">
                  <c:v>744.8</c:v>
                </c:pt>
                <c:pt idx="327">
                  <c:v>765.8</c:v>
                </c:pt>
                <c:pt idx="328">
                  <c:v>779.65</c:v>
                </c:pt>
                <c:pt idx="329">
                  <c:v>780.05</c:v>
                </c:pt>
                <c:pt idx="330">
                  <c:v>776.85</c:v>
                </c:pt>
                <c:pt idx="331">
                  <c:v>771.75</c:v>
                </c:pt>
                <c:pt idx="332">
                  <c:v>770.75</c:v>
                </c:pt>
                <c:pt idx="333">
                  <c:v>760.95</c:v>
                </c:pt>
                <c:pt idx="334">
                  <c:v>783.6</c:v>
                </c:pt>
                <c:pt idx="335">
                  <c:v>769.85</c:v>
                </c:pt>
                <c:pt idx="336">
                  <c:v>762.35</c:v>
                </c:pt>
                <c:pt idx="337">
                  <c:v>761.2</c:v>
                </c:pt>
                <c:pt idx="338">
                  <c:v>771.05</c:v>
                </c:pt>
                <c:pt idx="339">
                  <c:v>774.8</c:v>
                </c:pt>
                <c:pt idx="340">
                  <c:v>770.45</c:v>
                </c:pt>
                <c:pt idx="341">
                  <c:v>769.55</c:v>
                </c:pt>
                <c:pt idx="342">
                  <c:v>773.1</c:v>
                </c:pt>
                <c:pt idx="343">
                  <c:v>752.75</c:v>
                </c:pt>
                <c:pt idx="344">
                  <c:v>771.95</c:v>
                </c:pt>
                <c:pt idx="345">
                  <c:v>766.35</c:v>
                </c:pt>
                <c:pt idx="346">
                  <c:v>764.35</c:v>
                </c:pt>
                <c:pt idx="347">
                  <c:v>770.2</c:v>
                </c:pt>
                <c:pt idx="348">
                  <c:v>761.1</c:v>
                </c:pt>
                <c:pt idx="349">
                  <c:v>769.15</c:v>
                </c:pt>
                <c:pt idx="350">
                  <c:v>718.75</c:v>
                </c:pt>
                <c:pt idx="351">
                  <c:v>750</c:v>
                </c:pt>
                <c:pt idx="352">
                  <c:v>765.65</c:v>
                </c:pt>
                <c:pt idx="353">
                  <c:v>753.25</c:v>
                </c:pt>
                <c:pt idx="354">
                  <c:v>801.8</c:v>
                </c:pt>
                <c:pt idx="355">
                  <c:v>800.5</c:v>
                </c:pt>
                <c:pt idx="356">
                  <c:v>787.7</c:v>
                </c:pt>
                <c:pt idx="357">
                  <c:v>790.15</c:v>
                </c:pt>
                <c:pt idx="358">
                  <c:v>800.45</c:v>
                </c:pt>
                <c:pt idx="359">
                  <c:v>786.35</c:v>
                </c:pt>
                <c:pt idx="360">
                  <c:v>819.1</c:v>
                </c:pt>
                <c:pt idx="361">
                  <c:v>822.9</c:v>
                </c:pt>
                <c:pt idx="362">
                  <c:v>833.9</c:v>
                </c:pt>
                <c:pt idx="363">
                  <c:v>836.05</c:v>
                </c:pt>
                <c:pt idx="364">
                  <c:v>841.2</c:v>
                </c:pt>
                <c:pt idx="365">
                  <c:v>842.05</c:v>
                </c:pt>
                <c:pt idx="366">
                  <c:v>836.35</c:v>
                </c:pt>
                <c:pt idx="367">
                  <c:v>788.6</c:v>
                </c:pt>
                <c:pt idx="368">
                  <c:v>768.2</c:v>
                </c:pt>
                <c:pt idx="369">
                  <c:v>773.6</c:v>
                </c:pt>
                <c:pt idx="370">
                  <c:v>751.95</c:v>
                </c:pt>
                <c:pt idx="371">
                  <c:v>799.35</c:v>
                </c:pt>
                <c:pt idx="372">
                  <c:v>831.05</c:v>
                </c:pt>
                <c:pt idx="373">
                  <c:v>830.15</c:v>
                </c:pt>
                <c:pt idx="374">
                  <c:v>805.75</c:v>
                </c:pt>
                <c:pt idx="375">
                  <c:v>787.55</c:v>
                </c:pt>
                <c:pt idx="376">
                  <c:v>790.55</c:v>
                </c:pt>
                <c:pt idx="377">
                  <c:v>808.2</c:v>
                </c:pt>
                <c:pt idx="378">
                  <c:v>828.55</c:v>
                </c:pt>
                <c:pt idx="379">
                  <c:v>842.1</c:v>
                </c:pt>
                <c:pt idx="380">
                  <c:v>824.7</c:v>
                </c:pt>
                <c:pt idx="381">
                  <c:v>816.1</c:v>
                </c:pt>
                <c:pt idx="382">
                  <c:v>810.6</c:v>
                </c:pt>
                <c:pt idx="383">
                  <c:v>786.25</c:v>
                </c:pt>
                <c:pt idx="384">
                  <c:v>753.3</c:v>
                </c:pt>
                <c:pt idx="385">
                  <c:v>750.45</c:v>
                </c:pt>
                <c:pt idx="386">
                  <c:v>749.35</c:v>
                </c:pt>
                <c:pt idx="387">
                  <c:v>749.05</c:v>
                </c:pt>
                <c:pt idx="388">
                  <c:v>741</c:v>
                </c:pt>
                <c:pt idx="389">
                  <c:v>744.3</c:v>
                </c:pt>
                <c:pt idx="390">
                  <c:v>749.15</c:v>
                </c:pt>
                <c:pt idx="391">
                  <c:v>757.2</c:v>
                </c:pt>
                <c:pt idx="392">
                  <c:v>716.9</c:v>
                </c:pt>
                <c:pt idx="393">
                  <c:v>726.75</c:v>
                </c:pt>
                <c:pt idx="394">
                  <c:v>716.1</c:v>
                </c:pt>
                <c:pt idx="395">
                  <c:v>724.35</c:v>
                </c:pt>
                <c:pt idx="396">
                  <c:v>724.65</c:v>
                </c:pt>
                <c:pt idx="397">
                  <c:v>728.8</c:v>
                </c:pt>
                <c:pt idx="398">
                  <c:v>757.55</c:v>
                </c:pt>
                <c:pt idx="399">
                  <c:v>761</c:v>
                </c:pt>
                <c:pt idx="400">
                  <c:v>746.7</c:v>
                </c:pt>
                <c:pt idx="401">
                  <c:v>721.95</c:v>
                </c:pt>
                <c:pt idx="402">
                  <c:v>721.65</c:v>
                </c:pt>
                <c:pt idx="403">
                  <c:v>710.2</c:v>
                </c:pt>
                <c:pt idx="404">
                  <c:v>736.75</c:v>
                </c:pt>
                <c:pt idx="405">
                  <c:v>731.2</c:v>
                </c:pt>
                <c:pt idx="406">
                  <c:v>748</c:v>
                </c:pt>
                <c:pt idx="407">
                  <c:v>776.7</c:v>
                </c:pt>
                <c:pt idx="408">
                  <c:v>791.8</c:v>
                </c:pt>
                <c:pt idx="409">
                  <c:v>790.1</c:v>
                </c:pt>
                <c:pt idx="410">
                  <c:v>815.9</c:v>
                </c:pt>
                <c:pt idx="411">
                  <c:v>828.2</c:v>
                </c:pt>
                <c:pt idx="412">
                  <c:v>816.2</c:v>
                </c:pt>
                <c:pt idx="413">
                  <c:v>801.45</c:v>
                </c:pt>
                <c:pt idx="414">
                  <c:v>764.7</c:v>
                </c:pt>
                <c:pt idx="415">
                  <c:v>761.2</c:v>
                </c:pt>
                <c:pt idx="416">
                  <c:v>777.55</c:v>
                </c:pt>
                <c:pt idx="417">
                  <c:v>753.7</c:v>
                </c:pt>
                <c:pt idx="418">
                  <c:v>760.2</c:v>
                </c:pt>
                <c:pt idx="419">
                  <c:v>781.2</c:v>
                </c:pt>
                <c:pt idx="420">
                  <c:v>775.1</c:v>
                </c:pt>
                <c:pt idx="421">
                  <c:v>772.75</c:v>
                </c:pt>
                <c:pt idx="422">
                  <c:v>760.35</c:v>
                </c:pt>
                <c:pt idx="423">
                  <c:v>793</c:v>
                </c:pt>
                <c:pt idx="424">
                  <c:v>813.35</c:v>
                </c:pt>
                <c:pt idx="425">
                  <c:v>811.45</c:v>
                </c:pt>
                <c:pt idx="426">
                  <c:v>811.4</c:v>
                </c:pt>
                <c:pt idx="427">
                  <c:v>781.4</c:v>
                </c:pt>
                <c:pt idx="428">
                  <c:v>756.1</c:v>
                </c:pt>
                <c:pt idx="429">
                  <c:v>805.9</c:v>
                </c:pt>
                <c:pt idx="430">
                  <c:v>822.85</c:v>
                </c:pt>
                <c:pt idx="431">
                  <c:v>834.9</c:v>
                </c:pt>
                <c:pt idx="432">
                  <c:v>852.15</c:v>
                </c:pt>
                <c:pt idx="433">
                  <c:v>844.25</c:v>
                </c:pt>
                <c:pt idx="434">
                  <c:v>872.45</c:v>
                </c:pt>
                <c:pt idx="435">
                  <c:v>879.5</c:v>
                </c:pt>
                <c:pt idx="436">
                  <c:v>873.6</c:v>
                </c:pt>
                <c:pt idx="437">
                  <c:v>877.55</c:v>
                </c:pt>
                <c:pt idx="438">
                  <c:v>889.65</c:v>
                </c:pt>
                <c:pt idx="439">
                  <c:v>860.6</c:v>
                </c:pt>
                <c:pt idx="440">
                  <c:v>868.3</c:v>
                </c:pt>
                <c:pt idx="441">
                  <c:v>862.65</c:v>
                </c:pt>
                <c:pt idx="442">
                  <c:v>859.4</c:v>
                </c:pt>
                <c:pt idx="443">
                  <c:v>854.1</c:v>
                </c:pt>
                <c:pt idx="444">
                  <c:v>880.05</c:v>
                </c:pt>
                <c:pt idx="445">
                  <c:v>881.4</c:v>
                </c:pt>
                <c:pt idx="446">
                  <c:v>880.05</c:v>
                </c:pt>
                <c:pt idx="447">
                  <c:v>867.65</c:v>
                </c:pt>
                <c:pt idx="448">
                  <c:v>855.6</c:v>
                </c:pt>
                <c:pt idx="449">
                  <c:v>836.7</c:v>
                </c:pt>
                <c:pt idx="450">
                  <c:v>836.4</c:v>
                </c:pt>
                <c:pt idx="451">
                  <c:v>838.55</c:v>
                </c:pt>
                <c:pt idx="452">
                  <c:v>837.2</c:v>
                </c:pt>
                <c:pt idx="453">
                  <c:v>826.65</c:v>
                </c:pt>
                <c:pt idx="454">
                  <c:v>820.1</c:v>
                </c:pt>
                <c:pt idx="455">
                  <c:v>810.9</c:v>
                </c:pt>
                <c:pt idx="456">
                  <c:v>806.65</c:v>
                </c:pt>
                <c:pt idx="457">
                  <c:v>801.05</c:v>
                </c:pt>
                <c:pt idx="458">
                  <c:v>793.35</c:v>
                </c:pt>
                <c:pt idx="459">
                  <c:v>778.55</c:v>
                </c:pt>
                <c:pt idx="460">
                  <c:v>788.9</c:v>
                </c:pt>
                <c:pt idx="461">
                  <c:v>796.75</c:v>
                </c:pt>
                <c:pt idx="462">
                  <c:v>798.05</c:v>
                </c:pt>
                <c:pt idx="463">
                  <c:v>799.05</c:v>
                </c:pt>
                <c:pt idx="464">
                  <c:v>786.8</c:v>
                </c:pt>
                <c:pt idx="465">
                  <c:v>754</c:v>
                </c:pt>
                <c:pt idx="466">
                  <c:v>737.2</c:v>
                </c:pt>
                <c:pt idx="467">
                  <c:v>741.35</c:v>
                </c:pt>
                <c:pt idx="468">
                  <c:v>714.15</c:v>
                </c:pt>
                <c:pt idx="469">
                  <c:v>730.4</c:v>
                </c:pt>
                <c:pt idx="470">
                  <c:v>729.75</c:v>
                </c:pt>
                <c:pt idx="471">
                  <c:v>732.9</c:v>
                </c:pt>
                <c:pt idx="472">
                  <c:v>683.8</c:v>
                </c:pt>
                <c:pt idx="473">
                  <c:v>684.65</c:v>
                </c:pt>
                <c:pt idx="474">
                  <c:v>668</c:v>
                </c:pt>
                <c:pt idx="475">
                  <c:v>666.55</c:v>
                </c:pt>
                <c:pt idx="476">
                  <c:v>687.6</c:v>
                </c:pt>
                <c:pt idx="477">
                  <c:v>676.7</c:v>
                </c:pt>
                <c:pt idx="478">
                  <c:v>684.75</c:v>
                </c:pt>
                <c:pt idx="479">
                  <c:v>678.75</c:v>
                </c:pt>
                <c:pt idx="480">
                  <c:v>671.25</c:v>
                </c:pt>
                <c:pt idx="481">
                  <c:v>691.25</c:v>
                </c:pt>
                <c:pt idx="482">
                  <c:v>667</c:v>
                </c:pt>
                <c:pt idx="483">
                  <c:v>658.65</c:v>
                </c:pt>
                <c:pt idx="484">
                  <c:v>656.1</c:v>
                </c:pt>
                <c:pt idx="485">
                  <c:v>679</c:v>
                </c:pt>
                <c:pt idx="486">
                  <c:v>686.7</c:v>
                </c:pt>
                <c:pt idx="487">
                  <c:v>687.3</c:v>
                </c:pt>
                <c:pt idx="488">
                  <c:v>704.55</c:v>
                </c:pt>
                <c:pt idx="489">
                  <c:v>712.6</c:v>
                </c:pt>
                <c:pt idx="490">
                  <c:v>705.2</c:v>
                </c:pt>
                <c:pt idx="491">
                  <c:v>708.55</c:v>
                </c:pt>
                <c:pt idx="492">
                  <c:v>706.25</c:v>
                </c:pt>
                <c:pt idx="493">
                  <c:v>693.65</c:v>
                </c:pt>
                <c:pt idx="494">
                  <c:v>684.65</c:v>
                </c:pt>
                <c:pt idx="495">
                  <c:v>653.04999999999995</c:v>
                </c:pt>
                <c:pt idx="496">
                  <c:v>661.45</c:v>
                </c:pt>
                <c:pt idx="497">
                  <c:v>674.05</c:v>
                </c:pt>
                <c:pt idx="498">
                  <c:v>681.7</c:v>
                </c:pt>
                <c:pt idx="499">
                  <c:v>684.7</c:v>
                </c:pt>
                <c:pt idx="500">
                  <c:v>710.3</c:v>
                </c:pt>
                <c:pt idx="501">
                  <c:v>709.9</c:v>
                </c:pt>
                <c:pt idx="502">
                  <c:v>709.95</c:v>
                </c:pt>
                <c:pt idx="503">
                  <c:v>711.65</c:v>
                </c:pt>
                <c:pt idx="504">
                  <c:v>714.8</c:v>
                </c:pt>
                <c:pt idx="505">
                  <c:v>702.75</c:v>
                </c:pt>
                <c:pt idx="506">
                  <c:v>690.85</c:v>
                </c:pt>
                <c:pt idx="507">
                  <c:v>681.4</c:v>
                </c:pt>
                <c:pt idx="508">
                  <c:v>692.25</c:v>
                </c:pt>
                <c:pt idx="509">
                  <c:v>690.95</c:v>
                </c:pt>
                <c:pt idx="510">
                  <c:v>689.05</c:v>
                </c:pt>
                <c:pt idx="511">
                  <c:v>700.9</c:v>
                </c:pt>
                <c:pt idx="512">
                  <c:v>684.75</c:v>
                </c:pt>
                <c:pt idx="513">
                  <c:v>695</c:v>
                </c:pt>
                <c:pt idx="514">
                  <c:v>665.85</c:v>
                </c:pt>
                <c:pt idx="515">
                  <c:v>657.25</c:v>
                </c:pt>
                <c:pt idx="516">
                  <c:v>670.45</c:v>
                </c:pt>
                <c:pt idx="517">
                  <c:v>659.65</c:v>
                </c:pt>
                <c:pt idx="518">
                  <c:v>658.95</c:v>
                </c:pt>
                <c:pt idx="519">
                  <c:v>655.9</c:v>
                </c:pt>
                <c:pt idx="520">
                  <c:v>647.5</c:v>
                </c:pt>
                <c:pt idx="521">
                  <c:v>648.29999999999995</c:v>
                </c:pt>
                <c:pt idx="522">
                  <c:v>654.20000000000005</c:v>
                </c:pt>
                <c:pt idx="523">
                  <c:v>665.3</c:v>
                </c:pt>
                <c:pt idx="524">
                  <c:v>661.6</c:v>
                </c:pt>
                <c:pt idx="525">
                  <c:v>641.9</c:v>
                </c:pt>
                <c:pt idx="526">
                  <c:v>644.6</c:v>
                </c:pt>
                <c:pt idx="527">
                  <c:v>621.15</c:v>
                </c:pt>
                <c:pt idx="528">
                  <c:v>616.15</c:v>
                </c:pt>
                <c:pt idx="529">
                  <c:v>613.15</c:v>
                </c:pt>
                <c:pt idx="530">
                  <c:v>623.20000000000005</c:v>
                </c:pt>
                <c:pt idx="531">
                  <c:v>611.45000000000005</c:v>
                </c:pt>
                <c:pt idx="532">
                  <c:v>610.75</c:v>
                </c:pt>
                <c:pt idx="533">
                  <c:v>617.15</c:v>
                </c:pt>
                <c:pt idx="534">
                  <c:v>618.45000000000005</c:v>
                </c:pt>
                <c:pt idx="535">
                  <c:v>614.20000000000005</c:v>
                </c:pt>
                <c:pt idx="536">
                  <c:v>620.6</c:v>
                </c:pt>
                <c:pt idx="537">
                  <c:v>596.95000000000005</c:v>
                </c:pt>
                <c:pt idx="538">
                  <c:v>609.20000000000005</c:v>
                </c:pt>
                <c:pt idx="539">
                  <c:v>628.79999999999995</c:v>
                </c:pt>
                <c:pt idx="540">
                  <c:v>632.15</c:v>
                </c:pt>
                <c:pt idx="541">
                  <c:v>642.04999999999995</c:v>
                </c:pt>
                <c:pt idx="542">
                  <c:v>646.20000000000005</c:v>
                </c:pt>
                <c:pt idx="543">
                  <c:v>649.75</c:v>
                </c:pt>
                <c:pt idx="544">
                  <c:v>647</c:v>
                </c:pt>
                <c:pt idx="545">
                  <c:v>623.45000000000005</c:v>
                </c:pt>
                <c:pt idx="546">
                  <c:v>633.4</c:v>
                </c:pt>
                <c:pt idx="547">
                  <c:v>623.5</c:v>
                </c:pt>
                <c:pt idx="548">
                  <c:v>620.35</c:v>
                </c:pt>
                <c:pt idx="549">
                  <c:v>577.9</c:v>
                </c:pt>
                <c:pt idx="550">
                  <c:v>582.29999999999995</c:v>
                </c:pt>
                <c:pt idx="551">
                  <c:v>586.85</c:v>
                </c:pt>
                <c:pt idx="552">
                  <c:v>591.65</c:v>
                </c:pt>
                <c:pt idx="553">
                  <c:v>594.04999999999995</c:v>
                </c:pt>
                <c:pt idx="554">
                  <c:v>602.70000000000005</c:v>
                </c:pt>
                <c:pt idx="555">
                  <c:v>609.85</c:v>
                </c:pt>
                <c:pt idx="556">
                  <c:v>609</c:v>
                </c:pt>
                <c:pt idx="557">
                  <c:v>608.70000000000005</c:v>
                </c:pt>
                <c:pt idx="558">
                  <c:v>614.5</c:v>
                </c:pt>
                <c:pt idx="559">
                  <c:v>612.65</c:v>
                </c:pt>
                <c:pt idx="560">
                  <c:v>599.79999999999995</c:v>
                </c:pt>
                <c:pt idx="561">
                  <c:v>603.70000000000005</c:v>
                </c:pt>
                <c:pt idx="562">
                  <c:v>614.79999999999995</c:v>
                </c:pt>
                <c:pt idx="563">
                  <c:v>625.04999999999995</c:v>
                </c:pt>
                <c:pt idx="564">
                  <c:v>624.4</c:v>
                </c:pt>
                <c:pt idx="565">
                  <c:v>649.95000000000005</c:v>
                </c:pt>
                <c:pt idx="566">
                  <c:v>659.75</c:v>
                </c:pt>
                <c:pt idx="567">
                  <c:v>648.15</c:v>
                </c:pt>
                <c:pt idx="568">
                  <c:v>637.5</c:v>
                </c:pt>
                <c:pt idx="569">
                  <c:v>638.4</c:v>
                </c:pt>
                <c:pt idx="570">
                  <c:v>617.04999999999995</c:v>
                </c:pt>
                <c:pt idx="571">
                  <c:v>621.45000000000005</c:v>
                </c:pt>
                <c:pt idx="572">
                  <c:v>613.85</c:v>
                </c:pt>
                <c:pt idx="573">
                  <c:v>589.29999999999995</c:v>
                </c:pt>
                <c:pt idx="574">
                  <c:v>584.5</c:v>
                </c:pt>
                <c:pt idx="575">
                  <c:v>582.04999999999995</c:v>
                </c:pt>
                <c:pt idx="576">
                  <c:v>582.29999999999995</c:v>
                </c:pt>
                <c:pt idx="577">
                  <c:v>585.1</c:v>
                </c:pt>
                <c:pt idx="578">
                  <c:v>583.5</c:v>
                </c:pt>
                <c:pt idx="579">
                  <c:v>572.9</c:v>
                </c:pt>
                <c:pt idx="580">
                  <c:v>530.29999999999995</c:v>
                </c:pt>
                <c:pt idx="581">
                  <c:v>576.5</c:v>
                </c:pt>
                <c:pt idx="582">
                  <c:v>557.4</c:v>
                </c:pt>
                <c:pt idx="583">
                  <c:v>557.20000000000005</c:v>
                </c:pt>
                <c:pt idx="584">
                  <c:v>565.85</c:v>
                </c:pt>
                <c:pt idx="585">
                  <c:v>572.45000000000005</c:v>
                </c:pt>
                <c:pt idx="586">
                  <c:v>581.1</c:v>
                </c:pt>
                <c:pt idx="587">
                  <c:v>569.85</c:v>
                </c:pt>
                <c:pt idx="588">
                  <c:v>567.54999999999995</c:v>
                </c:pt>
                <c:pt idx="589">
                  <c:v>573.15</c:v>
                </c:pt>
                <c:pt idx="590">
                  <c:v>569.15</c:v>
                </c:pt>
                <c:pt idx="591">
                  <c:v>570.6</c:v>
                </c:pt>
                <c:pt idx="592">
                  <c:v>571.1</c:v>
                </c:pt>
                <c:pt idx="593">
                  <c:v>568.79999999999995</c:v>
                </c:pt>
                <c:pt idx="594">
                  <c:v>560.9</c:v>
                </c:pt>
                <c:pt idx="595">
                  <c:v>564.54999999999995</c:v>
                </c:pt>
                <c:pt idx="596">
                  <c:v>557.4</c:v>
                </c:pt>
                <c:pt idx="597">
                  <c:v>543.54999999999995</c:v>
                </c:pt>
                <c:pt idx="598">
                  <c:v>550.65</c:v>
                </c:pt>
                <c:pt idx="599">
                  <c:v>563.54999999999995</c:v>
                </c:pt>
                <c:pt idx="600">
                  <c:v>566.1</c:v>
                </c:pt>
                <c:pt idx="601">
                  <c:v>571.29999999999995</c:v>
                </c:pt>
                <c:pt idx="602">
                  <c:v>570.6</c:v>
                </c:pt>
                <c:pt idx="603">
                  <c:v>576.15</c:v>
                </c:pt>
                <c:pt idx="604">
                  <c:v>576.75</c:v>
                </c:pt>
                <c:pt idx="605">
                  <c:v>582.6</c:v>
                </c:pt>
                <c:pt idx="606">
                  <c:v>568.95000000000005</c:v>
                </c:pt>
                <c:pt idx="607">
                  <c:v>577.25</c:v>
                </c:pt>
                <c:pt idx="608">
                  <c:v>608</c:v>
                </c:pt>
                <c:pt idx="609">
                  <c:v>604.29999999999995</c:v>
                </c:pt>
                <c:pt idx="610">
                  <c:v>585.35</c:v>
                </c:pt>
                <c:pt idx="611">
                  <c:v>597.04999999999995</c:v>
                </c:pt>
                <c:pt idx="612">
                  <c:v>593.4</c:v>
                </c:pt>
                <c:pt idx="613">
                  <c:v>583.65</c:v>
                </c:pt>
                <c:pt idx="614">
                  <c:v>597.54999999999995</c:v>
                </c:pt>
                <c:pt idx="615">
                  <c:v>607.45000000000005</c:v>
                </c:pt>
                <c:pt idx="616">
                  <c:v>596.45000000000005</c:v>
                </c:pt>
                <c:pt idx="617">
                  <c:v>597.1</c:v>
                </c:pt>
                <c:pt idx="618">
                  <c:v>605.1</c:v>
                </c:pt>
                <c:pt idx="619">
                  <c:v>613.29999999999995</c:v>
                </c:pt>
                <c:pt idx="620">
                  <c:v>617.95000000000005</c:v>
                </c:pt>
                <c:pt idx="621">
                  <c:v>614.15</c:v>
                </c:pt>
                <c:pt idx="622">
                  <c:v>605.70000000000005</c:v>
                </c:pt>
                <c:pt idx="623">
                  <c:v>601.4</c:v>
                </c:pt>
                <c:pt idx="624">
                  <c:v>591.15</c:v>
                </c:pt>
                <c:pt idx="625">
                  <c:v>585.85</c:v>
                </c:pt>
                <c:pt idx="626">
                  <c:v>568.95000000000005</c:v>
                </c:pt>
                <c:pt idx="627">
                  <c:v>557.04999999999995</c:v>
                </c:pt>
                <c:pt idx="628">
                  <c:v>563.4</c:v>
                </c:pt>
                <c:pt idx="629">
                  <c:v>547.9</c:v>
                </c:pt>
                <c:pt idx="630">
                  <c:v>549.1</c:v>
                </c:pt>
                <c:pt idx="631">
                  <c:v>552.9</c:v>
                </c:pt>
                <c:pt idx="632">
                  <c:v>562.29999999999995</c:v>
                </c:pt>
                <c:pt idx="633">
                  <c:v>565.35</c:v>
                </c:pt>
                <c:pt idx="634">
                  <c:v>544.70000000000005</c:v>
                </c:pt>
                <c:pt idx="635">
                  <c:v>568.25</c:v>
                </c:pt>
                <c:pt idx="636">
                  <c:v>572.9</c:v>
                </c:pt>
                <c:pt idx="637">
                  <c:v>587.70000000000005</c:v>
                </c:pt>
                <c:pt idx="638">
                  <c:v>574.1</c:v>
                </c:pt>
                <c:pt idx="639">
                  <c:v>584.85</c:v>
                </c:pt>
                <c:pt idx="640">
                  <c:v>588.35</c:v>
                </c:pt>
                <c:pt idx="641">
                  <c:v>589.5</c:v>
                </c:pt>
                <c:pt idx="642">
                  <c:v>589.25</c:v>
                </c:pt>
                <c:pt idx="643">
                  <c:v>586.70000000000005</c:v>
                </c:pt>
                <c:pt idx="644">
                  <c:v>570.9</c:v>
                </c:pt>
                <c:pt idx="645">
                  <c:v>589.25</c:v>
                </c:pt>
                <c:pt idx="646">
                  <c:v>579.70000000000005</c:v>
                </c:pt>
                <c:pt idx="647">
                  <c:v>594.5</c:v>
                </c:pt>
                <c:pt idx="648">
                  <c:v>578.85</c:v>
                </c:pt>
                <c:pt idx="649">
                  <c:v>557</c:v>
                </c:pt>
                <c:pt idx="650">
                  <c:v>548.65</c:v>
                </c:pt>
                <c:pt idx="651">
                  <c:v>542.45000000000005</c:v>
                </c:pt>
                <c:pt idx="652">
                  <c:v>537.54999999999995</c:v>
                </c:pt>
                <c:pt idx="653">
                  <c:v>527.6</c:v>
                </c:pt>
                <c:pt idx="654">
                  <c:v>527.70000000000005</c:v>
                </c:pt>
                <c:pt idx="655">
                  <c:v>523.6</c:v>
                </c:pt>
                <c:pt idx="656">
                  <c:v>530.4</c:v>
                </c:pt>
                <c:pt idx="657">
                  <c:v>532.95000000000005</c:v>
                </c:pt>
                <c:pt idx="658">
                  <c:v>525.1</c:v>
                </c:pt>
                <c:pt idx="659">
                  <c:v>524.75</c:v>
                </c:pt>
                <c:pt idx="660">
                  <c:v>506.15</c:v>
                </c:pt>
                <c:pt idx="661">
                  <c:v>509.1</c:v>
                </c:pt>
                <c:pt idx="662">
                  <c:v>500</c:v>
                </c:pt>
                <c:pt idx="663">
                  <c:v>494.55</c:v>
                </c:pt>
                <c:pt idx="664">
                  <c:v>492.65</c:v>
                </c:pt>
                <c:pt idx="665">
                  <c:v>493.2</c:v>
                </c:pt>
                <c:pt idx="666">
                  <c:v>496.15</c:v>
                </c:pt>
                <c:pt idx="667">
                  <c:v>473.6</c:v>
                </c:pt>
                <c:pt idx="668">
                  <c:v>480.35</c:v>
                </c:pt>
                <c:pt idx="669">
                  <c:v>471.3</c:v>
                </c:pt>
                <c:pt idx="670">
                  <c:v>479.1</c:v>
                </c:pt>
                <c:pt idx="671">
                  <c:v>482.2</c:v>
                </c:pt>
                <c:pt idx="672">
                  <c:v>463.6</c:v>
                </c:pt>
                <c:pt idx="673">
                  <c:v>461.95</c:v>
                </c:pt>
                <c:pt idx="674">
                  <c:v>468.45</c:v>
                </c:pt>
                <c:pt idx="675">
                  <c:v>476.95</c:v>
                </c:pt>
                <c:pt idx="676">
                  <c:v>461.55</c:v>
                </c:pt>
                <c:pt idx="677">
                  <c:v>459.55</c:v>
                </c:pt>
                <c:pt idx="678">
                  <c:v>458.4</c:v>
                </c:pt>
                <c:pt idx="679">
                  <c:v>458.55</c:v>
                </c:pt>
                <c:pt idx="680">
                  <c:v>451.65</c:v>
                </c:pt>
                <c:pt idx="681">
                  <c:v>456.05</c:v>
                </c:pt>
                <c:pt idx="682">
                  <c:v>462.8</c:v>
                </c:pt>
                <c:pt idx="683">
                  <c:v>451.45</c:v>
                </c:pt>
                <c:pt idx="684">
                  <c:v>438.2</c:v>
                </c:pt>
                <c:pt idx="685">
                  <c:v>436.1</c:v>
                </c:pt>
                <c:pt idx="686">
                  <c:v>438.35</c:v>
                </c:pt>
                <c:pt idx="687">
                  <c:v>433.45</c:v>
                </c:pt>
                <c:pt idx="688">
                  <c:v>436.85</c:v>
                </c:pt>
                <c:pt idx="689">
                  <c:v>436.55</c:v>
                </c:pt>
                <c:pt idx="690">
                  <c:v>439.2</c:v>
                </c:pt>
                <c:pt idx="691">
                  <c:v>429.35</c:v>
                </c:pt>
                <c:pt idx="692">
                  <c:v>424.25</c:v>
                </c:pt>
                <c:pt idx="693">
                  <c:v>444.55</c:v>
                </c:pt>
                <c:pt idx="694">
                  <c:v>448.9</c:v>
                </c:pt>
                <c:pt idx="695">
                  <c:v>439.65</c:v>
                </c:pt>
                <c:pt idx="696">
                  <c:v>441.25</c:v>
                </c:pt>
                <c:pt idx="697">
                  <c:v>434.55</c:v>
                </c:pt>
                <c:pt idx="698">
                  <c:v>438.25</c:v>
                </c:pt>
                <c:pt idx="699">
                  <c:v>441</c:v>
                </c:pt>
                <c:pt idx="700">
                  <c:v>435.5</c:v>
                </c:pt>
                <c:pt idx="701">
                  <c:v>440.45</c:v>
                </c:pt>
                <c:pt idx="702">
                  <c:v>437.95</c:v>
                </c:pt>
                <c:pt idx="703">
                  <c:v>434.5</c:v>
                </c:pt>
                <c:pt idx="704">
                  <c:v>434</c:v>
                </c:pt>
                <c:pt idx="705">
                  <c:v>426.4</c:v>
                </c:pt>
                <c:pt idx="706">
                  <c:v>421.7</c:v>
                </c:pt>
                <c:pt idx="707">
                  <c:v>420.05</c:v>
                </c:pt>
                <c:pt idx="708">
                  <c:v>422.75</c:v>
                </c:pt>
                <c:pt idx="709">
                  <c:v>420.5</c:v>
                </c:pt>
                <c:pt idx="710">
                  <c:v>420.1</c:v>
                </c:pt>
                <c:pt idx="711">
                  <c:v>417</c:v>
                </c:pt>
                <c:pt idx="712">
                  <c:v>420.8</c:v>
                </c:pt>
                <c:pt idx="713">
                  <c:v>419.6</c:v>
                </c:pt>
                <c:pt idx="714">
                  <c:v>411.2</c:v>
                </c:pt>
                <c:pt idx="715">
                  <c:v>412.65</c:v>
                </c:pt>
                <c:pt idx="716">
                  <c:v>411.4</c:v>
                </c:pt>
                <c:pt idx="717">
                  <c:v>410.65</c:v>
                </c:pt>
                <c:pt idx="718">
                  <c:v>411.35</c:v>
                </c:pt>
                <c:pt idx="719">
                  <c:v>409.45</c:v>
                </c:pt>
                <c:pt idx="720">
                  <c:v>405.45</c:v>
                </c:pt>
                <c:pt idx="721">
                  <c:v>405.65</c:v>
                </c:pt>
                <c:pt idx="722">
                  <c:v>401.5</c:v>
                </c:pt>
                <c:pt idx="723">
                  <c:v>395.35</c:v>
                </c:pt>
                <c:pt idx="724">
                  <c:v>392.9</c:v>
                </c:pt>
                <c:pt idx="725">
                  <c:v>390.25</c:v>
                </c:pt>
                <c:pt idx="726">
                  <c:v>389.1</c:v>
                </c:pt>
                <c:pt idx="727">
                  <c:v>383.4</c:v>
                </c:pt>
                <c:pt idx="728">
                  <c:v>382.1</c:v>
                </c:pt>
                <c:pt idx="729">
                  <c:v>374.55</c:v>
                </c:pt>
                <c:pt idx="730">
                  <c:v>374.8</c:v>
                </c:pt>
                <c:pt idx="731">
                  <c:v>389.55</c:v>
                </c:pt>
                <c:pt idx="732">
                  <c:v>395.85</c:v>
                </c:pt>
                <c:pt idx="733">
                  <c:v>404.95</c:v>
                </c:pt>
                <c:pt idx="734">
                  <c:v>414</c:v>
                </c:pt>
                <c:pt idx="735">
                  <c:v>412.85</c:v>
                </c:pt>
                <c:pt idx="736">
                  <c:v>420.1</c:v>
                </c:pt>
                <c:pt idx="737">
                  <c:v>416.7</c:v>
                </c:pt>
                <c:pt idx="738">
                  <c:v>414.75</c:v>
                </c:pt>
                <c:pt idx="739">
                  <c:v>416.5</c:v>
                </c:pt>
                <c:pt idx="740">
                  <c:v>414.85</c:v>
                </c:pt>
                <c:pt idx="741">
                  <c:v>416.35</c:v>
                </c:pt>
                <c:pt idx="742">
                  <c:v>415.5</c:v>
                </c:pt>
                <c:pt idx="743">
                  <c:v>422.95</c:v>
                </c:pt>
                <c:pt idx="744">
                  <c:v>417.5</c:v>
                </c:pt>
                <c:pt idx="745">
                  <c:v>406.55</c:v>
                </c:pt>
                <c:pt idx="746">
                  <c:v>413</c:v>
                </c:pt>
                <c:pt idx="747">
                  <c:v>411.1</c:v>
                </c:pt>
                <c:pt idx="748">
                  <c:v>405.15</c:v>
                </c:pt>
                <c:pt idx="749">
                  <c:v>413.15</c:v>
                </c:pt>
                <c:pt idx="750">
                  <c:v>410.5</c:v>
                </c:pt>
                <c:pt idx="751">
                  <c:v>408.6</c:v>
                </c:pt>
                <c:pt idx="752">
                  <c:v>406.25</c:v>
                </c:pt>
                <c:pt idx="753">
                  <c:v>406.8</c:v>
                </c:pt>
                <c:pt idx="754">
                  <c:v>418</c:v>
                </c:pt>
                <c:pt idx="755">
                  <c:v>415.75</c:v>
                </c:pt>
                <c:pt idx="756">
                  <c:v>416.65</c:v>
                </c:pt>
                <c:pt idx="757">
                  <c:v>423.65</c:v>
                </c:pt>
                <c:pt idx="758">
                  <c:v>414.65</c:v>
                </c:pt>
                <c:pt idx="759">
                  <c:v>420.55</c:v>
                </c:pt>
                <c:pt idx="760">
                  <c:v>429.95</c:v>
                </c:pt>
                <c:pt idx="761">
                  <c:v>429.55</c:v>
                </c:pt>
                <c:pt idx="762">
                  <c:v>427</c:v>
                </c:pt>
                <c:pt idx="763">
                  <c:v>431.5</c:v>
                </c:pt>
                <c:pt idx="764">
                  <c:v>422.45</c:v>
                </c:pt>
                <c:pt idx="765">
                  <c:v>420.85</c:v>
                </c:pt>
                <c:pt idx="766">
                  <c:v>424.25</c:v>
                </c:pt>
                <c:pt idx="767">
                  <c:v>420.9</c:v>
                </c:pt>
                <c:pt idx="768">
                  <c:v>416.65</c:v>
                </c:pt>
                <c:pt idx="769">
                  <c:v>393.25</c:v>
                </c:pt>
                <c:pt idx="770">
                  <c:v>393.8</c:v>
                </c:pt>
                <c:pt idx="771">
                  <c:v>392</c:v>
                </c:pt>
                <c:pt idx="772">
                  <c:v>401.95</c:v>
                </c:pt>
                <c:pt idx="773">
                  <c:v>401.1</c:v>
                </c:pt>
                <c:pt idx="774">
                  <c:v>388.6</c:v>
                </c:pt>
                <c:pt idx="775">
                  <c:v>379.4</c:v>
                </c:pt>
                <c:pt idx="776">
                  <c:v>381.65</c:v>
                </c:pt>
                <c:pt idx="777">
                  <c:v>382.2</c:v>
                </c:pt>
                <c:pt idx="778">
                  <c:v>383.2</c:v>
                </c:pt>
                <c:pt idx="779">
                  <c:v>383.15</c:v>
                </c:pt>
                <c:pt idx="780">
                  <c:v>387.05</c:v>
                </c:pt>
                <c:pt idx="781">
                  <c:v>382.55</c:v>
                </c:pt>
                <c:pt idx="782">
                  <c:v>386.35</c:v>
                </c:pt>
                <c:pt idx="783">
                  <c:v>388.65</c:v>
                </c:pt>
                <c:pt idx="784">
                  <c:v>394.4</c:v>
                </c:pt>
                <c:pt idx="785">
                  <c:v>395.85</c:v>
                </c:pt>
                <c:pt idx="786">
                  <c:v>393.7</c:v>
                </c:pt>
                <c:pt idx="787">
                  <c:v>395.75</c:v>
                </c:pt>
                <c:pt idx="788">
                  <c:v>396.45</c:v>
                </c:pt>
                <c:pt idx="789">
                  <c:v>395.1</c:v>
                </c:pt>
                <c:pt idx="790">
                  <c:v>391.65</c:v>
                </c:pt>
                <c:pt idx="791">
                  <c:v>384.95</c:v>
                </c:pt>
                <c:pt idx="792">
                  <c:v>390.2</c:v>
                </c:pt>
                <c:pt idx="793">
                  <c:v>392.15</c:v>
                </c:pt>
                <c:pt idx="794">
                  <c:v>391.6</c:v>
                </c:pt>
                <c:pt idx="795">
                  <c:v>393.75</c:v>
                </c:pt>
                <c:pt idx="796">
                  <c:v>398.6</c:v>
                </c:pt>
                <c:pt idx="797">
                  <c:v>400.25</c:v>
                </c:pt>
                <c:pt idx="798">
                  <c:v>388.3</c:v>
                </c:pt>
                <c:pt idx="799">
                  <c:v>390.1</c:v>
                </c:pt>
                <c:pt idx="800">
                  <c:v>389.65</c:v>
                </c:pt>
                <c:pt idx="801">
                  <c:v>387.45</c:v>
                </c:pt>
                <c:pt idx="802">
                  <c:v>392.3</c:v>
                </c:pt>
                <c:pt idx="803">
                  <c:v>391.95</c:v>
                </c:pt>
                <c:pt idx="804">
                  <c:v>384.85</c:v>
                </c:pt>
                <c:pt idx="805">
                  <c:v>382.45</c:v>
                </c:pt>
                <c:pt idx="806">
                  <c:v>385.15</c:v>
                </c:pt>
                <c:pt idx="807">
                  <c:v>380.35</c:v>
                </c:pt>
                <c:pt idx="808">
                  <c:v>380.75</c:v>
                </c:pt>
                <c:pt idx="809">
                  <c:v>390.4</c:v>
                </c:pt>
                <c:pt idx="810">
                  <c:v>392.5</c:v>
                </c:pt>
                <c:pt idx="811">
                  <c:v>396.45</c:v>
                </c:pt>
                <c:pt idx="812">
                  <c:v>383.55</c:v>
                </c:pt>
                <c:pt idx="813">
                  <c:v>383.6</c:v>
                </c:pt>
                <c:pt idx="814">
                  <c:v>380.4</c:v>
                </c:pt>
                <c:pt idx="815">
                  <c:v>382.65</c:v>
                </c:pt>
                <c:pt idx="816">
                  <c:v>396.8</c:v>
                </c:pt>
                <c:pt idx="817">
                  <c:v>394.5</c:v>
                </c:pt>
                <c:pt idx="818">
                  <c:v>396.15</c:v>
                </c:pt>
                <c:pt idx="819">
                  <c:v>403.25</c:v>
                </c:pt>
                <c:pt idx="820">
                  <c:v>393.45</c:v>
                </c:pt>
                <c:pt idx="821">
                  <c:v>391.3</c:v>
                </c:pt>
                <c:pt idx="822">
                  <c:v>393.35</c:v>
                </c:pt>
                <c:pt idx="823">
                  <c:v>387.7</c:v>
                </c:pt>
                <c:pt idx="824">
                  <c:v>381.95</c:v>
                </c:pt>
                <c:pt idx="825">
                  <c:v>380.8</c:v>
                </c:pt>
                <c:pt idx="826">
                  <c:v>395.85</c:v>
                </c:pt>
                <c:pt idx="827">
                  <c:v>389.25</c:v>
                </c:pt>
                <c:pt idx="828">
                  <c:v>389.8</c:v>
                </c:pt>
                <c:pt idx="829">
                  <c:v>395.65</c:v>
                </c:pt>
                <c:pt idx="830">
                  <c:v>395.7</c:v>
                </c:pt>
                <c:pt idx="831">
                  <c:v>389.7</c:v>
                </c:pt>
                <c:pt idx="832">
                  <c:v>385.45</c:v>
                </c:pt>
                <c:pt idx="833">
                  <c:v>380</c:v>
                </c:pt>
                <c:pt idx="834">
                  <c:v>383.95</c:v>
                </c:pt>
                <c:pt idx="835">
                  <c:v>380.6</c:v>
                </c:pt>
                <c:pt idx="836">
                  <c:v>375.25</c:v>
                </c:pt>
                <c:pt idx="837">
                  <c:v>371</c:v>
                </c:pt>
                <c:pt idx="838">
                  <c:v>371.2</c:v>
                </c:pt>
                <c:pt idx="839">
                  <c:v>372.35</c:v>
                </c:pt>
                <c:pt idx="840">
                  <c:v>366.6</c:v>
                </c:pt>
                <c:pt idx="841">
                  <c:v>367.5</c:v>
                </c:pt>
                <c:pt idx="842">
                  <c:v>363.75</c:v>
                </c:pt>
                <c:pt idx="843">
                  <c:v>353.35</c:v>
                </c:pt>
                <c:pt idx="844">
                  <c:v>357.6</c:v>
                </c:pt>
                <c:pt idx="845">
                  <c:v>365.55</c:v>
                </c:pt>
                <c:pt idx="846">
                  <c:v>371.35</c:v>
                </c:pt>
                <c:pt idx="847">
                  <c:v>374.25</c:v>
                </c:pt>
                <c:pt idx="848">
                  <c:v>370.1</c:v>
                </c:pt>
                <c:pt idx="849">
                  <c:v>358.7</c:v>
                </c:pt>
                <c:pt idx="850">
                  <c:v>357.2</c:v>
                </c:pt>
                <c:pt idx="851">
                  <c:v>354.9</c:v>
                </c:pt>
                <c:pt idx="852">
                  <c:v>347.45</c:v>
                </c:pt>
                <c:pt idx="853">
                  <c:v>339.1</c:v>
                </c:pt>
                <c:pt idx="854">
                  <c:v>340</c:v>
                </c:pt>
                <c:pt idx="855">
                  <c:v>340.95</c:v>
                </c:pt>
                <c:pt idx="856">
                  <c:v>338.85</c:v>
                </c:pt>
                <c:pt idx="857">
                  <c:v>339</c:v>
                </c:pt>
                <c:pt idx="858">
                  <c:v>336.75</c:v>
                </c:pt>
                <c:pt idx="859">
                  <c:v>335.1</c:v>
                </c:pt>
                <c:pt idx="860">
                  <c:v>330.55</c:v>
                </c:pt>
                <c:pt idx="861">
                  <c:v>330.4</c:v>
                </c:pt>
                <c:pt idx="862">
                  <c:v>332.4</c:v>
                </c:pt>
                <c:pt idx="863">
                  <c:v>328.05</c:v>
                </c:pt>
                <c:pt idx="864">
                  <c:v>330.75</c:v>
                </c:pt>
                <c:pt idx="865">
                  <c:v>327.35000000000002</c:v>
                </c:pt>
                <c:pt idx="866">
                  <c:v>328</c:v>
                </c:pt>
                <c:pt idx="867">
                  <c:v>326.75</c:v>
                </c:pt>
                <c:pt idx="868">
                  <c:v>323.89999999999998</c:v>
                </c:pt>
                <c:pt idx="869">
                  <c:v>321.05</c:v>
                </c:pt>
                <c:pt idx="870">
                  <c:v>324.35000000000002</c:v>
                </c:pt>
                <c:pt idx="871">
                  <c:v>319.05</c:v>
                </c:pt>
                <c:pt idx="872">
                  <c:v>312.10000000000002</c:v>
                </c:pt>
                <c:pt idx="873">
                  <c:v>304.95</c:v>
                </c:pt>
                <c:pt idx="874">
                  <c:v>310.45</c:v>
                </c:pt>
                <c:pt idx="875">
                  <c:v>314.05</c:v>
                </c:pt>
                <c:pt idx="876">
                  <c:v>315.10000000000002</c:v>
                </c:pt>
                <c:pt idx="877">
                  <c:v>317.85000000000002</c:v>
                </c:pt>
                <c:pt idx="878">
                  <c:v>315.10000000000002</c:v>
                </c:pt>
                <c:pt idx="879">
                  <c:v>321.85000000000002</c:v>
                </c:pt>
                <c:pt idx="880">
                  <c:v>320.89999999999998</c:v>
                </c:pt>
                <c:pt idx="881">
                  <c:v>315.64999999999998</c:v>
                </c:pt>
                <c:pt idx="882">
                  <c:v>315.64999999999998</c:v>
                </c:pt>
                <c:pt idx="883">
                  <c:v>312.14999999999998</c:v>
                </c:pt>
                <c:pt idx="884">
                  <c:v>317.35000000000002</c:v>
                </c:pt>
                <c:pt idx="885">
                  <c:v>321.8</c:v>
                </c:pt>
                <c:pt idx="886">
                  <c:v>327</c:v>
                </c:pt>
                <c:pt idx="887">
                  <c:v>319.7</c:v>
                </c:pt>
                <c:pt idx="888">
                  <c:v>318.05</c:v>
                </c:pt>
                <c:pt idx="889">
                  <c:v>315.10000000000002</c:v>
                </c:pt>
                <c:pt idx="890">
                  <c:v>315</c:v>
                </c:pt>
                <c:pt idx="891">
                  <c:v>310.75</c:v>
                </c:pt>
                <c:pt idx="892">
                  <c:v>315.10000000000002</c:v>
                </c:pt>
                <c:pt idx="893">
                  <c:v>309.60000000000002</c:v>
                </c:pt>
                <c:pt idx="894">
                  <c:v>308.3</c:v>
                </c:pt>
                <c:pt idx="895">
                  <c:v>299.60000000000002</c:v>
                </c:pt>
                <c:pt idx="896">
                  <c:v>309.85000000000002</c:v>
                </c:pt>
                <c:pt idx="897">
                  <c:v>314.75</c:v>
                </c:pt>
                <c:pt idx="898">
                  <c:v>318.10000000000002</c:v>
                </c:pt>
                <c:pt idx="899">
                  <c:v>321.95</c:v>
                </c:pt>
                <c:pt idx="900">
                  <c:v>315.05</c:v>
                </c:pt>
                <c:pt idx="901">
                  <c:v>314.25</c:v>
                </c:pt>
                <c:pt idx="902">
                  <c:v>317.39999999999998</c:v>
                </c:pt>
                <c:pt idx="903">
                  <c:v>323.75</c:v>
                </c:pt>
                <c:pt idx="904">
                  <c:v>319.64999999999998</c:v>
                </c:pt>
                <c:pt idx="905">
                  <c:v>318.45</c:v>
                </c:pt>
                <c:pt idx="906">
                  <c:v>316.45</c:v>
                </c:pt>
                <c:pt idx="907">
                  <c:v>314.75</c:v>
                </c:pt>
                <c:pt idx="908">
                  <c:v>318.25</c:v>
                </c:pt>
                <c:pt idx="909">
                  <c:v>318</c:v>
                </c:pt>
                <c:pt idx="910">
                  <c:v>326.7</c:v>
                </c:pt>
                <c:pt idx="911">
                  <c:v>301</c:v>
                </c:pt>
                <c:pt idx="912">
                  <c:v>291.3</c:v>
                </c:pt>
                <c:pt idx="913">
                  <c:v>286.45</c:v>
                </c:pt>
                <c:pt idx="914">
                  <c:v>291.45</c:v>
                </c:pt>
                <c:pt idx="915">
                  <c:v>300.64999999999998</c:v>
                </c:pt>
                <c:pt idx="916">
                  <c:v>298.05</c:v>
                </c:pt>
                <c:pt idx="917">
                  <c:v>295.55</c:v>
                </c:pt>
                <c:pt idx="918">
                  <c:v>299.7</c:v>
                </c:pt>
                <c:pt idx="919">
                  <c:v>303.8</c:v>
                </c:pt>
                <c:pt idx="920">
                  <c:v>309.39999999999998</c:v>
                </c:pt>
                <c:pt idx="921">
                  <c:v>305.3</c:v>
                </c:pt>
                <c:pt idx="922">
                  <c:v>309.35000000000002</c:v>
                </c:pt>
                <c:pt idx="923">
                  <c:v>309.8</c:v>
                </c:pt>
                <c:pt idx="924">
                  <c:v>310.35000000000002</c:v>
                </c:pt>
                <c:pt idx="925">
                  <c:v>310.35000000000002</c:v>
                </c:pt>
                <c:pt idx="926">
                  <c:v>314.55</c:v>
                </c:pt>
                <c:pt idx="927">
                  <c:v>310.3</c:v>
                </c:pt>
                <c:pt idx="928">
                  <c:v>314.45</c:v>
                </c:pt>
                <c:pt idx="929">
                  <c:v>314.60000000000002</c:v>
                </c:pt>
                <c:pt idx="930">
                  <c:v>320.2</c:v>
                </c:pt>
                <c:pt idx="931">
                  <c:v>317.2</c:v>
                </c:pt>
                <c:pt idx="932">
                  <c:v>318.64999999999998</c:v>
                </c:pt>
                <c:pt idx="933">
                  <c:v>313.64999999999998</c:v>
                </c:pt>
                <c:pt idx="934">
                  <c:v>316.10000000000002</c:v>
                </c:pt>
                <c:pt idx="935">
                  <c:v>314.45</c:v>
                </c:pt>
                <c:pt idx="936">
                  <c:v>314.35000000000002</c:v>
                </c:pt>
                <c:pt idx="937">
                  <c:v>299.5</c:v>
                </c:pt>
                <c:pt idx="938">
                  <c:v>304.05</c:v>
                </c:pt>
                <c:pt idx="939">
                  <c:v>309.45</c:v>
                </c:pt>
                <c:pt idx="940">
                  <c:v>324.60000000000002</c:v>
                </c:pt>
                <c:pt idx="941">
                  <c:v>326.8</c:v>
                </c:pt>
                <c:pt idx="942">
                  <c:v>327.14999999999998</c:v>
                </c:pt>
                <c:pt idx="943">
                  <c:v>333.25</c:v>
                </c:pt>
                <c:pt idx="944">
                  <c:v>333.5</c:v>
                </c:pt>
                <c:pt idx="945">
                  <c:v>327.60000000000002</c:v>
                </c:pt>
                <c:pt idx="946">
                  <c:v>332.85</c:v>
                </c:pt>
                <c:pt idx="947">
                  <c:v>330.1</c:v>
                </c:pt>
                <c:pt idx="948">
                  <c:v>327.10000000000002</c:v>
                </c:pt>
                <c:pt idx="949">
                  <c:v>325.14999999999998</c:v>
                </c:pt>
                <c:pt idx="950">
                  <c:v>327.95</c:v>
                </c:pt>
                <c:pt idx="951">
                  <c:v>324.25</c:v>
                </c:pt>
                <c:pt idx="952">
                  <c:v>324.55</c:v>
                </c:pt>
                <c:pt idx="953">
                  <c:v>324</c:v>
                </c:pt>
                <c:pt idx="954">
                  <c:v>321.64999999999998</c:v>
                </c:pt>
                <c:pt idx="955">
                  <c:v>316.2</c:v>
                </c:pt>
                <c:pt idx="956">
                  <c:v>325.85000000000002</c:v>
                </c:pt>
                <c:pt idx="957">
                  <c:v>322</c:v>
                </c:pt>
                <c:pt idx="958">
                  <c:v>317.75</c:v>
                </c:pt>
                <c:pt idx="959">
                  <c:v>318.3</c:v>
                </c:pt>
                <c:pt idx="960">
                  <c:v>318.3</c:v>
                </c:pt>
                <c:pt idx="961">
                  <c:v>316.5</c:v>
                </c:pt>
                <c:pt idx="962">
                  <c:v>313.89999999999998</c:v>
                </c:pt>
                <c:pt idx="963">
                  <c:v>315.60000000000002</c:v>
                </c:pt>
                <c:pt idx="964">
                  <c:v>310.3</c:v>
                </c:pt>
                <c:pt idx="965">
                  <c:v>312</c:v>
                </c:pt>
                <c:pt idx="966">
                  <c:v>312.64999999999998</c:v>
                </c:pt>
                <c:pt idx="967">
                  <c:v>315.35000000000002</c:v>
                </c:pt>
                <c:pt idx="968">
                  <c:v>338.7</c:v>
                </c:pt>
                <c:pt idx="969">
                  <c:v>337.5</c:v>
                </c:pt>
                <c:pt idx="970">
                  <c:v>343.75</c:v>
                </c:pt>
                <c:pt idx="971">
                  <c:v>334.75</c:v>
                </c:pt>
                <c:pt idx="972">
                  <c:v>339.95</c:v>
                </c:pt>
                <c:pt idx="973">
                  <c:v>342.4</c:v>
                </c:pt>
                <c:pt idx="974">
                  <c:v>341.4</c:v>
                </c:pt>
                <c:pt idx="975">
                  <c:v>333.8</c:v>
                </c:pt>
                <c:pt idx="976">
                  <c:v>322.25</c:v>
                </c:pt>
                <c:pt idx="977">
                  <c:v>322</c:v>
                </c:pt>
                <c:pt idx="978">
                  <c:v>319.75</c:v>
                </c:pt>
                <c:pt idx="979">
                  <c:v>316.14999999999998</c:v>
                </c:pt>
                <c:pt idx="980">
                  <c:v>313.60000000000002</c:v>
                </c:pt>
                <c:pt idx="981">
                  <c:v>313.7</c:v>
                </c:pt>
                <c:pt idx="982">
                  <c:v>321.2</c:v>
                </c:pt>
                <c:pt idx="983">
                  <c:v>323.39999999999998</c:v>
                </c:pt>
                <c:pt idx="984">
                  <c:v>318.25</c:v>
                </c:pt>
                <c:pt idx="985">
                  <c:v>309.75</c:v>
                </c:pt>
                <c:pt idx="986">
                  <c:v>317.14999999999998</c:v>
                </c:pt>
                <c:pt idx="987">
                  <c:v>330.5</c:v>
                </c:pt>
                <c:pt idx="988">
                  <c:v>330.35</c:v>
                </c:pt>
                <c:pt idx="989">
                  <c:v>337.15</c:v>
                </c:pt>
                <c:pt idx="990">
                  <c:v>341.35</c:v>
                </c:pt>
              </c:numCache>
            </c:numRef>
          </c:val>
          <c:smooth val="0"/>
          <c:extLst>
            <c:ext xmlns:c16="http://schemas.microsoft.com/office/drawing/2014/chart" uri="{C3380CC4-5D6E-409C-BE32-E72D297353CC}">
              <c16:uniqueId val="{00000000-CD90-4837-AC42-CAD9254A83A9}"/>
            </c:ext>
          </c:extLst>
        </c:ser>
        <c:dLbls>
          <c:showLegendKey val="0"/>
          <c:showVal val="0"/>
          <c:showCatName val="0"/>
          <c:showSerName val="0"/>
          <c:showPercent val="0"/>
          <c:showBubbleSize val="0"/>
        </c:dLbls>
        <c:smooth val="0"/>
        <c:axId val="1372654368"/>
        <c:axId val="150656976"/>
      </c:lineChart>
      <c:dateAx>
        <c:axId val="1372654368"/>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2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6976"/>
        <c:crosses val="autoZero"/>
        <c:auto val="1"/>
        <c:lblOffset val="100"/>
        <c:baseTimeUnit val="days"/>
      </c:dateAx>
      <c:valAx>
        <c:axId val="150656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543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'Data_One Pager'!$J$51:$M$51</c:f>
              <c:numCache>
                <c:formatCode>mmm\-yy</c:formatCode>
                <c:ptCount val="4"/>
                <c:pt idx="0">
                  <c:v>44986</c:v>
                </c:pt>
                <c:pt idx="1">
                  <c:v>45352</c:v>
                </c:pt>
                <c:pt idx="2">
                  <c:v>45717</c:v>
                </c:pt>
                <c:pt idx="3">
                  <c:v>46082</c:v>
                </c:pt>
              </c:numCache>
            </c:numRef>
          </c:cat>
          <c:val>
            <c:numRef>
              <c:f>'Data_One Pager'!$J$60:$M$60</c:f>
              <c:numCache>
                <c:formatCode>#,##0</c:formatCode>
                <c:ptCount val="4"/>
                <c:pt idx="0">
                  <c:v>9851</c:v>
                </c:pt>
                <c:pt idx="1">
                  <c:v>11821</c:v>
                </c:pt>
                <c:pt idx="2">
                  <c:v>13368</c:v>
                </c:pt>
                <c:pt idx="3">
                  <c:v>14390</c:v>
                </c:pt>
              </c:numCache>
            </c:numRef>
          </c:val>
          <c:extLst>
            <c:ext xmlns:c16="http://schemas.microsoft.com/office/drawing/2014/chart" uri="{C3380CC4-5D6E-409C-BE32-E72D297353CC}">
              <c16:uniqueId val="{00000000-42F2-4BBA-8BC0-AF79A52C97CD}"/>
            </c:ext>
          </c:extLst>
        </c:ser>
        <c:dLbls>
          <c:dLblPos val="outEnd"/>
          <c:showLegendKey val="0"/>
          <c:showVal val="1"/>
          <c:showCatName val="0"/>
          <c:showSerName val="0"/>
          <c:showPercent val="0"/>
          <c:showBubbleSize val="0"/>
        </c:dLbls>
        <c:gapWidth val="219"/>
        <c:overlap val="-27"/>
        <c:axId val="1387329136"/>
        <c:axId val="1269647056"/>
      </c:barChart>
      <c:dateAx>
        <c:axId val="138732913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47056"/>
        <c:crosses val="autoZero"/>
        <c:auto val="1"/>
        <c:lblOffset val="100"/>
        <c:baseTimeUnit val="years"/>
      </c:dateAx>
      <c:valAx>
        <c:axId val="1269647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291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84007130207849"/>
          <c:y val="9.6548378201491009E-2"/>
          <c:w val="0.82997454329387643"/>
          <c:h val="0.6998375195152815"/>
        </c:manualLayout>
      </c:layout>
      <c:lineChart>
        <c:grouping val="standard"/>
        <c:varyColors val="0"/>
        <c:ser>
          <c:idx val="0"/>
          <c:order val="0"/>
          <c:spPr>
            <a:ln w="28575" cap="rnd">
              <a:solidFill>
                <a:schemeClr val="accent4">
                  <a:lumMod val="50000"/>
                </a:schemeClr>
              </a:solidFill>
              <a:round/>
            </a:ln>
            <a:effectLst/>
          </c:spPr>
          <c:marker>
            <c:symbol val="circle"/>
            <c:size val="5"/>
            <c:spPr>
              <a:solidFill>
                <a:schemeClr val="accent4">
                  <a:lumMod val="60000"/>
                  <a:lumOff val="4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'Data_One Pager'!$H$51:$M$51</c:f>
              <c:numCache>
                <c:formatCode>mmm\-yy</c:formatCode>
                <c:ptCount val="6"/>
                <c:pt idx="0">
                  <c:v>44256</c:v>
                </c:pt>
                <c:pt idx="1">
                  <c:v>44621</c:v>
                </c:pt>
                <c:pt idx="2">
                  <c:v>44986</c:v>
                </c:pt>
                <c:pt idx="3">
                  <c:v>45352</c:v>
                </c:pt>
                <c:pt idx="4">
                  <c:v>45717</c:v>
                </c:pt>
                <c:pt idx="5">
                  <c:v>46082</c:v>
                </c:pt>
              </c:numCache>
            </c:numRef>
          </c:cat>
          <c:val>
            <c:numRef>
              <c:f>'Data_One Pager'!$H$61:$M$61</c:f>
              <c:numCache>
                <c:formatCode>0%</c:formatCode>
                <c:ptCount val="6"/>
                <c:pt idx="0">
                  <c:v>0.39</c:v>
                </c:pt>
                <c:pt idx="1">
                  <c:v>0.53</c:v>
                </c:pt>
                <c:pt idx="2">
                  <c:v>0.72</c:v>
                </c:pt>
                <c:pt idx="3">
                  <c:v>0.77</c:v>
                </c:pt>
                <c:pt idx="4">
                  <c:v>0.77</c:v>
                </c:pt>
                <c:pt idx="5">
                  <c:v>0.78</c:v>
                </c:pt>
              </c:numCache>
            </c:numRef>
          </c:val>
          <c:smooth val="0"/>
          <c:extLst>
            <c:ext xmlns:c16="http://schemas.microsoft.com/office/drawing/2014/chart" uri="{C3380CC4-5D6E-409C-BE32-E72D297353CC}">
              <c16:uniqueId val="{00000000-5861-4D54-B320-4931590595E0}"/>
            </c:ext>
          </c:extLst>
        </c:ser>
        <c:dLbls>
          <c:showLegendKey val="0"/>
          <c:showVal val="0"/>
          <c:showCatName val="0"/>
          <c:showSerName val="0"/>
          <c:showPercent val="0"/>
          <c:showBubbleSize val="0"/>
        </c:dLbls>
        <c:marker val="1"/>
        <c:smooth val="0"/>
        <c:axId val="481777584"/>
        <c:axId val="1269615376"/>
      </c:lineChart>
      <c:dateAx>
        <c:axId val="48177758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15376"/>
        <c:crosses val="autoZero"/>
        <c:auto val="1"/>
        <c:lblOffset val="100"/>
        <c:baseTimeUnit val="years"/>
      </c:dateAx>
      <c:valAx>
        <c:axId val="12696153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775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6.8680586901159649E-2"/>
          <c:y val="6.4102564102564097E-2"/>
          <c:w val="0.8923951385057759"/>
          <c:h val="0.48223895527045135"/>
        </c:manualLayout>
      </c:layout>
      <c:barChart>
        <c:barDir val="col"/>
        <c:grouping val="clustered"/>
        <c:varyColors val="0"/>
        <c:ser>
          <c:idx val="0"/>
          <c:order val="0"/>
          <c:tx>
            <c:strRef>
              <c:f>'Economic One pager Input'!$F$4</c:f>
              <c:strCache>
                <c:ptCount val="1"/>
                <c:pt idx="0">
                  <c:v>2024</c:v>
                </c:pt>
              </c:strCache>
            </c:strRef>
          </c:tx>
          <c:spPr>
            <a:solidFill>
              <a:schemeClr val="accent4">
                <a:shade val="58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Input'!$F$5:$F$12</c:f>
              <c:numCache>
                <c:formatCode>General</c:formatCode>
                <c:ptCount val="8"/>
                <c:pt idx="0">
                  <c:v>5.8</c:v>
                </c:pt>
                <c:pt idx="1">
                  <c:v>2.6</c:v>
                </c:pt>
                <c:pt idx="2">
                  <c:v>8</c:v>
                </c:pt>
                <c:pt idx="3">
                  <c:v>3</c:v>
                </c:pt>
                <c:pt idx="4">
                  <c:v>2.5</c:v>
                </c:pt>
                <c:pt idx="5">
                  <c:v>4.5999999999999996</c:v>
                </c:pt>
                <c:pt idx="6">
                  <c:v>0.2</c:v>
                </c:pt>
                <c:pt idx="7">
                  <c:v>2.7</c:v>
                </c:pt>
              </c:numCache>
            </c:numRef>
          </c:val>
          <c:extLst>
            <c:ext xmlns:c16="http://schemas.microsoft.com/office/drawing/2014/chart" uri="{C3380CC4-5D6E-409C-BE32-E72D297353CC}">
              <c16:uniqueId val="{00000000-54D8-4054-84B8-BED9BF892B5F}"/>
            </c:ext>
          </c:extLst>
        </c:ser>
        <c:ser>
          <c:idx val="1"/>
          <c:order val="1"/>
          <c:tx>
            <c:strRef>
              <c:f>'Economic One pager Input'!$G$4</c:f>
              <c:strCache>
                <c:ptCount val="1"/>
                <c:pt idx="0">
                  <c:v>2025E</c:v>
                </c:pt>
              </c:strCache>
            </c:strRef>
          </c:tx>
          <c:spPr>
            <a:solidFill>
              <a:schemeClr val="accent4">
                <a:shade val="86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Input'!$G$5:$G$12</c:f>
              <c:numCache>
                <c:formatCode>General</c:formatCode>
                <c:ptCount val="8"/>
                <c:pt idx="0">
                  <c:v>4.0999999999999996</c:v>
                </c:pt>
                <c:pt idx="1">
                  <c:v>2.5</c:v>
                </c:pt>
                <c:pt idx="2">
                  <c:v>5.2</c:v>
                </c:pt>
                <c:pt idx="3">
                  <c:v>2.7</c:v>
                </c:pt>
                <c:pt idx="4">
                  <c:v>3.4</c:v>
                </c:pt>
                <c:pt idx="5">
                  <c:v>2.1</c:v>
                </c:pt>
                <c:pt idx="6">
                  <c:v>0</c:v>
                </c:pt>
                <c:pt idx="7">
                  <c:v>3.2</c:v>
                </c:pt>
              </c:numCache>
            </c:numRef>
          </c:val>
          <c:extLst>
            <c:ext xmlns:c16="http://schemas.microsoft.com/office/drawing/2014/chart" uri="{C3380CC4-5D6E-409C-BE32-E72D297353CC}">
              <c16:uniqueId val="{00000001-54D8-4054-84B8-BED9BF892B5F}"/>
            </c:ext>
          </c:extLst>
        </c:ser>
        <c:ser>
          <c:idx val="2"/>
          <c:order val="2"/>
          <c:tx>
            <c:strRef>
              <c:f>'Economic One pager Input'!$H$4</c:f>
              <c:strCache>
                <c:ptCount val="1"/>
                <c:pt idx="0">
                  <c:v>2026F</c:v>
                </c:pt>
              </c:strCache>
            </c:strRef>
          </c:tx>
          <c:spPr>
            <a:solidFill>
              <a:schemeClr val="accent4">
                <a:tint val="86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Input'!$H$5:$H$12</c:f>
              <c:numCache>
                <c:formatCode>General</c:formatCode>
                <c:ptCount val="8"/>
                <c:pt idx="0">
                  <c:v>4.4000000000000004</c:v>
                </c:pt>
                <c:pt idx="1">
                  <c:v>2.8</c:v>
                </c:pt>
                <c:pt idx="2">
                  <c:v>5.5</c:v>
                </c:pt>
                <c:pt idx="3">
                  <c:v>3.2</c:v>
                </c:pt>
                <c:pt idx="4">
                  <c:v>3.2</c:v>
                </c:pt>
                <c:pt idx="5">
                  <c:v>4.7</c:v>
                </c:pt>
                <c:pt idx="6">
                  <c:v>1.2</c:v>
                </c:pt>
                <c:pt idx="7">
                  <c:v>2.2000000000000002</c:v>
                </c:pt>
              </c:numCache>
            </c:numRef>
          </c:val>
          <c:extLst>
            <c:ext xmlns:c16="http://schemas.microsoft.com/office/drawing/2014/chart" uri="{C3380CC4-5D6E-409C-BE32-E72D297353CC}">
              <c16:uniqueId val="{00000002-54D8-4054-84B8-BED9BF892B5F}"/>
            </c:ext>
          </c:extLst>
        </c:ser>
        <c:ser>
          <c:idx val="3"/>
          <c:order val="3"/>
          <c:tx>
            <c:strRef>
              <c:f>'Economic One pager Input'!$I$4</c:f>
              <c:strCache>
                <c:ptCount val="1"/>
                <c:pt idx="0">
                  <c:v>2027F</c:v>
                </c:pt>
              </c:strCache>
            </c:strRef>
          </c:tx>
          <c:spPr>
            <a:solidFill>
              <a:schemeClr val="accent4">
                <a:tint val="58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Input'!$I$5:$I$12</c:f>
              <c:numCache>
                <c:formatCode>General</c:formatCode>
                <c:ptCount val="8"/>
                <c:pt idx="0">
                  <c:v>3.7</c:v>
                </c:pt>
                <c:pt idx="1">
                  <c:v>2.2000000000000002</c:v>
                </c:pt>
                <c:pt idx="2">
                  <c:v>4.5999999999999996</c:v>
                </c:pt>
                <c:pt idx="3">
                  <c:v>2.1</c:v>
                </c:pt>
                <c:pt idx="4">
                  <c:v>2.4</c:v>
                </c:pt>
                <c:pt idx="5">
                  <c:v>4</c:v>
                </c:pt>
                <c:pt idx="6">
                  <c:v>1.5</c:v>
                </c:pt>
                <c:pt idx="7">
                  <c:v>2.2999999999999998</c:v>
                </c:pt>
              </c:numCache>
            </c:numRef>
          </c:val>
          <c:extLst>
            <c:ext xmlns:c16="http://schemas.microsoft.com/office/drawing/2014/chart" uri="{C3380CC4-5D6E-409C-BE32-E72D297353CC}">
              <c16:uniqueId val="{00000003-54D8-4054-84B8-BED9BF892B5F}"/>
            </c:ext>
          </c:extLst>
        </c:ser>
        <c:dLbls>
          <c:showLegendKey val="0"/>
          <c:showVal val="0"/>
          <c:showCatName val="0"/>
          <c:showSerName val="0"/>
          <c:showPercent val="0"/>
          <c:showBubbleSize val="0"/>
        </c:dLbls>
        <c:gapWidth val="219"/>
        <c:overlap val="-27"/>
        <c:axId val="79995551"/>
        <c:axId val="1327729583"/>
      </c:barChart>
      <c:catAx>
        <c:axId val="7999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9583"/>
        <c:crosses val="autoZero"/>
        <c:auto val="1"/>
        <c:lblAlgn val="ctr"/>
        <c:lblOffset val="100"/>
        <c:noMultiLvlLbl val="0"/>
      </c:catAx>
      <c:valAx>
        <c:axId val="132772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5551"/>
        <c:crosses val="autoZero"/>
        <c:crossBetween val="between"/>
      </c:valAx>
      <c:spPr>
        <a:noFill/>
        <a:ln>
          <a:noFill/>
        </a:ln>
        <a:effectLst/>
      </c:spPr>
    </c:plotArea>
    <c:legend>
      <c:legendPos val="b"/>
      <c:layout>
        <c:manualLayout>
          <c:xMode val="edge"/>
          <c:yMode val="edge"/>
          <c:x val="0.4607121163994628"/>
          <c:y val="0.89583264504524351"/>
          <c:w val="0.53151278064764196"/>
          <c:h val="9.83398491272507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76412541455573"/>
          <c:y val="0.10973936899862825"/>
          <c:w val="0.82947618466296369"/>
          <c:h val="0.55828337815797713"/>
        </c:manualLayout>
      </c:layout>
      <c:barChart>
        <c:barDir val="col"/>
        <c:grouping val="clustered"/>
        <c:varyColors val="0"/>
        <c:ser>
          <c:idx val="0"/>
          <c:order val="0"/>
          <c:spPr>
            <a:solidFill>
              <a:schemeClr val="accent4">
                <a:lumMod val="50000"/>
              </a:schemeClr>
            </a:solidFill>
            <a:ln>
              <a:solidFill>
                <a:schemeClr val="accent4">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One pager Input'!$C$25:$I$25</c:f>
              <c:strCache>
                <c:ptCount val="7"/>
                <c:pt idx="0">
                  <c:v>Business and Professional</c:v>
                </c:pt>
                <c:pt idx="1">
                  <c:v>Indian Diaspora</c:v>
                </c:pt>
                <c:pt idx="2">
                  <c:v>Leisure Holiday and Recreation</c:v>
                </c:pt>
                <c:pt idx="3">
                  <c:v>Medical</c:v>
                </c:pt>
                <c:pt idx="4">
                  <c:v>Pilgrimage</c:v>
                </c:pt>
                <c:pt idx="5">
                  <c:v>Student</c:v>
                </c:pt>
                <c:pt idx="6">
                  <c:v>Others</c:v>
                </c:pt>
              </c:strCache>
            </c:strRef>
          </c:cat>
          <c:val>
            <c:numRef>
              <c:f>'Economic One pager Input'!$C$26:$I$26</c:f>
              <c:numCache>
                <c:formatCode>0.00%</c:formatCode>
                <c:ptCount val="7"/>
                <c:pt idx="0">
                  <c:v>0.1169</c:v>
                </c:pt>
                <c:pt idx="1">
                  <c:v>0.32890000000000003</c:v>
                </c:pt>
                <c:pt idx="2">
                  <c:v>0.39279999999999998</c:v>
                </c:pt>
                <c:pt idx="3">
                  <c:v>5.5399999999999998E-2</c:v>
                </c:pt>
                <c:pt idx="4">
                  <c:v>4.0000000000000002E-4</c:v>
                </c:pt>
                <c:pt idx="5">
                  <c:v>7.3000000000000001E-3</c:v>
                </c:pt>
                <c:pt idx="6">
                  <c:v>9.820000000000001E-2</c:v>
                </c:pt>
              </c:numCache>
            </c:numRef>
          </c:val>
          <c:extLst>
            <c:ext xmlns:c16="http://schemas.microsoft.com/office/drawing/2014/chart" uri="{C3380CC4-5D6E-409C-BE32-E72D297353CC}">
              <c16:uniqueId val="{00000000-9B49-4CF4-A8D5-2F5105E39B98}"/>
            </c:ext>
          </c:extLst>
        </c:ser>
        <c:dLbls>
          <c:showLegendKey val="0"/>
          <c:showVal val="0"/>
          <c:showCatName val="0"/>
          <c:showSerName val="0"/>
          <c:showPercent val="0"/>
          <c:showBubbleSize val="0"/>
        </c:dLbls>
        <c:gapWidth val="219"/>
        <c:overlap val="-27"/>
        <c:axId val="67174527"/>
        <c:axId val="1275758223"/>
      </c:barChart>
      <c:catAx>
        <c:axId val="671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58223"/>
        <c:crosses val="autoZero"/>
        <c:auto val="1"/>
        <c:lblAlgn val="ctr"/>
        <c:lblOffset val="100"/>
        <c:noMultiLvlLbl val="0"/>
      </c:catAx>
      <c:valAx>
        <c:axId val="12757582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452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4">
                  <a:lumMod val="50000"/>
                </a:schemeClr>
              </a:solidFill>
              <a:round/>
            </a:ln>
            <a:effectLst/>
          </c:spPr>
          <c:marker>
            <c:symbol val="circle"/>
            <c:size val="5"/>
            <c:spPr>
              <a:solidFill>
                <a:schemeClr val="accent4">
                  <a:lumMod val="50000"/>
                </a:schemeClr>
              </a:solidFill>
              <a:ln w="9525">
                <a:noFill/>
              </a:ln>
              <a:effectLst/>
            </c:spPr>
          </c:marker>
          <c:xVal>
            <c:numRef>
              <c:f>'Economic One pager Input'!$A$33:$A$49</c:f>
              <c:numCache>
                <c:formatCode>General</c:formatCode>
                <c:ptCount val="17"/>
                <c:pt idx="0">
                  <c:v>1991</c:v>
                </c:pt>
                <c:pt idx="1">
                  <c:v>2001</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xVal>
          <c:yVal>
            <c:numRef>
              <c:f>'Economic One pager Input'!$B$33:$B$49</c:f>
              <c:numCache>
                <c:formatCode>#,##0</c:formatCode>
                <c:ptCount val="17"/>
                <c:pt idx="0">
                  <c:v>4318</c:v>
                </c:pt>
                <c:pt idx="1">
                  <c:v>15083</c:v>
                </c:pt>
                <c:pt idx="2">
                  <c:v>83037</c:v>
                </c:pt>
                <c:pt idx="3">
                  <c:v>95060</c:v>
                </c:pt>
                <c:pt idx="4">
                  <c:v>107563</c:v>
                </c:pt>
                <c:pt idx="5">
                  <c:v>120366</c:v>
                </c:pt>
                <c:pt idx="6">
                  <c:v>134843</c:v>
                </c:pt>
                <c:pt idx="7">
                  <c:v>150750</c:v>
                </c:pt>
                <c:pt idx="8">
                  <c:v>178189</c:v>
                </c:pt>
                <c:pt idx="9">
                  <c:v>195312</c:v>
                </c:pt>
                <c:pt idx="10">
                  <c:v>216467</c:v>
                </c:pt>
                <c:pt idx="11">
                  <c:v>95738</c:v>
                </c:pt>
                <c:pt idx="12">
                  <c:v>63978</c:v>
                </c:pt>
                <c:pt idx="13">
                  <c:v>169917</c:v>
                </c:pt>
                <c:pt idx="14">
                  <c:v>266045</c:v>
                </c:pt>
                <c:pt idx="15">
                  <c:v>293033</c:v>
                </c:pt>
                <c:pt idx="16">
                  <c:v>276831</c:v>
                </c:pt>
              </c:numCache>
            </c:numRef>
          </c:yVal>
          <c:smooth val="0"/>
          <c:extLst>
            <c:ext xmlns:c16="http://schemas.microsoft.com/office/drawing/2014/chart" uri="{C3380CC4-5D6E-409C-BE32-E72D297353CC}">
              <c16:uniqueId val="{00000000-B4A2-40E7-ACC0-4AD936A20E09}"/>
            </c:ext>
          </c:extLst>
        </c:ser>
        <c:dLbls>
          <c:showLegendKey val="0"/>
          <c:showVal val="0"/>
          <c:showCatName val="0"/>
          <c:showSerName val="0"/>
          <c:showPercent val="0"/>
          <c:showBubbleSize val="0"/>
        </c:dLbls>
        <c:axId val="74937615"/>
        <c:axId val="1327726223"/>
      </c:scatterChart>
      <c:valAx>
        <c:axId val="7493761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6223"/>
        <c:crosses val="autoZero"/>
        <c:crossBetween val="midCat"/>
      </c:valAx>
      <c:valAx>
        <c:axId val="1327726223"/>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7615"/>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r>
              <a:rPr lang="en-IN" b="1" baseline="0">
                <a:solidFill>
                  <a:schemeClr val="accent4">
                    <a:lumMod val="50000"/>
                  </a:schemeClr>
                </a:solidFill>
              </a:rPr>
              <a:t>Football Field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4">
                  <a:lumMod val="50000"/>
                </a:schemeClr>
              </a:solidFill>
              <a:latin typeface="+mn-lt"/>
              <a:ea typeface="+mn-ea"/>
              <a:cs typeface="+mn-cs"/>
            </a:defRPr>
          </a:pPr>
          <a:endParaRPr lang="en-US"/>
        </a:p>
      </c:txPr>
    </c:title>
    <c:autoTitleDeleted val="0"/>
    <c:plotArea>
      <c:layout/>
      <c:stockChart>
        <c:ser>
          <c:idx val="0"/>
          <c:order val="0"/>
          <c:spPr>
            <a:ln w="38100" cap="rnd">
              <a:noFill/>
              <a:round/>
            </a:ln>
            <a:effectLst/>
          </c:spPr>
          <c:marker>
            <c:symbol val="none"/>
          </c:marker>
          <c:cat>
            <c:strRef>
              <c:f>'Football Field Analysis'!$B$4:$B$8</c:f>
              <c:strCache>
                <c:ptCount val="5"/>
                <c:pt idx="0">
                  <c:v>Comps</c:v>
                </c:pt>
                <c:pt idx="1">
                  <c:v>DCF Bear</c:v>
                </c:pt>
                <c:pt idx="2">
                  <c:v>DCF Base</c:v>
                </c:pt>
                <c:pt idx="3">
                  <c:v>DCF Bull</c:v>
                </c:pt>
                <c:pt idx="4">
                  <c:v>52W H/L</c:v>
                </c:pt>
              </c:strCache>
            </c:strRef>
          </c:cat>
          <c:val>
            <c:numRef>
              <c:f>'Football Field Analysis'!$C$4:$C$8</c:f>
              <c:numCache>
                <c:formatCode>#,##0.00;\(#,##0.00\);\-</c:formatCode>
                <c:ptCount val="5"/>
                <c:pt idx="0">
                  <c:v>1270.1453014058548</c:v>
                </c:pt>
                <c:pt idx="1">
                  <c:v>332.79609214522446</c:v>
                </c:pt>
                <c:pt idx="2">
                  <c:v>-1669.5420763781915</c:v>
                </c:pt>
                <c:pt idx="3">
                  <c:v>-1669.5420763781915</c:v>
                </c:pt>
                <c:pt idx="4">
                  <c:v>3403.95</c:v>
                </c:pt>
              </c:numCache>
            </c:numRef>
          </c:val>
          <c:smooth val="0"/>
          <c:extLst>
            <c:ext xmlns:c16="http://schemas.microsoft.com/office/drawing/2014/chart" uri="{C3380CC4-5D6E-409C-BE32-E72D297353CC}">
              <c16:uniqueId val="{00000000-1F6A-463E-886F-3B73DAB63967}"/>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Analysis'!$B$4:$B$8</c:f>
              <c:strCache>
                <c:ptCount val="5"/>
                <c:pt idx="0">
                  <c:v>Comps</c:v>
                </c:pt>
                <c:pt idx="1">
                  <c:v>DCF Bear</c:v>
                </c:pt>
                <c:pt idx="2">
                  <c:v>DCF Base</c:v>
                </c:pt>
                <c:pt idx="3">
                  <c:v>DCF Bull</c:v>
                </c:pt>
                <c:pt idx="4">
                  <c:v>52W H/L</c:v>
                </c:pt>
              </c:strCache>
            </c:strRef>
          </c:cat>
          <c:val>
            <c:numRef>
              <c:f>'Football Field Analysis'!$D$4:$D$8</c:f>
              <c:numCache>
                <c:formatCode>#,##0.00;\(#,##0.00\);\-</c:formatCode>
                <c:ptCount val="5"/>
                <c:pt idx="0">
                  <c:v>456.49413457959184</c:v>
                </c:pt>
                <c:pt idx="1">
                  <c:v>2.5000000000000001E-2</c:v>
                </c:pt>
                <c:pt idx="2">
                  <c:v>-686.8700898487142</c:v>
                </c:pt>
                <c:pt idx="3">
                  <c:v>-686.8700898487142</c:v>
                </c:pt>
                <c:pt idx="4">
                  <c:v>582.75</c:v>
                </c:pt>
              </c:numCache>
            </c:numRef>
          </c:val>
          <c:smooth val="0"/>
          <c:extLst>
            <c:ext xmlns:c16="http://schemas.microsoft.com/office/drawing/2014/chart" uri="{C3380CC4-5D6E-409C-BE32-E72D297353CC}">
              <c16:uniqueId val="{00000001-1F6A-463E-886F-3B73DAB63967}"/>
            </c:ext>
          </c:extLst>
        </c:ser>
        <c:ser>
          <c:idx val="2"/>
          <c:order val="2"/>
          <c:spPr>
            <a:ln w="38100" cap="rnd">
              <a:noFill/>
              <a:round/>
            </a:ln>
            <a:effectLst/>
          </c:spPr>
          <c:marker>
            <c:symbol val="none"/>
          </c:marker>
          <c:cat>
            <c:strRef>
              <c:f>'Football Field Analysis'!$B$4:$B$8</c:f>
              <c:strCache>
                <c:ptCount val="5"/>
                <c:pt idx="0">
                  <c:v>Comps</c:v>
                </c:pt>
                <c:pt idx="1">
                  <c:v>DCF Bear</c:v>
                </c:pt>
                <c:pt idx="2">
                  <c:v>DCF Base</c:v>
                </c:pt>
                <c:pt idx="3">
                  <c:v>DCF Bull</c:v>
                </c:pt>
                <c:pt idx="4">
                  <c:v>52W H/L</c:v>
                </c:pt>
              </c:strCache>
            </c:strRef>
          </c:cat>
          <c:val>
            <c:numRef>
              <c:f>'Football Field Analysis'!$E$4:$E$8</c:f>
              <c:numCache>
                <c:formatCode>#,##0.00;\(#,##0.00\);\-</c:formatCode>
                <c:ptCount val="5"/>
                <c:pt idx="0">
                  <c:v>1962.5904496859146</c:v>
                </c:pt>
                <c:pt idx="1">
                  <c:v>1190.9410215124028</c:v>
                </c:pt>
                <c:pt idx="2">
                  <c:v>5481.6656683483043</c:v>
                </c:pt>
                <c:pt idx="3">
                  <c:v>5481.6656683482888</c:v>
                </c:pt>
                <c:pt idx="4">
                  <c:v>5320.55</c:v>
                </c:pt>
              </c:numCache>
            </c:numRef>
          </c:val>
          <c:smooth val="0"/>
          <c:extLst>
            <c:ext xmlns:c16="http://schemas.microsoft.com/office/drawing/2014/chart" uri="{C3380CC4-5D6E-409C-BE32-E72D297353CC}">
              <c16:uniqueId val="{00000002-1F6A-463E-886F-3B73DAB63967}"/>
            </c:ext>
          </c:extLst>
        </c:ser>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Analysis'!$B$4:$B$8</c:f>
              <c:strCache>
                <c:ptCount val="5"/>
                <c:pt idx="0">
                  <c:v>Comps</c:v>
                </c:pt>
                <c:pt idx="1">
                  <c:v>DCF Bear</c:v>
                </c:pt>
                <c:pt idx="2">
                  <c:v>DCF Base</c:v>
                </c:pt>
                <c:pt idx="3">
                  <c:v>DCF Bull</c:v>
                </c:pt>
                <c:pt idx="4">
                  <c:v>52W H/L</c:v>
                </c:pt>
              </c:strCache>
            </c:strRef>
          </c:cat>
          <c:val>
            <c:numRef>
              <c:f>'Football Field Analysis'!$F$4:$F$8</c:f>
              <c:numCache>
                <c:formatCode>#,##0.00;\(#,##0.00\);\-</c:formatCode>
                <c:ptCount val="5"/>
                <c:pt idx="0">
                  <c:v>525.41845228292368</c:v>
                </c:pt>
                <c:pt idx="1">
                  <c:v>296.76808432265489</c:v>
                </c:pt>
                <c:pt idx="2">
                  <c:v>2264.0444326653978</c:v>
                </c:pt>
                <c:pt idx="3">
                  <c:v>2264.044432665391</c:v>
                </c:pt>
                <c:pt idx="4">
                  <c:v>872.45</c:v>
                </c:pt>
              </c:numCache>
            </c:numRef>
          </c:val>
          <c:smooth val="0"/>
          <c:extLst>
            <c:ext xmlns:c16="http://schemas.microsoft.com/office/drawing/2014/chart" uri="{C3380CC4-5D6E-409C-BE32-E72D297353CC}">
              <c16:uniqueId val="{00000003-1F6A-463E-886F-3B73DAB63967}"/>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4">
                  <a:lumMod val="50000"/>
                </a:schemeClr>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765110528"/>
        <c:axId val="824228560"/>
      </c:stockChart>
      <c:catAx>
        <c:axId val="1765110528"/>
        <c:scaling>
          <c:orientation val="minMax"/>
        </c:scaling>
        <c:delete val="0"/>
        <c:axPos val="b"/>
        <c:numFmt formatCode="General" sourceLinked="0"/>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28560"/>
        <c:crosses val="autoZero"/>
        <c:auto val="1"/>
        <c:lblAlgn val="ctr"/>
        <c:lblOffset val="100"/>
        <c:noMultiLvlLbl val="0"/>
      </c:catAx>
      <c:valAx>
        <c:axId val="824228560"/>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11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Room</a:t>
            </a:r>
            <a:r>
              <a:rPr lang="en-IN" baseline="0"/>
              <a:t> Incom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'Data_One Pager'!$H$51:$M$51</c:f>
              <c:numCache>
                <c:formatCode>mmm\-yy</c:formatCode>
                <c:ptCount val="6"/>
                <c:pt idx="0">
                  <c:v>44256</c:v>
                </c:pt>
                <c:pt idx="1">
                  <c:v>44621</c:v>
                </c:pt>
                <c:pt idx="2">
                  <c:v>44986</c:v>
                </c:pt>
                <c:pt idx="3">
                  <c:v>45352</c:v>
                </c:pt>
                <c:pt idx="4">
                  <c:v>45717</c:v>
                </c:pt>
                <c:pt idx="5">
                  <c:v>46082</c:v>
                </c:pt>
              </c:numCache>
            </c:numRef>
          </c:cat>
          <c:val>
            <c:numRef>
              <c:f>'Data_One Pager'!$H$52:$M$52</c:f>
              <c:numCache>
                <c:formatCode>General</c:formatCode>
                <c:ptCount val="6"/>
                <c:pt idx="0">
                  <c:v>471.55</c:v>
                </c:pt>
                <c:pt idx="1">
                  <c:v>848.19</c:v>
                </c:pt>
                <c:pt idx="2" formatCode="#,##0.00">
                  <c:v>1594.04</c:v>
                </c:pt>
                <c:pt idx="3" formatCode="#,##0.00">
                  <c:v>1952.72</c:v>
                </c:pt>
                <c:pt idx="4" formatCode="#,##0.00">
                  <c:v>2238.42</c:v>
                </c:pt>
                <c:pt idx="5" formatCode="#,##0.00">
                  <c:v>2374.64</c:v>
                </c:pt>
              </c:numCache>
            </c:numRef>
          </c:val>
          <c:smooth val="0"/>
          <c:extLst>
            <c:ext xmlns:c16="http://schemas.microsoft.com/office/drawing/2014/chart" uri="{C3380CC4-5D6E-409C-BE32-E72D297353CC}">
              <c16:uniqueId val="{00000000-EC09-497D-9976-1F00EF2B827E}"/>
            </c:ext>
          </c:extLst>
        </c:ser>
        <c:dLbls>
          <c:showLegendKey val="0"/>
          <c:showVal val="0"/>
          <c:showCatName val="0"/>
          <c:showSerName val="0"/>
          <c:showPercent val="0"/>
          <c:showBubbleSize val="0"/>
        </c:dLbls>
        <c:smooth val="0"/>
        <c:axId val="1303336352"/>
        <c:axId val="1269589456"/>
      </c:lineChart>
      <c:dateAx>
        <c:axId val="130333635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89456"/>
        <c:crosses val="autoZero"/>
        <c:auto val="1"/>
        <c:lblOffset val="100"/>
        <c:baseTimeUnit val="years"/>
      </c:dateAx>
      <c:valAx>
        <c:axId val="126958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36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Rate Per Room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'Data_One Pager'!$H$51:$M$51</c:f>
              <c:numCache>
                <c:formatCode>mmm\-yy</c:formatCode>
                <c:ptCount val="6"/>
                <c:pt idx="0">
                  <c:v>44256</c:v>
                </c:pt>
                <c:pt idx="1">
                  <c:v>44621</c:v>
                </c:pt>
                <c:pt idx="2">
                  <c:v>44986</c:v>
                </c:pt>
                <c:pt idx="3">
                  <c:v>45352</c:v>
                </c:pt>
                <c:pt idx="4">
                  <c:v>45717</c:v>
                </c:pt>
                <c:pt idx="5">
                  <c:v>46082</c:v>
                </c:pt>
              </c:numCache>
            </c:numRef>
          </c:cat>
          <c:val>
            <c:numRef>
              <c:f>'Data_One Pager'!$H$59:$M$59</c:f>
              <c:numCache>
                <c:formatCode>#,##0</c:formatCode>
                <c:ptCount val="6"/>
                <c:pt idx="0">
                  <c:v>7351</c:v>
                </c:pt>
                <c:pt idx="1">
                  <c:v>9717</c:v>
                </c:pt>
                <c:pt idx="2">
                  <c:v>13736</c:v>
                </c:pt>
                <c:pt idx="3">
                  <c:v>15414</c:v>
                </c:pt>
                <c:pt idx="4">
                  <c:v>17315</c:v>
                </c:pt>
                <c:pt idx="5">
                  <c:v>18507</c:v>
                </c:pt>
              </c:numCache>
            </c:numRef>
          </c:val>
          <c:smooth val="0"/>
          <c:extLst>
            <c:ext xmlns:c16="http://schemas.microsoft.com/office/drawing/2014/chart" uri="{C3380CC4-5D6E-409C-BE32-E72D297353CC}">
              <c16:uniqueId val="{00000000-8078-4567-9E48-D58554E4EC3A}"/>
            </c:ext>
          </c:extLst>
        </c:ser>
        <c:dLbls>
          <c:showLegendKey val="0"/>
          <c:showVal val="0"/>
          <c:showCatName val="0"/>
          <c:showSerName val="0"/>
          <c:showPercent val="0"/>
          <c:showBubbleSize val="0"/>
        </c:dLbls>
        <c:smooth val="0"/>
        <c:axId val="481792896"/>
        <c:axId val="1269628336"/>
      </c:lineChart>
      <c:dateAx>
        <c:axId val="48179289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28336"/>
        <c:crosses val="autoZero"/>
        <c:auto val="1"/>
        <c:lblOffset val="100"/>
        <c:baseTimeUnit val="years"/>
      </c:dateAx>
      <c:valAx>
        <c:axId val="1269628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92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Occupancy</a:t>
            </a:r>
            <a:r>
              <a:rPr lang="en-IN"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4">
                  <a:lumMod val="50000"/>
                </a:schemeClr>
              </a:solidFill>
              <a:round/>
            </a:ln>
            <a:effectLst/>
          </c:spPr>
          <c:marker>
            <c:symbol val="circle"/>
            <c:size val="5"/>
            <c:spPr>
              <a:solidFill>
                <a:schemeClr val="accent4">
                  <a:lumMod val="60000"/>
                  <a:lumOff val="4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'Data_One Pager'!$H$51:$M$51</c:f>
              <c:numCache>
                <c:formatCode>mmm\-yy</c:formatCode>
                <c:ptCount val="6"/>
                <c:pt idx="0">
                  <c:v>44256</c:v>
                </c:pt>
                <c:pt idx="1">
                  <c:v>44621</c:v>
                </c:pt>
                <c:pt idx="2">
                  <c:v>44986</c:v>
                </c:pt>
                <c:pt idx="3">
                  <c:v>45352</c:v>
                </c:pt>
                <c:pt idx="4">
                  <c:v>45717</c:v>
                </c:pt>
                <c:pt idx="5">
                  <c:v>46082</c:v>
                </c:pt>
              </c:numCache>
            </c:numRef>
          </c:cat>
          <c:val>
            <c:numRef>
              <c:f>'Data_One Pager'!$H$61:$M$61</c:f>
              <c:numCache>
                <c:formatCode>0%</c:formatCode>
                <c:ptCount val="6"/>
                <c:pt idx="0">
                  <c:v>0.39</c:v>
                </c:pt>
                <c:pt idx="1">
                  <c:v>0.53</c:v>
                </c:pt>
                <c:pt idx="2">
                  <c:v>0.72</c:v>
                </c:pt>
                <c:pt idx="3">
                  <c:v>0.77</c:v>
                </c:pt>
                <c:pt idx="4">
                  <c:v>0.77</c:v>
                </c:pt>
                <c:pt idx="5">
                  <c:v>0.78</c:v>
                </c:pt>
              </c:numCache>
            </c:numRef>
          </c:val>
          <c:smooth val="0"/>
          <c:extLst>
            <c:ext xmlns:c16="http://schemas.microsoft.com/office/drawing/2014/chart" uri="{C3380CC4-5D6E-409C-BE32-E72D297353CC}">
              <c16:uniqueId val="{00000000-FAE2-426A-AEA6-D505EF5319AE}"/>
            </c:ext>
          </c:extLst>
        </c:ser>
        <c:dLbls>
          <c:showLegendKey val="0"/>
          <c:showVal val="0"/>
          <c:showCatName val="0"/>
          <c:showSerName val="0"/>
          <c:showPercent val="0"/>
          <c:showBubbleSize val="0"/>
        </c:dLbls>
        <c:marker val="1"/>
        <c:smooth val="0"/>
        <c:axId val="481777584"/>
        <c:axId val="1269615376"/>
      </c:lineChart>
      <c:dateAx>
        <c:axId val="48177758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15376"/>
        <c:crosses val="autoZero"/>
        <c:auto val="1"/>
        <c:lblOffset val="100"/>
        <c:baseTimeUnit val="years"/>
      </c:dateAx>
      <c:valAx>
        <c:axId val="12696153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7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RevPAR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'Data_One Pager'!$J$51:$M$51</c:f>
              <c:numCache>
                <c:formatCode>mmm\-yy</c:formatCode>
                <c:ptCount val="4"/>
                <c:pt idx="0">
                  <c:v>44986</c:v>
                </c:pt>
                <c:pt idx="1">
                  <c:v>45352</c:v>
                </c:pt>
                <c:pt idx="2">
                  <c:v>45717</c:v>
                </c:pt>
                <c:pt idx="3">
                  <c:v>46082</c:v>
                </c:pt>
              </c:numCache>
            </c:numRef>
          </c:cat>
          <c:val>
            <c:numRef>
              <c:f>'Data_One Pager'!$J$60:$M$60</c:f>
              <c:numCache>
                <c:formatCode>#,##0</c:formatCode>
                <c:ptCount val="4"/>
                <c:pt idx="0">
                  <c:v>9851</c:v>
                </c:pt>
                <c:pt idx="1">
                  <c:v>11821</c:v>
                </c:pt>
                <c:pt idx="2">
                  <c:v>13368</c:v>
                </c:pt>
                <c:pt idx="3">
                  <c:v>14390</c:v>
                </c:pt>
              </c:numCache>
            </c:numRef>
          </c:val>
          <c:extLst>
            <c:ext xmlns:c16="http://schemas.microsoft.com/office/drawing/2014/chart" uri="{C3380CC4-5D6E-409C-BE32-E72D297353CC}">
              <c16:uniqueId val="{00000000-7301-4D16-B748-5DB369FE83F7}"/>
            </c:ext>
          </c:extLst>
        </c:ser>
        <c:dLbls>
          <c:dLblPos val="outEnd"/>
          <c:showLegendKey val="0"/>
          <c:showVal val="1"/>
          <c:showCatName val="0"/>
          <c:showSerName val="0"/>
          <c:showPercent val="0"/>
          <c:showBubbleSize val="0"/>
        </c:dLbls>
        <c:gapWidth val="219"/>
        <c:overlap val="-27"/>
        <c:axId val="1387329136"/>
        <c:axId val="1269647056"/>
      </c:barChart>
      <c:dateAx>
        <c:axId val="138732913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47056"/>
        <c:crosses val="autoZero"/>
        <c:auto val="1"/>
        <c:lblOffset val="100"/>
        <c:baseTimeUnit val="years"/>
      </c:dateAx>
      <c:valAx>
        <c:axId val="1269647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2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4">
                  <a:lumMod val="50000"/>
                </a:schemeClr>
              </a:solidFill>
              <a:ln>
                <a:solidFill>
                  <a:schemeClr val="accent4">
                    <a:lumMod val="50000"/>
                  </a:schemeClr>
                </a:solidFill>
              </a:ln>
              <a:effectLst/>
            </c:spPr>
            <c:extLst>
              <c:ext xmlns:c16="http://schemas.microsoft.com/office/drawing/2014/chart" uri="{C3380CC4-5D6E-409C-BE32-E72D297353CC}">
                <c16:uniqueId val="{00000001-BA3C-4EF5-8876-2614B5535023}"/>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BA3C-4EF5-8876-2614B5535023}"/>
              </c:ext>
            </c:extLst>
          </c:dPt>
          <c:dPt>
            <c:idx val="2"/>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3-BA3C-4EF5-8876-2614B5535023}"/>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4-BA3C-4EF5-8876-2614B5535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'Data_One Pager'!$T$3:$T$6</c:f>
              <c:strCache>
                <c:ptCount val="4"/>
                <c:pt idx="0">
                  <c:v>Promoters</c:v>
                </c:pt>
                <c:pt idx="1">
                  <c:v>DII</c:v>
                </c:pt>
                <c:pt idx="2">
                  <c:v>FII</c:v>
                </c:pt>
                <c:pt idx="3">
                  <c:v>Public+Government</c:v>
                </c:pt>
              </c:strCache>
            </c:strRef>
          </c:cat>
          <c:val>
            <c:numRef>
              <c:f>'Data_One Pager'!$U$3:$U$6</c:f>
              <c:numCache>
                <c:formatCode>0.00%</c:formatCode>
                <c:ptCount val="4"/>
                <c:pt idx="0">
                  <c:v>0.38119999999999998</c:v>
                </c:pt>
                <c:pt idx="1">
                  <c:v>0.2447</c:v>
                </c:pt>
                <c:pt idx="2">
                  <c:v>0.21709999999999999</c:v>
                </c:pt>
                <c:pt idx="3">
                  <c:v>0.15720000000000001</c:v>
                </c:pt>
              </c:numCache>
            </c:numRef>
          </c:val>
          <c:extLst>
            <c:ext xmlns:c16="http://schemas.microsoft.com/office/drawing/2014/chart" uri="{C3380CC4-5D6E-409C-BE32-E72D297353CC}">
              <c16:uniqueId val="{00000000-BA3C-4EF5-8876-2614B5535023}"/>
            </c:ext>
          </c:extLst>
        </c:ser>
        <c:dLbls>
          <c:dLblPos val="outEnd"/>
          <c:showLegendKey val="0"/>
          <c:showVal val="1"/>
          <c:showCatName val="0"/>
          <c:showSerName val="0"/>
          <c:showPercent val="0"/>
          <c:showBubbleSize val="0"/>
        </c:dLbls>
        <c:gapWidth val="182"/>
        <c:axId val="1305259824"/>
        <c:axId val="1269643216"/>
      </c:barChart>
      <c:catAx>
        <c:axId val="13052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43216"/>
        <c:crosses val="autoZero"/>
        <c:auto val="1"/>
        <c:lblAlgn val="ctr"/>
        <c:lblOffset val="100"/>
        <c:noMultiLvlLbl val="0"/>
      </c:catAx>
      <c:valAx>
        <c:axId val="126964321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259824"/>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'Data_One Pager'!$B$1</c:f>
              <c:strCache>
                <c:ptCount val="1"/>
                <c:pt idx="0">
                  <c:v>Price</c:v>
                </c:pt>
              </c:strCache>
            </c:strRef>
          </c:tx>
          <c:spPr>
            <a:ln w="28575" cap="rnd">
              <a:solidFill>
                <a:schemeClr val="accent4">
                  <a:lumMod val="50000"/>
                </a:schemeClr>
              </a:solidFill>
              <a:round/>
            </a:ln>
            <a:effectLst/>
          </c:spPr>
          <c:marker>
            <c:symbol val="none"/>
          </c:marker>
          <c:cat>
            <c:numRef>
              <c:f>'Data_One Pager'!$A$2:$A$992</c:f>
              <c:numCache>
                <c:formatCode>mmm\ dd\,yyyy</c:formatCode>
                <c:ptCount val="991"/>
                <c:pt idx="0">
                  <c:v>46301</c:v>
                </c:pt>
                <c:pt idx="1">
                  <c:v>46300</c:v>
                </c:pt>
                <c:pt idx="2">
                  <c:v>46296</c:v>
                </c:pt>
                <c:pt idx="3">
                  <c:v>46295</c:v>
                </c:pt>
                <c:pt idx="4">
                  <c:v>46294</c:v>
                </c:pt>
                <c:pt idx="5">
                  <c:v>46293</c:v>
                </c:pt>
                <c:pt idx="6">
                  <c:v>46290</c:v>
                </c:pt>
                <c:pt idx="7">
                  <c:v>46289</c:v>
                </c:pt>
                <c:pt idx="8">
                  <c:v>46288</c:v>
                </c:pt>
                <c:pt idx="9">
                  <c:v>46287</c:v>
                </c:pt>
                <c:pt idx="10">
                  <c:v>46286</c:v>
                </c:pt>
                <c:pt idx="11">
                  <c:v>46283</c:v>
                </c:pt>
                <c:pt idx="12">
                  <c:v>46282</c:v>
                </c:pt>
                <c:pt idx="13">
                  <c:v>46281</c:v>
                </c:pt>
                <c:pt idx="14">
                  <c:v>46280</c:v>
                </c:pt>
                <c:pt idx="15">
                  <c:v>46276</c:v>
                </c:pt>
                <c:pt idx="16">
                  <c:v>46275</c:v>
                </c:pt>
                <c:pt idx="17">
                  <c:v>46274</c:v>
                </c:pt>
                <c:pt idx="18">
                  <c:v>46273</c:v>
                </c:pt>
                <c:pt idx="19">
                  <c:v>46272</c:v>
                </c:pt>
                <c:pt idx="20">
                  <c:v>46269</c:v>
                </c:pt>
                <c:pt idx="21">
                  <c:v>46268</c:v>
                </c:pt>
                <c:pt idx="22">
                  <c:v>46267</c:v>
                </c:pt>
                <c:pt idx="23">
                  <c:v>46266</c:v>
                </c:pt>
                <c:pt idx="24">
                  <c:v>46265</c:v>
                </c:pt>
                <c:pt idx="25">
                  <c:v>46262</c:v>
                </c:pt>
                <c:pt idx="26">
                  <c:v>46261</c:v>
                </c:pt>
                <c:pt idx="27">
                  <c:v>46260</c:v>
                </c:pt>
                <c:pt idx="28">
                  <c:v>46259</c:v>
                </c:pt>
                <c:pt idx="29">
                  <c:v>46258</c:v>
                </c:pt>
                <c:pt idx="30">
                  <c:v>46255</c:v>
                </c:pt>
                <c:pt idx="31">
                  <c:v>46254</c:v>
                </c:pt>
                <c:pt idx="32">
                  <c:v>46253</c:v>
                </c:pt>
                <c:pt idx="33">
                  <c:v>46252</c:v>
                </c:pt>
                <c:pt idx="34">
                  <c:v>46251</c:v>
                </c:pt>
                <c:pt idx="35">
                  <c:v>46248</c:v>
                </c:pt>
                <c:pt idx="36">
                  <c:v>46247</c:v>
                </c:pt>
                <c:pt idx="37">
                  <c:v>46246</c:v>
                </c:pt>
                <c:pt idx="38">
                  <c:v>46245</c:v>
                </c:pt>
                <c:pt idx="39">
                  <c:v>46244</c:v>
                </c:pt>
                <c:pt idx="40">
                  <c:v>46241</c:v>
                </c:pt>
                <c:pt idx="41">
                  <c:v>46240</c:v>
                </c:pt>
                <c:pt idx="42">
                  <c:v>46239</c:v>
                </c:pt>
                <c:pt idx="43">
                  <c:v>46238</c:v>
                </c:pt>
                <c:pt idx="44">
                  <c:v>46237</c:v>
                </c:pt>
                <c:pt idx="45">
                  <c:v>46234</c:v>
                </c:pt>
                <c:pt idx="46">
                  <c:v>46233</c:v>
                </c:pt>
                <c:pt idx="47">
                  <c:v>46232</c:v>
                </c:pt>
                <c:pt idx="48">
                  <c:v>46231</c:v>
                </c:pt>
                <c:pt idx="49">
                  <c:v>46230</c:v>
                </c:pt>
                <c:pt idx="50">
                  <c:v>46227</c:v>
                </c:pt>
                <c:pt idx="51">
                  <c:v>46226</c:v>
                </c:pt>
                <c:pt idx="52">
                  <c:v>46225</c:v>
                </c:pt>
                <c:pt idx="53">
                  <c:v>46224</c:v>
                </c:pt>
                <c:pt idx="54">
                  <c:v>46223</c:v>
                </c:pt>
                <c:pt idx="55">
                  <c:v>46220</c:v>
                </c:pt>
                <c:pt idx="56">
                  <c:v>46219</c:v>
                </c:pt>
                <c:pt idx="57">
                  <c:v>46218</c:v>
                </c:pt>
                <c:pt idx="58">
                  <c:v>46217</c:v>
                </c:pt>
                <c:pt idx="59">
                  <c:v>46216</c:v>
                </c:pt>
                <c:pt idx="60">
                  <c:v>46213</c:v>
                </c:pt>
                <c:pt idx="61">
                  <c:v>46212</c:v>
                </c:pt>
                <c:pt idx="62">
                  <c:v>46211</c:v>
                </c:pt>
                <c:pt idx="63">
                  <c:v>46210</c:v>
                </c:pt>
                <c:pt idx="64">
                  <c:v>46209</c:v>
                </c:pt>
                <c:pt idx="65">
                  <c:v>46206</c:v>
                </c:pt>
                <c:pt idx="66">
                  <c:v>46205</c:v>
                </c:pt>
                <c:pt idx="67">
                  <c:v>46204</c:v>
                </c:pt>
                <c:pt idx="68">
                  <c:v>46203</c:v>
                </c:pt>
                <c:pt idx="69">
                  <c:v>46202</c:v>
                </c:pt>
                <c:pt idx="70">
                  <c:v>46198</c:v>
                </c:pt>
                <c:pt idx="71">
                  <c:v>46197</c:v>
                </c:pt>
                <c:pt idx="72">
                  <c:v>46196</c:v>
                </c:pt>
                <c:pt idx="73">
                  <c:v>46195</c:v>
                </c:pt>
                <c:pt idx="74">
                  <c:v>46192</c:v>
                </c:pt>
                <c:pt idx="75">
                  <c:v>46191</c:v>
                </c:pt>
                <c:pt idx="76">
                  <c:v>46190</c:v>
                </c:pt>
                <c:pt idx="77">
                  <c:v>46189</c:v>
                </c:pt>
                <c:pt idx="78">
                  <c:v>46188</c:v>
                </c:pt>
                <c:pt idx="79">
                  <c:v>46185</c:v>
                </c:pt>
                <c:pt idx="80">
                  <c:v>46184</c:v>
                </c:pt>
                <c:pt idx="81">
                  <c:v>46183</c:v>
                </c:pt>
                <c:pt idx="82">
                  <c:v>46182</c:v>
                </c:pt>
                <c:pt idx="83">
                  <c:v>46181</c:v>
                </c:pt>
                <c:pt idx="84">
                  <c:v>46178</c:v>
                </c:pt>
                <c:pt idx="85">
                  <c:v>46177</c:v>
                </c:pt>
                <c:pt idx="86">
                  <c:v>46176</c:v>
                </c:pt>
                <c:pt idx="87">
                  <c:v>46175</c:v>
                </c:pt>
                <c:pt idx="88">
                  <c:v>46174</c:v>
                </c:pt>
                <c:pt idx="89">
                  <c:v>46171</c:v>
                </c:pt>
                <c:pt idx="90">
                  <c:v>46169</c:v>
                </c:pt>
                <c:pt idx="91">
                  <c:v>46168</c:v>
                </c:pt>
                <c:pt idx="92">
                  <c:v>46167</c:v>
                </c:pt>
                <c:pt idx="93">
                  <c:v>46164</c:v>
                </c:pt>
                <c:pt idx="94">
                  <c:v>46163</c:v>
                </c:pt>
                <c:pt idx="95">
                  <c:v>46162</c:v>
                </c:pt>
                <c:pt idx="96">
                  <c:v>46161</c:v>
                </c:pt>
                <c:pt idx="97">
                  <c:v>46160</c:v>
                </c:pt>
                <c:pt idx="98">
                  <c:v>46157</c:v>
                </c:pt>
                <c:pt idx="99">
                  <c:v>46156</c:v>
                </c:pt>
                <c:pt idx="100">
                  <c:v>46155</c:v>
                </c:pt>
                <c:pt idx="101">
                  <c:v>46154</c:v>
                </c:pt>
                <c:pt idx="102">
                  <c:v>46153</c:v>
                </c:pt>
                <c:pt idx="103">
                  <c:v>46150</c:v>
                </c:pt>
                <c:pt idx="104">
                  <c:v>46149</c:v>
                </c:pt>
                <c:pt idx="105">
                  <c:v>46148</c:v>
                </c:pt>
                <c:pt idx="106">
                  <c:v>46147</c:v>
                </c:pt>
                <c:pt idx="107">
                  <c:v>46146</c:v>
                </c:pt>
                <c:pt idx="108">
                  <c:v>46142</c:v>
                </c:pt>
                <c:pt idx="109">
                  <c:v>46141</c:v>
                </c:pt>
                <c:pt idx="110">
                  <c:v>46140</c:v>
                </c:pt>
                <c:pt idx="111">
                  <c:v>46139</c:v>
                </c:pt>
                <c:pt idx="112">
                  <c:v>46136</c:v>
                </c:pt>
                <c:pt idx="113">
                  <c:v>46135</c:v>
                </c:pt>
                <c:pt idx="114">
                  <c:v>46134</c:v>
                </c:pt>
                <c:pt idx="115">
                  <c:v>46133</c:v>
                </c:pt>
                <c:pt idx="116">
                  <c:v>46132</c:v>
                </c:pt>
                <c:pt idx="117">
                  <c:v>46129</c:v>
                </c:pt>
                <c:pt idx="118">
                  <c:v>46128</c:v>
                </c:pt>
                <c:pt idx="119">
                  <c:v>46127</c:v>
                </c:pt>
                <c:pt idx="120">
                  <c:v>46125</c:v>
                </c:pt>
                <c:pt idx="121">
                  <c:v>46122</c:v>
                </c:pt>
                <c:pt idx="122">
                  <c:v>46121</c:v>
                </c:pt>
                <c:pt idx="123">
                  <c:v>46120</c:v>
                </c:pt>
                <c:pt idx="124">
                  <c:v>46119</c:v>
                </c:pt>
                <c:pt idx="125">
                  <c:v>46118</c:v>
                </c:pt>
                <c:pt idx="126">
                  <c:v>46114</c:v>
                </c:pt>
                <c:pt idx="127">
                  <c:v>46113</c:v>
                </c:pt>
                <c:pt idx="128">
                  <c:v>46111</c:v>
                </c:pt>
                <c:pt idx="129">
                  <c:v>46108</c:v>
                </c:pt>
                <c:pt idx="130">
                  <c:v>46106</c:v>
                </c:pt>
                <c:pt idx="131">
                  <c:v>46105</c:v>
                </c:pt>
                <c:pt idx="132">
                  <c:v>46104</c:v>
                </c:pt>
                <c:pt idx="133">
                  <c:v>46101</c:v>
                </c:pt>
                <c:pt idx="134">
                  <c:v>46100</c:v>
                </c:pt>
                <c:pt idx="135">
                  <c:v>46099</c:v>
                </c:pt>
                <c:pt idx="136">
                  <c:v>46098</c:v>
                </c:pt>
                <c:pt idx="137">
                  <c:v>46097</c:v>
                </c:pt>
                <c:pt idx="138">
                  <c:v>46094</c:v>
                </c:pt>
                <c:pt idx="139">
                  <c:v>46093</c:v>
                </c:pt>
                <c:pt idx="140">
                  <c:v>46092</c:v>
                </c:pt>
                <c:pt idx="141">
                  <c:v>46091</c:v>
                </c:pt>
                <c:pt idx="142">
                  <c:v>46090</c:v>
                </c:pt>
                <c:pt idx="143">
                  <c:v>46087</c:v>
                </c:pt>
                <c:pt idx="144">
                  <c:v>46086</c:v>
                </c:pt>
                <c:pt idx="145">
                  <c:v>46085</c:v>
                </c:pt>
                <c:pt idx="146">
                  <c:v>46083</c:v>
                </c:pt>
                <c:pt idx="147">
                  <c:v>46080</c:v>
                </c:pt>
                <c:pt idx="148">
                  <c:v>46079</c:v>
                </c:pt>
                <c:pt idx="149">
                  <c:v>46078</c:v>
                </c:pt>
                <c:pt idx="150">
                  <c:v>46077</c:v>
                </c:pt>
                <c:pt idx="151">
                  <c:v>46076</c:v>
                </c:pt>
                <c:pt idx="152">
                  <c:v>46073</c:v>
                </c:pt>
                <c:pt idx="153">
                  <c:v>46072</c:v>
                </c:pt>
                <c:pt idx="154">
                  <c:v>46071</c:v>
                </c:pt>
                <c:pt idx="155">
                  <c:v>46070</c:v>
                </c:pt>
                <c:pt idx="156">
                  <c:v>46069</c:v>
                </c:pt>
                <c:pt idx="157">
                  <c:v>46066</c:v>
                </c:pt>
                <c:pt idx="158">
                  <c:v>46065</c:v>
                </c:pt>
                <c:pt idx="159">
                  <c:v>46064</c:v>
                </c:pt>
                <c:pt idx="160">
                  <c:v>46063</c:v>
                </c:pt>
                <c:pt idx="161">
                  <c:v>46062</c:v>
                </c:pt>
                <c:pt idx="162">
                  <c:v>46059</c:v>
                </c:pt>
                <c:pt idx="163">
                  <c:v>46058</c:v>
                </c:pt>
                <c:pt idx="164">
                  <c:v>46057</c:v>
                </c:pt>
                <c:pt idx="165">
                  <c:v>46056</c:v>
                </c:pt>
                <c:pt idx="166">
                  <c:v>46055</c:v>
                </c:pt>
                <c:pt idx="167">
                  <c:v>46054</c:v>
                </c:pt>
                <c:pt idx="168">
                  <c:v>46052</c:v>
                </c:pt>
                <c:pt idx="169">
                  <c:v>46051</c:v>
                </c:pt>
                <c:pt idx="170">
                  <c:v>46050</c:v>
                </c:pt>
                <c:pt idx="171">
                  <c:v>46049</c:v>
                </c:pt>
                <c:pt idx="172">
                  <c:v>46045</c:v>
                </c:pt>
                <c:pt idx="173">
                  <c:v>46044</c:v>
                </c:pt>
                <c:pt idx="174">
                  <c:v>46043</c:v>
                </c:pt>
                <c:pt idx="175">
                  <c:v>46042</c:v>
                </c:pt>
                <c:pt idx="176">
                  <c:v>46041</c:v>
                </c:pt>
                <c:pt idx="177">
                  <c:v>46038</c:v>
                </c:pt>
                <c:pt idx="178">
                  <c:v>46036</c:v>
                </c:pt>
                <c:pt idx="179">
                  <c:v>46035</c:v>
                </c:pt>
                <c:pt idx="180">
                  <c:v>46034</c:v>
                </c:pt>
                <c:pt idx="181">
                  <c:v>46031</c:v>
                </c:pt>
                <c:pt idx="182">
                  <c:v>46030</c:v>
                </c:pt>
                <c:pt idx="183">
                  <c:v>46029</c:v>
                </c:pt>
                <c:pt idx="184">
                  <c:v>46028</c:v>
                </c:pt>
                <c:pt idx="185">
                  <c:v>46027</c:v>
                </c:pt>
                <c:pt idx="186">
                  <c:v>46024</c:v>
                </c:pt>
                <c:pt idx="187">
                  <c:v>46023</c:v>
                </c:pt>
                <c:pt idx="188">
                  <c:v>46022</c:v>
                </c:pt>
                <c:pt idx="189">
                  <c:v>46021</c:v>
                </c:pt>
                <c:pt idx="190">
                  <c:v>46020</c:v>
                </c:pt>
                <c:pt idx="191">
                  <c:v>46017</c:v>
                </c:pt>
                <c:pt idx="192">
                  <c:v>46015</c:v>
                </c:pt>
                <c:pt idx="193">
                  <c:v>46014</c:v>
                </c:pt>
                <c:pt idx="194">
                  <c:v>46013</c:v>
                </c:pt>
                <c:pt idx="195">
                  <c:v>46010</c:v>
                </c:pt>
                <c:pt idx="196">
                  <c:v>46009</c:v>
                </c:pt>
                <c:pt idx="197">
                  <c:v>46008</c:v>
                </c:pt>
                <c:pt idx="198">
                  <c:v>46007</c:v>
                </c:pt>
                <c:pt idx="199">
                  <c:v>46006</c:v>
                </c:pt>
                <c:pt idx="200">
                  <c:v>46003</c:v>
                </c:pt>
                <c:pt idx="201">
                  <c:v>46002</c:v>
                </c:pt>
                <c:pt idx="202">
                  <c:v>46001</c:v>
                </c:pt>
                <c:pt idx="203">
                  <c:v>46000</c:v>
                </c:pt>
                <c:pt idx="204">
                  <c:v>45999</c:v>
                </c:pt>
                <c:pt idx="205">
                  <c:v>45996</c:v>
                </c:pt>
                <c:pt idx="206">
                  <c:v>45995</c:v>
                </c:pt>
                <c:pt idx="207">
                  <c:v>45994</c:v>
                </c:pt>
                <c:pt idx="208">
                  <c:v>45993</c:v>
                </c:pt>
                <c:pt idx="209">
                  <c:v>45992</c:v>
                </c:pt>
                <c:pt idx="210">
                  <c:v>45989</c:v>
                </c:pt>
                <c:pt idx="211">
                  <c:v>45988</c:v>
                </c:pt>
                <c:pt idx="212">
                  <c:v>45987</c:v>
                </c:pt>
                <c:pt idx="213">
                  <c:v>45986</c:v>
                </c:pt>
                <c:pt idx="214">
                  <c:v>45985</c:v>
                </c:pt>
                <c:pt idx="215">
                  <c:v>45982</c:v>
                </c:pt>
                <c:pt idx="216">
                  <c:v>45981</c:v>
                </c:pt>
                <c:pt idx="217">
                  <c:v>45980</c:v>
                </c:pt>
                <c:pt idx="218">
                  <c:v>45979</c:v>
                </c:pt>
                <c:pt idx="219">
                  <c:v>45978</c:v>
                </c:pt>
                <c:pt idx="220">
                  <c:v>45975</c:v>
                </c:pt>
                <c:pt idx="221">
                  <c:v>45974</c:v>
                </c:pt>
                <c:pt idx="222">
                  <c:v>45973</c:v>
                </c:pt>
                <c:pt idx="223">
                  <c:v>45972</c:v>
                </c:pt>
                <c:pt idx="224">
                  <c:v>45971</c:v>
                </c:pt>
                <c:pt idx="225">
                  <c:v>45968</c:v>
                </c:pt>
                <c:pt idx="226">
                  <c:v>45967</c:v>
                </c:pt>
                <c:pt idx="227">
                  <c:v>45965</c:v>
                </c:pt>
                <c:pt idx="228">
                  <c:v>45964</c:v>
                </c:pt>
                <c:pt idx="229">
                  <c:v>45961</c:v>
                </c:pt>
                <c:pt idx="230">
                  <c:v>45960</c:v>
                </c:pt>
                <c:pt idx="231">
                  <c:v>45959</c:v>
                </c:pt>
                <c:pt idx="232">
                  <c:v>45958</c:v>
                </c:pt>
                <c:pt idx="233">
                  <c:v>45957</c:v>
                </c:pt>
                <c:pt idx="234">
                  <c:v>45954</c:v>
                </c:pt>
                <c:pt idx="235">
                  <c:v>45953</c:v>
                </c:pt>
                <c:pt idx="236">
                  <c:v>45951</c:v>
                </c:pt>
                <c:pt idx="237">
                  <c:v>45950</c:v>
                </c:pt>
                <c:pt idx="238">
                  <c:v>45947</c:v>
                </c:pt>
                <c:pt idx="239">
                  <c:v>45946</c:v>
                </c:pt>
                <c:pt idx="240">
                  <c:v>45945</c:v>
                </c:pt>
                <c:pt idx="241">
                  <c:v>45944</c:v>
                </c:pt>
                <c:pt idx="242">
                  <c:v>45943</c:v>
                </c:pt>
                <c:pt idx="243">
                  <c:v>45940</c:v>
                </c:pt>
                <c:pt idx="244">
                  <c:v>45939</c:v>
                </c:pt>
                <c:pt idx="245">
                  <c:v>45938</c:v>
                </c:pt>
                <c:pt idx="246">
                  <c:v>45937</c:v>
                </c:pt>
                <c:pt idx="247">
                  <c:v>45936</c:v>
                </c:pt>
                <c:pt idx="248">
                  <c:v>45933</c:v>
                </c:pt>
                <c:pt idx="249">
                  <c:v>45931</c:v>
                </c:pt>
                <c:pt idx="250">
                  <c:v>45930</c:v>
                </c:pt>
                <c:pt idx="251">
                  <c:v>45929</c:v>
                </c:pt>
                <c:pt idx="252">
                  <c:v>45926</c:v>
                </c:pt>
                <c:pt idx="253">
                  <c:v>45925</c:v>
                </c:pt>
                <c:pt idx="254">
                  <c:v>45924</c:v>
                </c:pt>
                <c:pt idx="255">
                  <c:v>45923</c:v>
                </c:pt>
                <c:pt idx="256">
                  <c:v>45922</c:v>
                </c:pt>
                <c:pt idx="257">
                  <c:v>45919</c:v>
                </c:pt>
                <c:pt idx="258">
                  <c:v>45918</c:v>
                </c:pt>
                <c:pt idx="259">
                  <c:v>45917</c:v>
                </c:pt>
                <c:pt idx="260">
                  <c:v>45916</c:v>
                </c:pt>
                <c:pt idx="261">
                  <c:v>45915</c:v>
                </c:pt>
                <c:pt idx="262">
                  <c:v>45912</c:v>
                </c:pt>
                <c:pt idx="263">
                  <c:v>45911</c:v>
                </c:pt>
                <c:pt idx="264">
                  <c:v>45910</c:v>
                </c:pt>
                <c:pt idx="265">
                  <c:v>45909</c:v>
                </c:pt>
                <c:pt idx="266">
                  <c:v>45908</c:v>
                </c:pt>
                <c:pt idx="267">
                  <c:v>45905</c:v>
                </c:pt>
                <c:pt idx="268">
                  <c:v>45904</c:v>
                </c:pt>
                <c:pt idx="269">
                  <c:v>45903</c:v>
                </c:pt>
                <c:pt idx="270">
                  <c:v>45902</c:v>
                </c:pt>
                <c:pt idx="271">
                  <c:v>45901</c:v>
                </c:pt>
                <c:pt idx="272">
                  <c:v>45898</c:v>
                </c:pt>
                <c:pt idx="273">
                  <c:v>45897</c:v>
                </c:pt>
                <c:pt idx="274">
                  <c:v>45895</c:v>
                </c:pt>
                <c:pt idx="275">
                  <c:v>45894</c:v>
                </c:pt>
                <c:pt idx="276">
                  <c:v>45891</c:v>
                </c:pt>
                <c:pt idx="277">
                  <c:v>45890</c:v>
                </c:pt>
                <c:pt idx="278">
                  <c:v>45889</c:v>
                </c:pt>
                <c:pt idx="279">
                  <c:v>45888</c:v>
                </c:pt>
                <c:pt idx="280">
                  <c:v>45887</c:v>
                </c:pt>
                <c:pt idx="281">
                  <c:v>45883</c:v>
                </c:pt>
                <c:pt idx="282">
                  <c:v>45882</c:v>
                </c:pt>
                <c:pt idx="283">
                  <c:v>45881</c:v>
                </c:pt>
                <c:pt idx="284">
                  <c:v>45880</c:v>
                </c:pt>
                <c:pt idx="285">
                  <c:v>45877</c:v>
                </c:pt>
                <c:pt idx="286">
                  <c:v>45876</c:v>
                </c:pt>
                <c:pt idx="287">
                  <c:v>45875</c:v>
                </c:pt>
                <c:pt idx="288">
                  <c:v>45874</c:v>
                </c:pt>
                <c:pt idx="289">
                  <c:v>45873</c:v>
                </c:pt>
                <c:pt idx="290">
                  <c:v>45870</c:v>
                </c:pt>
                <c:pt idx="291">
                  <c:v>45869</c:v>
                </c:pt>
                <c:pt idx="292">
                  <c:v>45868</c:v>
                </c:pt>
                <c:pt idx="293">
                  <c:v>45867</c:v>
                </c:pt>
                <c:pt idx="294">
                  <c:v>45866</c:v>
                </c:pt>
                <c:pt idx="295">
                  <c:v>45863</c:v>
                </c:pt>
                <c:pt idx="296">
                  <c:v>45862</c:v>
                </c:pt>
                <c:pt idx="297">
                  <c:v>45861</c:v>
                </c:pt>
                <c:pt idx="298">
                  <c:v>45860</c:v>
                </c:pt>
                <c:pt idx="299">
                  <c:v>45859</c:v>
                </c:pt>
                <c:pt idx="300">
                  <c:v>45856</c:v>
                </c:pt>
                <c:pt idx="301">
                  <c:v>45855</c:v>
                </c:pt>
                <c:pt idx="302">
                  <c:v>45854</c:v>
                </c:pt>
                <c:pt idx="303">
                  <c:v>45853</c:v>
                </c:pt>
                <c:pt idx="304">
                  <c:v>45852</c:v>
                </c:pt>
                <c:pt idx="305">
                  <c:v>45849</c:v>
                </c:pt>
                <c:pt idx="306">
                  <c:v>45848</c:v>
                </c:pt>
                <c:pt idx="307">
                  <c:v>45847</c:v>
                </c:pt>
                <c:pt idx="308">
                  <c:v>45846</c:v>
                </c:pt>
                <c:pt idx="309">
                  <c:v>45845</c:v>
                </c:pt>
                <c:pt idx="310">
                  <c:v>45842</c:v>
                </c:pt>
                <c:pt idx="311">
                  <c:v>45841</c:v>
                </c:pt>
                <c:pt idx="312">
                  <c:v>45840</c:v>
                </c:pt>
                <c:pt idx="313">
                  <c:v>45839</c:v>
                </c:pt>
                <c:pt idx="314">
                  <c:v>45838</c:v>
                </c:pt>
                <c:pt idx="315">
                  <c:v>45835</c:v>
                </c:pt>
                <c:pt idx="316">
                  <c:v>45834</c:v>
                </c:pt>
                <c:pt idx="317">
                  <c:v>45833</c:v>
                </c:pt>
                <c:pt idx="318">
                  <c:v>45832</c:v>
                </c:pt>
                <c:pt idx="319">
                  <c:v>45831</c:v>
                </c:pt>
                <c:pt idx="320">
                  <c:v>45828</c:v>
                </c:pt>
                <c:pt idx="321">
                  <c:v>45827</c:v>
                </c:pt>
                <c:pt idx="322">
                  <c:v>45826</c:v>
                </c:pt>
                <c:pt idx="323">
                  <c:v>45825</c:v>
                </c:pt>
                <c:pt idx="324">
                  <c:v>45824</c:v>
                </c:pt>
                <c:pt idx="325">
                  <c:v>45821</c:v>
                </c:pt>
                <c:pt idx="326">
                  <c:v>45820</c:v>
                </c:pt>
                <c:pt idx="327">
                  <c:v>45819</c:v>
                </c:pt>
                <c:pt idx="328">
                  <c:v>45818</c:v>
                </c:pt>
                <c:pt idx="329">
                  <c:v>45817</c:v>
                </c:pt>
                <c:pt idx="330">
                  <c:v>45814</c:v>
                </c:pt>
                <c:pt idx="331">
                  <c:v>45813</c:v>
                </c:pt>
                <c:pt idx="332">
                  <c:v>45812</c:v>
                </c:pt>
                <c:pt idx="333">
                  <c:v>45811</c:v>
                </c:pt>
                <c:pt idx="334">
                  <c:v>45810</c:v>
                </c:pt>
                <c:pt idx="335">
                  <c:v>45807</c:v>
                </c:pt>
                <c:pt idx="336">
                  <c:v>45806</c:v>
                </c:pt>
                <c:pt idx="337">
                  <c:v>45805</c:v>
                </c:pt>
                <c:pt idx="338">
                  <c:v>45804</c:v>
                </c:pt>
                <c:pt idx="339">
                  <c:v>45803</c:v>
                </c:pt>
                <c:pt idx="340">
                  <c:v>45800</c:v>
                </c:pt>
                <c:pt idx="341">
                  <c:v>45799</c:v>
                </c:pt>
                <c:pt idx="342">
                  <c:v>45798</c:v>
                </c:pt>
                <c:pt idx="343">
                  <c:v>45797</c:v>
                </c:pt>
                <c:pt idx="344">
                  <c:v>45796</c:v>
                </c:pt>
                <c:pt idx="345">
                  <c:v>45793</c:v>
                </c:pt>
                <c:pt idx="346">
                  <c:v>45792</c:v>
                </c:pt>
                <c:pt idx="347">
                  <c:v>45791</c:v>
                </c:pt>
                <c:pt idx="348">
                  <c:v>45790</c:v>
                </c:pt>
                <c:pt idx="349">
                  <c:v>45789</c:v>
                </c:pt>
                <c:pt idx="350">
                  <c:v>45786</c:v>
                </c:pt>
                <c:pt idx="351">
                  <c:v>45785</c:v>
                </c:pt>
                <c:pt idx="352">
                  <c:v>45784</c:v>
                </c:pt>
                <c:pt idx="353">
                  <c:v>45783</c:v>
                </c:pt>
                <c:pt idx="354">
                  <c:v>45782</c:v>
                </c:pt>
                <c:pt idx="355">
                  <c:v>45779</c:v>
                </c:pt>
                <c:pt idx="356">
                  <c:v>45777</c:v>
                </c:pt>
                <c:pt idx="357">
                  <c:v>45776</c:v>
                </c:pt>
                <c:pt idx="358">
                  <c:v>45775</c:v>
                </c:pt>
                <c:pt idx="359">
                  <c:v>45772</c:v>
                </c:pt>
                <c:pt idx="360">
                  <c:v>45771</c:v>
                </c:pt>
                <c:pt idx="361">
                  <c:v>45770</c:v>
                </c:pt>
                <c:pt idx="362">
                  <c:v>45769</c:v>
                </c:pt>
                <c:pt idx="363">
                  <c:v>45768</c:v>
                </c:pt>
                <c:pt idx="364">
                  <c:v>45764</c:v>
                </c:pt>
                <c:pt idx="365">
                  <c:v>45763</c:v>
                </c:pt>
                <c:pt idx="366">
                  <c:v>45762</c:v>
                </c:pt>
                <c:pt idx="367">
                  <c:v>45758</c:v>
                </c:pt>
                <c:pt idx="368">
                  <c:v>45756</c:v>
                </c:pt>
                <c:pt idx="369">
                  <c:v>45755</c:v>
                </c:pt>
                <c:pt idx="370">
                  <c:v>45754</c:v>
                </c:pt>
                <c:pt idx="371">
                  <c:v>45751</c:v>
                </c:pt>
                <c:pt idx="372">
                  <c:v>45750</c:v>
                </c:pt>
                <c:pt idx="373">
                  <c:v>45749</c:v>
                </c:pt>
                <c:pt idx="374">
                  <c:v>45748</c:v>
                </c:pt>
                <c:pt idx="375">
                  <c:v>45744</c:v>
                </c:pt>
                <c:pt idx="376">
                  <c:v>45743</c:v>
                </c:pt>
                <c:pt idx="377">
                  <c:v>45742</c:v>
                </c:pt>
                <c:pt idx="378">
                  <c:v>45741</c:v>
                </c:pt>
                <c:pt idx="379">
                  <c:v>45740</c:v>
                </c:pt>
                <c:pt idx="380">
                  <c:v>45737</c:v>
                </c:pt>
                <c:pt idx="381">
                  <c:v>45736</c:v>
                </c:pt>
                <c:pt idx="382">
                  <c:v>45735</c:v>
                </c:pt>
                <c:pt idx="383">
                  <c:v>45734</c:v>
                </c:pt>
                <c:pt idx="384">
                  <c:v>45733</c:v>
                </c:pt>
                <c:pt idx="385">
                  <c:v>45729</c:v>
                </c:pt>
                <c:pt idx="386">
                  <c:v>45728</c:v>
                </c:pt>
                <c:pt idx="387">
                  <c:v>45727</c:v>
                </c:pt>
                <c:pt idx="388">
                  <c:v>45726</c:v>
                </c:pt>
                <c:pt idx="389">
                  <c:v>45723</c:v>
                </c:pt>
                <c:pt idx="390">
                  <c:v>45722</c:v>
                </c:pt>
                <c:pt idx="391">
                  <c:v>45721</c:v>
                </c:pt>
                <c:pt idx="392">
                  <c:v>45720</c:v>
                </c:pt>
                <c:pt idx="393">
                  <c:v>45719</c:v>
                </c:pt>
                <c:pt idx="394">
                  <c:v>45716</c:v>
                </c:pt>
                <c:pt idx="395">
                  <c:v>45715</c:v>
                </c:pt>
                <c:pt idx="396">
                  <c:v>45713</c:v>
                </c:pt>
                <c:pt idx="397">
                  <c:v>45712</c:v>
                </c:pt>
                <c:pt idx="398">
                  <c:v>45709</c:v>
                </c:pt>
                <c:pt idx="399">
                  <c:v>45708</c:v>
                </c:pt>
                <c:pt idx="400">
                  <c:v>45707</c:v>
                </c:pt>
                <c:pt idx="401">
                  <c:v>45706</c:v>
                </c:pt>
                <c:pt idx="402">
                  <c:v>45705</c:v>
                </c:pt>
                <c:pt idx="403">
                  <c:v>45702</c:v>
                </c:pt>
                <c:pt idx="404">
                  <c:v>45701</c:v>
                </c:pt>
                <c:pt idx="405">
                  <c:v>45700</c:v>
                </c:pt>
                <c:pt idx="406">
                  <c:v>45699</c:v>
                </c:pt>
                <c:pt idx="407">
                  <c:v>45698</c:v>
                </c:pt>
                <c:pt idx="408">
                  <c:v>45695</c:v>
                </c:pt>
                <c:pt idx="409">
                  <c:v>45694</c:v>
                </c:pt>
                <c:pt idx="410">
                  <c:v>45693</c:v>
                </c:pt>
                <c:pt idx="411">
                  <c:v>45692</c:v>
                </c:pt>
                <c:pt idx="412">
                  <c:v>45691</c:v>
                </c:pt>
                <c:pt idx="413">
                  <c:v>45689</c:v>
                </c:pt>
                <c:pt idx="414">
                  <c:v>45688</c:v>
                </c:pt>
                <c:pt idx="415">
                  <c:v>45687</c:v>
                </c:pt>
                <c:pt idx="416">
                  <c:v>45686</c:v>
                </c:pt>
                <c:pt idx="417">
                  <c:v>45685</c:v>
                </c:pt>
                <c:pt idx="418">
                  <c:v>45684</c:v>
                </c:pt>
                <c:pt idx="419">
                  <c:v>45681</c:v>
                </c:pt>
                <c:pt idx="420">
                  <c:v>45680</c:v>
                </c:pt>
                <c:pt idx="421">
                  <c:v>45679</c:v>
                </c:pt>
                <c:pt idx="422">
                  <c:v>45678</c:v>
                </c:pt>
                <c:pt idx="423">
                  <c:v>45677</c:v>
                </c:pt>
                <c:pt idx="424">
                  <c:v>45674</c:v>
                </c:pt>
                <c:pt idx="425">
                  <c:v>45673</c:v>
                </c:pt>
                <c:pt idx="426">
                  <c:v>45672</c:v>
                </c:pt>
                <c:pt idx="427">
                  <c:v>45671</c:v>
                </c:pt>
                <c:pt idx="428">
                  <c:v>45670</c:v>
                </c:pt>
                <c:pt idx="429">
                  <c:v>45667</c:v>
                </c:pt>
                <c:pt idx="430">
                  <c:v>45666</c:v>
                </c:pt>
                <c:pt idx="431">
                  <c:v>45665</c:v>
                </c:pt>
                <c:pt idx="432">
                  <c:v>45664</c:v>
                </c:pt>
                <c:pt idx="433">
                  <c:v>45663</c:v>
                </c:pt>
                <c:pt idx="434">
                  <c:v>45660</c:v>
                </c:pt>
                <c:pt idx="435">
                  <c:v>45659</c:v>
                </c:pt>
                <c:pt idx="436">
                  <c:v>45658</c:v>
                </c:pt>
                <c:pt idx="437">
                  <c:v>45657</c:v>
                </c:pt>
                <c:pt idx="438">
                  <c:v>45656</c:v>
                </c:pt>
                <c:pt idx="439">
                  <c:v>45653</c:v>
                </c:pt>
                <c:pt idx="440">
                  <c:v>45652</c:v>
                </c:pt>
                <c:pt idx="441">
                  <c:v>45650</c:v>
                </c:pt>
                <c:pt idx="442">
                  <c:v>45649</c:v>
                </c:pt>
                <c:pt idx="443">
                  <c:v>45646</c:v>
                </c:pt>
                <c:pt idx="444">
                  <c:v>45645</c:v>
                </c:pt>
                <c:pt idx="445">
                  <c:v>45644</c:v>
                </c:pt>
                <c:pt idx="446">
                  <c:v>45643</c:v>
                </c:pt>
                <c:pt idx="447">
                  <c:v>45642</c:v>
                </c:pt>
                <c:pt idx="448">
                  <c:v>45639</c:v>
                </c:pt>
                <c:pt idx="449">
                  <c:v>45638</c:v>
                </c:pt>
                <c:pt idx="450">
                  <c:v>45637</c:v>
                </c:pt>
                <c:pt idx="451">
                  <c:v>45636</c:v>
                </c:pt>
                <c:pt idx="452">
                  <c:v>45635</c:v>
                </c:pt>
                <c:pt idx="453">
                  <c:v>45632</c:v>
                </c:pt>
                <c:pt idx="454">
                  <c:v>45631</c:v>
                </c:pt>
                <c:pt idx="455">
                  <c:v>45630</c:v>
                </c:pt>
                <c:pt idx="456">
                  <c:v>45629</c:v>
                </c:pt>
                <c:pt idx="457">
                  <c:v>45628</c:v>
                </c:pt>
                <c:pt idx="458">
                  <c:v>45625</c:v>
                </c:pt>
                <c:pt idx="459">
                  <c:v>45624</c:v>
                </c:pt>
                <c:pt idx="460">
                  <c:v>45623</c:v>
                </c:pt>
                <c:pt idx="461">
                  <c:v>45622</c:v>
                </c:pt>
                <c:pt idx="462">
                  <c:v>45621</c:v>
                </c:pt>
                <c:pt idx="463">
                  <c:v>45618</c:v>
                </c:pt>
                <c:pt idx="464">
                  <c:v>45617</c:v>
                </c:pt>
                <c:pt idx="465">
                  <c:v>45615</c:v>
                </c:pt>
                <c:pt idx="466">
                  <c:v>45614</c:v>
                </c:pt>
                <c:pt idx="467">
                  <c:v>45610</c:v>
                </c:pt>
                <c:pt idx="468">
                  <c:v>45609</c:v>
                </c:pt>
                <c:pt idx="469">
                  <c:v>45608</c:v>
                </c:pt>
                <c:pt idx="470">
                  <c:v>45607</c:v>
                </c:pt>
                <c:pt idx="471">
                  <c:v>45604</c:v>
                </c:pt>
                <c:pt idx="472">
                  <c:v>45603</c:v>
                </c:pt>
                <c:pt idx="473">
                  <c:v>45602</c:v>
                </c:pt>
                <c:pt idx="474">
                  <c:v>45601</c:v>
                </c:pt>
                <c:pt idx="475">
                  <c:v>45600</c:v>
                </c:pt>
                <c:pt idx="476">
                  <c:v>45597</c:v>
                </c:pt>
                <c:pt idx="477">
                  <c:v>45596</c:v>
                </c:pt>
                <c:pt idx="478">
                  <c:v>45595</c:v>
                </c:pt>
                <c:pt idx="479">
                  <c:v>45594</c:v>
                </c:pt>
                <c:pt idx="480">
                  <c:v>45593</c:v>
                </c:pt>
                <c:pt idx="481">
                  <c:v>45590</c:v>
                </c:pt>
                <c:pt idx="482">
                  <c:v>45589</c:v>
                </c:pt>
                <c:pt idx="483">
                  <c:v>45588</c:v>
                </c:pt>
                <c:pt idx="484">
                  <c:v>45587</c:v>
                </c:pt>
                <c:pt idx="485">
                  <c:v>45586</c:v>
                </c:pt>
                <c:pt idx="486">
                  <c:v>45583</c:v>
                </c:pt>
                <c:pt idx="487">
                  <c:v>45582</c:v>
                </c:pt>
                <c:pt idx="488">
                  <c:v>45581</c:v>
                </c:pt>
                <c:pt idx="489">
                  <c:v>45580</c:v>
                </c:pt>
                <c:pt idx="490">
                  <c:v>45579</c:v>
                </c:pt>
                <c:pt idx="491">
                  <c:v>45576</c:v>
                </c:pt>
                <c:pt idx="492">
                  <c:v>45575</c:v>
                </c:pt>
                <c:pt idx="493">
                  <c:v>45574</c:v>
                </c:pt>
                <c:pt idx="494">
                  <c:v>45573</c:v>
                </c:pt>
                <c:pt idx="495">
                  <c:v>45572</c:v>
                </c:pt>
                <c:pt idx="496">
                  <c:v>45569</c:v>
                </c:pt>
                <c:pt idx="497">
                  <c:v>45568</c:v>
                </c:pt>
                <c:pt idx="498">
                  <c:v>45566</c:v>
                </c:pt>
                <c:pt idx="499">
                  <c:v>45565</c:v>
                </c:pt>
                <c:pt idx="500">
                  <c:v>45562</c:v>
                </c:pt>
                <c:pt idx="501">
                  <c:v>45561</c:v>
                </c:pt>
                <c:pt idx="502">
                  <c:v>45560</c:v>
                </c:pt>
                <c:pt idx="503">
                  <c:v>45559</c:v>
                </c:pt>
                <c:pt idx="504">
                  <c:v>45558</c:v>
                </c:pt>
                <c:pt idx="505">
                  <c:v>45555</c:v>
                </c:pt>
                <c:pt idx="506">
                  <c:v>45554</c:v>
                </c:pt>
                <c:pt idx="507">
                  <c:v>45553</c:v>
                </c:pt>
                <c:pt idx="508">
                  <c:v>45552</c:v>
                </c:pt>
                <c:pt idx="509">
                  <c:v>45551</c:v>
                </c:pt>
                <c:pt idx="510">
                  <c:v>45548</c:v>
                </c:pt>
                <c:pt idx="511">
                  <c:v>45547</c:v>
                </c:pt>
                <c:pt idx="512">
                  <c:v>45546</c:v>
                </c:pt>
                <c:pt idx="513">
                  <c:v>45545</c:v>
                </c:pt>
                <c:pt idx="514">
                  <c:v>45544</c:v>
                </c:pt>
                <c:pt idx="515">
                  <c:v>45541</c:v>
                </c:pt>
                <c:pt idx="516">
                  <c:v>45540</c:v>
                </c:pt>
                <c:pt idx="517">
                  <c:v>45539</c:v>
                </c:pt>
                <c:pt idx="518">
                  <c:v>45538</c:v>
                </c:pt>
                <c:pt idx="519">
                  <c:v>45537</c:v>
                </c:pt>
                <c:pt idx="520">
                  <c:v>45534</c:v>
                </c:pt>
                <c:pt idx="521">
                  <c:v>45533</c:v>
                </c:pt>
                <c:pt idx="522">
                  <c:v>45532</c:v>
                </c:pt>
                <c:pt idx="523">
                  <c:v>45531</c:v>
                </c:pt>
                <c:pt idx="524">
                  <c:v>45530</c:v>
                </c:pt>
                <c:pt idx="525">
                  <c:v>45527</c:v>
                </c:pt>
                <c:pt idx="526">
                  <c:v>45526</c:v>
                </c:pt>
                <c:pt idx="527">
                  <c:v>45525</c:v>
                </c:pt>
                <c:pt idx="528">
                  <c:v>45524</c:v>
                </c:pt>
                <c:pt idx="529">
                  <c:v>45523</c:v>
                </c:pt>
                <c:pt idx="530">
                  <c:v>45520</c:v>
                </c:pt>
                <c:pt idx="531">
                  <c:v>45518</c:v>
                </c:pt>
                <c:pt idx="532">
                  <c:v>45517</c:v>
                </c:pt>
                <c:pt idx="533">
                  <c:v>45516</c:v>
                </c:pt>
                <c:pt idx="534">
                  <c:v>45513</c:v>
                </c:pt>
                <c:pt idx="535">
                  <c:v>45512</c:v>
                </c:pt>
                <c:pt idx="536">
                  <c:v>45511</c:v>
                </c:pt>
                <c:pt idx="537">
                  <c:v>45510</c:v>
                </c:pt>
                <c:pt idx="538">
                  <c:v>45509</c:v>
                </c:pt>
                <c:pt idx="539">
                  <c:v>45506</c:v>
                </c:pt>
                <c:pt idx="540">
                  <c:v>45505</c:v>
                </c:pt>
                <c:pt idx="541">
                  <c:v>45504</c:v>
                </c:pt>
                <c:pt idx="542">
                  <c:v>45503</c:v>
                </c:pt>
                <c:pt idx="543">
                  <c:v>45502</c:v>
                </c:pt>
                <c:pt idx="544">
                  <c:v>45499</c:v>
                </c:pt>
                <c:pt idx="545">
                  <c:v>45498</c:v>
                </c:pt>
                <c:pt idx="546">
                  <c:v>45497</c:v>
                </c:pt>
                <c:pt idx="547">
                  <c:v>45496</c:v>
                </c:pt>
                <c:pt idx="548">
                  <c:v>45495</c:v>
                </c:pt>
                <c:pt idx="549">
                  <c:v>45492</c:v>
                </c:pt>
                <c:pt idx="550">
                  <c:v>45491</c:v>
                </c:pt>
                <c:pt idx="551">
                  <c:v>45489</c:v>
                </c:pt>
                <c:pt idx="552">
                  <c:v>45488</c:v>
                </c:pt>
                <c:pt idx="553">
                  <c:v>45485</c:v>
                </c:pt>
                <c:pt idx="554">
                  <c:v>45484</c:v>
                </c:pt>
                <c:pt idx="555">
                  <c:v>45483</c:v>
                </c:pt>
                <c:pt idx="556">
                  <c:v>45482</c:v>
                </c:pt>
                <c:pt idx="557">
                  <c:v>45481</c:v>
                </c:pt>
                <c:pt idx="558">
                  <c:v>45478</c:v>
                </c:pt>
                <c:pt idx="559">
                  <c:v>45477</c:v>
                </c:pt>
                <c:pt idx="560">
                  <c:v>45476</c:v>
                </c:pt>
                <c:pt idx="561">
                  <c:v>45475</c:v>
                </c:pt>
                <c:pt idx="562">
                  <c:v>45474</c:v>
                </c:pt>
                <c:pt idx="563">
                  <c:v>45471</c:v>
                </c:pt>
                <c:pt idx="564">
                  <c:v>45470</c:v>
                </c:pt>
                <c:pt idx="565">
                  <c:v>45469</c:v>
                </c:pt>
                <c:pt idx="566">
                  <c:v>45468</c:v>
                </c:pt>
                <c:pt idx="567">
                  <c:v>45467</c:v>
                </c:pt>
                <c:pt idx="568">
                  <c:v>45464</c:v>
                </c:pt>
                <c:pt idx="569">
                  <c:v>45463</c:v>
                </c:pt>
                <c:pt idx="570">
                  <c:v>45462</c:v>
                </c:pt>
                <c:pt idx="571">
                  <c:v>45461</c:v>
                </c:pt>
                <c:pt idx="572">
                  <c:v>45457</c:v>
                </c:pt>
                <c:pt idx="573">
                  <c:v>45456</c:v>
                </c:pt>
                <c:pt idx="574">
                  <c:v>45455</c:v>
                </c:pt>
                <c:pt idx="575">
                  <c:v>45454</c:v>
                </c:pt>
                <c:pt idx="576">
                  <c:v>45453</c:v>
                </c:pt>
                <c:pt idx="577">
                  <c:v>45450</c:v>
                </c:pt>
                <c:pt idx="578">
                  <c:v>45449</c:v>
                </c:pt>
                <c:pt idx="579">
                  <c:v>45448</c:v>
                </c:pt>
                <c:pt idx="580">
                  <c:v>45447</c:v>
                </c:pt>
                <c:pt idx="581">
                  <c:v>45446</c:v>
                </c:pt>
                <c:pt idx="582">
                  <c:v>45443</c:v>
                </c:pt>
                <c:pt idx="583">
                  <c:v>45442</c:v>
                </c:pt>
                <c:pt idx="584">
                  <c:v>45441</c:v>
                </c:pt>
                <c:pt idx="585">
                  <c:v>45440</c:v>
                </c:pt>
                <c:pt idx="586">
                  <c:v>45439</c:v>
                </c:pt>
                <c:pt idx="587">
                  <c:v>45436</c:v>
                </c:pt>
                <c:pt idx="588">
                  <c:v>45435</c:v>
                </c:pt>
                <c:pt idx="589">
                  <c:v>45434</c:v>
                </c:pt>
                <c:pt idx="590">
                  <c:v>45433</c:v>
                </c:pt>
                <c:pt idx="591">
                  <c:v>45430</c:v>
                </c:pt>
                <c:pt idx="592">
                  <c:v>45429</c:v>
                </c:pt>
                <c:pt idx="593">
                  <c:v>45428</c:v>
                </c:pt>
                <c:pt idx="594">
                  <c:v>45427</c:v>
                </c:pt>
                <c:pt idx="595">
                  <c:v>45426</c:v>
                </c:pt>
                <c:pt idx="596">
                  <c:v>45425</c:v>
                </c:pt>
                <c:pt idx="597">
                  <c:v>45422</c:v>
                </c:pt>
                <c:pt idx="598">
                  <c:v>45421</c:v>
                </c:pt>
                <c:pt idx="599">
                  <c:v>45420</c:v>
                </c:pt>
                <c:pt idx="600">
                  <c:v>45419</c:v>
                </c:pt>
                <c:pt idx="601">
                  <c:v>45418</c:v>
                </c:pt>
                <c:pt idx="602">
                  <c:v>45415</c:v>
                </c:pt>
                <c:pt idx="603">
                  <c:v>45414</c:v>
                </c:pt>
                <c:pt idx="604">
                  <c:v>45412</c:v>
                </c:pt>
                <c:pt idx="605">
                  <c:v>45411</c:v>
                </c:pt>
                <c:pt idx="606">
                  <c:v>45408</c:v>
                </c:pt>
                <c:pt idx="607">
                  <c:v>45407</c:v>
                </c:pt>
                <c:pt idx="608">
                  <c:v>45406</c:v>
                </c:pt>
                <c:pt idx="609">
                  <c:v>45405</c:v>
                </c:pt>
                <c:pt idx="610">
                  <c:v>45404</c:v>
                </c:pt>
                <c:pt idx="611">
                  <c:v>45401</c:v>
                </c:pt>
                <c:pt idx="612">
                  <c:v>45400</c:v>
                </c:pt>
                <c:pt idx="613">
                  <c:v>45398</c:v>
                </c:pt>
                <c:pt idx="614">
                  <c:v>45397</c:v>
                </c:pt>
                <c:pt idx="615">
                  <c:v>45394</c:v>
                </c:pt>
                <c:pt idx="616">
                  <c:v>45392</c:v>
                </c:pt>
                <c:pt idx="617">
                  <c:v>45391</c:v>
                </c:pt>
                <c:pt idx="618">
                  <c:v>45390</c:v>
                </c:pt>
                <c:pt idx="619">
                  <c:v>45387</c:v>
                </c:pt>
                <c:pt idx="620">
                  <c:v>45386</c:v>
                </c:pt>
                <c:pt idx="621">
                  <c:v>45385</c:v>
                </c:pt>
                <c:pt idx="622">
                  <c:v>45384</c:v>
                </c:pt>
                <c:pt idx="623">
                  <c:v>45383</c:v>
                </c:pt>
                <c:pt idx="624">
                  <c:v>45379</c:v>
                </c:pt>
                <c:pt idx="625">
                  <c:v>45378</c:v>
                </c:pt>
                <c:pt idx="626">
                  <c:v>45377</c:v>
                </c:pt>
                <c:pt idx="627">
                  <c:v>45373</c:v>
                </c:pt>
                <c:pt idx="628">
                  <c:v>45372</c:v>
                </c:pt>
                <c:pt idx="629">
                  <c:v>45371</c:v>
                </c:pt>
                <c:pt idx="630">
                  <c:v>45370</c:v>
                </c:pt>
                <c:pt idx="631">
                  <c:v>45369</c:v>
                </c:pt>
                <c:pt idx="632">
                  <c:v>45366</c:v>
                </c:pt>
                <c:pt idx="633">
                  <c:v>45365</c:v>
                </c:pt>
                <c:pt idx="634">
                  <c:v>45364</c:v>
                </c:pt>
                <c:pt idx="635">
                  <c:v>45363</c:v>
                </c:pt>
                <c:pt idx="636">
                  <c:v>45362</c:v>
                </c:pt>
                <c:pt idx="637">
                  <c:v>45358</c:v>
                </c:pt>
                <c:pt idx="638">
                  <c:v>45357</c:v>
                </c:pt>
                <c:pt idx="639">
                  <c:v>45356</c:v>
                </c:pt>
                <c:pt idx="640">
                  <c:v>45355</c:v>
                </c:pt>
                <c:pt idx="641">
                  <c:v>45353</c:v>
                </c:pt>
                <c:pt idx="642">
                  <c:v>45352</c:v>
                </c:pt>
                <c:pt idx="643">
                  <c:v>45351</c:v>
                </c:pt>
                <c:pt idx="644">
                  <c:v>45350</c:v>
                </c:pt>
                <c:pt idx="645">
                  <c:v>45349</c:v>
                </c:pt>
                <c:pt idx="646">
                  <c:v>45348</c:v>
                </c:pt>
                <c:pt idx="647">
                  <c:v>45345</c:v>
                </c:pt>
                <c:pt idx="648">
                  <c:v>45344</c:v>
                </c:pt>
                <c:pt idx="649">
                  <c:v>45343</c:v>
                </c:pt>
                <c:pt idx="650">
                  <c:v>45342</c:v>
                </c:pt>
                <c:pt idx="651">
                  <c:v>45341</c:v>
                </c:pt>
                <c:pt idx="652">
                  <c:v>45338</c:v>
                </c:pt>
                <c:pt idx="653">
                  <c:v>45337</c:v>
                </c:pt>
                <c:pt idx="654">
                  <c:v>45336</c:v>
                </c:pt>
                <c:pt idx="655">
                  <c:v>45335</c:v>
                </c:pt>
                <c:pt idx="656">
                  <c:v>45334</c:v>
                </c:pt>
                <c:pt idx="657">
                  <c:v>45331</c:v>
                </c:pt>
                <c:pt idx="658">
                  <c:v>45330</c:v>
                </c:pt>
                <c:pt idx="659">
                  <c:v>45329</c:v>
                </c:pt>
                <c:pt idx="660">
                  <c:v>45328</c:v>
                </c:pt>
                <c:pt idx="661">
                  <c:v>45327</c:v>
                </c:pt>
                <c:pt idx="662">
                  <c:v>45324</c:v>
                </c:pt>
                <c:pt idx="663">
                  <c:v>45323</c:v>
                </c:pt>
                <c:pt idx="664">
                  <c:v>45322</c:v>
                </c:pt>
                <c:pt idx="665">
                  <c:v>45321</c:v>
                </c:pt>
                <c:pt idx="666">
                  <c:v>45320</c:v>
                </c:pt>
                <c:pt idx="667">
                  <c:v>45316</c:v>
                </c:pt>
                <c:pt idx="668">
                  <c:v>45315</c:v>
                </c:pt>
                <c:pt idx="669">
                  <c:v>45314</c:v>
                </c:pt>
                <c:pt idx="670">
                  <c:v>45311</c:v>
                </c:pt>
                <c:pt idx="671">
                  <c:v>45310</c:v>
                </c:pt>
                <c:pt idx="672">
                  <c:v>45309</c:v>
                </c:pt>
                <c:pt idx="673">
                  <c:v>45308</c:v>
                </c:pt>
                <c:pt idx="674">
                  <c:v>45307</c:v>
                </c:pt>
                <c:pt idx="675">
                  <c:v>45306</c:v>
                </c:pt>
                <c:pt idx="676">
                  <c:v>45303</c:v>
                </c:pt>
                <c:pt idx="677">
                  <c:v>45302</c:v>
                </c:pt>
                <c:pt idx="678">
                  <c:v>45301</c:v>
                </c:pt>
                <c:pt idx="679">
                  <c:v>45300</c:v>
                </c:pt>
                <c:pt idx="680">
                  <c:v>45299</c:v>
                </c:pt>
                <c:pt idx="681">
                  <c:v>45296</c:v>
                </c:pt>
                <c:pt idx="682">
                  <c:v>45295</c:v>
                </c:pt>
                <c:pt idx="683">
                  <c:v>45294</c:v>
                </c:pt>
                <c:pt idx="684">
                  <c:v>45293</c:v>
                </c:pt>
                <c:pt idx="685">
                  <c:v>45292</c:v>
                </c:pt>
                <c:pt idx="686">
                  <c:v>45289</c:v>
                </c:pt>
                <c:pt idx="687">
                  <c:v>45288</c:v>
                </c:pt>
                <c:pt idx="688">
                  <c:v>45287</c:v>
                </c:pt>
                <c:pt idx="689">
                  <c:v>45286</c:v>
                </c:pt>
                <c:pt idx="690">
                  <c:v>45282</c:v>
                </c:pt>
                <c:pt idx="691">
                  <c:v>45281</c:v>
                </c:pt>
                <c:pt idx="692">
                  <c:v>45280</c:v>
                </c:pt>
                <c:pt idx="693">
                  <c:v>45279</c:v>
                </c:pt>
                <c:pt idx="694">
                  <c:v>45278</c:v>
                </c:pt>
                <c:pt idx="695">
                  <c:v>45275</c:v>
                </c:pt>
                <c:pt idx="696">
                  <c:v>45274</c:v>
                </c:pt>
                <c:pt idx="697">
                  <c:v>45273</c:v>
                </c:pt>
                <c:pt idx="698">
                  <c:v>45272</c:v>
                </c:pt>
                <c:pt idx="699">
                  <c:v>45271</c:v>
                </c:pt>
                <c:pt idx="700">
                  <c:v>45268</c:v>
                </c:pt>
                <c:pt idx="701">
                  <c:v>45267</c:v>
                </c:pt>
                <c:pt idx="702">
                  <c:v>45266</c:v>
                </c:pt>
                <c:pt idx="703">
                  <c:v>45265</c:v>
                </c:pt>
                <c:pt idx="704">
                  <c:v>45264</c:v>
                </c:pt>
                <c:pt idx="705">
                  <c:v>45261</c:v>
                </c:pt>
                <c:pt idx="706">
                  <c:v>45260</c:v>
                </c:pt>
                <c:pt idx="707">
                  <c:v>45259</c:v>
                </c:pt>
                <c:pt idx="708">
                  <c:v>45258</c:v>
                </c:pt>
                <c:pt idx="709">
                  <c:v>45254</c:v>
                </c:pt>
                <c:pt idx="710">
                  <c:v>45253</c:v>
                </c:pt>
                <c:pt idx="711">
                  <c:v>45252</c:v>
                </c:pt>
                <c:pt idx="712">
                  <c:v>45251</c:v>
                </c:pt>
                <c:pt idx="713">
                  <c:v>45250</c:v>
                </c:pt>
                <c:pt idx="714">
                  <c:v>45247</c:v>
                </c:pt>
                <c:pt idx="715">
                  <c:v>45246</c:v>
                </c:pt>
                <c:pt idx="716">
                  <c:v>45245</c:v>
                </c:pt>
                <c:pt idx="717">
                  <c:v>45243</c:v>
                </c:pt>
                <c:pt idx="718">
                  <c:v>45242</c:v>
                </c:pt>
                <c:pt idx="719">
                  <c:v>45240</c:v>
                </c:pt>
                <c:pt idx="720">
                  <c:v>45239</c:v>
                </c:pt>
                <c:pt idx="721">
                  <c:v>45238</c:v>
                </c:pt>
                <c:pt idx="722">
                  <c:v>45237</c:v>
                </c:pt>
                <c:pt idx="723">
                  <c:v>45236</c:v>
                </c:pt>
                <c:pt idx="724">
                  <c:v>45233</c:v>
                </c:pt>
                <c:pt idx="725">
                  <c:v>45232</c:v>
                </c:pt>
                <c:pt idx="726">
                  <c:v>45231</c:v>
                </c:pt>
                <c:pt idx="727">
                  <c:v>45230</c:v>
                </c:pt>
                <c:pt idx="728">
                  <c:v>45229</c:v>
                </c:pt>
                <c:pt idx="729">
                  <c:v>45226</c:v>
                </c:pt>
                <c:pt idx="730">
                  <c:v>45225</c:v>
                </c:pt>
                <c:pt idx="731">
                  <c:v>45224</c:v>
                </c:pt>
                <c:pt idx="732">
                  <c:v>45222</c:v>
                </c:pt>
                <c:pt idx="733">
                  <c:v>45219</c:v>
                </c:pt>
                <c:pt idx="734">
                  <c:v>45218</c:v>
                </c:pt>
                <c:pt idx="735">
                  <c:v>45217</c:v>
                </c:pt>
                <c:pt idx="736">
                  <c:v>45216</c:v>
                </c:pt>
                <c:pt idx="737">
                  <c:v>45215</c:v>
                </c:pt>
                <c:pt idx="738">
                  <c:v>45212</c:v>
                </c:pt>
                <c:pt idx="739">
                  <c:v>45211</c:v>
                </c:pt>
                <c:pt idx="740">
                  <c:v>45210</c:v>
                </c:pt>
                <c:pt idx="741">
                  <c:v>45209</c:v>
                </c:pt>
                <c:pt idx="742">
                  <c:v>45208</c:v>
                </c:pt>
                <c:pt idx="743">
                  <c:v>45205</c:v>
                </c:pt>
                <c:pt idx="744">
                  <c:v>45204</c:v>
                </c:pt>
                <c:pt idx="745">
                  <c:v>45203</c:v>
                </c:pt>
                <c:pt idx="746">
                  <c:v>45202</c:v>
                </c:pt>
                <c:pt idx="747">
                  <c:v>45198</c:v>
                </c:pt>
                <c:pt idx="748">
                  <c:v>45197</c:v>
                </c:pt>
                <c:pt idx="749">
                  <c:v>45196</c:v>
                </c:pt>
                <c:pt idx="750">
                  <c:v>45195</c:v>
                </c:pt>
                <c:pt idx="751">
                  <c:v>45194</c:v>
                </c:pt>
                <c:pt idx="752">
                  <c:v>45191</c:v>
                </c:pt>
                <c:pt idx="753">
                  <c:v>45190</c:v>
                </c:pt>
                <c:pt idx="754">
                  <c:v>45189</c:v>
                </c:pt>
                <c:pt idx="755">
                  <c:v>45187</c:v>
                </c:pt>
                <c:pt idx="756">
                  <c:v>45184</c:v>
                </c:pt>
                <c:pt idx="757">
                  <c:v>45183</c:v>
                </c:pt>
                <c:pt idx="758">
                  <c:v>45182</c:v>
                </c:pt>
                <c:pt idx="759">
                  <c:v>45181</c:v>
                </c:pt>
                <c:pt idx="760">
                  <c:v>45180</c:v>
                </c:pt>
                <c:pt idx="761">
                  <c:v>45177</c:v>
                </c:pt>
                <c:pt idx="762">
                  <c:v>45176</c:v>
                </c:pt>
                <c:pt idx="763">
                  <c:v>45175</c:v>
                </c:pt>
                <c:pt idx="764">
                  <c:v>45174</c:v>
                </c:pt>
                <c:pt idx="765">
                  <c:v>45173</c:v>
                </c:pt>
                <c:pt idx="766">
                  <c:v>45170</c:v>
                </c:pt>
                <c:pt idx="767">
                  <c:v>45169</c:v>
                </c:pt>
                <c:pt idx="768">
                  <c:v>45168</c:v>
                </c:pt>
                <c:pt idx="769">
                  <c:v>45167</c:v>
                </c:pt>
                <c:pt idx="770">
                  <c:v>45166</c:v>
                </c:pt>
                <c:pt idx="771">
                  <c:v>45163</c:v>
                </c:pt>
                <c:pt idx="772">
                  <c:v>45162</c:v>
                </c:pt>
                <c:pt idx="773">
                  <c:v>45161</c:v>
                </c:pt>
                <c:pt idx="774">
                  <c:v>45160</c:v>
                </c:pt>
                <c:pt idx="775">
                  <c:v>45159</c:v>
                </c:pt>
                <c:pt idx="776">
                  <c:v>45156</c:v>
                </c:pt>
                <c:pt idx="777">
                  <c:v>45155</c:v>
                </c:pt>
                <c:pt idx="778">
                  <c:v>45154</c:v>
                </c:pt>
                <c:pt idx="779">
                  <c:v>45152</c:v>
                </c:pt>
                <c:pt idx="780">
                  <c:v>45149</c:v>
                </c:pt>
                <c:pt idx="781">
                  <c:v>45148</c:v>
                </c:pt>
                <c:pt idx="782">
                  <c:v>45147</c:v>
                </c:pt>
                <c:pt idx="783">
                  <c:v>45146</c:v>
                </c:pt>
                <c:pt idx="784">
                  <c:v>45145</c:v>
                </c:pt>
                <c:pt idx="785">
                  <c:v>45142</c:v>
                </c:pt>
                <c:pt idx="786">
                  <c:v>45141</c:v>
                </c:pt>
                <c:pt idx="787">
                  <c:v>45140</c:v>
                </c:pt>
                <c:pt idx="788">
                  <c:v>45139</c:v>
                </c:pt>
                <c:pt idx="789">
                  <c:v>45138</c:v>
                </c:pt>
                <c:pt idx="790">
                  <c:v>45135</c:v>
                </c:pt>
                <c:pt idx="791">
                  <c:v>45134</c:v>
                </c:pt>
                <c:pt idx="792">
                  <c:v>45133</c:v>
                </c:pt>
                <c:pt idx="793">
                  <c:v>45132</c:v>
                </c:pt>
                <c:pt idx="794">
                  <c:v>45131</c:v>
                </c:pt>
                <c:pt idx="795">
                  <c:v>45128</c:v>
                </c:pt>
                <c:pt idx="796">
                  <c:v>45127</c:v>
                </c:pt>
                <c:pt idx="797">
                  <c:v>45126</c:v>
                </c:pt>
                <c:pt idx="798">
                  <c:v>45125</c:v>
                </c:pt>
                <c:pt idx="799">
                  <c:v>45124</c:v>
                </c:pt>
                <c:pt idx="800">
                  <c:v>45121</c:v>
                </c:pt>
                <c:pt idx="801">
                  <c:v>45120</c:v>
                </c:pt>
                <c:pt idx="802">
                  <c:v>45119</c:v>
                </c:pt>
                <c:pt idx="803">
                  <c:v>45118</c:v>
                </c:pt>
                <c:pt idx="804">
                  <c:v>45117</c:v>
                </c:pt>
                <c:pt idx="805">
                  <c:v>45114</c:v>
                </c:pt>
                <c:pt idx="806">
                  <c:v>45113</c:v>
                </c:pt>
                <c:pt idx="807">
                  <c:v>45112</c:v>
                </c:pt>
                <c:pt idx="808">
                  <c:v>45111</c:v>
                </c:pt>
                <c:pt idx="809">
                  <c:v>45110</c:v>
                </c:pt>
                <c:pt idx="810">
                  <c:v>45107</c:v>
                </c:pt>
                <c:pt idx="811">
                  <c:v>45105</c:v>
                </c:pt>
                <c:pt idx="812">
                  <c:v>45104</c:v>
                </c:pt>
                <c:pt idx="813">
                  <c:v>45103</c:v>
                </c:pt>
                <c:pt idx="814">
                  <c:v>45100</c:v>
                </c:pt>
                <c:pt idx="815">
                  <c:v>45099</c:v>
                </c:pt>
                <c:pt idx="816">
                  <c:v>45098</c:v>
                </c:pt>
                <c:pt idx="817">
                  <c:v>45097</c:v>
                </c:pt>
                <c:pt idx="818">
                  <c:v>45096</c:v>
                </c:pt>
                <c:pt idx="819">
                  <c:v>45093</c:v>
                </c:pt>
                <c:pt idx="820">
                  <c:v>45092</c:v>
                </c:pt>
                <c:pt idx="821">
                  <c:v>45091</c:v>
                </c:pt>
                <c:pt idx="822">
                  <c:v>45090</c:v>
                </c:pt>
                <c:pt idx="823">
                  <c:v>45089</c:v>
                </c:pt>
                <c:pt idx="824">
                  <c:v>45086</c:v>
                </c:pt>
                <c:pt idx="825">
                  <c:v>45085</c:v>
                </c:pt>
                <c:pt idx="826">
                  <c:v>45084</c:v>
                </c:pt>
                <c:pt idx="827">
                  <c:v>45083</c:v>
                </c:pt>
                <c:pt idx="828">
                  <c:v>45082</c:v>
                </c:pt>
                <c:pt idx="829">
                  <c:v>45079</c:v>
                </c:pt>
                <c:pt idx="830">
                  <c:v>45078</c:v>
                </c:pt>
                <c:pt idx="831">
                  <c:v>45077</c:v>
                </c:pt>
                <c:pt idx="832">
                  <c:v>45076</c:v>
                </c:pt>
                <c:pt idx="833">
                  <c:v>45075</c:v>
                </c:pt>
                <c:pt idx="834">
                  <c:v>45072</c:v>
                </c:pt>
                <c:pt idx="835">
                  <c:v>45071</c:v>
                </c:pt>
                <c:pt idx="836">
                  <c:v>45070</c:v>
                </c:pt>
                <c:pt idx="837">
                  <c:v>45069</c:v>
                </c:pt>
                <c:pt idx="838">
                  <c:v>45068</c:v>
                </c:pt>
                <c:pt idx="839">
                  <c:v>45065</c:v>
                </c:pt>
                <c:pt idx="840">
                  <c:v>45064</c:v>
                </c:pt>
                <c:pt idx="841">
                  <c:v>45063</c:v>
                </c:pt>
                <c:pt idx="842">
                  <c:v>45062</c:v>
                </c:pt>
                <c:pt idx="843">
                  <c:v>45061</c:v>
                </c:pt>
                <c:pt idx="844">
                  <c:v>45058</c:v>
                </c:pt>
                <c:pt idx="845">
                  <c:v>45057</c:v>
                </c:pt>
                <c:pt idx="846">
                  <c:v>45056</c:v>
                </c:pt>
                <c:pt idx="847">
                  <c:v>45055</c:v>
                </c:pt>
                <c:pt idx="848">
                  <c:v>45054</c:v>
                </c:pt>
                <c:pt idx="849">
                  <c:v>45051</c:v>
                </c:pt>
                <c:pt idx="850">
                  <c:v>45050</c:v>
                </c:pt>
                <c:pt idx="851">
                  <c:v>45049</c:v>
                </c:pt>
                <c:pt idx="852">
                  <c:v>45048</c:v>
                </c:pt>
                <c:pt idx="853">
                  <c:v>45044</c:v>
                </c:pt>
                <c:pt idx="854">
                  <c:v>45043</c:v>
                </c:pt>
                <c:pt idx="855">
                  <c:v>45042</c:v>
                </c:pt>
                <c:pt idx="856">
                  <c:v>45041</c:v>
                </c:pt>
                <c:pt idx="857">
                  <c:v>45040</c:v>
                </c:pt>
                <c:pt idx="858">
                  <c:v>45037</c:v>
                </c:pt>
                <c:pt idx="859">
                  <c:v>45036</c:v>
                </c:pt>
                <c:pt idx="860">
                  <c:v>45035</c:v>
                </c:pt>
                <c:pt idx="861">
                  <c:v>45034</c:v>
                </c:pt>
                <c:pt idx="862">
                  <c:v>45033</c:v>
                </c:pt>
                <c:pt idx="863">
                  <c:v>45029</c:v>
                </c:pt>
                <c:pt idx="864">
                  <c:v>45028</c:v>
                </c:pt>
                <c:pt idx="865">
                  <c:v>45027</c:v>
                </c:pt>
                <c:pt idx="866">
                  <c:v>45026</c:v>
                </c:pt>
                <c:pt idx="867">
                  <c:v>45022</c:v>
                </c:pt>
                <c:pt idx="868">
                  <c:v>45021</c:v>
                </c:pt>
                <c:pt idx="869">
                  <c:v>45019</c:v>
                </c:pt>
                <c:pt idx="870">
                  <c:v>45016</c:v>
                </c:pt>
                <c:pt idx="871">
                  <c:v>45014</c:v>
                </c:pt>
                <c:pt idx="872">
                  <c:v>45013</c:v>
                </c:pt>
                <c:pt idx="873">
                  <c:v>45012</c:v>
                </c:pt>
                <c:pt idx="874">
                  <c:v>45009</c:v>
                </c:pt>
                <c:pt idx="875">
                  <c:v>45008</c:v>
                </c:pt>
                <c:pt idx="876">
                  <c:v>45007</c:v>
                </c:pt>
                <c:pt idx="877">
                  <c:v>45006</c:v>
                </c:pt>
                <c:pt idx="878">
                  <c:v>45005</c:v>
                </c:pt>
                <c:pt idx="879">
                  <c:v>45002</c:v>
                </c:pt>
                <c:pt idx="880">
                  <c:v>45001</c:v>
                </c:pt>
                <c:pt idx="881">
                  <c:v>45000</c:v>
                </c:pt>
                <c:pt idx="882">
                  <c:v>44999</c:v>
                </c:pt>
                <c:pt idx="883">
                  <c:v>44998</c:v>
                </c:pt>
                <c:pt idx="884">
                  <c:v>44995</c:v>
                </c:pt>
                <c:pt idx="885">
                  <c:v>44994</c:v>
                </c:pt>
                <c:pt idx="886">
                  <c:v>44993</c:v>
                </c:pt>
                <c:pt idx="887">
                  <c:v>44991</c:v>
                </c:pt>
                <c:pt idx="888">
                  <c:v>44988</c:v>
                </c:pt>
                <c:pt idx="889">
                  <c:v>44987</c:v>
                </c:pt>
                <c:pt idx="890">
                  <c:v>44986</c:v>
                </c:pt>
                <c:pt idx="891">
                  <c:v>44985</c:v>
                </c:pt>
                <c:pt idx="892">
                  <c:v>44984</c:v>
                </c:pt>
                <c:pt idx="893">
                  <c:v>44981</c:v>
                </c:pt>
                <c:pt idx="894">
                  <c:v>44980</c:v>
                </c:pt>
                <c:pt idx="895">
                  <c:v>44979</c:v>
                </c:pt>
                <c:pt idx="896">
                  <c:v>44978</c:v>
                </c:pt>
                <c:pt idx="897">
                  <c:v>44977</c:v>
                </c:pt>
                <c:pt idx="898">
                  <c:v>44974</c:v>
                </c:pt>
                <c:pt idx="899">
                  <c:v>44973</c:v>
                </c:pt>
                <c:pt idx="900">
                  <c:v>44972</c:v>
                </c:pt>
                <c:pt idx="901">
                  <c:v>44971</c:v>
                </c:pt>
                <c:pt idx="902">
                  <c:v>44970</c:v>
                </c:pt>
                <c:pt idx="903">
                  <c:v>44967</c:v>
                </c:pt>
                <c:pt idx="904">
                  <c:v>44966</c:v>
                </c:pt>
                <c:pt idx="905">
                  <c:v>44965</c:v>
                </c:pt>
                <c:pt idx="906">
                  <c:v>44964</c:v>
                </c:pt>
                <c:pt idx="907">
                  <c:v>44963</c:v>
                </c:pt>
                <c:pt idx="908">
                  <c:v>44960</c:v>
                </c:pt>
                <c:pt idx="909">
                  <c:v>44959</c:v>
                </c:pt>
                <c:pt idx="910">
                  <c:v>44958</c:v>
                </c:pt>
                <c:pt idx="911">
                  <c:v>44957</c:v>
                </c:pt>
                <c:pt idx="912">
                  <c:v>44956</c:v>
                </c:pt>
                <c:pt idx="913">
                  <c:v>44953</c:v>
                </c:pt>
                <c:pt idx="914">
                  <c:v>44951</c:v>
                </c:pt>
                <c:pt idx="915">
                  <c:v>44950</c:v>
                </c:pt>
                <c:pt idx="916">
                  <c:v>44949</c:v>
                </c:pt>
                <c:pt idx="917">
                  <c:v>44946</c:v>
                </c:pt>
                <c:pt idx="918">
                  <c:v>44945</c:v>
                </c:pt>
                <c:pt idx="919">
                  <c:v>44944</c:v>
                </c:pt>
                <c:pt idx="920">
                  <c:v>44943</c:v>
                </c:pt>
                <c:pt idx="921">
                  <c:v>44942</c:v>
                </c:pt>
                <c:pt idx="922">
                  <c:v>44939</c:v>
                </c:pt>
                <c:pt idx="923">
                  <c:v>44938</c:v>
                </c:pt>
                <c:pt idx="924">
                  <c:v>44937</c:v>
                </c:pt>
                <c:pt idx="925">
                  <c:v>44936</c:v>
                </c:pt>
                <c:pt idx="926">
                  <c:v>44935</c:v>
                </c:pt>
                <c:pt idx="927">
                  <c:v>44932</c:v>
                </c:pt>
                <c:pt idx="928">
                  <c:v>44931</c:v>
                </c:pt>
                <c:pt idx="929">
                  <c:v>44930</c:v>
                </c:pt>
                <c:pt idx="930">
                  <c:v>44929</c:v>
                </c:pt>
                <c:pt idx="931">
                  <c:v>44928</c:v>
                </c:pt>
                <c:pt idx="932">
                  <c:v>44925</c:v>
                </c:pt>
                <c:pt idx="933">
                  <c:v>44924</c:v>
                </c:pt>
                <c:pt idx="934">
                  <c:v>44923</c:v>
                </c:pt>
                <c:pt idx="935">
                  <c:v>44922</c:v>
                </c:pt>
                <c:pt idx="936">
                  <c:v>44921</c:v>
                </c:pt>
                <c:pt idx="937">
                  <c:v>44918</c:v>
                </c:pt>
                <c:pt idx="938">
                  <c:v>44917</c:v>
                </c:pt>
                <c:pt idx="939">
                  <c:v>44916</c:v>
                </c:pt>
                <c:pt idx="940">
                  <c:v>44915</c:v>
                </c:pt>
                <c:pt idx="941">
                  <c:v>44914</c:v>
                </c:pt>
                <c:pt idx="942">
                  <c:v>44911</c:v>
                </c:pt>
                <c:pt idx="943">
                  <c:v>44910</c:v>
                </c:pt>
                <c:pt idx="944">
                  <c:v>44909</c:v>
                </c:pt>
                <c:pt idx="945">
                  <c:v>44908</c:v>
                </c:pt>
                <c:pt idx="946">
                  <c:v>44907</c:v>
                </c:pt>
                <c:pt idx="947">
                  <c:v>44904</c:v>
                </c:pt>
                <c:pt idx="948">
                  <c:v>44903</c:v>
                </c:pt>
                <c:pt idx="949">
                  <c:v>44902</c:v>
                </c:pt>
                <c:pt idx="950">
                  <c:v>44901</c:v>
                </c:pt>
                <c:pt idx="951">
                  <c:v>44900</c:v>
                </c:pt>
                <c:pt idx="952">
                  <c:v>44897</c:v>
                </c:pt>
                <c:pt idx="953">
                  <c:v>44896</c:v>
                </c:pt>
                <c:pt idx="954">
                  <c:v>44895</c:v>
                </c:pt>
                <c:pt idx="955">
                  <c:v>44894</c:v>
                </c:pt>
                <c:pt idx="956">
                  <c:v>44893</c:v>
                </c:pt>
                <c:pt idx="957">
                  <c:v>44890</c:v>
                </c:pt>
                <c:pt idx="958">
                  <c:v>44889</c:v>
                </c:pt>
                <c:pt idx="959">
                  <c:v>44888</c:v>
                </c:pt>
                <c:pt idx="960">
                  <c:v>44887</c:v>
                </c:pt>
                <c:pt idx="961">
                  <c:v>44886</c:v>
                </c:pt>
                <c:pt idx="962">
                  <c:v>44883</c:v>
                </c:pt>
                <c:pt idx="963">
                  <c:v>44882</c:v>
                </c:pt>
                <c:pt idx="964">
                  <c:v>44881</c:v>
                </c:pt>
                <c:pt idx="965">
                  <c:v>44880</c:v>
                </c:pt>
                <c:pt idx="966">
                  <c:v>44879</c:v>
                </c:pt>
                <c:pt idx="967">
                  <c:v>44876</c:v>
                </c:pt>
                <c:pt idx="968">
                  <c:v>44875</c:v>
                </c:pt>
                <c:pt idx="969">
                  <c:v>44874</c:v>
                </c:pt>
                <c:pt idx="970">
                  <c:v>44872</c:v>
                </c:pt>
                <c:pt idx="971">
                  <c:v>44869</c:v>
                </c:pt>
                <c:pt idx="972">
                  <c:v>44868</c:v>
                </c:pt>
                <c:pt idx="973">
                  <c:v>44867</c:v>
                </c:pt>
                <c:pt idx="974">
                  <c:v>44866</c:v>
                </c:pt>
                <c:pt idx="975">
                  <c:v>44865</c:v>
                </c:pt>
                <c:pt idx="976">
                  <c:v>44862</c:v>
                </c:pt>
                <c:pt idx="977">
                  <c:v>44861</c:v>
                </c:pt>
                <c:pt idx="978">
                  <c:v>44859</c:v>
                </c:pt>
                <c:pt idx="979">
                  <c:v>44858</c:v>
                </c:pt>
                <c:pt idx="980">
                  <c:v>44855</c:v>
                </c:pt>
                <c:pt idx="981">
                  <c:v>44854</c:v>
                </c:pt>
                <c:pt idx="982">
                  <c:v>44853</c:v>
                </c:pt>
                <c:pt idx="983">
                  <c:v>44852</c:v>
                </c:pt>
                <c:pt idx="984">
                  <c:v>44851</c:v>
                </c:pt>
                <c:pt idx="985">
                  <c:v>44848</c:v>
                </c:pt>
                <c:pt idx="986">
                  <c:v>44847</c:v>
                </c:pt>
                <c:pt idx="987">
                  <c:v>44846</c:v>
                </c:pt>
                <c:pt idx="988">
                  <c:v>44845</c:v>
                </c:pt>
                <c:pt idx="989">
                  <c:v>44844</c:v>
                </c:pt>
                <c:pt idx="990">
                  <c:v>44841</c:v>
                </c:pt>
              </c:numCache>
            </c:numRef>
          </c:cat>
          <c:val>
            <c:numRef>
              <c:f>'Data_One Pager'!$B$2:$B$992</c:f>
              <c:numCache>
                <c:formatCode>#,##0.00</c:formatCode>
                <c:ptCount val="991"/>
                <c:pt idx="0">
                  <c:v>736</c:v>
                </c:pt>
                <c:pt idx="1">
                  <c:v>725</c:v>
                </c:pt>
                <c:pt idx="2">
                  <c:v>718</c:v>
                </c:pt>
                <c:pt idx="3">
                  <c:v>728.65</c:v>
                </c:pt>
                <c:pt idx="4">
                  <c:v>714.35</c:v>
                </c:pt>
                <c:pt idx="5">
                  <c:v>711</c:v>
                </c:pt>
                <c:pt idx="6">
                  <c:v>726.8</c:v>
                </c:pt>
                <c:pt idx="7">
                  <c:v>728.8</c:v>
                </c:pt>
                <c:pt idx="8">
                  <c:v>743.7</c:v>
                </c:pt>
                <c:pt idx="9">
                  <c:v>736.25</c:v>
                </c:pt>
                <c:pt idx="10">
                  <c:v>745</c:v>
                </c:pt>
                <c:pt idx="11">
                  <c:v>732.75</c:v>
                </c:pt>
                <c:pt idx="12">
                  <c:v>726.65</c:v>
                </c:pt>
                <c:pt idx="13">
                  <c:v>713.4</c:v>
                </c:pt>
                <c:pt idx="14">
                  <c:v>715</c:v>
                </c:pt>
                <c:pt idx="15">
                  <c:v>718.5</c:v>
                </c:pt>
                <c:pt idx="16">
                  <c:v>715.75</c:v>
                </c:pt>
                <c:pt idx="17">
                  <c:v>722.75</c:v>
                </c:pt>
                <c:pt idx="18">
                  <c:v>720</c:v>
                </c:pt>
                <c:pt idx="19">
                  <c:v>716.2</c:v>
                </c:pt>
                <c:pt idx="20">
                  <c:v>720</c:v>
                </c:pt>
                <c:pt idx="21">
                  <c:v>732</c:v>
                </c:pt>
                <c:pt idx="22">
                  <c:v>727.7</c:v>
                </c:pt>
                <c:pt idx="23">
                  <c:v>718</c:v>
                </c:pt>
                <c:pt idx="24">
                  <c:v>737.9</c:v>
                </c:pt>
                <c:pt idx="25">
                  <c:v>706.4</c:v>
                </c:pt>
                <c:pt idx="26">
                  <c:v>718.5</c:v>
                </c:pt>
                <c:pt idx="27">
                  <c:v>721</c:v>
                </c:pt>
                <c:pt idx="28">
                  <c:v>730</c:v>
                </c:pt>
                <c:pt idx="29">
                  <c:v>728.9</c:v>
                </c:pt>
                <c:pt idx="30">
                  <c:v>730</c:v>
                </c:pt>
                <c:pt idx="31">
                  <c:v>735.85</c:v>
                </c:pt>
                <c:pt idx="32">
                  <c:v>723.35</c:v>
                </c:pt>
                <c:pt idx="33">
                  <c:v>719</c:v>
                </c:pt>
                <c:pt idx="34">
                  <c:v>720</c:v>
                </c:pt>
                <c:pt idx="35">
                  <c:v>720</c:v>
                </c:pt>
                <c:pt idx="36">
                  <c:v>721.75</c:v>
                </c:pt>
                <c:pt idx="37">
                  <c:v>724</c:v>
                </c:pt>
                <c:pt idx="38">
                  <c:v>724</c:v>
                </c:pt>
                <c:pt idx="39">
                  <c:v>728.7</c:v>
                </c:pt>
                <c:pt idx="40">
                  <c:v>731</c:v>
                </c:pt>
                <c:pt idx="41">
                  <c:v>736</c:v>
                </c:pt>
                <c:pt idx="42">
                  <c:v>741.05</c:v>
                </c:pt>
                <c:pt idx="43">
                  <c:v>750</c:v>
                </c:pt>
                <c:pt idx="44">
                  <c:v>752</c:v>
                </c:pt>
                <c:pt idx="45">
                  <c:v>738.55</c:v>
                </c:pt>
                <c:pt idx="46">
                  <c:v>749.25</c:v>
                </c:pt>
                <c:pt idx="47">
                  <c:v>738.2</c:v>
                </c:pt>
                <c:pt idx="48">
                  <c:v>734.7</c:v>
                </c:pt>
                <c:pt idx="49">
                  <c:v>733.75</c:v>
                </c:pt>
                <c:pt idx="50">
                  <c:v>727.45</c:v>
                </c:pt>
                <c:pt idx="51">
                  <c:v>724.05</c:v>
                </c:pt>
                <c:pt idx="52">
                  <c:v>724.85</c:v>
                </c:pt>
                <c:pt idx="53">
                  <c:v>731.6</c:v>
                </c:pt>
                <c:pt idx="54">
                  <c:v>725.05</c:v>
                </c:pt>
                <c:pt idx="55">
                  <c:v>727.9</c:v>
                </c:pt>
                <c:pt idx="56">
                  <c:v>731.45</c:v>
                </c:pt>
                <c:pt idx="57">
                  <c:v>743.2</c:v>
                </c:pt>
                <c:pt idx="58">
                  <c:v>733.3</c:v>
                </c:pt>
                <c:pt idx="59">
                  <c:v>738.55</c:v>
                </c:pt>
                <c:pt idx="60">
                  <c:v>752.3</c:v>
                </c:pt>
                <c:pt idx="61">
                  <c:v>731.45</c:v>
                </c:pt>
                <c:pt idx="62">
                  <c:v>722.9</c:v>
                </c:pt>
                <c:pt idx="63">
                  <c:v>745.95</c:v>
                </c:pt>
                <c:pt idx="64">
                  <c:v>738.15</c:v>
                </c:pt>
                <c:pt idx="65">
                  <c:v>728.6</c:v>
                </c:pt>
                <c:pt idx="66">
                  <c:v>720.7</c:v>
                </c:pt>
                <c:pt idx="67">
                  <c:v>718.75</c:v>
                </c:pt>
                <c:pt idx="68">
                  <c:v>713.95</c:v>
                </c:pt>
                <c:pt idx="69">
                  <c:v>707.05</c:v>
                </c:pt>
                <c:pt idx="70">
                  <c:v>720.65</c:v>
                </c:pt>
                <c:pt idx="71">
                  <c:v>725.5</c:v>
                </c:pt>
                <c:pt idx="72">
                  <c:v>724.05</c:v>
                </c:pt>
                <c:pt idx="73">
                  <c:v>733</c:v>
                </c:pt>
                <c:pt idx="74">
                  <c:v>724.75</c:v>
                </c:pt>
                <c:pt idx="75">
                  <c:v>710.45</c:v>
                </c:pt>
                <c:pt idx="76">
                  <c:v>699.1</c:v>
                </c:pt>
                <c:pt idx="77">
                  <c:v>694.4</c:v>
                </c:pt>
                <c:pt idx="78">
                  <c:v>689.85</c:v>
                </c:pt>
                <c:pt idx="79">
                  <c:v>679.45</c:v>
                </c:pt>
                <c:pt idx="80">
                  <c:v>655.7</c:v>
                </c:pt>
                <c:pt idx="81">
                  <c:v>665.85</c:v>
                </c:pt>
                <c:pt idx="82">
                  <c:v>666.7</c:v>
                </c:pt>
                <c:pt idx="83">
                  <c:v>652.25</c:v>
                </c:pt>
                <c:pt idx="84">
                  <c:v>657.6</c:v>
                </c:pt>
                <c:pt idx="85">
                  <c:v>661.55</c:v>
                </c:pt>
                <c:pt idx="86">
                  <c:v>656.3</c:v>
                </c:pt>
                <c:pt idx="87">
                  <c:v>661.65</c:v>
                </c:pt>
                <c:pt idx="88">
                  <c:v>646.75</c:v>
                </c:pt>
                <c:pt idx="89">
                  <c:v>654.25</c:v>
                </c:pt>
                <c:pt idx="90">
                  <c:v>667.7</c:v>
                </c:pt>
                <c:pt idx="91">
                  <c:v>657.15</c:v>
                </c:pt>
                <c:pt idx="92">
                  <c:v>663.55</c:v>
                </c:pt>
                <c:pt idx="93">
                  <c:v>650.25</c:v>
                </c:pt>
                <c:pt idx="94">
                  <c:v>657.4</c:v>
                </c:pt>
                <c:pt idx="95">
                  <c:v>659.6</c:v>
                </c:pt>
                <c:pt idx="96">
                  <c:v>652.75</c:v>
                </c:pt>
                <c:pt idx="97">
                  <c:v>648.54999999999995</c:v>
                </c:pt>
                <c:pt idx="98">
                  <c:v>656.25</c:v>
                </c:pt>
                <c:pt idx="99">
                  <c:v>650.20000000000005</c:v>
                </c:pt>
                <c:pt idx="100">
                  <c:v>637.4</c:v>
                </c:pt>
                <c:pt idx="101">
                  <c:v>634.4</c:v>
                </c:pt>
                <c:pt idx="102">
                  <c:v>661.3</c:v>
                </c:pt>
                <c:pt idx="103">
                  <c:v>673.05</c:v>
                </c:pt>
                <c:pt idx="104">
                  <c:v>669.1</c:v>
                </c:pt>
                <c:pt idx="105">
                  <c:v>666.15</c:v>
                </c:pt>
                <c:pt idx="106">
                  <c:v>647.79999999999995</c:v>
                </c:pt>
                <c:pt idx="107">
                  <c:v>643.70000000000005</c:v>
                </c:pt>
                <c:pt idx="108">
                  <c:v>635.85</c:v>
                </c:pt>
                <c:pt idx="109">
                  <c:v>644.65</c:v>
                </c:pt>
                <c:pt idx="110">
                  <c:v>652.45000000000005</c:v>
                </c:pt>
                <c:pt idx="111">
                  <c:v>647.85</c:v>
                </c:pt>
                <c:pt idx="112">
                  <c:v>635.35</c:v>
                </c:pt>
                <c:pt idx="113">
                  <c:v>639.45000000000005</c:v>
                </c:pt>
                <c:pt idx="114">
                  <c:v>659.7</c:v>
                </c:pt>
                <c:pt idx="115">
                  <c:v>666.15</c:v>
                </c:pt>
                <c:pt idx="116">
                  <c:v>659.5</c:v>
                </c:pt>
                <c:pt idx="117">
                  <c:v>659.3</c:v>
                </c:pt>
                <c:pt idx="118">
                  <c:v>652.75</c:v>
                </c:pt>
                <c:pt idx="119">
                  <c:v>646.4</c:v>
                </c:pt>
                <c:pt idx="120">
                  <c:v>634.95000000000005</c:v>
                </c:pt>
                <c:pt idx="121">
                  <c:v>641.5</c:v>
                </c:pt>
                <c:pt idx="122">
                  <c:v>629.1</c:v>
                </c:pt>
                <c:pt idx="123">
                  <c:v>636.35</c:v>
                </c:pt>
                <c:pt idx="124">
                  <c:v>600.4</c:v>
                </c:pt>
                <c:pt idx="125">
                  <c:v>595.4</c:v>
                </c:pt>
                <c:pt idx="126">
                  <c:v>582.75</c:v>
                </c:pt>
                <c:pt idx="127">
                  <c:v>585.20000000000005</c:v>
                </c:pt>
                <c:pt idx="128">
                  <c:v>570.95000000000005</c:v>
                </c:pt>
                <c:pt idx="129">
                  <c:v>590.9</c:v>
                </c:pt>
                <c:pt idx="130">
                  <c:v>617.29999999999995</c:v>
                </c:pt>
                <c:pt idx="131">
                  <c:v>604.04999999999995</c:v>
                </c:pt>
                <c:pt idx="132">
                  <c:v>582.45000000000005</c:v>
                </c:pt>
                <c:pt idx="133">
                  <c:v>615.54999999999995</c:v>
                </c:pt>
                <c:pt idx="134">
                  <c:v>613.65</c:v>
                </c:pt>
                <c:pt idx="135">
                  <c:v>636.95000000000005</c:v>
                </c:pt>
                <c:pt idx="136">
                  <c:v>622.04999999999995</c:v>
                </c:pt>
                <c:pt idx="137">
                  <c:v>613.35</c:v>
                </c:pt>
                <c:pt idx="138">
                  <c:v>609.85</c:v>
                </c:pt>
                <c:pt idx="139">
                  <c:v>624.95000000000005</c:v>
                </c:pt>
                <c:pt idx="140">
                  <c:v>624.04999999999995</c:v>
                </c:pt>
                <c:pt idx="141">
                  <c:v>629.4</c:v>
                </c:pt>
                <c:pt idx="142">
                  <c:v>611.70000000000005</c:v>
                </c:pt>
                <c:pt idx="143">
                  <c:v>623.85</c:v>
                </c:pt>
                <c:pt idx="144">
                  <c:v>629.70000000000005</c:v>
                </c:pt>
                <c:pt idx="145">
                  <c:v>633.75</c:v>
                </c:pt>
                <c:pt idx="146">
                  <c:v>651</c:v>
                </c:pt>
                <c:pt idx="147">
                  <c:v>667.05</c:v>
                </c:pt>
                <c:pt idx="148">
                  <c:v>680.95</c:v>
                </c:pt>
                <c:pt idx="149">
                  <c:v>676.7</c:v>
                </c:pt>
                <c:pt idx="150">
                  <c:v>676.15</c:v>
                </c:pt>
                <c:pt idx="151">
                  <c:v>675.1</c:v>
                </c:pt>
                <c:pt idx="152">
                  <c:v>674.95</c:v>
                </c:pt>
                <c:pt idx="153">
                  <c:v>672.1</c:v>
                </c:pt>
                <c:pt idx="154">
                  <c:v>695.1</c:v>
                </c:pt>
                <c:pt idx="155">
                  <c:v>687.75</c:v>
                </c:pt>
                <c:pt idx="156">
                  <c:v>691</c:v>
                </c:pt>
                <c:pt idx="157">
                  <c:v>699.9</c:v>
                </c:pt>
                <c:pt idx="158">
                  <c:v>712</c:v>
                </c:pt>
                <c:pt idx="159">
                  <c:v>707.55</c:v>
                </c:pt>
                <c:pt idx="160">
                  <c:v>702.55</c:v>
                </c:pt>
                <c:pt idx="161">
                  <c:v>695</c:v>
                </c:pt>
                <c:pt idx="162">
                  <c:v>683.2</c:v>
                </c:pt>
                <c:pt idx="163">
                  <c:v>689.15</c:v>
                </c:pt>
                <c:pt idx="164">
                  <c:v>686.15</c:v>
                </c:pt>
                <c:pt idx="165">
                  <c:v>681.5</c:v>
                </c:pt>
                <c:pt idx="166">
                  <c:v>663.9</c:v>
                </c:pt>
                <c:pt idx="167">
                  <c:v>664.3</c:v>
                </c:pt>
                <c:pt idx="168">
                  <c:v>674.15</c:v>
                </c:pt>
                <c:pt idx="169">
                  <c:v>664.6</c:v>
                </c:pt>
                <c:pt idx="170">
                  <c:v>656.2</c:v>
                </c:pt>
                <c:pt idx="171">
                  <c:v>651.35</c:v>
                </c:pt>
                <c:pt idx="172">
                  <c:v>645.79999999999995</c:v>
                </c:pt>
                <c:pt idx="173">
                  <c:v>656.55</c:v>
                </c:pt>
                <c:pt idx="174">
                  <c:v>653.6</c:v>
                </c:pt>
                <c:pt idx="175">
                  <c:v>645.5</c:v>
                </c:pt>
                <c:pt idx="176">
                  <c:v>668.35</c:v>
                </c:pt>
                <c:pt idx="177">
                  <c:v>684.45</c:v>
                </c:pt>
                <c:pt idx="178">
                  <c:v>689.45</c:v>
                </c:pt>
                <c:pt idx="179">
                  <c:v>678.15</c:v>
                </c:pt>
                <c:pt idx="180">
                  <c:v>690.1</c:v>
                </c:pt>
                <c:pt idx="181">
                  <c:v>693.1</c:v>
                </c:pt>
                <c:pt idx="182">
                  <c:v>704.35</c:v>
                </c:pt>
                <c:pt idx="183">
                  <c:v>715.35</c:v>
                </c:pt>
                <c:pt idx="184">
                  <c:v>726.4</c:v>
                </c:pt>
                <c:pt idx="185">
                  <c:v>744.2</c:v>
                </c:pt>
                <c:pt idx="186">
                  <c:v>748.65</c:v>
                </c:pt>
                <c:pt idx="187">
                  <c:v>738.6</c:v>
                </c:pt>
                <c:pt idx="188">
                  <c:v>738.85</c:v>
                </c:pt>
                <c:pt idx="189">
                  <c:v>729.55</c:v>
                </c:pt>
                <c:pt idx="190">
                  <c:v>742.15</c:v>
                </c:pt>
                <c:pt idx="191">
                  <c:v>739.6</c:v>
                </c:pt>
                <c:pt idx="192">
                  <c:v>740.1</c:v>
                </c:pt>
                <c:pt idx="193">
                  <c:v>738.3</c:v>
                </c:pt>
                <c:pt idx="194">
                  <c:v>740.15</c:v>
                </c:pt>
                <c:pt idx="195">
                  <c:v>731.2</c:v>
                </c:pt>
                <c:pt idx="196">
                  <c:v>722</c:v>
                </c:pt>
                <c:pt idx="197">
                  <c:v>713.2</c:v>
                </c:pt>
                <c:pt idx="198">
                  <c:v>725.25</c:v>
                </c:pt>
                <c:pt idx="199">
                  <c:v>731.15</c:v>
                </c:pt>
                <c:pt idx="200">
                  <c:v>735.05</c:v>
                </c:pt>
                <c:pt idx="201">
                  <c:v>729</c:v>
                </c:pt>
                <c:pt idx="202">
                  <c:v>718.6</c:v>
                </c:pt>
                <c:pt idx="203">
                  <c:v>727.75</c:v>
                </c:pt>
                <c:pt idx="204">
                  <c:v>718.1</c:v>
                </c:pt>
                <c:pt idx="205">
                  <c:v>730.9</c:v>
                </c:pt>
                <c:pt idx="206">
                  <c:v>729.55</c:v>
                </c:pt>
                <c:pt idx="207">
                  <c:v>734.6</c:v>
                </c:pt>
                <c:pt idx="208">
                  <c:v>742.5</c:v>
                </c:pt>
                <c:pt idx="209">
                  <c:v>749.05</c:v>
                </c:pt>
                <c:pt idx="210">
                  <c:v>744.3</c:v>
                </c:pt>
                <c:pt idx="211">
                  <c:v>735</c:v>
                </c:pt>
                <c:pt idx="212">
                  <c:v>731.4</c:v>
                </c:pt>
                <c:pt idx="213">
                  <c:v>726.5</c:v>
                </c:pt>
                <c:pt idx="214">
                  <c:v>721.15</c:v>
                </c:pt>
                <c:pt idx="215">
                  <c:v>733.2</c:v>
                </c:pt>
                <c:pt idx="216">
                  <c:v>733.35</c:v>
                </c:pt>
                <c:pt idx="217">
                  <c:v>719.55</c:v>
                </c:pt>
                <c:pt idx="218">
                  <c:v>712.75</c:v>
                </c:pt>
                <c:pt idx="219">
                  <c:v>722.3</c:v>
                </c:pt>
                <c:pt idx="220">
                  <c:v>720.8</c:v>
                </c:pt>
                <c:pt idx="221">
                  <c:v>717.7</c:v>
                </c:pt>
                <c:pt idx="222">
                  <c:v>706.95</c:v>
                </c:pt>
                <c:pt idx="223">
                  <c:v>697.75</c:v>
                </c:pt>
                <c:pt idx="224">
                  <c:v>703.8</c:v>
                </c:pt>
                <c:pt idx="225">
                  <c:v>691.3</c:v>
                </c:pt>
                <c:pt idx="226">
                  <c:v>697</c:v>
                </c:pt>
                <c:pt idx="227">
                  <c:v>743.2</c:v>
                </c:pt>
                <c:pt idx="228">
                  <c:v>747.15</c:v>
                </c:pt>
                <c:pt idx="229">
                  <c:v>741.8</c:v>
                </c:pt>
                <c:pt idx="230">
                  <c:v>749.65</c:v>
                </c:pt>
                <c:pt idx="231">
                  <c:v>746.75</c:v>
                </c:pt>
                <c:pt idx="232">
                  <c:v>741.75</c:v>
                </c:pt>
                <c:pt idx="233">
                  <c:v>746.55</c:v>
                </c:pt>
                <c:pt idx="234">
                  <c:v>735.9</c:v>
                </c:pt>
                <c:pt idx="235">
                  <c:v>737.55</c:v>
                </c:pt>
                <c:pt idx="236">
                  <c:v>744.25</c:v>
                </c:pt>
                <c:pt idx="237">
                  <c:v>743</c:v>
                </c:pt>
                <c:pt idx="238">
                  <c:v>735.4</c:v>
                </c:pt>
                <c:pt idx="239">
                  <c:v>738.05</c:v>
                </c:pt>
                <c:pt idx="240">
                  <c:v>727.75</c:v>
                </c:pt>
                <c:pt idx="241">
                  <c:v>721.15</c:v>
                </c:pt>
                <c:pt idx="242">
                  <c:v>726.05</c:v>
                </c:pt>
                <c:pt idx="243">
                  <c:v>735.55</c:v>
                </c:pt>
                <c:pt idx="244">
                  <c:v>732.15</c:v>
                </c:pt>
                <c:pt idx="245">
                  <c:v>730</c:v>
                </c:pt>
                <c:pt idx="246">
                  <c:v>733.25</c:v>
                </c:pt>
                <c:pt idx="247">
                  <c:v>723.55</c:v>
                </c:pt>
                <c:pt idx="248">
                  <c:v>724.45</c:v>
                </c:pt>
                <c:pt idx="249">
                  <c:v>723.25</c:v>
                </c:pt>
                <c:pt idx="250">
                  <c:v>720.3</c:v>
                </c:pt>
                <c:pt idx="251">
                  <c:v>724.3</c:v>
                </c:pt>
                <c:pt idx="252">
                  <c:v>709.8</c:v>
                </c:pt>
                <c:pt idx="253">
                  <c:v>732.15</c:v>
                </c:pt>
                <c:pt idx="254">
                  <c:v>746</c:v>
                </c:pt>
                <c:pt idx="255">
                  <c:v>752</c:v>
                </c:pt>
                <c:pt idx="256">
                  <c:v>769.4</c:v>
                </c:pt>
                <c:pt idx="257">
                  <c:v>775.55</c:v>
                </c:pt>
                <c:pt idx="258">
                  <c:v>782.05</c:v>
                </c:pt>
                <c:pt idx="259">
                  <c:v>780.25</c:v>
                </c:pt>
                <c:pt idx="260">
                  <c:v>778.65</c:v>
                </c:pt>
                <c:pt idx="261">
                  <c:v>790.85</c:v>
                </c:pt>
                <c:pt idx="262">
                  <c:v>777.7</c:v>
                </c:pt>
                <c:pt idx="263">
                  <c:v>773.95</c:v>
                </c:pt>
                <c:pt idx="264">
                  <c:v>775.5</c:v>
                </c:pt>
                <c:pt idx="265">
                  <c:v>775.5</c:v>
                </c:pt>
                <c:pt idx="266">
                  <c:v>777.7</c:v>
                </c:pt>
                <c:pt idx="267">
                  <c:v>774.75</c:v>
                </c:pt>
                <c:pt idx="268">
                  <c:v>774.75</c:v>
                </c:pt>
                <c:pt idx="269">
                  <c:v>773.95</c:v>
                </c:pt>
                <c:pt idx="270">
                  <c:v>765.6</c:v>
                </c:pt>
                <c:pt idx="271">
                  <c:v>759.85</c:v>
                </c:pt>
                <c:pt idx="272">
                  <c:v>758.45</c:v>
                </c:pt>
                <c:pt idx="273">
                  <c:v>765.15</c:v>
                </c:pt>
                <c:pt idx="274">
                  <c:v>769.05</c:v>
                </c:pt>
                <c:pt idx="275">
                  <c:v>785.55</c:v>
                </c:pt>
                <c:pt idx="276">
                  <c:v>788.85</c:v>
                </c:pt>
                <c:pt idx="277">
                  <c:v>795.65</c:v>
                </c:pt>
                <c:pt idx="278">
                  <c:v>806.8</c:v>
                </c:pt>
                <c:pt idx="279">
                  <c:v>775.15</c:v>
                </c:pt>
                <c:pt idx="280">
                  <c:v>775.5</c:v>
                </c:pt>
                <c:pt idx="281">
                  <c:v>774.35</c:v>
                </c:pt>
                <c:pt idx="282">
                  <c:v>769.8</c:v>
                </c:pt>
                <c:pt idx="283">
                  <c:v>747.45</c:v>
                </c:pt>
                <c:pt idx="284">
                  <c:v>746.75</c:v>
                </c:pt>
                <c:pt idx="285">
                  <c:v>735.75</c:v>
                </c:pt>
                <c:pt idx="286">
                  <c:v>742.3</c:v>
                </c:pt>
                <c:pt idx="287">
                  <c:v>746.6</c:v>
                </c:pt>
                <c:pt idx="288">
                  <c:v>751.05</c:v>
                </c:pt>
                <c:pt idx="289">
                  <c:v>748.8</c:v>
                </c:pt>
                <c:pt idx="290">
                  <c:v>741.15</c:v>
                </c:pt>
                <c:pt idx="291">
                  <c:v>740.75</c:v>
                </c:pt>
                <c:pt idx="292">
                  <c:v>744.9</c:v>
                </c:pt>
                <c:pt idx="293">
                  <c:v>748.2</c:v>
                </c:pt>
                <c:pt idx="294">
                  <c:v>744.8</c:v>
                </c:pt>
                <c:pt idx="295">
                  <c:v>746.15</c:v>
                </c:pt>
                <c:pt idx="296">
                  <c:v>754</c:v>
                </c:pt>
                <c:pt idx="297">
                  <c:v>754.4</c:v>
                </c:pt>
                <c:pt idx="298">
                  <c:v>756.3</c:v>
                </c:pt>
                <c:pt idx="299">
                  <c:v>771.7</c:v>
                </c:pt>
                <c:pt idx="300">
                  <c:v>766.2</c:v>
                </c:pt>
                <c:pt idx="301">
                  <c:v>753.95</c:v>
                </c:pt>
                <c:pt idx="302">
                  <c:v>751.2</c:v>
                </c:pt>
                <c:pt idx="303">
                  <c:v>744.05</c:v>
                </c:pt>
                <c:pt idx="304">
                  <c:v>729.15</c:v>
                </c:pt>
                <c:pt idx="305">
                  <c:v>735.2</c:v>
                </c:pt>
                <c:pt idx="306">
                  <c:v>743.35</c:v>
                </c:pt>
                <c:pt idx="307">
                  <c:v>750.15</c:v>
                </c:pt>
                <c:pt idx="308">
                  <c:v>739.3</c:v>
                </c:pt>
                <c:pt idx="309">
                  <c:v>737.15</c:v>
                </c:pt>
                <c:pt idx="310">
                  <c:v>747.55</c:v>
                </c:pt>
                <c:pt idx="311">
                  <c:v>748.25</c:v>
                </c:pt>
                <c:pt idx="312">
                  <c:v>756</c:v>
                </c:pt>
                <c:pt idx="313">
                  <c:v>762.05</c:v>
                </c:pt>
                <c:pt idx="314">
                  <c:v>760.3</c:v>
                </c:pt>
                <c:pt idx="315">
                  <c:v>767.4</c:v>
                </c:pt>
                <c:pt idx="316">
                  <c:v>782.95</c:v>
                </c:pt>
                <c:pt idx="317">
                  <c:v>781.9</c:v>
                </c:pt>
                <c:pt idx="318">
                  <c:v>764.1</c:v>
                </c:pt>
                <c:pt idx="319">
                  <c:v>760.1</c:v>
                </c:pt>
                <c:pt idx="320">
                  <c:v>765.65</c:v>
                </c:pt>
                <c:pt idx="321">
                  <c:v>747.3</c:v>
                </c:pt>
                <c:pt idx="322">
                  <c:v>763.3</c:v>
                </c:pt>
                <c:pt idx="323">
                  <c:v>756.65</c:v>
                </c:pt>
                <c:pt idx="324">
                  <c:v>754.9</c:v>
                </c:pt>
                <c:pt idx="325">
                  <c:v>735.15</c:v>
                </c:pt>
                <c:pt idx="326">
                  <c:v>744.8</c:v>
                </c:pt>
                <c:pt idx="327">
                  <c:v>765.8</c:v>
                </c:pt>
                <c:pt idx="328">
                  <c:v>779.65</c:v>
                </c:pt>
                <c:pt idx="329">
                  <c:v>780.05</c:v>
                </c:pt>
                <c:pt idx="330">
                  <c:v>776.85</c:v>
                </c:pt>
                <c:pt idx="331">
                  <c:v>771.75</c:v>
                </c:pt>
                <c:pt idx="332">
                  <c:v>770.75</c:v>
                </c:pt>
                <c:pt idx="333">
                  <c:v>760.95</c:v>
                </c:pt>
                <c:pt idx="334">
                  <c:v>783.6</c:v>
                </c:pt>
                <c:pt idx="335">
                  <c:v>769.85</c:v>
                </c:pt>
                <c:pt idx="336">
                  <c:v>762.35</c:v>
                </c:pt>
                <c:pt idx="337">
                  <c:v>761.2</c:v>
                </c:pt>
                <c:pt idx="338">
                  <c:v>771.05</c:v>
                </c:pt>
                <c:pt idx="339">
                  <c:v>774.8</c:v>
                </c:pt>
                <c:pt idx="340">
                  <c:v>770.45</c:v>
                </c:pt>
                <c:pt idx="341">
                  <c:v>769.55</c:v>
                </c:pt>
                <c:pt idx="342">
                  <c:v>773.1</c:v>
                </c:pt>
                <c:pt idx="343">
                  <c:v>752.75</c:v>
                </c:pt>
                <c:pt idx="344">
                  <c:v>771.95</c:v>
                </c:pt>
                <c:pt idx="345">
                  <c:v>766.35</c:v>
                </c:pt>
                <c:pt idx="346">
                  <c:v>764.35</c:v>
                </c:pt>
                <c:pt idx="347">
                  <c:v>770.2</c:v>
                </c:pt>
                <c:pt idx="348">
                  <c:v>761.1</c:v>
                </c:pt>
                <c:pt idx="349">
                  <c:v>769.15</c:v>
                </c:pt>
                <c:pt idx="350">
                  <c:v>718.75</c:v>
                </c:pt>
                <c:pt idx="351">
                  <c:v>750</c:v>
                </c:pt>
                <c:pt idx="352">
                  <c:v>765.65</c:v>
                </c:pt>
                <c:pt idx="353">
                  <c:v>753.25</c:v>
                </c:pt>
                <c:pt idx="354">
                  <c:v>801.8</c:v>
                </c:pt>
                <c:pt idx="355">
                  <c:v>800.5</c:v>
                </c:pt>
                <c:pt idx="356">
                  <c:v>787.7</c:v>
                </c:pt>
                <c:pt idx="357">
                  <c:v>790.15</c:v>
                </c:pt>
                <c:pt idx="358">
                  <c:v>800.45</c:v>
                </c:pt>
                <c:pt idx="359">
                  <c:v>786.35</c:v>
                </c:pt>
                <c:pt idx="360">
                  <c:v>819.1</c:v>
                </c:pt>
                <c:pt idx="361">
                  <c:v>822.9</c:v>
                </c:pt>
                <c:pt idx="362">
                  <c:v>833.9</c:v>
                </c:pt>
                <c:pt idx="363">
                  <c:v>836.05</c:v>
                </c:pt>
                <c:pt idx="364">
                  <c:v>841.2</c:v>
                </c:pt>
                <c:pt idx="365">
                  <c:v>842.05</c:v>
                </c:pt>
                <c:pt idx="366">
                  <c:v>836.35</c:v>
                </c:pt>
                <c:pt idx="367">
                  <c:v>788.6</c:v>
                </c:pt>
                <c:pt idx="368">
                  <c:v>768.2</c:v>
                </c:pt>
                <c:pt idx="369">
                  <c:v>773.6</c:v>
                </c:pt>
                <c:pt idx="370">
                  <c:v>751.95</c:v>
                </c:pt>
                <c:pt idx="371">
                  <c:v>799.35</c:v>
                </c:pt>
                <c:pt idx="372">
                  <c:v>831.05</c:v>
                </c:pt>
                <c:pt idx="373">
                  <c:v>830.15</c:v>
                </c:pt>
                <c:pt idx="374">
                  <c:v>805.75</c:v>
                </c:pt>
                <c:pt idx="375">
                  <c:v>787.55</c:v>
                </c:pt>
                <c:pt idx="376">
                  <c:v>790.55</c:v>
                </c:pt>
                <c:pt idx="377">
                  <c:v>808.2</c:v>
                </c:pt>
                <c:pt idx="378">
                  <c:v>828.55</c:v>
                </c:pt>
                <c:pt idx="379">
                  <c:v>842.1</c:v>
                </c:pt>
                <c:pt idx="380">
                  <c:v>824.7</c:v>
                </c:pt>
                <c:pt idx="381">
                  <c:v>816.1</c:v>
                </c:pt>
                <c:pt idx="382">
                  <c:v>810.6</c:v>
                </c:pt>
                <c:pt idx="383">
                  <c:v>786.25</c:v>
                </c:pt>
                <c:pt idx="384">
                  <c:v>753.3</c:v>
                </c:pt>
                <c:pt idx="385">
                  <c:v>750.45</c:v>
                </c:pt>
                <c:pt idx="386">
                  <c:v>749.35</c:v>
                </c:pt>
                <c:pt idx="387">
                  <c:v>749.05</c:v>
                </c:pt>
                <c:pt idx="388">
                  <c:v>741</c:v>
                </c:pt>
                <c:pt idx="389">
                  <c:v>744.3</c:v>
                </c:pt>
                <c:pt idx="390">
                  <c:v>749.15</c:v>
                </c:pt>
                <c:pt idx="391">
                  <c:v>757.2</c:v>
                </c:pt>
                <c:pt idx="392">
                  <c:v>716.9</c:v>
                </c:pt>
                <c:pt idx="393">
                  <c:v>726.75</c:v>
                </c:pt>
                <c:pt idx="394">
                  <c:v>716.1</c:v>
                </c:pt>
                <c:pt idx="395">
                  <c:v>724.35</c:v>
                </c:pt>
                <c:pt idx="396">
                  <c:v>724.65</c:v>
                </c:pt>
                <c:pt idx="397">
                  <c:v>728.8</c:v>
                </c:pt>
                <c:pt idx="398">
                  <c:v>757.55</c:v>
                </c:pt>
                <c:pt idx="399">
                  <c:v>761</c:v>
                </c:pt>
                <c:pt idx="400">
                  <c:v>746.7</c:v>
                </c:pt>
                <c:pt idx="401">
                  <c:v>721.95</c:v>
                </c:pt>
                <c:pt idx="402">
                  <c:v>721.65</c:v>
                </c:pt>
                <c:pt idx="403">
                  <c:v>710.2</c:v>
                </c:pt>
                <c:pt idx="404">
                  <c:v>736.75</c:v>
                </c:pt>
                <c:pt idx="405">
                  <c:v>731.2</c:v>
                </c:pt>
                <c:pt idx="406">
                  <c:v>748</c:v>
                </c:pt>
                <c:pt idx="407">
                  <c:v>776.7</c:v>
                </c:pt>
                <c:pt idx="408">
                  <c:v>791.8</c:v>
                </c:pt>
                <c:pt idx="409">
                  <c:v>790.1</c:v>
                </c:pt>
                <c:pt idx="410">
                  <c:v>815.9</c:v>
                </c:pt>
                <c:pt idx="411">
                  <c:v>828.2</c:v>
                </c:pt>
                <c:pt idx="412">
                  <c:v>816.2</c:v>
                </c:pt>
                <c:pt idx="413">
                  <c:v>801.45</c:v>
                </c:pt>
                <c:pt idx="414">
                  <c:v>764.7</c:v>
                </c:pt>
                <c:pt idx="415">
                  <c:v>761.2</c:v>
                </c:pt>
                <c:pt idx="416">
                  <c:v>777.55</c:v>
                </c:pt>
                <c:pt idx="417">
                  <c:v>753.7</c:v>
                </c:pt>
                <c:pt idx="418">
                  <c:v>760.2</c:v>
                </c:pt>
                <c:pt idx="419">
                  <c:v>781.2</c:v>
                </c:pt>
                <c:pt idx="420">
                  <c:v>775.1</c:v>
                </c:pt>
                <c:pt idx="421">
                  <c:v>772.75</c:v>
                </c:pt>
                <c:pt idx="422">
                  <c:v>760.35</c:v>
                </c:pt>
                <c:pt idx="423">
                  <c:v>793</c:v>
                </c:pt>
                <c:pt idx="424">
                  <c:v>813.35</c:v>
                </c:pt>
                <c:pt idx="425">
                  <c:v>811.45</c:v>
                </c:pt>
                <c:pt idx="426">
                  <c:v>811.4</c:v>
                </c:pt>
                <c:pt idx="427">
                  <c:v>781.4</c:v>
                </c:pt>
                <c:pt idx="428">
                  <c:v>756.1</c:v>
                </c:pt>
                <c:pt idx="429">
                  <c:v>805.9</c:v>
                </c:pt>
                <c:pt idx="430">
                  <c:v>822.85</c:v>
                </c:pt>
                <c:pt idx="431">
                  <c:v>834.9</c:v>
                </c:pt>
                <c:pt idx="432">
                  <c:v>852.15</c:v>
                </c:pt>
                <c:pt idx="433">
                  <c:v>844.25</c:v>
                </c:pt>
                <c:pt idx="434">
                  <c:v>872.45</c:v>
                </c:pt>
                <c:pt idx="435">
                  <c:v>879.5</c:v>
                </c:pt>
                <c:pt idx="436">
                  <c:v>873.6</c:v>
                </c:pt>
                <c:pt idx="437">
                  <c:v>877.55</c:v>
                </c:pt>
                <c:pt idx="438">
                  <c:v>889.65</c:v>
                </c:pt>
                <c:pt idx="439">
                  <c:v>860.6</c:v>
                </c:pt>
                <c:pt idx="440">
                  <c:v>868.3</c:v>
                </c:pt>
                <c:pt idx="441">
                  <c:v>862.65</c:v>
                </c:pt>
                <c:pt idx="442">
                  <c:v>859.4</c:v>
                </c:pt>
                <c:pt idx="443">
                  <c:v>854.1</c:v>
                </c:pt>
                <c:pt idx="444">
                  <c:v>880.05</c:v>
                </c:pt>
                <c:pt idx="445">
                  <c:v>881.4</c:v>
                </c:pt>
                <c:pt idx="446">
                  <c:v>880.05</c:v>
                </c:pt>
                <c:pt idx="447">
                  <c:v>867.65</c:v>
                </c:pt>
                <c:pt idx="448">
                  <c:v>855.6</c:v>
                </c:pt>
                <c:pt idx="449">
                  <c:v>836.7</c:v>
                </c:pt>
                <c:pt idx="450">
                  <c:v>836.4</c:v>
                </c:pt>
                <c:pt idx="451">
                  <c:v>838.55</c:v>
                </c:pt>
                <c:pt idx="452">
                  <c:v>837.2</c:v>
                </c:pt>
                <c:pt idx="453">
                  <c:v>826.65</c:v>
                </c:pt>
                <c:pt idx="454">
                  <c:v>820.1</c:v>
                </c:pt>
                <c:pt idx="455">
                  <c:v>810.9</c:v>
                </c:pt>
                <c:pt idx="456">
                  <c:v>806.65</c:v>
                </c:pt>
                <c:pt idx="457">
                  <c:v>801.05</c:v>
                </c:pt>
                <c:pt idx="458">
                  <c:v>793.35</c:v>
                </c:pt>
                <c:pt idx="459">
                  <c:v>778.55</c:v>
                </c:pt>
                <c:pt idx="460">
                  <c:v>788.9</c:v>
                </c:pt>
                <c:pt idx="461">
                  <c:v>796.75</c:v>
                </c:pt>
                <c:pt idx="462">
                  <c:v>798.05</c:v>
                </c:pt>
                <c:pt idx="463">
                  <c:v>799.05</c:v>
                </c:pt>
                <c:pt idx="464">
                  <c:v>786.8</c:v>
                </c:pt>
                <c:pt idx="465">
                  <c:v>754</c:v>
                </c:pt>
                <c:pt idx="466">
                  <c:v>737.2</c:v>
                </c:pt>
                <c:pt idx="467">
                  <c:v>741.35</c:v>
                </c:pt>
                <c:pt idx="468">
                  <c:v>714.15</c:v>
                </c:pt>
                <c:pt idx="469">
                  <c:v>730.4</c:v>
                </c:pt>
                <c:pt idx="470">
                  <c:v>729.75</c:v>
                </c:pt>
                <c:pt idx="471">
                  <c:v>732.9</c:v>
                </c:pt>
                <c:pt idx="472">
                  <c:v>683.8</c:v>
                </c:pt>
                <c:pt idx="473">
                  <c:v>684.65</c:v>
                </c:pt>
                <c:pt idx="474">
                  <c:v>668</c:v>
                </c:pt>
                <c:pt idx="475">
                  <c:v>666.55</c:v>
                </c:pt>
                <c:pt idx="476">
                  <c:v>687.6</c:v>
                </c:pt>
                <c:pt idx="477">
                  <c:v>676.7</c:v>
                </c:pt>
                <c:pt idx="478">
                  <c:v>684.75</c:v>
                </c:pt>
                <c:pt idx="479">
                  <c:v>678.75</c:v>
                </c:pt>
                <c:pt idx="480">
                  <c:v>671.25</c:v>
                </c:pt>
                <c:pt idx="481">
                  <c:v>691.25</c:v>
                </c:pt>
                <c:pt idx="482">
                  <c:v>667</c:v>
                </c:pt>
                <c:pt idx="483">
                  <c:v>658.65</c:v>
                </c:pt>
                <c:pt idx="484">
                  <c:v>656.1</c:v>
                </c:pt>
                <c:pt idx="485">
                  <c:v>679</c:v>
                </c:pt>
                <c:pt idx="486">
                  <c:v>686.7</c:v>
                </c:pt>
                <c:pt idx="487">
                  <c:v>687.3</c:v>
                </c:pt>
                <c:pt idx="488">
                  <c:v>704.55</c:v>
                </c:pt>
                <c:pt idx="489">
                  <c:v>712.6</c:v>
                </c:pt>
                <c:pt idx="490">
                  <c:v>705.2</c:v>
                </c:pt>
                <c:pt idx="491">
                  <c:v>708.55</c:v>
                </c:pt>
                <c:pt idx="492">
                  <c:v>706.25</c:v>
                </c:pt>
                <c:pt idx="493">
                  <c:v>693.65</c:v>
                </c:pt>
                <c:pt idx="494">
                  <c:v>684.65</c:v>
                </c:pt>
                <c:pt idx="495">
                  <c:v>653.04999999999995</c:v>
                </c:pt>
                <c:pt idx="496">
                  <c:v>661.45</c:v>
                </c:pt>
                <c:pt idx="497">
                  <c:v>674.05</c:v>
                </c:pt>
                <c:pt idx="498">
                  <c:v>681.7</c:v>
                </c:pt>
                <c:pt idx="499">
                  <c:v>684.7</c:v>
                </c:pt>
                <c:pt idx="500">
                  <c:v>710.3</c:v>
                </c:pt>
                <c:pt idx="501">
                  <c:v>709.9</c:v>
                </c:pt>
                <c:pt idx="502">
                  <c:v>709.95</c:v>
                </c:pt>
                <c:pt idx="503">
                  <c:v>711.65</c:v>
                </c:pt>
                <c:pt idx="504">
                  <c:v>714.8</c:v>
                </c:pt>
                <c:pt idx="505">
                  <c:v>702.75</c:v>
                </c:pt>
                <c:pt idx="506">
                  <c:v>690.85</c:v>
                </c:pt>
                <c:pt idx="507">
                  <c:v>681.4</c:v>
                </c:pt>
                <c:pt idx="508">
                  <c:v>692.25</c:v>
                </c:pt>
                <c:pt idx="509">
                  <c:v>690.95</c:v>
                </c:pt>
                <c:pt idx="510">
                  <c:v>689.05</c:v>
                </c:pt>
                <c:pt idx="511">
                  <c:v>700.9</c:v>
                </c:pt>
                <c:pt idx="512">
                  <c:v>684.75</c:v>
                </c:pt>
                <c:pt idx="513">
                  <c:v>695</c:v>
                </c:pt>
                <c:pt idx="514">
                  <c:v>665.85</c:v>
                </c:pt>
                <c:pt idx="515">
                  <c:v>657.25</c:v>
                </c:pt>
                <c:pt idx="516">
                  <c:v>670.45</c:v>
                </c:pt>
                <c:pt idx="517">
                  <c:v>659.65</c:v>
                </c:pt>
                <c:pt idx="518">
                  <c:v>658.95</c:v>
                </c:pt>
                <c:pt idx="519">
                  <c:v>655.9</c:v>
                </c:pt>
                <c:pt idx="520">
                  <c:v>647.5</c:v>
                </c:pt>
                <c:pt idx="521">
                  <c:v>648.29999999999995</c:v>
                </c:pt>
                <c:pt idx="522">
                  <c:v>654.20000000000005</c:v>
                </c:pt>
                <c:pt idx="523">
                  <c:v>665.3</c:v>
                </c:pt>
                <c:pt idx="524">
                  <c:v>661.6</c:v>
                </c:pt>
                <c:pt idx="525">
                  <c:v>641.9</c:v>
                </c:pt>
                <c:pt idx="526">
                  <c:v>644.6</c:v>
                </c:pt>
                <c:pt idx="527">
                  <c:v>621.15</c:v>
                </c:pt>
                <c:pt idx="528">
                  <c:v>616.15</c:v>
                </c:pt>
                <c:pt idx="529">
                  <c:v>613.15</c:v>
                </c:pt>
                <c:pt idx="530">
                  <c:v>623.20000000000005</c:v>
                </c:pt>
                <c:pt idx="531">
                  <c:v>611.45000000000005</c:v>
                </c:pt>
                <c:pt idx="532">
                  <c:v>610.75</c:v>
                </c:pt>
                <c:pt idx="533">
                  <c:v>617.15</c:v>
                </c:pt>
                <c:pt idx="534">
                  <c:v>618.45000000000005</c:v>
                </c:pt>
                <c:pt idx="535">
                  <c:v>614.20000000000005</c:v>
                </c:pt>
                <c:pt idx="536">
                  <c:v>620.6</c:v>
                </c:pt>
                <c:pt idx="537">
                  <c:v>596.95000000000005</c:v>
                </c:pt>
                <c:pt idx="538">
                  <c:v>609.20000000000005</c:v>
                </c:pt>
                <c:pt idx="539">
                  <c:v>628.79999999999995</c:v>
                </c:pt>
                <c:pt idx="540">
                  <c:v>632.15</c:v>
                </c:pt>
                <c:pt idx="541">
                  <c:v>642.04999999999995</c:v>
                </c:pt>
                <c:pt idx="542">
                  <c:v>646.20000000000005</c:v>
                </c:pt>
                <c:pt idx="543">
                  <c:v>649.75</c:v>
                </c:pt>
                <c:pt idx="544">
                  <c:v>647</c:v>
                </c:pt>
                <c:pt idx="545">
                  <c:v>623.45000000000005</c:v>
                </c:pt>
                <c:pt idx="546">
                  <c:v>633.4</c:v>
                </c:pt>
                <c:pt idx="547">
                  <c:v>623.5</c:v>
                </c:pt>
                <c:pt idx="548">
                  <c:v>620.35</c:v>
                </c:pt>
                <c:pt idx="549">
                  <c:v>577.9</c:v>
                </c:pt>
                <c:pt idx="550">
                  <c:v>582.29999999999995</c:v>
                </c:pt>
                <c:pt idx="551">
                  <c:v>586.85</c:v>
                </c:pt>
                <c:pt idx="552">
                  <c:v>591.65</c:v>
                </c:pt>
                <c:pt idx="553">
                  <c:v>594.04999999999995</c:v>
                </c:pt>
                <c:pt idx="554">
                  <c:v>602.70000000000005</c:v>
                </c:pt>
                <c:pt idx="555">
                  <c:v>609.85</c:v>
                </c:pt>
                <c:pt idx="556">
                  <c:v>609</c:v>
                </c:pt>
                <c:pt idx="557">
                  <c:v>608.70000000000005</c:v>
                </c:pt>
                <c:pt idx="558">
                  <c:v>614.5</c:v>
                </c:pt>
                <c:pt idx="559">
                  <c:v>612.65</c:v>
                </c:pt>
                <c:pt idx="560">
                  <c:v>599.79999999999995</c:v>
                </c:pt>
                <c:pt idx="561">
                  <c:v>603.70000000000005</c:v>
                </c:pt>
                <c:pt idx="562">
                  <c:v>614.79999999999995</c:v>
                </c:pt>
                <c:pt idx="563">
                  <c:v>625.04999999999995</c:v>
                </c:pt>
                <c:pt idx="564">
                  <c:v>624.4</c:v>
                </c:pt>
                <c:pt idx="565">
                  <c:v>649.95000000000005</c:v>
                </c:pt>
                <c:pt idx="566">
                  <c:v>659.75</c:v>
                </c:pt>
                <c:pt idx="567">
                  <c:v>648.15</c:v>
                </c:pt>
                <c:pt idx="568">
                  <c:v>637.5</c:v>
                </c:pt>
                <c:pt idx="569">
                  <c:v>638.4</c:v>
                </c:pt>
                <c:pt idx="570">
                  <c:v>617.04999999999995</c:v>
                </c:pt>
                <c:pt idx="571">
                  <c:v>621.45000000000005</c:v>
                </c:pt>
                <c:pt idx="572">
                  <c:v>613.85</c:v>
                </c:pt>
                <c:pt idx="573">
                  <c:v>589.29999999999995</c:v>
                </c:pt>
                <c:pt idx="574">
                  <c:v>584.5</c:v>
                </c:pt>
                <c:pt idx="575">
                  <c:v>582.04999999999995</c:v>
                </c:pt>
                <c:pt idx="576">
                  <c:v>582.29999999999995</c:v>
                </c:pt>
                <c:pt idx="577">
                  <c:v>585.1</c:v>
                </c:pt>
                <c:pt idx="578">
                  <c:v>583.5</c:v>
                </c:pt>
                <c:pt idx="579">
                  <c:v>572.9</c:v>
                </c:pt>
                <c:pt idx="580">
                  <c:v>530.29999999999995</c:v>
                </c:pt>
                <c:pt idx="581">
                  <c:v>576.5</c:v>
                </c:pt>
                <c:pt idx="582">
                  <c:v>557.4</c:v>
                </c:pt>
                <c:pt idx="583">
                  <c:v>557.20000000000005</c:v>
                </c:pt>
                <c:pt idx="584">
                  <c:v>565.85</c:v>
                </c:pt>
                <c:pt idx="585">
                  <c:v>572.45000000000005</c:v>
                </c:pt>
                <c:pt idx="586">
                  <c:v>581.1</c:v>
                </c:pt>
                <c:pt idx="587">
                  <c:v>569.85</c:v>
                </c:pt>
                <c:pt idx="588">
                  <c:v>567.54999999999995</c:v>
                </c:pt>
                <c:pt idx="589">
                  <c:v>573.15</c:v>
                </c:pt>
                <c:pt idx="590">
                  <c:v>569.15</c:v>
                </c:pt>
                <c:pt idx="591">
                  <c:v>570.6</c:v>
                </c:pt>
                <c:pt idx="592">
                  <c:v>571.1</c:v>
                </c:pt>
                <c:pt idx="593">
                  <c:v>568.79999999999995</c:v>
                </c:pt>
                <c:pt idx="594">
                  <c:v>560.9</c:v>
                </c:pt>
                <c:pt idx="595">
                  <c:v>564.54999999999995</c:v>
                </c:pt>
                <c:pt idx="596">
                  <c:v>557.4</c:v>
                </c:pt>
                <c:pt idx="597">
                  <c:v>543.54999999999995</c:v>
                </c:pt>
                <c:pt idx="598">
                  <c:v>550.65</c:v>
                </c:pt>
                <c:pt idx="599">
                  <c:v>563.54999999999995</c:v>
                </c:pt>
                <c:pt idx="600">
                  <c:v>566.1</c:v>
                </c:pt>
                <c:pt idx="601">
                  <c:v>571.29999999999995</c:v>
                </c:pt>
                <c:pt idx="602">
                  <c:v>570.6</c:v>
                </c:pt>
                <c:pt idx="603">
                  <c:v>576.15</c:v>
                </c:pt>
                <c:pt idx="604">
                  <c:v>576.75</c:v>
                </c:pt>
                <c:pt idx="605">
                  <c:v>582.6</c:v>
                </c:pt>
                <c:pt idx="606">
                  <c:v>568.95000000000005</c:v>
                </c:pt>
                <c:pt idx="607">
                  <c:v>577.25</c:v>
                </c:pt>
                <c:pt idx="608">
                  <c:v>608</c:v>
                </c:pt>
                <c:pt idx="609">
                  <c:v>604.29999999999995</c:v>
                </c:pt>
                <c:pt idx="610">
                  <c:v>585.35</c:v>
                </c:pt>
                <c:pt idx="611">
                  <c:v>597.04999999999995</c:v>
                </c:pt>
                <c:pt idx="612">
                  <c:v>593.4</c:v>
                </c:pt>
                <c:pt idx="613">
                  <c:v>583.65</c:v>
                </c:pt>
                <c:pt idx="614">
                  <c:v>597.54999999999995</c:v>
                </c:pt>
                <c:pt idx="615">
                  <c:v>607.45000000000005</c:v>
                </c:pt>
                <c:pt idx="616">
                  <c:v>596.45000000000005</c:v>
                </c:pt>
                <c:pt idx="617">
                  <c:v>597.1</c:v>
                </c:pt>
                <c:pt idx="618">
                  <c:v>605.1</c:v>
                </c:pt>
                <c:pt idx="619">
                  <c:v>613.29999999999995</c:v>
                </c:pt>
                <c:pt idx="620">
                  <c:v>617.95000000000005</c:v>
                </c:pt>
                <c:pt idx="621">
                  <c:v>614.15</c:v>
                </c:pt>
                <c:pt idx="622">
                  <c:v>605.70000000000005</c:v>
                </c:pt>
                <c:pt idx="623">
                  <c:v>601.4</c:v>
                </c:pt>
                <c:pt idx="624">
                  <c:v>591.15</c:v>
                </c:pt>
                <c:pt idx="625">
                  <c:v>585.85</c:v>
                </c:pt>
                <c:pt idx="626">
                  <c:v>568.95000000000005</c:v>
                </c:pt>
                <c:pt idx="627">
                  <c:v>557.04999999999995</c:v>
                </c:pt>
                <c:pt idx="628">
                  <c:v>563.4</c:v>
                </c:pt>
                <c:pt idx="629">
                  <c:v>547.9</c:v>
                </c:pt>
                <c:pt idx="630">
                  <c:v>549.1</c:v>
                </c:pt>
                <c:pt idx="631">
                  <c:v>552.9</c:v>
                </c:pt>
                <c:pt idx="632">
                  <c:v>562.29999999999995</c:v>
                </c:pt>
                <c:pt idx="633">
                  <c:v>565.35</c:v>
                </c:pt>
                <c:pt idx="634">
                  <c:v>544.70000000000005</c:v>
                </c:pt>
                <c:pt idx="635">
                  <c:v>568.25</c:v>
                </c:pt>
                <c:pt idx="636">
                  <c:v>572.9</c:v>
                </c:pt>
                <c:pt idx="637">
                  <c:v>587.70000000000005</c:v>
                </c:pt>
                <c:pt idx="638">
                  <c:v>574.1</c:v>
                </c:pt>
                <c:pt idx="639">
                  <c:v>584.85</c:v>
                </c:pt>
                <c:pt idx="640">
                  <c:v>588.35</c:v>
                </c:pt>
                <c:pt idx="641">
                  <c:v>589.5</c:v>
                </c:pt>
                <c:pt idx="642">
                  <c:v>589.25</c:v>
                </c:pt>
                <c:pt idx="643">
                  <c:v>586.70000000000005</c:v>
                </c:pt>
                <c:pt idx="644">
                  <c:v>570.9</c:v>
                </c:pt>
                <c:pt idx="645">
                  <c:v>589.25</c:v>
                </c:pt>
                <c:pt idx="646">
                  <c:v>579.70000000000005</c:v>
                </c:pt>
                <c:pt idx="647">
                  <c:v>594.5</c:v>
                </c:pt>
                <c:pt idx="648">
                  <c:v>578.85</c:v>
                </c:pt>
                <c:pt idx="649">
                  <c:v>557</c:v>
                </c:pt>
                <c:pt idx="650">
                  <c:v>548.65</c:v>
                </c:pt>
                <c:pt idx="651">
                  <c:v>542.45000000000005</c:v>
                </c:pt>
                <c:pt idx="652">
                  <c:v>537.54999999999995</c:v>
                </c:pt>
                <c:pt idx="653">
                  <c:v>527.6</c:v>
                </c:pt>
                <c:pt idx="654">
                  <c:v>527.70000000000005</c:v>
                </c:pt>
                <c:pt idx="655">
                  <c:v>523.6</c:v>
                </c:pt>
                <c:pt idx="656">
                  <c:v>530.4</c:v>
                </c:pt>
                <c:pt idx="657">
                  <c:v>532.95000000000005</c:v>
                </c:pt>
                <c:pt idx="658">
                  <c:v>525.1</c:v>
                </c:pt>
                <c:pt idx="659">
                  <c:v>524.75</c:v>
                </c:pt>
                <c:pt idx="660">
                  <c:v>506.15</c:v>
                </c:pt>
                <c:pt idx="661">
                  <c:v>509.1</c:v>
                </c:pt>
                <c:pt idx="662">
                  <c:v>500</c:v>
                </c:pt>
                <c:pt idx="663">
                  <c:v>494.55</c:v>
                </c:pt>
                <c:pt idx="664">
                  <c:v>492.65</c:v>
                </c:pt>
                <c:pt idx="665">
                  <c:v>493.2</c:v>
                </c:pt>
                <c:pt idx="666">
                  <c:v>496.15</c:v>
                </c:pt>
                <c:pt idx="667">
                  <c:v>473.6</c:v>
                </c:pt>
                <c:pt idx="668">
                  <c:v>480.35</c:v>
                </c:pt>
                <c:pt idx="669">
                  <c:v>471.3</c:v>
                </c:pt>
                <c:pt idx="670">
                  <c:v>479.1</c:v>
                </c:pt>
                <c:pt idx="671">
                  <c:v>482.2</c:v>
                </c:pt>
                <c:pt idx="672">
                  <c:v>463.6</c:v>
                </c:pt>
                <c:pt idx="673">
                  <c:v>461.95</c:v>
                </c:pt>
                <c:pt idx="674">
                  <c:v>468.45</c:v>
                </c:pt>
                <c:pt idx="675">
                  <c:v>476.95</c:v>
                </c:pt>
                <c:pt idx="676">
                  <c:v>461.55</c:v>
                </c:pt>
                <c:pt idx="677">
                  <c:v>459.55</c:v>
                </c:pt>
                <c:pt idx="678">
                  <c:v>458.4</c:v>
                </c:pt>
                <c:pt idx="679">
                  <c:v>458.55</c:v>
                </c:pt>
                <c:pt idx="680">
                  <c:v>451.65</c:v>
                </c:pt>
                <c:pt idx="681">
                  <c:v>456.05</c:v>
                </c:pt>
                <c:pt idx="682">
                  <c:v>462.8</c:v>
                </c:pt>
                <c:pt idx="683">
                  <c:v>451.45</c:v>
                </c:pt>
                <c:pt idx="684">
                  <c:v>438.2</c:v>
                </c:pt>
                <c:pt idx="685">
                  <c:v>436.1</c:v>
                </c:pt>
                <c:pt idx="686">
                  <c:v>438.35</c:v>
                </c:pt>
                <c:pt idx="687">
                  <c:v>433.45</c:v>
                </c:pt>
                <c:pt idx="688">
                  <c:v>436.85</c:v>
                </c:pt>
                <c:pt idx="689">
                  <c:v>436.55</c:v>
                </c:pt>
                <c:pt idx="690">
                  <c:v>439.2</c:v>
                </c:pt>
                <c:pt idx="691">
                  <c:v>429.35</c:v>
                </c:pt>
                <c:pt idx="692">
                  <c:v>424.25</c:v>
                </c:pt>
                <c:pt idx="693">
                  <c:v>444.55</c:v>
                </c:pt>
                <c:pt idx="694">
                  <c:v>448.9</c:v>
                </c:pt>
                <c:pt idx="695">
                  <c:v>439.65</c:v>
                </c:pt>
                <c:pt idx="696">
                  <c:v>441.25</c:v>
                </c:pt>
                <c:pt idx="697">
                  <c:v>434.55</c:v>
                </c:pt>
                <c:pt idx="698">
                  <c:v>438.25</c:v>
                </c:pt>
                <c:pt idx="699">
                  <c:v>441</c:v>
                </c:pt>
                <c:pt idx="700">
                  <c:v>435.5</c:v>
                </c:pt>
                <c:pt idx="701">
                  <c:v>440.45</c:v>
                </c:pt>
                <c:pt idx="702">
                  <c:v>437.95</c:v>
                </c:pt>
                <c:pt idx="703">
                  <c:v>434.5</c:v>
                </c:pt>
                <c:pt idx="704">
                  <c:v>434</c:v>
                </c:pt>
                <c:pt idx="705">
                  <c:v>426.4</c:v>
                </c:pt>
                <c:pt idx="706">
                  <c:v>421.7</c:v>
                </c:pt>
                <c:pt idx="707">
                  <c:v>420.05</c:v>
                </c:pt>
                <c:pt idx="708">
                  <c:v>422.75</c:v>
                </c:pt>
                <c:pt idx="709">
                  <c:v>420.5</c:v>
                </c:pt>
                <c:pt idx="710">
                  <c:v>420.1</c:v>
                </c:pt>
                <c:pt idx="711">
                  <c:v>417</c:v>
                </c:pt>
                <c:pt idx="712">
                  <c:v>420.8</c:v>
                </c:pt>
                <c:pt idx="713">
                  <c:v>419.6</c:v>
                </c:pt>
                <c:pt idx="714">
                  <c:v>411.2</c:v>
                </c:pt>
                <c:pt idx="715">
                  <c:v>412.65</c:v>
                </c:pt>
                <c:pt idx="716">
                  <c:v>411.4</c:v>
                </c:pt>
                <c:pt idx="717">
                  <c:v>410.65</c:v>
                </c:pt>
                <c:pt idx="718">
                  <c:v>411.35</c:v>
                </c:pt>
                <c:pt idx="719">
                  <c:v>409.45</c:v>
                </c:pt>
                <c:pt idx="720">
                  <c:v>405.45</c:v>
                </c:pt>
                <c:pt idx="721">
                  <c:v>405.65</c:v>
                </c:pt>
                <c:pt idx="722">
                  <c:v>401.5</c:v>
                </c:pt>
                <c:pt idx="723">
                  <c:v>395.35</c:v>
                </c:pt>
                <c:pt idx="724">
                  <c:v>392.9</c:v>
                </c:pt>
                <c:pt idx="725">
                  <c:v>390.25</c:v>
                </c:pt>
                <c:pt idx="726">
                  <c:v>389.1</c:v>
                </c:pt>
                <c:pt idx="727">
                  <c:v>383.4</c:v>
                </c:pt>
                <c:pt idx="728">
                  <c:v>382.1</c:v>
                </c:pt>
                <c:pt idx="729">
                  <c:v>374.55</c:v>
                </c:pt>
                <c:pt idx="730">
                  <c:v>374.8</c:v>
                </c:pt>
                <c:pt idx="731">
                  <c:v>389.55</c:v>
                </c:pt>
                <c:pt idx="732">
                  <c:v>395.85</c:v>
                </c:pt>
                <c:pt idx="733">
                  <c:v>404.95</c:v>
                </c:pt>
                <c:pt idx="734">
                  <c:v>414</c:v>
                </c:pt>
                <c:pt idx="735">
                  <c:v>412.85</c:v>
                </c:pt>
                <c:pt idx="736">
                  <c:v>420.1</c:v>
                </c:pt>
                <c:pt idx="737">
                  <c:v>416.7</c:v>
                </c:pt>
                <c:pt idx="738">
                  <c:v>414.75</c:v>
                </c:pt>
                <c:pt idx="739">
                  <c:v>416.5</c:v>
                </c:pt>
                <c:pt idx="740">
                  <c:v>414.85</c:v>
                </c:pt>
                <c:pt idx="741">
                  <c:v>416.35</c:v>
                </c:pt>
                <c:pt idx="742">
                  <c:v>415.5</c:v>
                </c:pt>
                <c:pt idx="743">
                  <c:v>422.95</c:v>
                </c:pt>
                <c:pt idx="744">
                  <c:v>417.5</c:v>
                </c:pt>
                <c:pt idx="745">
                  <c:v>406.55</c:v>
                </c:pt>
                <c:pt idx="746">
                  <c:v>413</c:v>
                </c:pt>
                <c:pt idx="747">
                  <c:v>411.1</c:v>
                </c:pt>
                <c:pt idx="748">
                  <c:v>405.15</c:v>
                </c:pt>
                <c:pt idx="749">
                  <c:v>413.15</c:v>
                </c:pt>
                <c:pt idx="750">
                  <c:v>410.5</c:v>
                </c:pt>
                <c:pt idx="751">
                  <c:v>408.6</c:v>
                </c:pt>
                <c:pt idx="752">
                  <c:v>406.25</c:v>
                </c:pt>
                <c:pt idx="753">
                  <c:v>406.8</c:v>
                </c:pt>
                <c:pt idx="754">
                  <c:v>418</c:v>
                </c:pt>
                <c:pt idx="755">
                  <c:v>415.75</c:v>
                </c:pt>
                <c:pt idx="756">
                  <c:v>416.65</c:v>
                </c:pt>
                <c:pt idx="757">
                  <c:v>423.65</c:v>
                </c:pt>
                <c:pt idx="758">
                  <c:v>414.65</c:v>
                </c:pt>
                <c:pt idx="759">
                  <c:v>420.55</c:v>
                </c:pt>
                <c:pt idx="760">
                  <c:v>429.95</c:v>
                </c:pt>
                <c:pt idx="761">
                  <c:v>429.55</c:v>
                </c:pt>
                <c:pt idx="762">
                  <c:v>427</c:v>
                </c:pt>
                <c:pt idx="763">
                  <c:v>431.5</c:v>
                </c:pt>
                <c:pt idx="764">
                  <c:v>422.45</c:v>
                </c:pt>
                <c:pt idx="765">
                  <c:v>420.85</c:v>
                </c:pt>
                <c:pt idx="766">
                  <c:v>424.25</c:v>
                </c:pt>
                <c:pt idx="767">
                  <c:v>420.9</c:v>
                </c:pt>
                <c:pt idx="768">
                  <c:v>416.65</c:v>
                </c:pt>
                <c:pt idx="769">
                  <c:v>393.25</c:v>
                </c:pt>
                <c:pt idx="770">
                  <c:v>393.8</c:v>
                </c:pt>
                <c:pt idx="771">
                  <c:v>392</c:v>
                </c:pt>
                <c:pt idx="772">
                  <c:v>401.95</c:v>
                </c:pt>
                <c:pt idx="773">
                  <c:v>401.1</c:v>
                </c:pt>
                <c:pt idx="774">
                  <c:v>388.6</c:v>
                </c:pt>
                <c:pt idx="775">
                  <c:v>379.4</c:v>
                </c:pt>
                <c:pt idx="776">
                  <c:v>381.65</c:v>
                </c:pt>
                <c:pt idx="777">
                  <c:v>382.2</c:v>
                </c:pt>
                <c:pt idx="778">
                  <c:v>383.2</c:v>
                </c:pt>
                <c:pt idx="779">
                  <c:v>383.15</c:v>
                </c:pt>
                <c:pt idx="780">
                  <c:v>387.05</c:v>
                </c:pt>
                <c:pt idx="781">
                  <c:v>382.55</c:v>
                </c:pt>
                <c:pt idx="782">
                  <c:v>386.35</c:v>
                </c:pt>
                <c:pt idx="783">
                  <c:v>388.65</c:v>
                </c:pt>
                <c:pt idx="784">
                  <c:v>394.4</c:v>
                </c:pt>
                <c:pt idx="785">
                  <c:v>395.85</c:v>
                </c:pt>
                <c:pt idx="786">
                  <c:v>393.7</c:v>
                </c:pt>
                <c:pt idx="787">
                  <c:v>395.75</c:v>
                </c:pt>
                <c:pt idx="788">
                  <c:v>396.45</c:v>
                </c:pt>
                <c:pt idx="789">
                  <c:v>395.1</c:v>
                </c:pt>
                <c:pt idx="790">
                  <c:v>391.65</c:v>
                </c:pt>
                <c:pt idx="791">
                  <c:v>384.95</c:v>
                </c:pt>
                <c:pt idx="792">
                  <c:v>390.2</c:v>
                </c:pt>
                <c:pt idx="793">
                  <c:v>392.15</c:v>
                </c:pt>
                <c:pt idx="794">
                  <c:v>391.6</c:v>
                </c:pt>
                <c:pt idx="795">
                  <c:v>393.75</c:v>
                </c:pt>
                <c:pt idx="796">
                  <c:v>398.6</c:v>
                </c:pt>
                <c:pt idx="797">
                  <c:v>400.25</c:v>
                </c:pt>
                <c:pt idx="798">
                  <c:v>388.3</c:v>
                </c:pt>
                <c:pt idx="799">
                  <c:v>390.1</c:v>
                </c:pt>
                <c:pt idx="800">
                  <c:v>389.65</c:v>
                </c:pt>
                <c:pt idx="801">
                  <c:v>387.45</c:v>
                </c:pt>
                <c:pt idx="802">
                  <c:v>392.3</c:v>
                </c:pt>
                <c:pt idx="803">
                  <c:v>391.95</c:v>
                </c:pt>
                <c:pt idx="804">
                  <c:v>384.85</c:v>
                </c:pt>
                <c:pt idx="805">
                  <c:v>382.45</c:v>
                </c:pt>
                <c:pt idx="806">
                  <c:v>385.15</c:v>
                </c:pt>
                <c:pt idx="807">
                  <c:v>380.35</c:v>
                </c:pt>
                <c:pt idx="808">
                  <c:v>380.75</c:v>
                </c:pt>
                <c:pt idx="809">
                  <c:v>390.4</c:v>
                </c:pt>
                <c:pt idx="810">
                  <c:v>392.5</c:v>
                </c:pt>
                <c:pt idx="811">
                  <c:v>396.45</c:v>
                </c:pt>
                <c:pt idx="812">
                  <c:v>383.55</c:v>
                </c:pt>
                <c:pt idx="813">
                  <c:v>383.6</c:v>
                </c:pt>
                <c:pt idx="814">
                  <c:v>380.4</c:v>
                </c:pt>
                <c:pt idx="815">
                  <c:v>382.65</c:v>
                </c:pt>
                <c:pt idx="816">
                  <c:v>396.8</c:v>
                </c:pt>
                <c:pt idx="817">
                  <c:v>394.5</c:v>
                </c:pt>
                <c:pt idx="818">
                  <c:v>396.15</c:v>
                </c:pt>
                <c:pt idx="819">
                  <c:v>403.25</c:v>
                </c:pt>
                <c:pt idx="820">
                  <c:v>393.45</c:v>
                </c:pt>
                <c:pt idx="821">
                  <c:v>391.3</c:v>
                </c:pt>
                <c:pt idx="822">
                  <c:v>393.35</c:v>
                </c:pt>
                <c:pt idx="823">
                  <c:v>387.7</c:v>
                </c:pt>
                <c:pt idx="824">
                  <c:v>381.95</c:v>
                </c:pt>
                <c:pt idx="825">
                  <c:v>380.8</c:v>
                </c:pt>
                <c:pt idx="826">
                  <c:v>395.85</c:v>
                </c:pt>
                <c:pt idx="827">
                  <c:v>389.25</c:v>
                </c:pt>
                <c:pt idx="828">
                  <c:v>389.8</c:v>
                </c:pt>
                <c:pt idx="829">
                  <c:v>395.65</c:v>
                </c:pt>
                <c:pt idx="830">
                  <c:v>395.7</c:v>
                </c:pt>
                <c:pt idx="831">
                  <c:v>389.7</c:v>
                </c:pt>
                <c:pt idx="832">
                  <c:v>385.45</c:v>
                </c:pt>
                <c:pt idx="833">
                  <c:v>380</c:v>
                </c:pt>
                <c:pt idx="834">
                  <c:v>383.95</c:v>
                </c:pt>
                <c:pt idx="835">
                  <c:v>380.6</c:v>
                </c:pt>
                <c:pt idx="836">
                  <c:v>375.25</c:v>
                </c:pt>
                <c:pt idx="837">
                  <c:v>371</c:v>
                </c:pt>
                <c:pt idx="838">
                  <c:v>371.2</c:v>
                </c:pt>
                <c:pt idx="839">
                  <c:v>372.35</c:v>
                </c:pt>
                <c:pt idx="840">
                  <c:v>366.6</c:v>
                </c:pt>
                <c:pt idx="841">
                  <c:v>367.5</c:v>
                </c:pt>
                <c:pt idx="842">
                  <c:v>363.75</c:v>
                </c:pt>
                <c:pt idx="843">
                  <c:v>353.35</c:v>
                </c:pt>
                <c:pt idx="844">
                  <c:v>357.6</c:v>
                </c:pt>
                <c:pt idx="845">
                  <c:v>365.55</c:v>
                </c:pt>
                <c:pt idx="846">
                  <c:v>371.35</c:v>
                </c:pt>
                <c:pt idx="847">
                  <c:v>374.25</c:v>
                </c:pt>
                <c:pt idx="848">
                  <c:v>370.1</c:v>
                </c:pt>
                <c:pt idx="849">
                  <c:v>358.7</c:v>
                </c:pt>
                <c:pt idx="850">
                  <c:v>357.2</c:v>
                </c:pt>
                <c:pt idx="851">
                  <c:v>354.9</c:v>
                </c:pt>
                <c:pt idx="852">
                  <c:v>347.45</c:v>
                </c:pt>
                <c:pt idx="853">
                  <c:v>339.1</c:v>
                </c:pt>
                <c:pt idx="854">
                  <c:v>340</c:v>
                </c:pt>
                <c:pt idx="855">
                  <c:v>340.95</c:v>
                </c:pt>
                <c:pt idx="856">
                  <c:v>338.85</c:v>
                </c:pt>
                <c:pt idx="857">
                  <c:v>339</c:v>
                </c:pt>
                <c:pt idx="858">
                  <c:v>336.75</c:v>
                </c:pt>
                <c:pt idx="859">
                  <c:v>335.1</c:v>
                </c:pt>
                <c:pt idx="860">
                  <c:v>330.55</c:v>
                </c:pt>
                <c:pt idx="861">
                  <c:v>330.4</c:v>
                </c:pt>
                <c:pt idx="862">
                  <c:v>332.4</c:v>
                </c:pt>
                <c:pt idx="863">
                  <c:v>328.05</c:v>
                </c:pt>
                <c:pt idx="864">
                  <c:v>330.75</c:v>
                </c:pt>
                <c:pt idx="865">
                  <c:v>327.35000000000002</c:v>
                </c:pt>
                <c:pt idx="866">
                  <c:v>328</c:v>
                </c:pt>
                <c:pt idx="867">
                  <c:v>326.75</c:v>
                </c:pt>
                <c:pt idx="868">
                  <c:v>323.89999999999998</c:v>
                </c:pt>
                <c:pt idx="869">
                  <c:v>321.05</c:v>
                </c:pt>
                <c:pt idx="870">
                  <c:v>324.35000000000002</c:v>
                </c:pt>
                <c:pt idx="871">
                  <c:v>319.05</c:v>
                </c:pt>
                <c:pt idx="872">
                  <c:v>312.10000000000002</c:v>
                </c:pt>
                <c:pt idx="873">
                  <c:v>304.95</c:v>
                </c:pt>
                <c:pt idx="874">
                  <c:v>310.45</c:v>
                </c:pt>
                <c:pt idx="875">
                  <c:v>314.05</c:v>
                </c:pt>
                <c:pt idx="876">
                  <c:v>315.10000000000002</c:v>
                </c:pt>
                <c:pt idx="877">
                  <c:v>317.85000000000002</c:v>
                </c:pt>
                <c:pt idx="878">
                  <c:v>315.10000000000002</c:v>
                </c:pt>
                <c:pt idx="879">
                  <c:v>321.85000000000002</c:v>
                </c:pt>
                <c:pt idx="880">
                  <c:v>320.89999999999998</c:v>
                </c:pt>
                <c:pt idx="881">
                  <c:v>315.64999999999998</c:v>
                </c:pt>
                <c:pt idx="882">
                  <c:v>315.64999999999998</c:v>
                </c:pt>
                <c:pt idx="883">
                  <c:v>312.14999999999998</c:v>
                </c:pt>
                <c:pt idx="884">
                  <c:v>317.35000000000002</c:v>
                </c:pt>
                <c:pt idx="885">
                  <c:v>321.8</c:v>
                </c:pt>
                <c:pt idx="886">
                  <c:v>327</c:v>
                </c:pt>
                <c:pt idx="887">
                  <c:v>319.7</c:v>
                </c:pt>
                <c:pt idx="888">
                  <c:v>318.05</c:v>
                </c:pt>
                <c:pt idx="889">
                  <c:v>315.10000000000002</c:v>
                </c:pt>
                <c:pt idx="890">
                  <c:v>315</c:v>
                </c:pt>
                <c:pt idx="891">
                  <c:v>310.75</c:v>
                </c:pt>
                <c:pt idx="892">
                  <c:v>315.10000000000002</c:v>
                </c:pt>
                <c:pt idx="893">
                  <c:v>309.60000000000002</c:v>
                </c:pt>
                <c:pt idx="894">
                  <c:v>308.3</c:v>
                </c:pt>
                <c:pt idx="895">
                  <c:v>299.60000000000002</c:v>
                </c:pt>
                <c:pt idx="896">
                  <c:v>309.85000000000002</c:v>
                </c:pt>
                <c:pt idx="897">
                  <c:v>314.75</c:v>
                </c:pt>
                <c:pt idx="898">
                  <c:v>318.10000000000002</c:v>
                </c:pt>
                <c:pt idx="899">
                  <c:v>321.95</c:v>
                </c:pt>
                <c:pt idx="900">
                  <c:v>315.05</c:v>
                </c:pt>
                <c:pt idx="901">
                  <c:v>314.25</c:v>
                </c:pt>
                <c:pt idx="902">
                  <c:v>317.39999999999998</c:v>
                </c:pt>
                <c:pt idx="903">
                  <c:v>323.75</c:v>
                </c:pt>
                <c:pt idx="904">
                  <c:v>319.64999999999998</c:v>
                </c:pt>
                <c:pt idx="905">
                  <c:v>318.45</c:v>
                </c:pt>
                <c:pt idx="906">
                  <c:v>316.45</c:v>
                </c:pt>
                <c:pt idx="907">
                  <c:v>314.75</c:v>
                </c:pt>
                <c:pt idx="908">
                  <c:v>318.25</c:v>
                </c:pt>
                <c:pt idx="909">
                  <c:v>318</c:v>
                </c:pt>
                <c:pt idx="910">
                  <c:v>326.7</c:v>
                </c:pt>
                <c:pt idx="911">
                  <c:v>301</c:v>
                </c:pt>
                <c:pt idx="912">
                  <c:v>291.3</c:v>
                </c:pt>
                <c:pt idx="913">
                  <c:v>286.45</c:v>
                </c:pt>
                <c:pt idx="914">
                  <c:v>291.45</c:v>
                </c:pt>
                <c:pt idx="915">
                  <c:v>300.64999999999998</c:v>
                </c:pt>
                <c:pt idx="916">
                  <c:v>298.05</c:v>
                </c:pt>
                <c:pt idx="917">
                  <c:v>295.55</c:v>
                </c:pt>
                <c:pt idx="918">
                  <c:v>299.7</c:v>
                </c:pt>
                <c:pt idx="919">
                  <c:v>303.8</c:v>
                </c:pt>
                <c:pt idx="920">
                  <c:v>309.39999999999998</c:v>
                </c:pt>
                <c:pt idx="921">
                  <c:v>305.3</c:v>
                </c:pt>
                <c:pt idx="922">
                  <c:v>309.35000000000002</c:v>
                </c:pt>
                <c:pt idx="923">
                  <c:v>309.8</c:v>
                </c:pt>
                <c:pt idx="924">
                  <c:v>310.35000000000002</c:v>
                </c:pt>
                <c:pt idx="925">
                  <c:v>310.35000000000002</c:v>
                </c:pt>
                <c:pt idx="926">
                  <c:v>314.55</c:v>
                </c:pt>
                <c:pt idx="927">
                  <c:v>310.3</c:v>
                </c:pt>
                <c:pt idx="928">
                  <c:v>314.45</c:v>
                </c:pt>
                <c:pt idx="929">
                  <c:v>314.60000000000002</c:v>
                </c:pt>
                <c:pt idx="930">
                  <c:v>320.2</c:v>
                </c:pt>
                <c:pt idx="931">
                  <c:v>317.2</c:v>
                </c:pt>
                <c:pt idx="932">
                  <c:v>318.64999999999998</c:v>
                </c:pt>
                <c:pt idx="933">
                  <c:v>313.64999999999998</c:v>
                </c:pt>
                <c:pt idx="934">
                  <c:v>316.10000000000002</c:v>
                </c:pt>
                <c:pt idx="935">
                  <c:v>314.45</c:v>
                </c:pt>
                <c:pt idx="936">
                  <c:v>314.35000000000002</c:v>
                </c:pt>
                <c:pt idx="937">
                  <c:v>299.5</c:v>
                </c:pt>
                <c:pt idx="938">
                  <c:v>304.05</c:v>
                </c:pt>
                <c:pt idx="939">
                  <c:v>309.45</c:v>
                </c:pt>
                <c:pt idx="940">
                  <c:v>324.60000000000002</c:v>
                </c:pt>
                <c:pt idx="941">
                  <c:v>326.8</c:v>
                </c:pt>
                <c:pt idx="942">
                  <c:v>327.14999999999998</c:v>
                </c:pt>
                <c:pt idx="943">
                  <c:v>333.25</c:v>
                </c:pt>
                <c:pt idx="944">
                  <c:v>333.5</c:v>
                </c:pt>
                <c:pt idx="945">
                  <c:v>327.60000000000002</c:v>
                </c:pt>
                <c:pt idx="946">
                  <c:v>332.85</c:v>
                </c:pt>
                <c:pt idx="947">
                  <c:v>330.1</c:v>
                </c:pt>
                <c:pt idx="948">
                  <c:v>327.10000000000002</c:v>
                </c:pt>
                <c:pt idx="949">
                  <c:v>325.14999999999998</c:v>
                </c:pt>
                <c:pt idx="950">
                  <c:v>327.95</c:v>
                </c:pt>
                <c:pt idx="951">
                  <c:v>324.25</c:v>
                </c:pt>
                <c:pt idx="952">
                  <c:v>324.55</c:v>
                </c:pt>
                <c:pt idx="953">
                  <c:v>324</c:v>
                </c:pt>
                <c:pt idx="954">
                  <c:v>321.64999999999998</c:v>
                </c:pt>
                <c:pt idx="955">
                  <c:v>316.2</c:v>
                </c:pt>
                <c:pt idx="956">
                  <c:v>325.85000000000002</c:v>
                </c:pt>
                <c:pt idx="957">
                  <c:v>322</c:v>
                </c:pt>
                <c:pt idx="958">
                  <c:v>317.75</c:v>
                </c:pt>
                <c:pt idx="959">
                  <c:v>318.3</c:v>
                </c:pt>
                <c:pt idx="960">
                  <c:v>318.3</c:v>
                </c:pt>
                <c:pt idx="961">
                  <c:v>316.5</c:v>
                </c:pt>
                <c:pt idx="962">
                  <c:v>313.89999999999998</c:v>
                </c:pt>
                <c:pt idx="963">
                  <c:v>315.60000000000002</c:v>
                </c:pt>
                <c:pt idx="964">
                  <c:v>310.3</c:v>
                </c:pt>
                <c:pt idx="965">
                  <c:v>312</c:v>
                </c:pt>
                <c:pt idx="966">
                  <c:v>312.64999999999998</c:v>
                </c:pt>
                <c:pt idx="967">
                  <c:v>315.35000000000002</c:v>
                </c:pt>
                <c:pt idx="968">
                  <c:v>338.7</c:v>
                </c:pt>
                <c:pt idx="969">
                  <c:v>337.5</c:v>
                </c:pt>
                <c:pt idx="970">
                  <c:v>343.75</c:v>
                </c:pt>
                <c:pt idx="971">
                  <c:v>334.75</c:v>
                </c:pt>
                <c:pt idx="972">
                  <c:v>339.95</c:v>
                </c:pt>
                <c:pt idx="973">
                  <c:v>342.4</c:v>
                </c:pt>
                <c:pt idx="974">
                  <c:v>341.4</c:v>
                </c:pt>
                <c:pt idx="975">
                  <c:v>333.8</c:v>
                </c:pt>
                <c:pt idx="976">
                  <c:v>322.25</c:v>
                </c:pt>
                <c:pt idx="977">
                  <c:v>322</c:v>
                </c:pt>
                <c:pt idx="978">
                  <c:v>319.75</c:v>
                </c:pt>
                <c:pt idx="979">
                  <c:v>316.14999999999998</c:v>
                </c:pt>
                <c:pt idx="980">
                  <c:v>313.60000000000002</c:v>
                </c:pt>
                <c:pt idx="981">
                  <c:v>313.7</c:v>
                </c:pt>
                <c:pt idx="982">
                  <c:v>321.2</c:v>
                </c:pt>
                <c:pt idx="983">
                  <c:v>323.39999999999998</c:v>
                </c:pt>
                <c:pt idx="984">
                  <c:v>318.25</c:v>
                </c:pt>
                <c:pt idx="985">
                  <c:v>309.75</c:v>
                </c:pt>
                <c:pt idx="986">
                  <c:v>317.14999999999998</c:v>
                </c:pt>
                <c:pt idx="987">
                  <c:v>330.5</c:v>
                </c:pt>
                <c:pt idx="988">
                  <c:v>330.35</c:v>
                </c:pt>
                <c:pt idx="989">
                  <c:v>337.15</c:v>
                </c:pt>
                <c:pt idx="990">
                  <c:v>341.35</c:v>
                </c:pt>
              </c:numCache>
            </c:numRef>
          </c:val>
          <c:smooth val="0"/>
          <c:extLst>
            <c:ext xmlns:c16="http://schemas.microsoft.com/office/drawing/2014/chart" uri="{C3380CC4-5D6E-409C-BE32-E72D297353CC}">
              <c16:uniqueId val="{00000000-E865-42C8-B8CD-0CA5D0EBB383}"/>
            </c:ext>
          </c:extLst>
        </c:ser>
        <c:dLbls>
          <c:showLegendKey val="0"/>
          <c:showVal val="0"/>
          <c:showCatName val="0"/>
          <c:showSerName val="0"/>
          <c:showPercent val="0"/>
          <c:showBubbleSize val="0"/>
        </c:dLbls>
        <c:smooth val="0"/>
        <c:axId val="1372654368"/>
        <c:axId val="150656976"/>
      </c:lineChart>
      <c:dateAx>
        <c:axId val="1372654368"/>
        <c:scaling>
          <c:orientation val="minMax"/>
        </c:scaling>
        <c:delete val="0"/>
        <c:axPos val="b"/>
        <c:numFmt formatCode="mmm\ d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56976"/>
        <c:crosses val="autoZero"/>
        <c:auto val="1"/>
        <c:lblOffset val="100"/>
        <c:baseTimeUnit val="days"/>
      </c:dateAx>
      <c:valAx>
        <c:axId val="150656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54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'Economic One pager Input'!$F$4</c:f>
              <c:strCache>
                <c:ptCount val="1"/>
                <c:pt idx="0">
                  <c:v>2024</c:v>
                </c:pt>
              </c:strCache>
            </c:strRef>
          </c:tx>
          <c:spPr>
            <a:solidFill>
              <a:schemeClr val="accent4">
                <a:shade val="58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Input'!$F$5:$F$12</c:f>
              <c:numCache>
                <c:formatCode>General</c:formatCode>
                <c:ptCount val="8"/>
                <c:pt idx="0">
                  <c:v>5.8</c:v>
                </c:pt>
                <c:pt idx="1">
                  <c:v>2.6</c:v>
                </c:pt>
                <c:pt idx="2">
                  <c:v>8</c:v>
                </c:pt>
                <c:pt idx="3">
                  <c:v>3</c:v>
                </c:pt>
                <c:pt idx="4">
                  <c:v>2.5</c:v>
                </c:pt>
                <c:pt idx="5">
                  <c:v>4.5999999999999996</c:v>
                </c:pt>
                <c:pt idx="6">
                  <c:v>0.2</c:v>
                </c:pt>
                <c:pt idx="7">
                  <c:v>2.7</c:v>
                </c:pt>
              </c:numCache>
            </c:numRef>
          </c:val>
          <c:extLst>
            <c:ext xmlns:c16="http://schemas.microsoft.com/office/drawing/2014/chart" uri="{C3380CC4-5D6E-409C-BE32-E72D297353CC}">
              <c16:uniqueId val="{00000000-DE0F-4EDA-BD8D-8242C8C56CB1}"/>
            </c:ext>
          </c:extLst>
        </c:ser>
        <c:ser>
          <c:idx val="1"/>
          <c:order val="1"/>
          <c:tx>
            <c:strRef>
              <c:f>'Economic One pager Input'!$G$4</c:f>
              <c:strCache>
                <c:ptCount val="1"/>
                <c:pt idx="0">
                  <c:v>2025E</c:v>
                </c:pt>
              </c:strCache>
            </c:strRef>
          </c:tx>
          <c:spPr>
            <a:solidFill>
              <a:schemeClr val="accent4">
                <a:shade val="86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Input'!$G$5:$G$12</c:f>
              <c:numCache>
                <c:formatCode>General</c:formatCode>
                <c:ptCount val="8"/>
                <c:pt idx="0">
                  <c:v>4.0999999999999996</c:v>
                </c:pt>
                <c:pt idx="1">
                  <c:v>2.5</c:v>
                </c:pt>
                <c:pt idx="2">
                  <c:v>5.2</c:v>
                </c:pt>
                <c:pt idx="3">
                  <c:v>2.7</c:v>
                </c:pt>
                <c:pt idx="4">
                  <c:v>3.4</c:v>
                </c:pt>
                <c:pt idx="5">
                  <c:v>2.1</c:v>
                </c:pt>
                <c:pt idx="6">
                  <c:v>0</c:v>
                </c:pt>
                <c:pt idx="7">
                  <c:v>3.2</c:v>
                </c:pt>
              </c:numCache>
            </c:numRef>
          </c:val>
          <c:extLst>
            <c:ext xmlns:c16="http://schemas.microsoft.com/office/drawing/2014/chart" uri="{C3380CC4-5D6E-409C-BE32-E72D297353CC}">
              <c16:uniqueId val="{00000001-DE0F-4EDA-BD8D-8242C8C56CB1}"/>
            </c:ext>
          </c:extLst>
        </c:ser>
        <c:ser>
          <c:idx val="2"/>
          <c:order val="2"/>
          <c:tx>
            <c:strRef>
              <c:f>'Economic One pager Input'!$H$4</c:f>
              <c:strCache>
                <c:ptCount val="1"/>
                <c:pt idx="0">
                  <c:v>2026F</c:v>
                </c:pt>
              </c:strCache>
            </c:strRef>
          </c:tx>
          <c:spPr>
            <a:solidFill>
              <a:schemeClr val="accent4">
                <a:tint val="86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Input'!$H$5:$H$12</c:f>
              <c:numCache>
                <c:formatCode>General</c:formatCode>
                <c:ptCount val="8"/>
                <c:pt idx="0">
                  <c:v>4.4000000000000004</c:v>
                </c:pt>
                <c:pt idx="1">
                  <c:v>2.8</c:v>
                </c:pt>
                <c:pt idx="2">
                  <c:v>5.5</c:v>
                </c:pt>
                <c:pt idx="3">
                  <c:v>3.2</c:v>
                </c:pt>
                <c:pt idx="4">
                  <c:v>3.2</c:v>
                </c:pt>
                <c:pt idx="5">
                  <c:v>4.7</c:v>
                </c:pt>
                <c:pt idx="6">
                  <c:v>1.2</c:v>
                </c:pt>
                <c:pt idx="7">
                  <c:v>2.2000000000000002</c:v>
                </c:pt>
              </c:numCache>
            </c:numRef>
          </c:val>
          <c:extLst>
            <c:ext xmlns:c16="http://schemas.microsoft.com/office/drawing/2014/chart" uri="{C3380CC4-5D6E-409C-BE32-E72D297353CC}">
              <c16:uniqueId val="{00000002-DE0F-4EDA-BD8D-8242C8C56CB1}"/>
            </c:ext>
          </c:extLst>
        </c:ser>
        <c:ser>
          <c:idx val="3"/>
          <c:order val="3"/>
          <c:tx>
            <c:strRef>
              <c:f>'Economic One pager Input'!$I$4</c:f>
              <c:strCache>
                <c:ptCount val="1"/>
                <c:pt idx="0">
                  <c:v>2027F</c:v>
                </c:pt>
              </c:strCache>
            </c:strRef>
          </c:tx>
          <c:spPr>
            <a:solidFill>
              <a:schemeClr val="accent4">
                <a:tint val="58000"/>
              </a:schemeClr>
            </a:solidFill>
            <a:ln>
              <a:noFill/>
            </a:ln>
            <a:effectLst/>
          </c:spPr>
          <c:invertIfNegative val="0"/>
          <c:cat>
            <c:strRef>
              <c:f>'Economic One pager Input'!$E$5:$E$12</c:f>
              <c:strCache>
                <c:ptCount val="8"/>
                <c:pt idx="0">
                  <c:v>World</c:v>
                </c:pt>
                <c:pt idx="1">
                  <c:v>Advanced Economies</c:v>
                </c:pt>
                <c:pt idx="2">
                  <c:v>Emerging Economies</c:v>
                </c:pt>
                <c:pt idx="3">
                  <c:v>United States (US)</c:v>
                </c:pt>
                <c:pt idx="4">
                  <c:v>United Kingdom (UK)</c:v>
                </c:pt>
                <c:pt idx="5">
                  <c:v>India</c:v>
                </c:pt>
                <c:pt idx="6">
                  <c:v>China</c:v>
                </c:pt>
                <c:pt idx="7">
                  <c:v>Japan</c:v>
                </c:pt>
              </c:strCache>
            </c:strRef>
          </c:cat>
          <c:val>
            <c:numRef>
              <c:f>'Economic One pager Input'!$I$5:$I$12</c:f>
              <c:numCache>
                <c:formatCode>General</c:formatCode>
                <c:ptCount val="8"/>
                <c:pt idx="0">
                  <c:v>3.7</c:v>
                </c:pt>
                <c:pt idx="1">
                  <c:v>2.2000000000000002</c:v>
                </c:pt>
                <c:pt idx="2">
                  <c:v>4.5999999999999996</c:v>
                </c:pt>
                <c:pt idx="3">
                  <c:v>2.1</c:v>
                </c:pt>
                <c:pt idx="4">
                  <c:v>2.4</c:v>
                </c:pt>
                <c:pt idx="5">
                  <c:v>4</c:v>
                </c:pt>
                <c:pt idx="6">
                  <c:v>1.5</c:v>
                </c:pt>
                <c:pt idx="7">
                  <c:v>2.2999999999999998</c:v>
                </c:pt>
              </c:numCache>
            </c:numRef>
          </c:val>
          <c:extLst>
            <c:ext xmlns:c16="http://schemas.microsoft.com/office/drawing/2014/chart" uri="{C3380CC4-5D6E-409C-BE32-E72D297353CC}">
              <c16:uniqueId val="{00000003-DE0F-4EDA-BD8D-8242C8C56CB1}"/>
            </c:ext>
          </c:extLst>
        </c:ser>
        <c:dLbls>
          <c:showLegendKey val="0"/>
          <c:showVal val="0"/>
          <c:showCatName val="0"/>
          <c:showSerName val="0"/>
          <c:showPercent val="0"/>
          <c:showBubbleSize val="0"/>
        </c:dLbls>
        <c:gapWidth val="219"/>
        <c:overlap val="-27"/>
        <c:axId val="79995551"/>
        <c:axId val="1327729583"/>
      </c:barChart>
      <c:catAx>
        <c:axId val="7999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9583"/>
        <c:crosses val="autoZero"/>
        <c:auto val="1"/>
        <c:lblAlgn val="ctr"/>
        <c:lblOffset val="100"/>
        <c:noMultiLvlLbl val="0"/>
      </c:catAx>
      <c:valAx>
        <c:axId val="132772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9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4">
                <a:lumMod val="50000"/>
              </a:schemeClr>
            </a:solidFill>
            <a:ln>
              <a:solidFill>
                <a:schemeClr val="accent4">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One pager Input'!$C$25:$I$25</c:f>
              <c:strCache>
                <c:ptCount val="7"/>
                <c:pt idx="0">
                  <c:v>Business and Professional</c:v>
                </c:pt>
                <c:pt idx="1">
                  <c:v>Indian Diaspora</c:v>
                </c:pt>
                <c:pt idx="2">
                  <c:v>Leisure Holiday and Recreation</c:v>
                </c:pt>
                <c:pt idx="3">
                  <c:v>Medical</c:v>
                </c:pt>
                <c:pt idx="4">
                  <c:v>Pilgrimage</c:v>
                </c:pt>
                <c:pt idx="5">
                  <c:v>Student</c:v>
                </c:pt>
                <c:pt idx="6">
                  <c:v>Others</c:v>
                </c:pt>
              </c:strCache>
            </c:strRef>
          </c:cat>
          <c:val>
            <c:numRef>
              <c:f>'Economic One pager Input'!$C$26:$I$26</c:f>
              <c:numCache>
                <c:formatCode>0.00%</c:formatCode>
                <c:ptCount val="7"/>
                <c:pt idx="0">
                  <c:v>0.1169</c:v>
                </c:pt>
                <c:pt idx="1">
                  <c:v>0.32890000000000003</c:v>
                </c:pt>
                <c:pt idx="2">
                  <c:v>0.39279999999999998</c:v>
                </c:pt>
                <c:pt idx="3">
                  <c:v>5.5399999999999998E-2</c:v>
                </c:pt>
                <c:pt idx="4">
                  <c:v>4.0000000000000002E-4</c:v>
                </c:pt>
                <c:pt idx="5">
                  <c:v>7.3000000000000001E-3</c:v>
                </c:pt>
                <c:pt idx="6">
                  <c:v>9.820000000000001E-2</c:v>
                </c:pt>
              </c:numCache>
            </c:numRef>
          </c:val>
          <c:extLst>
            <c:ext xmlns:c16="http://schemas.microsoft.com/office/drawing/2014/chart" uri="{C3380CC4-5D6E-409C-BE32-E72D297353CC}">
              <c16:uniqueId val="{00000000-82C6-45B8-8C78-D886BC58EE5A}"/>
            </c:ext>
          </c:extLst>
        </c:ser>
        <c:dLbls>
          <c:showLegendKey val="0"/>
          <c:showVal val="0"/>
          <c:showCatName val="0"/>
          <c:showSerName val="0"/>
          <c:showPercent val="0"/>
          <c:showBubbleSize val="0"/>
        </c:dLbls>
        <c:gapWidth val="219"/>
        <c:overlap val="-27"/>
        <c:axId val="67174527"/>
        <c:axId val="1275758223"/>
      </c:barChart>
      <c:catAx>
        <c:axId val="671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58223"/>
        <c:crosses val="autoZero"/>
        <c:auto val="1"/>
        <c:lblAlgn val="ctr"/>
        <c:lblOffset val="100"/>
        <c:noMultiLvlLbl val="0"/>
      </c:catAx>
      <c:valAx>
        <c:axId val="12757582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4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4">
                  <a:lumMod val="50000"/>
                </a:schemeClr>
              </a:solidFill>
              <a:round/>
            </a:ln>
            <a:effectLst/>
          </c:spPr>
          <c:marker>
            <c:symbol val="circle"/>
            <c:size val="5"/>
            <c:spPr>
              <a:solidFill>
                <a:schemeClr val="accent4">
                  <a:lumMod val="50000"/>
                </a:schemeClr>
              </a:solidFill>
              <a:ln w="9525">
                <a:noFill/>
              </a:ln>
              <a:effectLst/>
            </c:spPr>
          </c:marker>
          <c:xVal>
            <c:numRef>
              <c:f>'Economic One pager Input'!$A$33:$A$49</c:f>
              <c:numCache>
                <c:formatCode>General</c:formatCode>
                <c:ptCount val="17"/>
                <c:pt idx="0">
                  <c:v>1991</c:v>
                </c:pt>
                <c:pt idx="1">
                  <c:v>2001</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xVal>
          <c:yVal>
            <c:numRef>
              <c:f>'Economic One pager Input'!$B$33:$B$49</c:f>
              <c:numCache>
                <c:formatCode>#,##0</c:formatCode>
                <c:ptCount val="17"/>
                <c:pt idx="0">
                  <c:v>4318</c:v>
                </c:pt>
                <c:pt idx="1">
                  <c:v>15083</c:v>
                </c:pt>
                <c:pt idx="2">
                  <c:v>83037</c:v>
                </c:pt>
                <c:pt idx="3">
                  <c:v>95060</c:v>
                </c:pt>
                <c:pt idx="4">
                  <c:v>107563</c:v>
                </c:pt>
                <c:pt idx="5">
                  <c:v>120366</c:v>
                </c:pt>
                <c:pt idx="6">
                  <c:v>134843</c:v>
                </c:pt>
                <c:pt idx="7">
                  <c:v>150750</c:v>
                </c:pt>
                <c:pt idx="8">
                  <c:v>178189</c:v>
                </c:pt>
                <c:pt idx="9">
                  <c:v>195312</c:v>
                </c:pt>
                <c:pt idx="10">
                  <c:v>216467</c:v>
                </c:pt>
                <c:pt idx="11">
                  <c:v>95738</c:v>
                </c:pt>
                <c:pt idx="12">
                  <c:v>63978</c:v>
                </c:pt>
                <c:pt idx="13">
                  <c:v>169917</c:v>
                </c:pt>
                <c:pt idx="14">
                  <c:v>266045</c:v>
                </c:pt>
                <c:pt idx="15">
                  <c:v>293033</c:v>
                </c:pt>
                <c:pt idx="16">
                  <c:v>276831</c:v>
                </c:pt>
              </c:numCache>
            </c:numRef>
          </c:yVal>
          <c:smooth val="0"/>
          <c:extLst>
            <c:ext xmlns:c16="http://schemas.microsoft.com/office/drawing/2014/chart" uri="{C3380CC4-5D6E-409C-BE32-E72D297353CC}">
              <c16:uniqueId val="{00000000-551A-404B-B9A1-B96A99C7891A}"/>
            </c:ext>
          </c:extLst>
        </c:ser>
        <c:dLbls>
          <c:showLegendKey val="0"/>
          <c:showVal val="0"/>
          <c:showCatName val="0"/>
          <c:showSerName val="0"/>
          <c:showPercent val="0"/>
          <c:showBubbleSize val="0"/>
        </c:dLbls>
        <c:axId val="74937615"/>
        <c:axId val="1327726223"/>
      </c:scatterChart>
      <c:valAx>
        <c:axId val="7493761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26223"/>
        <c:crosses val="autoZero"/>
        <c:crossBetween val="midCat"/>
      </c:valAx>
      <c:valAx>
        <c:axId val="1327726223"/>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76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Daily Return Distribution</a:t>
          </a:r>
        </a:p>
      </cx:txPr>
    </cx:title>
    <cx:plotArea>
      <cx:plotAreaRegion>
        <cx:plotSurface>
          <cx:spPr>
            <a:noFill/>
            <a:ln>
              <a:solidFill>
                <a:schemeClr val="accent4">
                  <a:lumMod val="50000"/>
                  <a:alpha val="74000"/>
                </a:schemeClr>
              </a:solidFill>
            </a:ln>
          </cx:spPr>
        </cx:plotSurface>
        <cx:series layoutId="clusteredColumn" uniqueId="{622433B2-7613-4DF1-80C1-39ADCBF303ED}">
          <cx:tx>
            <cx:txData>
              <cx:f>_xlchart.v1.1</cx:f>
              <cx:v>Stimulated Returns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650697</xdr:colOff>
      <xdr:row>36</xdr:row>
      <xdr:rowOff>85618</xdr:rowOff>
    </xdr:from>
    <xdr:to>
      <xdr:col>12</xdr:col>
      <xdr:colOff>154113</xdr:colOff>
      <xdr:row>47</xdr:row>
      <xdr:rowOff>162675</xdr:rowOff>
    </xdr:to>
    <xdr:graphicFrame macro="">
      <xdr:nvGraphicFramePr>
        <xdr:cNvPr id="2" name="Chart 1">
          <a:extLst>
            <a:ext uri="{FF2B5EF4-FFF2-40B4-BE49-F238E27FC236}">
              <a16:creationId xmlns:a16="http://schemas.microsoft.com/office/drawing/2014/main" id="{017D4464-110B-47FF-AAA5-2938E1A82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17222</xdr:colOff>
      <xdr:row>6</xdr:row>
      <xdr:rowOff>41349</xdr:rowOff>
    </xdr:from>
    <xdr:to>
      <xdr:col>11</xdr:col>
      <xdr:colOff>536864</xdr:colOff>
      <xdr:row>15</xdr:row>
      <xdr:rowOff>147204</xdr:rowOff>
    </xdr:to>
    <xdr:graphicFrame macro="">
      <xdr:nvGraphicFramePr>
        <xdr:cNvPr id="3" name="Chart 2">
          <a:extLst>
            <a:ext uri="{FF2B5EF4-FFF2-40B4-BE49-F238E27FC236}">
              <a16:creationId xmlns:a16="http://schemas.microsoft.com/office/drawing/2014/main" id="{5BA57F9C-AF49-40CA-AED0-CE87244C0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282539</xdr:colOff>
      <xdr:row>17</xdr:row>
      <xdr:rowOff>25686</xdr:rowOff>
    </xdr:from>
    <xdr:to>
      <xdr:col>11</xdr:col>
      <xdr:colOff>590764</xdr:colOff>
      <xdr:row>25</xdr:row>
      <xdr:rowOff>145550</xdr:rowOff>
    </xdr:to>
    <xdr:graphicFrame macro="">
      <xdr:nvGraphicFramePr>
        <xdr:cNvPr id="9" name="Chart 8">
          <a:extLst>
            <a:ext uri="{FF2B5EF4-FFF2-40B4-BE49-F238E27FC236}">
              <a16:creationId xmlns:a16="http://schemas.microsoft.com/office/drawing/2014/main" id="{BB04553C-3934-4397-A9C1-0C83FD26D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68493</xdr:colOff>
      <xdr:row>27</xdr:row>
      <xdr:rowOff>2</xdr:rowOff>
    </xdr:from>
    <xdr:to>
      <xdr:col>11</xdr:col>
      <xdr:colOff>547954</xdr:colOff>
      <xdr:row>34</xdr:row>
      <xdr:rowOff>162676</xdr:rowOff>
    </xdr:to>
    <xdr:graphicFrame macro="">
      <xdr:nvGraphicFramePr>
        <xdr:cNvPr id="10" name="Chart 9">
          <a:extLst>
            <a:ext uri="{FF2B5EF4-FFF2-40B4-BE49-F238E27FC236}">
              <a16:creationId xmlns:a16="http://schemas.microsoft.com/office/drawing/2014/main" id="{B971B0FD-4A30-481E-BFC1-4A342257D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403860</xdr:colOff>
      <xdr:row>4</xdr:row>
      <xdr:rowOff>91440</xdr:rowOff>
    </xdr:from>
    <xdr:to>
      <xdr:col>11</xdr:col>
      <xdr:colOff>236220</xdr:colOff>
      <xdr:row>15</xdr:row>
      <xdr:rowOff>121920</xdr:rowOff>
    </xdr:to>
    <xdr:graphicFrame macro="">
      <xdr:nvGraphicFramePr>
        <xdr:cNvPr id="2" name="Chart 1">
          <a:extLst>
            <a:ext uri="{FF2B5EF4-FFF2-40B4-BE49-F238E27FC236}">
              <a16:creationId xmlns:a16="http://schemas.microsoft.com/office/drawing/2014/main" id="{FC12F2A3-71AA-452E-B541-77E2E33E2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36</xdr:row>
      <xdr:rowOff>30480</xdr:rowOff>
    </xdr:from>
    <xdr:to>
      <xdr:col>11</xdr:col>
      <xdr:colOff>365760</xdr:colOff>
      <xdr:row>44</xdr:row>
      <xdr:rowOff>137160</xdr:rowOff>
    </xdr:to>
    <xdr:graphicFrame macro="">
      <xdr:nvGraphicFramePr>
        <xdr:cNvPr id="3" name="Chart 2">
          <a:extLst>
            <a:ext uri="{FF2B5EF4-FFF2-40B4-BE49-F238E27FC236}">
              <a16:creationId xmlns:a16="http://schemas.microsoft.com/office/drawing/2014/main" id="{D81403EC-8918-4D59-87EF-BA5D98B6D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46</xdr:row>
      <xdr:rowOff>53340</xdr:rowOff>
    </xdr:from>
    <xdr:to>
      <xdr:col>11</xdr:col>
      <xdr:colOff>60960</xdr:colOff>
      <xdr:row>56</xdr:row>
      <xdr:rowOff>7620</xdr:rowOff>
    </xdr:to>
    <xdr:graphicFrame macro="">
      <xdr:nvGraphicFramePr>
        <xdr:cNvPr id="4" name="Chart 3">
          <a:extLst>
            <a:ext uri="{FF2B5EF4-FFF2-40B4-BE49-F238E27FC236}">
              <a16:creationId xmlns:a16="http://schemas.microsoft.com/office/drawing/2014/main" id="{03F546C0-9CEE-440C-A311-191718942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1173480</xdr:colOff>
      <xdr:row>20</xdr:row>
      <xdr:rowOff>38100</xdr:rowOff>
    </xdr:from>
    <xdr:to>
      <xdr:col>11</xdr:col>
      <xdr:colOff>22860</xdr:colOff>
      <xdr:row>32</xdr:row>
      <xdr:rowOff>0</xdr:rowOff>
    </xdr:to>
    <xdr:sp macro="" textlink="">
      <xdr:nvSpPr>
        <xdr:cNvPr id="6" name="TextBox 5">
          <a:extLst>
            <a:ext uri="{FF2B5EF4-FFF2-40B4-BE49-F238E27FC236}">
              <a16:creationId xmlns:a16="http://schemas.microsoft.com/office/drawing/2014/main" id="{B6CB52F7-7853-596C-969F-E0CBE7F62BED}"/>
            </a:ext>
          </a:extLst>
        </xdr:cNvPr>
        <xdr:cNvSpPr txBox="1"/>
      </xdr:nvSpPr>
      <xdr:spPr>
        <a:xfrm>
          <a:off x="4671060" y="3695700"/>
          <a:ext cx="4991100" cy="22021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The global outlook remains uncertain due to West Asia tensions, oil-price volatility, El Niño conditions, supply-chain disruptions, and inflationary pressures. Despite these challenges, India has remained relatively resilient, supported by strong GDP growth and robust domestic demand.</a:t>
          </a:r>
        </a:p>
        <a:p>
          <a:r>
            <a:rPr lang="en-IN" b="0"/>
            <a:t>However, weak agricultural output and geopolitical risks can create food and energy inflation, while financial-market volatility can affect investor sentiment and increase the cost of capital for companies.</a:t>
          </a:r>
        </a:p>
        <a:p>
          <a:r>
            <a:rPr lang="en-IN" b="0"/>
            <a:t>India continues to strengthen its resilience through export growth, supply-chain diversification, manufacturing expansion, infrastructure development, and self-reliance initiatives. Overall, while external risks persist, India's strong domestic demand and focus on infrastructure and digital transformation provide a solid foundation for sustained economic growth</a:t>
          </a:r>
          <a:r>
            <a:rPr lang="en-IN"/>
            <a:t>.</a:t>
          </a:r>
        </a:p>
        <a:p>
          <a:endParaRPr lang="en-IN" sz="1100"/>
        </a:p>
      </xdr:txBody>
    </xdr:sp>
    <xdr:clientData/>
  </xdr:twoCellAnchor>
  <xdr:twoCellAnchor>
    <xdr:from>
      <xdr:col>0</xdr:col>
      <xdr:colOff>121920</xdr:colOff>
      <xdr:row>55</xdr:row>
      <xdr:rowOff>45720</xdr:rowOff>
    </xdr:from>
    <xdr:to>
      <xdr:col>5</xdr:col>
      <xdr:colOff>563880</xdr:colOff>
      <xdr:row>71</xdr:row>
      <xdr:rowOff>129540</xdr:rowOff>
    </xdr:to>
    <xdr:sp macro="" textlink="">
      <xdr:nvSpPr>
        <xdr:cNvPr id="7" name="TextBox 6">
          <a:extLst>
            <a:ext uri="{FF2B5EF4-FFF2-40B4-BE49-F238E27FC236}">
              <a16:creationId xmlns:a16="http://schemas.microsoft.com/office/drawing/2014/main" id="{F7397131-4C81-61C6-6133-6D2903243C02}"/>
            </a:ext>
          </a:extLst>
        </xdr:cNvPr>
        <xdr:cNvSpPr txBox="1"/>
      </xdr:nvSpPr>
      <xdr:spPr>
        <a:xfrm>
          <a:off x="121920" y="10104120"/>
          <a:ext cx="6423660" cy="30099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0"/>
            <a:t>The Indian tourism and hospitality sector has faced headwinds from geopolitical tensions, higher oil prices and inflation. However, domestic demand has remained resilient, particularly for leisure travel, which continues to be a major demand driver. Inbound tourism is also recovering, with 91.5 lakh foreign tourist arrivals in 2025, of which approximately 39% were leisure-related.</a:t>
          </a:r>
        </a:p>
        <a:p>
          <a:r>
            <a:rPr lang="en-IN" b="0"/>
            <a:t>Demand has also been supported by large-scale events and MICE activity, including the G20 Summit, AI-related events and major sporting events, which have increased hotel occupancy and room demand in key destinations.</a:t>
          </a:r>
        </a:p>
        <a:p>
          <a:r>
            <a:rPr lang="en-IN" b="0"/>
            <a:t>Government policy has also provided support. From September 22, 2025, the GST rate on hotel rooms priced up to ₹7,500 per day was reduced to 5% without input tax credit, improving affordability and supporting demand, particularly in the mid-scale and budget segments, although hotels and businesses lose the benefit of input tax credit.</a:t>
          </a:r>
        </a:p>
        <a:p>
          <a:r>
            <a:rPr lang="en-IN" b="0"/>
            <a:t>The sector remains an important contributor to the Indian economy, accounting for approximately 5.2% of GDP in 2023–24 and supporting around 616 million jobs in 2024–25. Going forward, the industry's performance will depend on domestic discretionary spending, inbound tourism and air connectivity, new room supply, corporate travel and MICE activity, and the geopolitical and weather environment.</a:t>
          </a:r>
        </a:p>
        <a:p>
          <a:r>
            <a:rPr lang="en-IN" b="0"/>
            <a:t>Overall, India's large domestic travel market, improving inbound tourism and increasing event-driven demand provide a supportive backdrop for continued growth in the hospitality sector.</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411480</xdr:colOff>
      <xdr:row>2</xdr:row>
      <xdr:rowOff>148590</xdr:rowOff>
    </xdr:from>
    <xdr:to>
      <xdr:col>14</xdr:col>
      <xdr:colOff>106680</xdr:colOff>
      <xdr:row>17</xdr:row>
      <xdr:rowOff>140970</xdr:rowOff>
    </xdr:to>
    <xdr:graphicFrame macro="">
      <xdr:nvGraphicFramePr>
        <xdr:cNvPr id="2" name="Chart 1">
          <a:extLst>
            <a:ext uri="{FF2B5EF4-FFF2-40B4-BE49-F238E27FC236}">
              <a16:creationId xmlns:a16="http://schemas.microsoft.com/office/drawing/2014/main" id="{5F51A6FB-069C-C066-74DB-AD3C89104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381000</xdr:colOff>
      <xdr:row>22</xdr:row>
      <xdr:rowOff>133350</xdr:rowOff>
    </xdr:from>
    <xdr:to>
      <xdr:col>14</xdr:col>
      <xdr:colOff>601980</xdr:colOff>
      <xdr:row>37</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DD189D0-9990-AC6D-F263-1C1061B3AE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1600" y="4240530"/>
              <a:ext cx="44805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638325</xdr:colOff>
      <xdr:row>62</xdr:row>
      <xdr:rowOff>124545</xdr:rowOff>
    </xdr:from>
    <xdr:to>
      <xdr:col>15</xdr:col>
      <xdr:colOff>5210325</xdr:colOff>
      <xdr:row>77</xdr:row>
      <xdr:rowOff>68560</xdr:rowOff>
    </xdr:to>
    <xdr:graphicFrame macro="">
      <xdr:nvGraphicFramePr>
        <xdr:cNvPr id="7" name="Chart 6">
          <a:extLst>
            <a:ext uri="{FF2B5EF4-FFF2-40B4-BE49-F238E27FC236}">
              <a16:creationId xmlns:a16="http://schemas.microsoft.com/office/drawing/2014/main" id="{9DA70C3A-874A-FC10-A48B-CA0B42415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8964</xdr:colOff>
      <xdr:row>47</xdr:row>
      <xdr:rowOff>26894</xdr:rowOff>
    </xdr:from>
    <xdr:to>
      <xdr:col>15</xdr:col>
      <xdr:colOff>3988470</xdr:colOff>
      <xdr:row>61</xdr:row>
      <xdr:rowOff>157524</xdr:rowOff>
    </xdr:to>
    <xdr:graphicFrame macro="">
      <xdr:nvGraphicFramePr>
        <xdr:cNvPr id="9" name="Chart 8">
          <a:extLst>
            <a:ext uri="{FF2B5EF4-FFF2-40B4-BE49-F238E27FC236}">
              <a16:creationId xmlns:a16="http://schemas.microsoft.com/office/drawing/2014/main" id="{37939593-44D7-47B0-A7FD-68E03731D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497633</xdr:colOff>
      <xdr:row>63</xdr:row>
      <xdr:rowOff>62982</xdr:rowOff>
    </xdr:from>
    <xdr:to>
      <xdr:col>8</xdr:col>
      <xdr:colOff>186612</xdr:colOff>
      <xdr:row>78</xdr:row>
      <xdr:rowOff>6998</xdr:rowOff>
    </xdr:to>
    <xdr:graphicFrame macro="">
      <xdr:nvGraphicFramePr>
        <xdr:cNvPr id="10" name="Chart 9">
          <a:extLst>
            <a:ext uri="{FF2B5EF4-FFF2-40B4-BE49-F238E27FC236}">
              <a16:creationId xmlns:a16="http://schemas.microsoft.com/office/drawing/2014/main" id="{B101662A-EFB1-C2F4-55F5-89A7FE0DA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155510</xdr:colOff>
      <xdr:row>62</xdr:row>
      <xdr:rowOff>125185</xdr:rowOff>
    </xdr:from>
    <xdr:to>
      <xdr:col>15</xdr:col>
      <xdr:colOff>482082</xdr:colOff>
      <xdr:row>77</xdr:row>
      <xdr:rowOff>69201</xdr:rowOff>
    </xdr:to>
    <xdr:graphicFrame macro="">
      <xdr:nvGraphicFramePr>
        <xdr:cNvPr id="11" name="Chart 10">
          <a:extLst>
            <a:ext uri="{FF2B5EF4-FFF2-40B4-BE49-F238E27FC236}">
              <a16:creationId xmlns:a16="http://schemas.microsoft.com/office/drawing/2014/main" id="{CDD498AF-335B-BB33-1366-E38580CFD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354106</xdr:colOff>
      <xdr:row>3</xdr:row>
      <xdr:rowOff>107577</xdr:rowOff>
    </xdr:from>
    <xdr:to>
      <xdr:col>29</xdr:col>
      <xdr:colOff>49306</xdr:colOff>
      <xdr:row>18</xdr:row>
      <xdr:rowOff>161365</xdr:rowOff>
    </xdr:to>
    <xdr:graphicFrame macro="">
      <xdr:nvGraphicFramePr>
        <xdr:cNvPr id="12" name="Chart 11">
          <a:extLst>
            <a:ext uri="{FF2B5EF4-FFF2-40B4-BE49-F238E27FC236}">
              <a16:creationId xmlns:a16="http://schemas.microsoft.com/office/drawing/2014/main" id="{D55061C0-8962-8EBA-2A61-D769E56A8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524435</xdr:colOff>
      <xdr:row>0</xdr:row>
      <xdr:rowOff>0</xdr:rowOff>
    </xdr:from>
    <xdr:to>
      <xdr:col>8</xdr:col>
      <xdr:colOff>201705</xdr:colOff>
      <xdr:row>15</xdr:row>
      <xdr:rowOff>53788</xdr:rowOff>
    </xdr:to>
    <xdr:graphicFrame macro="">
      <xdr:nvGraphicFramePr>
        <xdr:cNvPr id="13" name="Chart 12">
          <a:extLst>
            <a:ext uri="{FF2B5EF4-FFF2-40B4-BE49-F238E27FC236}">
              <a16:creationId xmlns:a16="http://schemas.microsoft.com/office/drawing/2014/main" id="{19FBBCA8-4E37-6183-8F1A-7BAD0B1B9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4</xdr:row>
      <xdr:rowOff>148590</xdr:rowOff>
    </xdr:from>
    <xdr:to>
      <xdr:col>17</xdr:col>
      <xdr:colOff>304800</xdr:colOff>
      <xdr:row>19</xdr:row>
      <xdr:rowOff>148590</xdr:rowOff>
    </xdr:to>
    <xdr:graphicFrame macro="">
      <xdr:nvGraphicFramePr>
        <xdr:cNvPr id="2" name="Chart 1">
          <a:extLst>
            <a:ext uri="{FF2B5EF4-FFF2-40B4-BE49-F238E27FC236}">
              <a16:creationId xmlns:a16="http://schemas.microsoft.com/office/drawing/2014/main" id="{EED678ED-CC4C-17C8-69BC-92768E18F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556260</xdr:colOff>
      <xdr:row>20</xdr:row>
      <xdr:rowOff>171450</xdr:rowOff>
    </xdr:from>
    <xdr:to>
      <xdr:col>18</xdr:col>
      <xdr:colOff>251460</xdr:colOff>
      <xdr:row>35</xdr:row>
      <xdr:rowOff>171450</xdr:rowOff>
    </xdr:to>
    <xdr:graphicFrame macro="">
      <xdr:nvGraphicFramePr>
        <xdr:cNvPr id="3" name="Chart 2">
          <a:extLst>
            <a:ext uri="{FF2B5EF4-FFF2-40B4-BE49-F238E27FC236}">
              <a16:creationId xmlns:a16="http://schemas.microsoft.com/office/drawing/2014/main" id="{BFEE7D5E-A91E-FD97-9A95-8BA818F3A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1181100</xdr:colOff>
      <xdr:row>32</xdr:row>
      <xdr:rowOff>179070</xdr:rowOff>
    </xdr:from>
    <xdr:to>
      <xdr:col>12</xdr:col>
      <xdr:colOff>220980</xdr:colOff>
      <xdr:row>47</xdr:row>
      <xdr:rowOff>179070</xdr:rowOff>
    </xdr:to>
    <xdr:graphicFrame macro="">
      <xdr:nvGraphicFramePr>
        <xdr:cNvPr id="4" name="Chart 3">
          <a:extLst>
            <a:ext uri="{FF2B5EF4-FFF2-40B4-BE49-F238E27FC236}">
              <a16:creationId xmlns:a16="http://schemas.microsoft.com/office/drawing/2014/main" id="{17228681-E32F-DC66-678A-FDCE78F9A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iyanshi\Downloads\Avenue%20Super.xlsx" TargetMode="External"/><Relationship Id="rId1" Type="http://schemas.openxmlformats.org/officeDocument/2006/relationships/externalLinkPath" Target="Avenue%20Sup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s>
    <sheetDataSet>
      <sheetData sheetId="0">
        <row r="12">
          <cell r="L12">
            <v>3058.13</v>
          </cell>
          <cell r="M12">
            <v>3597.2831207958861</v>
          </cell>
          <cell r="N12">
            <v>3489.3319374127423</v>
          </cell>
        </row>
      </sheetData>
      <sheetData sheetId="1">
        <row r="4">
          <cell r="H4">
            <v>16676.3</v>
          </cell>
          <cell r="I4">
            <v>18100.88</v>
          </cell>
          <cell r="J4">
            <v>17683.86</v>
          </cell>
          <cell r="K4">
            <v>18794.53</v>
          </cell>
        </row>
        <row r="5">
          <cell r="H5">
            <v>15462.65</v>
          </cell>
          <cell r="I5">
            <v>16637.509999999998</v>
          </cell>
          <cell r="J5">
            <v>16473.330000000002</v>
          </cell>
          <cell r="K5">
            <v>17295.189999999999</v>
          </cell>
        </row>
        <row r="6">
          <cell r="H6">
            <v>1213.6500000000001</v>
          </cell>
          <cell r="I6">
            <v>1463.37</v>
          </cell>
          <cell r="J6">
            <v>1210.53</v>
          </cell>
          <cell r="K6">
            <v>1499.34</v>
          </cell>
        </row>
        <row r="7">
          <cell r="H7">
            <v>19.57</v>
          </cell>
          <cell r="I7">
            <v>16.93</v>
          </cell>
          <cell r="J7">
            <v>18.170000000000002</v>
          </cell>
          <cell r="K7">
            <v>25.78</v>
          </cell>
        </row>
        <row r="8">
          <cell r="H8">
            <v>253.47</v>
          </cell>
          <cell r="I8">
            <v>268.29000000000002</v>
          </cell>
          <cell r="J8">
            <v>283.56</v>
          </cell>
          <cell r="K8">
            <v>287.7</v>
          </cell>
        </row>
        <row r="9">
          <cell r="H9">
            <v>34.96</v>
          </cell>
          <cell r="I9">
            <v>36.82</v>
          </cell>
          <cell r="J9">
            <v>40.97</v>
          </cell>
          <cell r="K9">
            <v>54.28</v>
          </cell>
        </row>
        <row r="10">
          <cell r="H10">
            <v>944.79</v>
          </cell>
          <cell r="I10">
            <v>1175.19</v>
          </cell>
          <cell r="J10">
            <v>904.17</v>
          </cell>
          <cell r="K10">
            <v>1183.1400000000001</v>
          </cell>
        </row>
        <row r="11">
          <cell r="H11">
            <v>259.94</v>
          </cell>
          <cell r="I11">
            <v>319.41000000000003</v>
          </cell>
          <cell r="J11">
            <v>247.75</v>
          </cell>
          <cell r="K11">
            <v>322.7</v>
          </cell>
        </row>
        <row r="12">
          <cell r="H12">
            <v>685.01</v>
          </cell>
          <cell r="I12">
            <v>855.92</v>
          </cell>
          <cell r="J12">
            <v>656.59</v>
          </cell>
          <cell r="K12">
            <v>860.61</v>
          </cell>
        </row>
      </sheetData>
      <sheetData sheetId="2" refreshError="1"/>
      <sheetData sheetId="3" refreshError="1"/>
      <sheetData sheetId="4" refreshError="1"/>
      <sheetData sheetId="5">
        <row r="1">
          <cell r="B1" t="str">
            <v>AVENUE SUPERMARTS LTD</v>
          </cell>
        </row>
        <row r="6">
          <cell r="B6">
            <v>65.224597429845275</v>
          </cell>
        </row>
        <row r="8">
          <cell r="B8">
            <v>3813</v>
          </cell>
        </row>
        <row r="16">
          <cell r="B16">
            <v>42825</v>
          </cell>
          <cell r="C16">
            <v>43190</v>
          </cell>
          <cell r="D16">
            <v>43555</v>
          </cell>
          <cell r="E16">
            <v>43921</v>
          </cell>
          <cell r="F16">
            <v>44286</v>
          </cell>
          <cell r="G16">
            <v>44651</v>
          </cell>
          <cell r="H16">
            <v>45016</v>
          </cell>
          <cell r="I16">
            <v>45382</v>
          </cell>
          <cell r="J16">
            <v>45747</v>
          </cell>
          <cell r="K16">
            <v>46112</v>
          </cell>
        </row>
        <row r="17">
          <cell r="B17">
            <v>11897.7</v>
          </cell>
          <cell r="C17">
            <v>15033.2</v>
          </cell>
          <cell r="D17">
            <v>20004.52</v>
          </cell>
          <cell r="E17">
            <v>24870.2</v>
          </cell>
          <cell r="F17">
            <v>24143.06</v>
          </cell>
          <cell r="G17">
            <v>30976.27</v>
          </cell>
          <cell r="H17">
            <v>42839.56</v>
          </cell>
          <cell r="I17">
            <v>50788.83</v>
          </cell>
          <cell r="J17">
            <v>59358.05</v>
          </cell>
          <cell r="K17">
            <v>68820.740000000005</v>
          </cell>
        </row>
        <row r="18">
          <cell r="B18">
            <v>10357.25</v>
          </cell>
          <cell r="C18">
            <v>12846.95</v>
          </cell>
          <cell r="D18">
            <v>17445.490000000002</v>
          </cell>
          <cell r="E18">
            <v>21441.68</v>
          </cell>
          <cell r="F18">
            <v>20855.560000000001</v>
          </cell>
          <cell r="G18">
            <v>26891.77</v>
          </cell>
          <cell r="H18">
            <v>36884.769999999997</v>
          </cell>
          <cell r="I18">
            <v>43958.31</v>
          </cell>
          <cell r="J18">
            <v>51668.76</v>
          </cell>
          <cell r="K18">
            <v>59315.99</v>
          </cell>
        </row>
        <row r="19">
          <cell r="B19">
            <v>276.22000000000003</v>
          </cell>
          <cell r="C19">
            <v>211.31</v>
          </cell>
          <cell r="D19">
            <v>444.65</v>
          </cell>
          <cell r="E19">
            <v>338.75</v>
          </cell>
          <cell r="F19">
            <v>300.88</v>
          </cell>
          <cell r="G19">
            <v>494.38</v>
          </cell>
          <cell r="H19">
            <v>500.82</v>
          </cell>
          <cell r="I19">
            <v>683.77</v>
          </cell>
          <cell r="J19">
            <v>1117.06</v>
          </cell>
          <cell r="K19">
            <v>856.26</v>
          </cell>
        </row>
        <row r="20">
          <cell r="B20">
            <v>99.41</v>
          </cell>
          <cell r="C20">
            <v>121.26</v>
          </cell>
          <cell r="D20">
            <v>152.80000000000001</v>
          </cell>
          <cell r="E20">
            <v>188.24</v>
          </cell>
          <cell r="F20">
            <v>174.2</v>
          </cell>
          <cell r="G20">
            <v>207.86</v>
          </cell>
          <cell r="H20">
            <v>314.62</v>
          </cell>
          <cell r="I20">
            <v>376.59</v>
          </cell>
          <cell r="J20">
            <v>447.75</v>
          </cell>
          <cell r="K20">
            <v>485.87</v>
          </cell>
        </row>
        <row r="21">
          <cell r="B21">
            <v>332.9</v>
          </cell>
          <cell r="C21">
            <v>373.72</v>
          </cell>
          <cell r="D21">
            <v>499.72</v>
          </cell>
          <cell r="E21">
            <v>645.96</v>
          </cell>
          <cell r="F21">
            <v>746.43</v>
          </cell>
          <cell r="G21">
            <v>805.85</v>
          </cell>
          <cell r="H21">
            <v>1116.56</v>
          </cell>
          <cell r="I21">
            <v>1323.43</v>
          </cell>
          <cell r="J21">
            <v>1751.85</v>
          </cell>
          <cell r="K21">
            <v>2034.99</v>
          </cell>
        </row>
        <row r="22">
          <cell r="B22">
            <v>192.67</v>
          </cell>
          <cell r="C22">
            <v>283.14</v>
          </cell>
          <cell r="D22">
            <v>356.17</v>
          </cell>
          <cell r="E22">
            <v>457.14</v>
          </cell>
          <cell r="F22">
            <v>537.58000000000004</v>
          </cell>
          <cell r="G22">
            <v>617.36</v>
          </cell>
          <cell r="H22">
            <v>748.16</v>
          </cell>
          <cell r="I22">
            <v>907.82</v>
          </cell>
          <cell r="J22">
            <v>1167.47</v>
          </cell>
          <cell r="K22">
            <v>1543.4</v>
          </cell>
        </row>
        <row r="23">
          <cell r="B23">
            <v>71.239999999999995</v>
          </cell>
          <cell r="C23">
            <v>96</v>
          </cell>
          <cell r="D23">
            <v>135.84</v>
          </cell>
          <cell r="E23">
            <v>66.400000000000006</v>
          </cell>
          <cell r="F23">
            <v>108.69</v>
          </cell>
          <cell r="G23">
            <v>143.41</v>
          </cell>
          <cell r="H23">
            <v>212.04</v>
          </cell>
          <cell r="I23">
            <v>274.43</v>
          </cell>
          <cell r="J23">
            <v>312.48</v>
          </cell>
          <cell r="K23">
            <v>357.74</v>
          </cell>
        </row>
        <row r="24">
          <cell r="B24">
            <v>151.27000000000001</v>
          </cell>
          <cell r="C24">
            <v>170.58</v>
          </cell>
          <cell r="D24">
            <v>225.84</v>
          </cell>
          <cell r="E24">
            <v>281.22000000000003</v>
          </cell>
          <cell r="F24">
            <v>276.64999999999998</v>
          </cell>
          <cell r="G24">
            <v>302.05</v>
          </cell>
          <cell r="H24">
            <v>425.46</v>
          </cell>
          <cell r="I24">
            <v>526.38</v>
          </cell>
          <cell r="J24">
            <v>632.29</v>
          </cell>
          <cell r="K24">
            <v>750.22</v>
          </cell>
        </row>
        <row r="25">
          <cell r="B25">
            <v>27.7</v>
          </cell>
          <cell r="C25">
            <v>87.75</v>
          </cell>
          <cell r="D25">
            <v>48.33</v>
          </cell>
          <cell r="E25">
            <v>59.99</v>
          </cell>
          <cell r="F25">
            <v>194.43</v>
          </cell>
          <cell r="G25">
            <v>113.64</v>
          </cell>
          <cell r="H25">
            <v>127.6</v>
          </cell>
          <cell r="I25">
            <v>144.58000000000001</v>
          </cell>
          <cell r="J25">
            <v>117.13</v>
          </cell>
          <cell r="K25">
            <v>71.900000000000006</v>
          </cell>
        </row>
        <row r="26">
          <cell r="B26">
            <v>127.82</v>
          </cell>
          <cell r="C26">
            <v>159</v>
          </cell>
          <cell r="D26">
            <v>212.49</v>
          </cell>
          <cell r="E26">
            <v>374.41</v>
          </cell>
          <cell r="F26">
            <v>414.16</v>
          </cell>
          <cell r="G26">
            <v>498.08</v>
          </cell>
          <cell r="H26">
            <v>638.87</v>
          </cell>
          <cell r="I26">
            <v>730.76</v>
          </cell>
          <cell r="J26">
            <v>869.52</v>
          </cell>
          <cell r="K26">
            <v>1037.02</v>
          </cell>
        </row>
        <row r="27">
          <cell r="B27">
            <v>121.98</v>
          </cell>
          <cell r="C27">
            <v>59.54</v>
          </cell>
          <cell r="D27">
            <v>47.21</v>
          </cell>
          <cell r="E27">
            <v>69.12</v>
          </cell>
          <cell r="F27">
            <v>41.65</v>
          </cell>
          <cell r="G27">
            <v>53.79</v>
          </cell>
          <cell r="H27">
            <v>67.41</v>
          </cell>
          <cell r="I27">
            <v>58.13</v>
          </cell>
          <cell r="J27">
            <v>69.45</v>
          </cell>
          <cell r="K27">
            <v>142.05000000000001</v>
          </cell>
        </row>
        <row r="28">
          <cell r="B28">
            <v>747.08</v>
          </cell>
          <cell r="C28">
            <v>1222.07</v>
          </cell>
          <cell r="D28">
            <v>1421.94</v>
          </cell>
          <cell r="E28">
            <v>1744.77</v>
          </cell>
          <cell r="F28">
            <v>1483.45</v>
          </cell>
          <cell r="G28">
            <v>2064.12</v>
          </cell>
          <cell r="H28">
            <v>3060.09</v>
          </cell>
          <cell r="I28">
            <v>3461.33</v>
          </cell>
          <cell r="J28">
            <v>3672.67</v>
          </cell>
          <cell r="K28">
            <v>4081.62</v>
          </cell>
        </row>
        <row r="29">
          <cell r="B29">
            <v>268.27999999999997</v>
          </cell>
          <cell r="C29">
            <v>415.79</v>
          </cell>
          <cell r="D29">
            <v>519.48</v>
          </cell>
          <cell r="E29">
            <v>443.79</v>
          </cell>
          <cell r="F29">
            <v>384.02</v>
          </cell>
          <cell r="G29">
            <v>571.72</v>
          </cell>
          <cell r="H29">
            <v>681.75</v>
          </cell>
          <cell r="I29">
            <v>925.72</v>
          </cell>
          <cell r="J29">
            <v>965.22</v>
          </cell>
          <cell r="K29">
            <v>1111.76</v>
          </cell>
        </row>
        <row r="30">
          <cell r="B30">
            <v>478.75</v>
          </cell>
          <cell r="C30">
            <v>806.26</v>
          </cell>
          <cell r="D30">
            <v>902.54</v>
          </cell>
          <cell r="E30">
            <v>1301.08</v>
          </cell>
          <cell r="F30">
            <v>1099.49</v>
          </cell>
          <cell r="G30">
            <v>1492.55</v>
          </cell>
          <cell r="H30">
            <v>2378.5100000000002</v>
          </cell>
          <cell r="I30">
            <v>2536.17</v>
          </cell>
          <cell r="J30">
            <v>2708.02</v>
          </cell>
          <cell r="K30">
            <v>2970.49</v>
          </cell>
        </row>
        <row r="90">
          <cell r="B90">
            <v>637.85</v>
          </cell>
          <cell r="C90">
            <v>1324.8</v>
          </cell>
          <cell r="D90">
            <v>1471.1</v>
          </cell>
          <cell r="E90">
            <v>2187.5</v>
          </cell>
          <cell r="F90">
            <v>2859.05</v>
          </cell>
          <cell r="G90">
            <v>4003.35</v>
          </cell>
          <cell r="H90">
            <v>3401.05</v>
          </cell>
          <cell r="I90">
            <v>4525.6000000000004</v>
          </cell>
          <cell r="J90">
            <v>4083.2</v>
          </cell>
          <cell r="K90">
            <v>3956.8</v>
          </cell>
        </row>
        <row r="93">
          <cell r="B93">
            <v>62.41</v>
          </cell>
          <cell r="C93">
            <v>62.41</v>
          </cell>
          <cell r="D93">
            <v>62.41</v>
          </cell>
          <cell r="E93">
            <v>64.78</v>
          </cell>
          <cell r="F93">
            <v>64.78</v>
          </cell>
          <cell r="G93">
            <v>64.78</v>
          </cell>
          <cell r="H93">
            <v>64.83</v>
          </cell>
          <cell r="I93">
            <v>65.069999999999993</v>
          </cell>
          <cell r="J93">
            <v>65.069999999999993</v>
          </cell>
          <cell r="K93">
            <v>65.2</v>
          </cell>
        </row>
      </sheetData>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0A245E-006F-4600-881C-646A8491169E}" name="Annual" displayName="Annual" ref="A3:N20" headerRowCount="0" totalsRowShown="0" headerRowDxfId="18">
  <tableColumns count="14">
    <tableColumn id="1" xr3:uid="{4FA3880D-29D2-4F85-93A2-297A6D4D2AB6}" name="Column1" headerRowDxfId="17" dataDxfId="16"/>
    <tableColumn id="2" xr3:uid="{61E23085-EAF6-4652-BBC3-AF8A2184B5FE}" name="Column2" headerRowDxfId="15"/>
    <tableColumn id="3" xr3:uid="{9570F136-9310-4374-9F0C-DBCA68D4757A}" name="Column3" headerRowDxfId="14"/>
    <tableColumn id="4" xr3:uid="{E4F7B6CA-A7E7-4F62-AAE8-65BC3389B455}" name="Column4" headerRowDxfId="13"/>
    <tableColumn id="5" xr3:uid="{46B70D06-18F1-49E7-9259-B87AA4CE56F2}" name="Column5" headerRowDxfId="12"/>
    <tableColumn id="6" xr3:uid="{BF0908DC-4C69-4A75-A950-E0306A4A633B}" name="Column6" headerRowDxfId="11"/>
    <tableColumn id="7" xr3:uid="{7E43D86E-C595-4392-B7A6-C4DC6098EDE7}" name="Column7" headerRowDxfId="10"/>
    <tableColumn id="8" xr3:uid="{52A67500-85F0-4521-AB50-9A9AC8E8E6CB}" name="Column8" headerRowDxfId="9"/>
    <tableColumn id="9" xr3:uid="{790193C3-BD51-4134-ABD5-851791C4CA8F}" name="Column9" headerRowDxfId="8"/>
    <tableColumn id="10" xr3:uid="{AA88EF49-C5F3-40AB-8983-1E6EAD1035BD}" name="Column10" headerRowDxfId="7"/>
    <tableColumn id="11" xr3:uid="{14215EF6-5F6F-42BA-9B0C-037E96A29004}" name="Column11" headerRowDxfId="6"/>
    <tableColumn id="12" xr3:uid="{BB9894E2-B1A1-49A0-BC1B-51719CB6B94A}" name="Column12" headerRowDxfId="5"/>
    <tableColumn id="13" xr3:uid="{E8C0B933-3890-4469-9C40-8001E3771732}" name="Column13" headerRowDxfId="4" dataDxfId="3"/>
    <tableColumn id="14" xr3:uid="{E861EB62-E6D0-4621-8C38-2904A06377D7}" name="Column14" headerRowDxfId="2" dataDxfId="1"/>
  </tableColumns>
  <tableStyleInfo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creener.in/excel/"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EE5C-A3FF-43C8-BB7F-E6E3526AA2AC}">
  <dimension ref="B2:L64"/>
  <sheetViews>
    <sheetView showGridLines="0" zoomScale="88" workbookViewId="0">
      <selection activeCell="O33" sqref="O33"/>
    </sheetView>
  </sheetViews>
  <sheetFormatPr defaultRowHeight="14.4" x14ac:dyDescent="0.3"/>
  <cols>
    <col min="1" max="1" width="2.33203125" customWidth="1"/>
    <col min="2" max="2" width="34.21875" customWidth="1"/>
    <col min="3" max="3" width="13" customWidth="1"/>
    <col min="4" max="4" width="13.21875" bestFit="1" customWidth="1"/>
    <col min="5" max="5" width="17" bestFit="1" customWidth="1"/>
    <col min="6" max="6" width="9.5546875" bestFit="1" customWidth="1"/>
    <col min="7" max="7" width="9.6640625" bestFit="1" customWidth="1"/>
    <col min="8" max="8" width="4.88671875" customWidth="1"/>
    <col min="9" max="9" width="21" bestFit="1" customWidth="1"/>
    <col min="10" max="10" width="12.109375" bestFit="1" customWidth="1"/>
  </cols>
  <sheetData>
    <row r="2" spans="2:12" x14ac:dyDescent="0.3">
      <c r="B2" s="209" t="str">
        <f>'Data Sheet'!B1&amp;"- One Page"</f>
        <v>INDIAN HOTELS CO LTD- One Page</v>
      </c>
      <c r="C2" s="209"/>
      <c r="D2" s="209"/>
      <c r="E2" s="209"/>
      <c r="F2" s="209"/>
      <c r="G2" s="209"/>
      <c r="H2" s="209"/>
      <c r="I2" s="209"/>
      <c r="J2" s="209"/>
      <c r="K2" s="209"/>
      <c r="L2" s="209"/>
    </row>
    <row r="4" spans="2:12" ht="75" customHeight="1" x14ac:dyDescent="0.3">
      <c r="B4" s="196" t="e" vm="1">
        <v>#VALUE!</v>
      </c>
      <c r="C4" s="208" t="s">
        <v>554</v>
      </c>
      <c r="D4" s="208"/>
      <c r="E4" s="208"/>
      <c r="F4" s="208"/>
      <c r="G4" s="208"/>
      <c r="H4" s="208"/>
      <c r="I4" s="208"/>
      <c r="J4" s="208"/>
      <c r="K4" s="208"/>
      <c r="L4" s="208"/>
    </row>
    <row r="6" spans="2:12" x14ac:dyDescent="0.3">
      <c r="B6" s="42" t="s">
        <v>556</v>
      </c>
      <c r="C6" s="194">
        <f>'Data Sheet'!G16</f>
        <v>44651</v>
      </c>
      <c r="D6" s="194">
        <f>'Data Sheet'!H16</f>
        <v>45016</v>
      </c>
      <c r="E6" s="194">
        <f>'Data Sheet'!I16</f>
        <v>45382</v>
      </c>
      <c r="F6" s="194">
        <f>'Data Sheet'!J16</f>
        <v>45747</v>
      </c>
      <c r="G6" s="194">
        <f>'Data Sheet'!K16</f>
        <v>46112</v>
      </c>
      <c r="H6" s="76"/>
      <c r="I6" s="209" t="s">
        <v>555</v>
      </c>
      <c r="J6" s="209"/>
      <c r="K6" s="209"/>
      <c r="L6" s="209"/>
    </row>
    <row r="7" spans="2:12" x14ac:dyDescent="0.3">
      <c r="B7" s="148"/>
      <c r="C7" s="149"/>
      <c r="D7" s="149"/>
      <c r="E7" s="149"/>
      <c r="F7" s="149"/>
      <c r="G7" s="149"/>
      <c r="I7" s="150"/>
      <c r="J7" s="150"/>
      <c r="K7" s="150"/>
      <c r="L7" s="150"/>
    </row>
    <row r="8" spans="2:12" x14ac:dyDescent="0.3">
      <c r="B8" s="158" t="s">
        <v>372</v>
      </c>
      <c r="C8" s="158">
        <f>'Data Sheet'!G17</f>
        <v>3056.22</v>
      </c>
      <c r="D8" s="158">
        <f>'Data Sheet'!H17</f>
        <v>5809.91</v>
      </c>
      <c r="E8" s="158">
        <f>'Data Sheet'!I17</f>
        <v>6768.75</v>
      </c>
      <c r="F8" s="158">
        <f>'Data Sheet'!J17</f>
        <v>8334.5400000000009</v>
      </c>
      <c r="G8" s="158">
        <f>'Data Sheet'!K17</f>
        <v>9689.2199999999993</v>
      </c>
    </row>
    <row r="9" spans="2:12" x14ac:dyDescent="0.3">
      <c r="B9" s="158" t="s">
        <v>10</v>
      </c>
      <c r="C9" s="159">
        <f>'Historicial Financials'!E8</f>
        <v>0.94026003707559846</v>
      </c>
      <c r="D9" s="159">
        <f>'Historicial Financials'!F8</f>
        <v>0.90101170727238222</v>
      </c>
      <c r="E9" s="159">
        <f>'Historicial Financials'!G8</f>
        <v>0.16503525872173586</v>
      </c>
      <c r="F9" s="159">
        <f>'Historicial Financials'!H8</f>
        <v>0.23132631578947382</v>
      </c>
      <c r="G9" s="159">
        <f>'Historicial Financials'!I8</f>
        <v>0.16253806448826191</v>
      </c>
    </row>
    <row r="10" spans="2:12" x14ac:dyDescent="0.3">
      <c r="B10" s="158" t="s">
        <v>63</v>
      </c>
      <c r="C10" s="159">
        <f>'Historicial Financials'!E14</f>
        <v>0.27696958988554476</v>
      </c>
      <c r="D10" s="159">
        <f>'Historicial Financials'!F14</f>
        <v>0.41304254282768577</v>
      </c>
      <c r="E10" s="159">
        <f>'Historicial Financials'!G14</f>
        <v>0.42530600184672207</v>
      </c>
      <c r="F10" s="159">
        <f>'Historicial Financials'!H14</f>
        <v>0.47245798808332562</v>
      </c>
      <c r="G10" s="159">
        <f>'Historicial Financials'!I14</f>
        <v>0.47542836265457894</v>
      </c>
    </row>
    <row r="11" spans="2:12" x14ac:dyDescent="0.3">
      <c r="B11" s="158" t="s">
        <v>67</v>
      </c>
      <c r="C11" s="159">
        <f>'Historicial Financials'!E20</f>
        <v>0.13243483780617876</v>
      </c>
      <c r="D11" s="159">
        <f>'Historicial Financials'!F20</f>
        <v>0.31060033632190515</v>
      </c>
      <c r="E11" s="159">
        <f>'Historicial Financials'!G20</f>
        <v>0.31904118190212377</v>
      </c>
      <c r="F11" s="159">
        <f>'Historicial Financials'!H20</f>
        <v>0.3322714870886696</v>
      </c>
      <c r="G11" s="159">
        <f>'Historicial Financials'!I20</f>
        <v>0.32983047138985377</v>
      </c>
    </row>
    <row r="12" spans="2:12" x14ac:dyDescent="0.3">
      <c r="B12" s="158" t="s">
        <v>121</v>
      </c>
      <c r="C12" s="159">
        <f>'Ratio Analysis'!E15</f>
        <v>-4.2536204854375971E-4</v>
      </c>
      <c r="D12" s="159">
        <f>'Ratio Analysis'!F15</f>
        <v>0.23898821152134889</v>
      </c>
      <c r="E12" s="159">
        <f>'Ratio Analysis'!G15</f>
        <v>0.25192391505078487</v>
      </c>
      <c r="F12" s="159">
        <f>'Ratio Analysis'!H15</f>
        <v>0.27010128933330463</v>
      </c>
      <c r="G12" s="159">
        <f>'Ratio Analysis'!I15</f>
        <v>0.26737343150429027</v>
      </c>
    </row>
    <row r="13" spans="2:12" x14ac:dyDescent="0.3">
      <c r="B13" s="158" t="s">
        <v>123</v>
      </c>
      <c r="C13" s="159">
        <f>'Historicial Financials'!E35</f>
        <v>-0.1369338594734674</v>
      </c>
      <c r="D13" s="159">
        <f>'Historicial Financials'!F35</f>
        <v>0.14809179488150415</v>
      </c>
      <c r="E13" s="159">
        <f>'Historicial Financials'!G35</f>
        <v>0.15933961218836568</v>
      </c>
      <c r="F13" s="159">
        <f>'Historicial Financials'!H35</f>
        <v>0.16465575784626391</v>
      </c>
      <c r="G13" s="159">
        <f>'Historicial Financials'!I35</f>
        <v>0.15768142327246149</v>
      </c>
    </row>
    <row r="14" spans="2:12" x14ac:dyDescent="0.3">
      <c r="B14" s="158" t="s">
        <v>373</v>
      </c>
      <c r="C14" s="160">
        <f>'Historicial Financials'!E39</f>
        <v>-2.946353139960578</v>
      </c>
      <c r="D14" s="160">
        <f>'Historicial Financials'!F39</f>
        <v>6.0574486060264698</v>
      </c>
      <c r="E14" s="160">
        <f>'Historicial Financials'!G39</f>
        <v>7.5771392440635115</v>
      </c>
      <c r="F14" s="160">
        <f>'Historicial Financials'!H39</f>
        <v>9.6412111844878492</v>
      </c>
      <c r="G14" s="160">
        <f>'Historicial Financials'!I39</f>
        <v>10.733525361809745</v>
      </c>
    </row>
    <row r="15" spans="2:12" x14ac:dyDescent="0.3">
      <c r="B15" s="158" t="s">
        <v>78</v>
      </c>
      <c r="C15" s="159">
        <f>'Historicial Financials'!E40</f>
        <v>-0.62735589893145849</v>
      </c>
      <c r="D15" s="159">
        <f>'Historicial Financials'!F40</f>
        <v>-3.0559139784946208</v>
      </c>
      <c r="E15" s="159">
        <f>'Historicial Financials'!G40</f>
        <v>0.25087965856204253</v>
      </c>
      <c r="F15" s="159">
        <f>'Historicial Financials'!H40</f>
        <v>0.2724078143398887</v>
      </c>
      <c r="G15" s="159">
        <f>'Historicial Financials'!I40</f>
        <v>0.11329636457703218</v>
      </c>
    </row>
    <row r="17" spans="2:12" x14ac:dyDescent="0.3">
      <c r="B17" s="42" t="s">
        <v>551</v>
      </c>
      <c r="C17" s="194">
        <f>C6</f>
        <v>44651</v>
      </c>
      <c r="D17" s="194">
        <f>D6</f>
        <v>45016</v>
      </c>
      <c r="E17" s="194">
        <f>E6</f>
        <v>45382</v>
      </c>
      <c r="F17" s="194">
        <f>F6</f>
        <v>45747</v>
      </c>
      <c r="G17" s="194">
        <f>G6</f>
        <v>46112</v>
      </c>
      <c r="I17" s="209" t="s">
        <v>553</v>
      </c>
      <c r="J17" s="209"/>
      <c r="K17" s="209"/>
      <c r="L17" s="209"/>
    </row>
    <row r="19" spans="2:12" x14ac:dyDescent="0.3">
      <c r="B19" s="158" t="s">
        <v>499</v>
      </c>
      <c r="C19" s="158">
        <v>848.19</v>
      </c>
      <c r="D19" s="158">
        <v>1594.04</v>
      </c>
      <c r="E19" s="158">
        <v>1952.72</v>
      </c>
      <c r="F19" s="158">
        <v>2238.42</v>
      </c>
      <c r="G19" s="158">
        <v>2374.64</v>
      </c>
    </row>
    <row r="20" spans="2:12" x14ac:dyDescent="0.3">
      <c r="B20" s="158" t="s">
        <v>500</v>
      </c>
      <c r="C20" s="158">
        <v>714.47</v>
      </c>
      <c r="D20" s="158">
        <v>1381.47</v>
      </c>
      <c r="E20" s="158">
        <v>1562.9</v>
      </c>
      <c r="F20" s="158">
        <v>1650.32</v>
      </c>
      <c r="G20" s="158">
        <v>1803.48</v>
      </c>
    </row>
    <row r="21" spans="2:12" x14ac:dyDescent="0.3">
      <c r="B21" s="158" t="s">
        <v>501</v>
      </c>
      <c r="C21" s="158">
        <v>242.03</v>
      </c>
      <c r="D21" s="158">
        <v>338.08</v>
      </c>
      <c r="E21" s="158">
        <v>426.7</v>
      </c>
      <c r="F21" s="158">
        <v>483.94</v>
      </c>
      <c r="G21" s="158">
        <v>557.22</v>
      </c>
    </row>
    <row r="22" spans="2:12" x14ac:dyDescent="0.3">
      <c r="B22" s="158" t="s">
        <v>502</v>
      </c>
      <c r="C22" s="158">
        <v>198.65</v>
      </c>
      <c r="D22" s="158">
        <v>390.65</v>
      </c>
      <c r="E22" s="158">
        <v>463.28</v>
      </c>
      <c r="F22" s="158">
        <v>543.86</v>
      </c>
      <c r="G22" s="158">
        <v>644.21</v>
      </c>
    </row>
    <row r="23" spans="2:12" x14ac:dyDescent="0.3">
      <c r="B23" s="158" t="s">
        <v>503</v>
      </c>
      <c r="C23" s="158">
        <v>149.08000000000001</v>
      </c>
      <c r="D23" s="158">
        <v>107.08</v>
      </c>
      <c r="E23" s="158">
        <v>184.51</v>
      </c>
      <c r="F23" s="158">
        <v>228.55</v>
      </c>
      <c r="G23" s="158">
        <v>260.61</v>
      </c>
    </row>
    <row r="24" spans="2:12" x14ac:dyDescent="0.3">
      <c r="B24" s="195" t="s">
        <v>504</v>
      </c>
      <c r="C24" s="195">
        <v>2152.42</v>
      </c>
      <c r="D24" s="195">
        <v>3811.32</v>
      </c>
      <c r="E24" s="195">
        <v>4590.1099999999997</v>
      </c>
      <c r="F24" s="195">
        <v>5145.09</v>
      </c>
      <c r="G24" s="195">
        <v>5640.16</v>
      </c>
    </row>
    <row r="25" spans="2:12" x14ac:dyDescent="0.3">
      <c r="C25" s="30"/>
      <c r="D25" s="30"/>
      <c r="E25" s="30"/>
      <c r="F25" s="30"/>
      <c r="G25" s="30"/>
    </row>
    <row r="27" spans="2:12" x14ac:dyDescent="0.3">
      <c r="B27" s="42" t="s">
        <v>552</v>
      </c>
      <c r="C27" s="194">
        <f>C17</f>
        <v>44651</v>
      </c>
      <c r="D27" s="194">
        <f t="shared" ref="D27:G27" si="0">D17</f>
        <v>45016</v>
      </c>
      <c r="E27" s="194">
        <f t="shared" si="0"/>
        <v>45382</v>
      </c>
      <c r="F27" s="194">
        <f t="shared" si="0"/>
        <v>45747</v>
      </c>
      <c r="G27" s="194">
        <f t="shared" si="0"/>
        <v>46112</v>
      </c>
      <c r="I27" s="209" t="s">
        <v>409</v>
      </c>
      <c r="J27" s="209"/>
      <c r="K27" s="209"/>
      <c r="L27" s="209"/>
    </row>
    <row r="29" spans="2:12" x14ac:dyDescent="0.3">
      <c r="B29" s="40" t="s">
        <v>407</v>
      </c>
      <c r="C29" s="206">
        <f>'Ratio Analysis'!E32</f>
        <v>22.814929533839248</v>
      </c>
      <c r="D29" s="206">
        <f>'Ratio Analysis'!F32</f>
        <v>32.471624452485244</v>
      </c>
      <c r="E29" s="206">
        <f>'Ratio Analysis'!G32</f>
        <v>34.477819632173727</v>
      </c>
      <c r="F29" s="206">
        <f>'Ratio Analysis'!H32</f>
        <v>34.907863919653842</v>
      </c>
      <c r="G29" s="206">
        <f>'Ratio Analysis'!I32</f>
        <v>35.642987377279105</v>
      </c>
    </row>
    <row r="30" spans="2:12" x14ac:dyDescent="0.3">
      <c r="B30" s="40" t="s">
        <v>371</v>
      </c>
      <c r="C30" s="206">
        <f>'Ratio Analysis'!E31</f>
        <v>0.75245623611056955</v>
      </c>
      <c r="D30" s="206">
        <f>'Ratio Analysis'!F31</f>
        <v>0.67295813171508989</v>
      </c>
      <c r="E30" s="206">
        <f>'Ratio Analysis'!G31</f>
        <v>0.81809379108378544</v>
      </c>
      <c r="F30" s="206">
        <f>'Ratio Analysis'!H31</f>
        <v>0.88042420646692376</v>
      </c>
      <c r="G30" s="206">
        <f>'Ratio Analysis'!I31</f>
        <v>0.62507271669575337</v>
      </c>
    </row>
    <row r="31" spans="2:12" x14ac:dyDescent="0.3">
      <c r="B31" s="40" t="s">
        <v>137</v>
      </c>
      <c r="C31" s="207">
        <f>'Ratio Analysis'!E38</f>
        <v>15.998296179641041</v>
      </c>
      <c r="D31" s="207">
        <f>'Ratio Analysis'!F38</f>
        <v>11.240583314028331</v>
      </c>
      <c r="E31" s="207">
        <f>'Ratio Analysis'!G38</f>
        <v>10.586516313792428</v>
      </c>
      <c r="F31" s="207">
        <f>'Ratio Analysis'!H38</f>
        <v>10.456096678963434</v>
      </c>
      <c r="G31" s="207">
        <f>'Ratio Analysis'!I38</f>
        <v>10.240443544658438</v>
      </c>
    </row>
    <row r="32" spans="2:12" x14ac:dyDescent="0.3">
      <c r="B32" s="40" t="s">
        <v>408</v>
      </c>
      <c r="C32" s="207">
        <f>'Ratio Analysis'!E39</f>
        <v>-198.56469339571677</v>
      </c>
      <c r="D32" s="207">
        <f>'Ratio Analysis'!F39</f>
        <v>-110.92762583206861</v>
      </c>
      <c r="E32" s="207">
        <f>'Ratio Analysis'!G39</f>
        <v>-100.71752062064894</v>
      </c>
      <c r="F32" s="207">
        <f>'Ratio Analysis'!H39</f>
        <v>-108.66791016484558</v>
      </c>
      <c r="G32" s="207">
        <f>'Ratio Analysis'!I39</f>
        <v>-125.56480187241334</v>
      </c>
    </row>
    <row r="36" spans="2:12" x14ac:dyDescent="0.3">
      <c r="B36" s="42" t="s">
        <v>508</v>
      </c>
      <c r="C36" s="194" t="s">
        <v>521</v>
      </c>
      <c r="D36" s="194" t="s">
        <v>510</v>
      </c>
      <c r="E36" s="194" t="s">
        <v>549</v>
      </c>
      <c r="F36" s="157"/>
      <c r="G36" s="157"/>
      <c r="H36" s="76"/>
      <c r="I36" s="209" t="s">
        <v>399</v>
      </c>
      <c r="J36" s="209"/>
      <c r="K36" s="209"/>
      <c r="L36" s="209"/>
    </row>
    <row r="38" spans="2:12" x14ac:dyDescent="0.3">
      <c r="B38" s="158" t="s">
        <v>396</v>
      </c>
      <c r="C38" s="162">
        <v>5076.5531300000002</v>
      </c>
      <c r="D38" s="161">
        <v>0.35659999999999997</v>
      </c>
      <c r="E38" s="162">
        <f>C38*'Data Sheet'!$B$8</f>
        <v>3644965.1473400001</v>
      </c>
    </row>
    <row r="39" spans="2:12" x14ac:dyDescent="0.3">
      <c r="B39" s="158" t="s">
        <v>511</v>
      </c>
      <c r="C39" s="162">
        <v>349.02429000000001</v>
      </c>
      <c r="D39" s="161">
        <v>2.4500000000000001E-2</v>
      </c>
      <c r="E39" s="162">
        <f>C39*'Data Sheet'!$B$8</f>
        <v>250599.44022000002</v>
      </c>
    </row>
    <row r="40" spans="2:12" x14ac:dyDescent="0.3">
      <c r="B40" s="158" t="s">
        <v>512</v>
      </c>
      <c r="C40" s="162">
        <v>1844.81396</v>
      </c>
      <c r="D40" s="161">
        <v>0.12959999999999999</v>
      </c>
      <c r="E40" s="162">
        <f>C40*'Data Sheet'!$B$8</f>
        <v>1324576.42328</v>
      </c>
    </row>
    <row r="41" spans="2:12" x14ac:dyDescent="0.3">
      <c r="B41" s="158" t="s">
        <v>513</v>
      </c>
      <c r="C41" s="162">
        <v>659.63120000000004</v>
      </c>
      <c r="D41" s="161">
        <v>4.6399999999999997E-2</v>
      </c>
      <c r="E41" s="162">
        <f>C41*'Data Sheet'!$B$8</f>
        <v>473615.20160000003</v>
      </c>
    </row>
    <row r="42" spans="2:12" x14ac:dyDescent="0.3">
      <c r="B42" s="158" t="s">
        <v>514</v>
      </c>
      <c r="C42" s="162">
        <v>704.90071</v>
      </c>
      <c r="D42" s="161">
        <v>4.9500000000000002E-2</v>
      </c>
      <c r="E42" s="162">
        <f>C42*'Data Sheet'!$B$8</f>
        <v>506118.70977999998</v>
      </c>
    </row>
    <row r="43" spans="2:12" x14ac:dyDescent="0.3">
      <c r="B43" s="158" t="s">
        <v>515</v>
      </c>
      <c r="C43" s="162">
        <v>3308.44614</v>
      </c>
      <c r="D43" s="161">
        <v>0.2324</v>
      </c>
      <c r="E43" s="162">
        <f>C43*'Data Sheet'!$B$8</f>
        <v>2375464.32852</v>
      </c>
    </row>
    <row r="44" spans="2:12" x14ac:dyDescent="0.3">
      <c r="B44" s="158" t="s">
        <v>516</v>
      </c>
      <c r="C44" s="162">
        <v>123.35274</v>
      </c>
      <c r="D44" s="161">
        <v>8.6999999999999994E-3</v>
      </c>
      <c r="E44" s="162">
        <f>C44*'Data Sheet'!$B$8</f>
        <v>88567.267319999999</v>
      </c>
    </row>
    <row r="45" spans="2:12" x14ac:dyDescent="0.3">
      <c r="B45" s="158" t="s">
        <v>517</v>
      </c>
      <c r="C45" s="162">
        <v>149.28531000000001</v>
      </c>
      <c r="D45" s="161">
        <v>1.0500000000000001E-2</v>
      </c>
      <c r="E45" s="162">
        <f>C45*'Data Sheet'!$B$8</f>
        <v>107186.85258000001</v>
      </c>
    </row>
    <row r="46" spans="2:12" x14ac:dyDescent="0.3">
      <c r="B46" s="158" t="s">
        <v>518</v>
      </c>
      <c r="C46" s="162">
        <v>1967.21749</v>
      </c>
      <c r="D46" s="161">
        <v>0.13819999999999999</v>
      </c>
      <c r="E46" s="162">
        <f>C46*'Data Sheet'!$B$8</f>
        <v>1412462.1578200001</v>
      </c>
    </row>
    <row r="47" spans="2:12" x14ac:dyDescent="0.3">
      <c r="B47" s="158" t="s">
        <v>519</v>
      </c>
      <c r="C47" s="162">
        <v>18.59488</v>
      </c>
      <c r="D47" s="161">
        <v>1.2999999999999999E-3</v>
      </c>
      <c r="E47" s="162">
        <f>C47*'Data Sheet'!$B$8</f>
        <v>13351.12384</v>
      </c>
    </row>
    <row r="48" spans="2:12" x14ac:dyDescent="0.3">
      <c r="B48" s="158" t="s">
        <v>520</v>
      </c>
      <c r="C48" s="162">
        <v>32.502420000000001</v>
      </c>
      <c r="D48" s="158">
        <v>2.3E-3</v>
      </c>
      <c r="E48" s="162">
        <f>C48*'Data Sheet'!$B$8</f>
        <v>23336.737560000001</v>
      </c>
    </row>
    <row r="49" spans="2:12" x14ac:dyDescent="0.3">
      <c r="E49" s="193"/>
    </row>
    <row r="50" spans="2:12" x14ac:dyDescent="0.3">
      <c r="B50" s="42" t="s">
        <v>395</v>
      </c>
      <c r="C50" s="194" t="s">
        <v>403</v>
      </c>
      <c r="D50" s="194" t="s">
        <v>404</v>
      </c>
      <c r="E50" s="194" t="s">
        <v>405</v>
      </c>
      <c r="I50" s="209" t="s">
        <v>169</v>
      </c>
      <c r="J50" s="209"/>
      <c r="K50" s="209"/>
      <c r="L50" s="209"/>
    </row>
    <row r="52" spans="2:12" x14ac:dyDescent="0.3">
      <c r="B52" s="158" t="s">
        <v>545</v>
      </c>
      <c r="C52" s="158" t="s">
        <v>406</v>
      </c>
      <c r="D52" s="158"/>
      <c r="E52" s="163">
        <v>521.16999999999996</v>
      </c>
    </row>
    <row r="53" spans="2:12" x14ac:dyDescent="0.3">
      <c r="B53" s="158" t="s">
        <v>527</v>
      </c>
      <c r="C53" s="158" t="s">
        <v>544</v>
      </c>
      <c r="D53" s="158">
        <v>6.14</v>
      </c>
      <c r="E53" s="163">
        <v>18.7</v>
      </c>
      <c r="I53" s="158" t="s">
        <v>290</v>
      </c>
      <c r="J53" s="158">
        <f>'Data Sheet'!B8</f>
        <v>718</v>
      </c>
    </row>
    <row r="54" spans="2:12" x14ac:dyDescent="0.3">
      <c r="B54" s="158" t="s">
        <v>543</v>
      </c>
      <c r="C54" s="158" t="s">
        <v>544</v>
      </c>
      <c r="D54" s="158">
        <v>2.57</v>
      </c>
      <c r="E54" s="163">
        <v>17.8</v>
      </c>
      <c r="I54" s="158" t="s">
        <v>400</v>
      </c>
      <c r="J54" s="165">
        <f>'Data Sheet'!B6</f>
        <v>142.34321727019497</v>
      </c>
    </row>
    <row r="55" spans="2:12" x14ac:dyDescent="0.3">
      <c r="B55" s="158" t="s">
        <v>529</v>
      </c>
      <c r="C55" s="158" t="s">
        <v>544</v>
      </c>
      <c r="D55" s="158">
        <v>5.3</v>
      </c>
      <c r="E55" s="163">
        <v>17</v>
      </c>
      <c r="I55" s="2" t="s">
        <v>45</v>
      </c>
      <c r="J55" s="166">
        <f>J53*J54</f>
        <v>102202.43</v>
      </c>
    </row>
    <row r="56" spans="2:12" x14ac:dyDescent="0.3">
      <c r="B56" s="158" t="s">
        <v>530</v>
      </c>
      <c r="C56" s="158" t="s">
        <v>544</v>
      </c>
      <c r="D56" s="158">
        <v>1.2</v>
      </c>
      <c r="E56" s="163">
        <v>17.600000000000001</v>
      </c>
      <c r="I56" s="158" t="s">
        <v>401</v>
      </c>
      <c r="J56" s="158">
        <f>'Historicial Financials'!I62</f>
        <v>1831.19</v>
      </c>
    </row>
    <row r="57" spans="2:12" x14ac:dyDescent="0.3">
      <c r="I57" s="158" t="s">
        <v>402</v>
      </c>
      <c r="J57" s="158">
        <f>WACC!C15</f>
        <v>2837</v>
      </c>
    </row>
    <row r="58" spans="2:12" x14ac:dyDescent="0.3">
      <c r="B58" s="43" t="s">
        <v>546</v>
      </c>
      <c r="C58" s="43"/>
      <c r="I58" s="105" t="s">
        <v>305</v>
      </c>
      <c r="J58" s="164">
        <f>J55-J56+J57</f>
        <v>103208.23999999999</v>
      </c>
    </row>
    <row r="59" spans="2:12" x14ac:dyDescent="0.3">
      <c r="B59" s="43" t="s">
        <v>547</v>
      </c>
      <c r="C59" s="43"/>
    </row>
    <row r="60" spans="2:12" x14ac:dyDescent="0.3">
      <c r="B60" s="43" t="s">
        <v>557</v>
      </c>
      <c r="C60" s="43"/>
    </row>
    <row r="61" spans="2:12" x14ac:dyDescent="0.3">
      <c r="B61" s="43" t="s">
        <v>548</v>
      </c>
      <c r="C61" s="43"/>
    </row>
    <row r="62" spans="2:12" ht="24.6" customHeight="1" x14ac:dyDescent="0.3"/>
    <row r="63" spans="2:12" x14ac:dyDescent="0.3">
      <c r="I63" s="167"/>
      <c r="J63" s="167"/>
    </row>
    <row r="64" spans="2:12" s="167" customFormat="1" ht="26.4" customHeight="1" x14ac:dyDescent="0.3">
      <c r="B64"/>
      <c r="C64"/>
      <c r="D64"/>
      <c r="E64"/>
      <c r="F64"/>
      <c r="I64"/>
      <c r="J64"/>
    </row>
  </sheetData>
  <mergeCells count="7">
    <mergeCell ref="C4:L4"/>
    <mergeCell ref="I6:L6"/>
    <mergeCell ref="I50:L50"/>
    <mergeCell ref="I27:L27"/>
    <mergeCell ref="B2:L2"/>
    <mergeCell ref="I17:L17"/>
    <mergeCell ref="I36:L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2C72-246C-4601-A052-075DC3C148DE}">
  <dimension ref="B2:K55"/>
  <sheetViews>
    <sheetView showGridLines="0" zoomScale="73" workbookViewId="0">
      <selection activeCell="B1" sqref="B1:K72"/>
    </sheetView>
  </sheetViews>
  <sheetFormatPr defaultRowHeight="14.4" x14ac:dyDescent="0.3"/>
  <cols>
    <col min="1" max="1" width="2.33203125" customWidth="1"/>
    <col min="2" max="2" width="36.77734375" customWidth="1"/>
    <col min="3" max="3" width="11.88671875" bestFit="1" customWidth="1"/>
    <col min="4" max="5" width="18.109375" bestFit="1" customWidth="1"/>
  </cols>
  <sheetData>
    <row r="2" spans="2:11" x14ac:dyDescent="0.3">
      <c r="B2" s="209" t="s">
        <v>432</v>
      </c>
      <c r="C2" s="209"/>
      <c r="D2" s="209"/>
      <c r="E2" s="209"/>
      <c r="F2" s="209"/>
      <c r="G2" s="209"/>
      <c r="H2" s="209"/>
      <c r="I2" s="209"/>
      <c r="J2" s="209"/>
      <c r="K2" s="209"/>
    </row>
    <row r="3" spans="2:11" x14ac:dyDescent="0.3">
      <c r="B3" s="189" t="s">
        <v>448</v>
      </c>
    </row>
    <row r="4" spans="2:11" x14ac:dyDescent="0.3">
      <c r="B4" s="191" t="s">
        <v>433</v>
      </c>
      <c r="C4" s="42">
        <v>2025</v>
      </c>
      <c r="D4" s="42" t="s">
        <v>434</v>
      </c>
      <c r="E4" s="42" t="s">
        <v>435</v>
      </c>
      <c r="G4" s="209" t="s">
        <v>450</v>
      </c>
      <c r="H4" s="209"/>
      <c r="I4" s="209"/>
      <c r="J4" s="209"/>
      <c r="K4" s="209"/>
    </row>
    <row r="5" spans="2:11" x14ac:dyDescent="0.3">
      <c r="B5" s="2" t="s">
        <v>436</v>
      </c>
      <c r="C5">
        <v>3.4</v>
      </c>
      <c r="D5">
        <v>3.1</v>
      </c>
      <c r="E5">
        <v>3.2</v>
      </c>
    </row>
    <row r="6" spans="2:11" x14ac:dyDescent="0.3">
      <c r="B6" s="2" t="s">
        <v>437</v>
      </c>
      <c r="C6">
        <v>1.9</v>
      </c>
      <c r="D6">
        <v>1.8</v>
      </c>
      <c r="E6">
        <v>1.7</v>
      </c>
    </row>
    <row r="7" spans="2:11" x14ac:dyDescent="0.3">
      <c r="B7" t="s">
        <v>438</v>
      </c>
      <c r="C7">
        <v>2.1</v>
      </c>
      <c r="D7">
        <v>2.2999999999999998</v>
      </c>
      <c r="E7">
        <v>2.1</v>
      </c>
    </row>
    <row r="8" spans="2:11" x14ac:dyDescent="0.3">
      <c r="B8" s="2" t="s">
        <v>439</v>
      </c>
      <c r="C8">
        <v>1.4</v>
      </c>
      <c r="D8">
        <v>1.1000000000000001</v>
      </c>
      <c r="E8">
        <v>1.2</v>
      </c>
    </row>
    <row r="9" spans="2:11" x14ac:dyDescent="0.3">
      <c r="B9" s="2" t="s">
        <v>441</v>
      </c>
      <c r="C9">
        <v>3</v>
      </c>
      <c r="D9">
        <v>2.6</v>
      </c>
      <c r="E9">
        <v>2.2000000000000002</v>
      </c>
    </row>
    <row r="10" spans="2:11" x14ac:dyDescent="0.3">
      <c r="B10" s="2" t="s">
        <v>442</v>
      </c>
      <c r="C10">
        <v>4.4000000000000004</v>
      </c>
      <c r="D10">
        <v>3.9</v>
      </c>
      <c r="E10">
        <v>4.2</v>
      </c>
    </row>
    <row r="11" spans="2:11" x14ac:dyDescent="0.3">
      <c r="B11" t="s">
        <v>443</v>
      </c>
      <c r="C11">
        <v>5.5</v>
      </c>
      <c r="D11">
        <v>4.9000000000000004</v>
      </c>
      <c r="E11">
        <v>4.8</v>
      </c>
    </row>
    <row r="12" spans="2:11" x14ac:dyDescent="0.3">
      <c r="B12" t="s">
        <v>444</v>
      </c>
      <c r="C12">
        <v>5</v>
      </c>
      <c r="D12">
        <v>4.4000000000000004</v>
      </c>
      <c r="E12">
        <v>4</v>
      </c>
    </row>
    <row r="13" spans="2:11" x14ac:dyDescent="0.3">
      <c r="B13" s="190" t="s">
        <v>160</v>
      </c>
      <c r="C13" s="190">
        <v>7.6</v>
      </c>
      <c r="D13" s="190">
        <v>6.5</v>
      </c>
      <c r="E13" s="190">
        <v>6.5</v>
      </c>
    </row>
    <row r="14" spans="2:11" x14ac:dyDescent="0.3">
      <c r="B14" t="s">
        <v>445</v>
      </c>
      <c r="C14">
        <v>2.4</v>
      </c>
      <c r="D14">
        <v>2.2999999999999998</v>
      </c>
      <c r="E14">
        <v>2.7</v>
      </c>
    </row>
    <row r="15" spans="2:11" x14ac:dyDescent="0.3">
      <c r="B15" t="s">
        <v>446</v>
      </c>
      <c r="C15">
        <v>4.4000000000000004</v>
      </c>
      <c r="D15">
        <v>3.8</v>
      </c>
      <c r="E15">
        <v>4.0999999999999996</v>
      </c>
    </row>
    <row r="16" spans="2:11" x14ac:dyDescent="0.3">
      <c r="B16" t="s">
        <v>447</v>
      </c>
      <c r="C16">
        <v>4.8</v>
      </c>
      <c r="D16">
        <v>4.8</v>
      </c>
      <c r="E16">
        <v>4.9000000000000004</v>
      </c>
    </row>
    <row r="18" spans="2:11" x14ac:dyDescent="0.3">
      <c r="B18" s="209" t="s">
        <v>486</v>
      </c>
      <c r="C18" s="209"/>
      <c r="D18" s="209"/>
      <c r="E18" s="209"/>
      <c r="F18" s="209"/>
      <c r="G18" s="209"/>
      <c r="H18" s="209"/>
      <c r="I18" s="209"/>
      <c r="J18" s="209"/>
      <c r="K18" s="209"/>
    </row>
    <row r="19" spans="2:11" x14ac:dyDescent="0.3">
      <c r="B19" s="189" t="s">
        <v>496</v>
      </c>
    </row>
    <row r="20" spans="2:11" x14ac:dyDescent="0.3">
      <c r="B20" s="191" t="s">
        <v>487</v>
      </c>
      <c r="C20" s="191" t="s">
        <v>495</v>
      </c>
      <c r="E20" s="210" t="s">
        <v>497</v>
      </c>
      <c r="F20" s="210"/>
      <c r="G20" s="210"/>
      <c r="H20" s="210"/>
      <c r="I20" s="210"/>
      <c r="J20" s="210"/>
      <c r="K20" s="210"/>
    </row>
    <row r="21" spans="2:11" x14ac:dyDescent="0.3">
      <c r="B21" t="s">
        <v>449</v>
      </c>
      <c r="C21" s="30">
        <v>7.8E-2</v>
      </c>
    </row>
    <row r="22" spans="2:11" x14ac:dyDescent="0.3">
      <c r="B22" t="s">
        <v>488</v>
      </c>
      <c r="C22" s="30">
        <v>0.10299999999999999</v>
      </c>
    </row>
    <row r="23" spans="2:11" x14ac:dyDescent="0.3">
      <c r="B23" t="s">
        <v>489</v>
      </c>
      <c r="C23" t="s">
        <v>492</v>
      </c>
    </row>
    <row r="24" spans="2:11" x14ac:dyDescent="0.3">
      <c r="B24" t="s">
        <v>490</v>
      </c>
      <c r="C24" s="30">
        <v>4.82E-2</v>
      </c>
    </row>
    <row r="25" spans="2:11" x14ac:dyDescent="0.3">
      <c r="B25" t="s">
        <v>493</v>
      </c>
      <c r="C25" s="30">
        <v>5.9499999999999997E-2</v>
      </c>
    </row>
    <row r="26" spans="2:11" x14ac:dyDescent="0.3">
      <c r="B26" t="s">
        <v>491</v>
      </c>
      <c r="C26" s="31">
        <v>0.05</v>
      </c>
    </row>
    <row r="27" spans="2:11" x14ac:dyDescent="0.3">
      <c r="B27" t="s">
        <v>494</v>
      </c>
      <c r="C27" s="30">
        <v>5.2499999999999998E-2</v>
      </c>
    </row>
    <row r="34" spans="2:11" x14ac:dyDescent="0.3">
      <c r="B34" s="209" t="s">
        <v>461</v>
      </c>
      <c r="C34" s="209"/>
      <c r="D34" s="209"/>
      <c r="E34" s="209"/>
      <c r="F34" s="209"/>
      <c r="G34" s="209"/>
      <c r="H34" s="209"/>
      <c r="I34" s="209"/>
      <c r="J34" s="209"/>
      <c r="K34" s="209"/>
    </row>
    <row r="35" spans="2:11" x14ac:dyDescent="0.3">
      <c r="B35" s="189" t="s">
        <v>462</v>
      </c>
      <c r="C35" t="s">
        <v>465</v>
      </c>
    </row>
    <row r="36" spans="2:11" x14ac:dyDescent="0.3">
      <c r="B36" s="188" t="s">
        <v>147</v>
      </c>
      <c r="C36" s="192" t="s">
        <v>464</v>
      </c>
      <c r="D36" s="192" t="s">
        <v>463</v>
      </c>
      <c r="E36" s="192" t="s">
        <v>478</v>
      </c>
      <c r="G36" s="209" t="s">
        <v>477</v>
      </c>
      <c r="H36" s="209"/>
      <c r="I36" s="209"/>
      <c r="J36" s="209"/>
      <c r="K36" s="209"/>
    </row>
    <row r="37" spans="2:11" x14ac:dyDescent="0.3">
      <c r="B37" s="50">
        <v>2019</v>
      </c>
      <c r="C37">
        <v>109.3</v>
      </c>
      <c r="D37">
        <v>69.8</v>
      </c>
      <c r="E37">
        <v>179.1</v>
      </c>
    </row>
    <row r="38" spans="2:11" x14ac:dyDescent="0.3">
      <c r="B38" s="50">
        <v>2020</v>
      </c>
      <c r="C38">
        <v>27.4</v>
      </c>
      <c r="D38">
        <v>35.9</v>
      </c>
      <c r="E38">
        <v>63.3</v>
      </c>
    </row>
    <row r="39" spans="2:11" x14ac:dyDescent="0.3">
      <c r="B39" s="50">
        <v>2021</v>
      </c>
      <c r="C39">
        <v>15.2</v>
      </c>
      <c r="D39">
        <v>54.8</v>
      </c>
      <c r="E39">
        <v>70</v>
      </c>
    </row>
    <row r="40" spans="2:11" x14ac:dyDescent="0.3">
      <c r="B40" s="50">
        <v>2022</v>
      </c>
      <c r="C40">
        <v>64.400000000000006</v>
      </c>
      <c r="D40">
        <v>78.900000000000006</v>
      </c>
      <c r="E40">
        <v>143.30000000000001</v>
      </c>
    </row>
    <row r="41" spans="2:11" x14ac:dyDescent="0.3">
      <c r="B41" s="50">
        <v>2023</v>
      </c>
      <c r="C41">
        <v>95.1</v>
      </c>
      <c r="D41">
        <v>93.8</v>
      </c>
      <c r="E41">
        <v>188.9</v>
      </c>
    </row>
    <row r="42" spans="2:11" x14ac:dyDescent="0.3">
      <c r="B42" s="50">
        <v>2024</v>
      </c>
      <c r="C42">
        <v>99.5</v>
      </c>
      <c r="D42">
        <v>106.2</v>
      </c>
      <c r="E42">
        <v>205.7</v>
      </c>
    </row>
    <row r="43" spans="2:11" x14ac:dyDescent="0.3">
      <c r="B43" s="50">
        <v>2025</v>
      </c>
      <c r="C43">
        <v>91.5</v>
      </c>
      <c r="D43">
        <v>110.7</v>
      </c>
      <c r="E43">
        <v>202.2</v>
      </c>
    </row>
    <row r="46" spans="2:11" x14ac:dyDescent="0.3">
      <c r="B46" s="188" t="s">
        <v>484</v>
      </c>
      <c r="C46" s="192" t="s">
        <v>482</v>
      </c>
      <c r="D46" s="192" t="s">
        <v>483</v>
      </c>
      <c r="G46" s="209" t="s">
        <v>485</v>
      </c>
      <c r="H46" s="209"/>
      <c r="I46" s="209"/>
      <c r="J46" s="209"/>
      <c r="K46" s="209"/>
    </row>
    <row r="47" spans="2:11" x14ac:dyDescent="0.3">
      <c r="B47" s="50">
        <v>2019</v>
      </c>
      <c r="C47" s="30">
        <v>0.25259999999999999</v>
      </c>
      <c r="D47" s="30">
        <v>8.8599999999999998E-2</v>
      </c>
    </row>
    <row r="48" spans="2:11" x14ac:dyDescent="0.3">
      <c r="B48" s="50">
        <v>2020</v>
      </c>
      <c r="C48" s="30">
        <v>-0.73719999999999997</v>
      </c>
      <c r="D48" s="30">
        <v>-0.77170000000000005</v>
      </c>
    </row>
    <row r="49" spans="2:6" x14ac:dyDescent="0.3">
      <c r="B49" s="50">
        <v>2021</v>
      </c>
      <c r="C49" s="30">
        <v>0.1105</v>
      </c>
      <c r="D49" s="30">
        <v>-0.85289999999999999</v>
      </c>
    </row>
    <row r="50" spans="2:6" x14ac:dyDescent="0.3">
      <c r="B50" s="50">
        <v>2022</v>
      </c>
      <c r="C50" s="30">
        <v>1.5545</v>
      </c>
      <c r="D50" s="30">
        <v>7.1425999999999998</v>
      </c>
    </row>
    <row r="51" spans="2:6" x14ac:dyDescent="0.3">
      <c r="B51" s="50">
        <v>2023</v>
      </c>
      <c r="C51" s="30">
        <v>0.44929999999999998</v>
      </c>
      <c r="D51" s="30">
        <v>1.2405999999999999</v>
      </c>
    </row>
    <row r="52" spans="2:6" x14ac:dyDescent="0.3">
      <c r="B52" s="50">
        <v>2024</v>
      </c>
      <c r="C52" s="30">
        <v>0.17399999999999999</v>
      </c>
      <c r="D52" s="30">
        <v>8.2199999999999995E-2</v>
      </c>
    </row>
    <row r="53" spans="2:6" x14ac:dyDescent="0.3">
      <c r="B53" s="50">
        <v>2025</v>
      </c>
      <c r="C53" s="30">
        <v>0.4551</v>
      </c>
      <c r="D53" s="30">
        <v>0.21629999999999999</v>
      </c>
    </row>
    <row r="55" spans="2:6" x14ac:dyDescent="0.3">
      <c r="B55" s="209" t="s">
        <v>498</v>
      </c>
      <c r="C55" s="209"/>
      <c r="D55" s="209"/>
      <c r="E55" s="209"/>
      <c r="F55" s="209"/>
    </row>
  </sheetData>
  <mergeCells count="8">
    <mergeCell ref="B2:K2"/>
    <mergeCell ref="G4:K4"/>
    <mergeCell ref="B55:F55"/>
    <mergeCell ref="G46:K46"/>
    <mergeCell ref="G36:K36"/>
    <mergeCell ref="B34:K34"/>
    <mergeCell ref="B18:K18"/>
    <mergeCell ref="E20:K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DD521-E629-429A-B04A-98FB89A9CB9A}">
  <dimension ref="A1"/>
  <sheetViews>
    <sheetView topLeftCell="A3" workbookViewId="0">
      <selection activeCell="E28" sqref="E28"/>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85AD-42C4-4260-93EA-7256B0BA4481}">
  <dimension ref="A1:I102"/>
  <sheetViews>
    <sheetView showGridLines="0" zoomScale="113" workbookViewId="0">
      <pane ySplit="4" topLeftCell="A5" activePane="bottomLeft" state="frozen"/>
      <selection pane="bottomLeft" activeCell="C16" sqref="C16"/>
    </sheetView>
  </sheetViews>
  <sheetFormatPr defaultRowHeight="14.4" x14ac:dyDescent="0.3"/>
  <cols>
    <col min="1" max="1" width="2.33203125" customWidth="1"/>
    <col min="2" max="2" width="27" bestFit="1" customWidth="1"/>
    <col min="3" max="3" width="11.109375" bestFit="1" customWidth="1"/>
    <col min="4" max="4" width="9.88671875" bestFit="1" customWidth="1"/>
    <col min="5" max="7" width="10.6640625" bestFit="1" customWidth="1"/>
    <col min="8" max="8" width="11.6640625" bestFit="1" customWidth="1"/>
    <col min="9" max="9" width="10.6640625" bestFit="1" customWidth="1"/>
  </cols>
  <sheetData>
    <row r="1" spans="1:9" x14ac:dyDescent="0.3">
      <c r="B1" s="211" t="e" vm="2">
        <v>#VALUE!</v>
      </c>
      <c r="C1" s="169"/>
      <c r="D1" s="169"/>
      <c r="E1" s="169"/>
      <c r="F1" s="169"/>
      <c r="G1" s="169"/>
      <c r="H1" s="169"/>
      <c r="I1" s="169"/>
    </row>
    <row r="2" spans="1:9" x14ac:dyDescent="0.3">
      <c r="B2" s="211"/>
      <c r="C2" s="170" t="str">
        <f>"Historical Financial Statement-"&amp;'Data Sheet'!B1</f>
        <v>Historical Financial Statement-INDIAN HOTELS CO LTD</v>
      </c>
      <c r="D2" s="170"/>
      <c r="E2" s="170"/>
      <c r="F2" s="170"/>
      <c r="G2" s="170"/>
      <c r="H2" s="170"/>
      <c r="I2" s="170"/>
    </row>
    <row r="3" spans="1:9" x14ac:dyDescent="0.3">
      <c r="B3" s="211"/>
      <c r="C3" s="169"/>
      <c r="D3" s="169"/>
      <c r="E3" s="169"/>
      <c r="F3" s="169"/>
      <c r="G3" s="169"/>
      <c r="H3" s="169"/>
      <c r="I3" s="169"/>
    </row>
    <row r="4" spans="1:9" x14ac:dyDescent="0.3">
      <c r="B4" s="170" t="s">
        <v>56</v>
      </c>
      <c r="C4" s="171">
        <f>'Data Sheet'!E16</f>
        <v>43921</v>
      </c>
      <c r="D4" s="171">
        <f>'Data Sheet'!F16</f>
        <v>44286</v>
      </c>
      <c r="E4" s="171">
        <f>'Data Sheet'!G16</f>
        <v>44651</v>
      </c>
      <c r="F4" s="171">
        <f>'Data Sheet'!H16</f>
        <v>45016</v>
      </c>
      <c r="G4" s="171">
        <f>'Data Sheet'!I16</f>
        <v>45382</v>
      </c>
      <c r="H4" s="171">
        <f>'Data Sheet'!J16</f>
        <v>45747</v>
      </c>
      <c r="I4" s="171">
        <f>'Data Sheet'!K16</f>
        <v>46112</v>
      </c>
    </row>
    <row r="5" spans="1:9" x14ac:dyDescent="0.3">
      <c r="B5" s="12"/>
      <c r="C5" s="13"/>
      <c r="D5" s="13"/>
      <c r="E5" s="13"/>
      <c r="F5" s="13"/>
      <c r="G5" s="13"/>
      <c r="H5" s="13"/>
      <c r="I5" s="13"/>
    </row>
    <row r="6" spans="1:9" x14ac:dyDescent="0.3">
      <c r="A6" s="2" t="s">
        <v>58</v>
      </c>
      <c r="B6" s="172" t="s">
        <v>57</v>
      </c>
      <c r="C6" s="173"/>
      <c r="D6" s="173"/>
      <c r="E6" s="173"/>
      <c r="F6" s="173"/>
      <c r="G6" s="173"/>
      <c r="H6" s="173"/>
      <c r="I6" s="173"/>
    </row>
    <row r="7" spans="1:9" x14ac:dyDescent="0.3">
      <c r="B7" t="s">
        <v>1</v>
      </c>
      <c r="C7" s="9">
        <f>IFERROR('Data Sheet'!E17,0)</f>
        <v>4463.1400000000003</v>
      </c>
      <c r="D7" s="9">
        <f>IFERROR('Data Sheet'!F17,0)</f>
        <v>1575.16</v>
      </c>
      <c r="E7" s="9">
        <f>IFERROR('Data Sheet'!G17,0)</f>
        <v>3056.22</v>
      </c>
      <c r="F7" s="9">
        <f>IFERROR('Data Sheet'!H17,0)</f>
        <v>5809.91</v>
      </c>
      <c r="G7" s="9">
        <f>IFERROR('Data Sheet'!I17,0)</f>
        <v>6768.75</v>
      </c>
      <c r="H7" s="9">
        <f>IFERROR('Data Sheet'!J17,0)</f>
        <v>8334.5400000000009</v>
      </c>
      <c r="I7" s="9">
        <f>IFERROR('Data Sheet'!K17,0)</f>
        <v>9689.2199999999993</v>
      </c>
    </row>
    <row r="8" spans="1:9" x14ac:dyDescent="0.3">
      <c r="B8" s="10" t="s">
        <v>10</v>
      </c>
      <c r="C8" s="10" t="s">
        <v>59</v>
      </c>
      <c r="D8" s="11">
        <f>IFERROR(D7/C7-1,0)</f>
        <v>-0.64707358496484546</v>
      </c>
      <c r="E8" s="11">
        <f t="shared" ref="E8:I8" si="0">IFERROR(E7/D7-1,0)</f>
        <v>0.94026003707559846</v>
      </c>
      <c r="F8" s="11">
        <f t="shared" si="0"/>
        <v>0.90101170727238222</v>
      </c>
      <c r="G8" s="11">
        <f t="shared" si="0"/>
        <v>0.16503525872173586</v>
      </c>
      <c r="H8" s="11">
        <f t="shared" si="0"/>
        <v>0.23132631578947382</v>
      </c>
      <c r="I8" s="11">
        <f t="shared" si="0"/>
        <v>0.16253806448826191</v>
      </c>
    </row>
    <row r="10" spans="1:9" x14ac:dyDescent="0.3">
      <c r="B10" t="s">
        <v>60</v>
      </c>
      <c r="C10" s="9">
        <f>IFERROR(SUM('Data Sheet'!E18,'Data Sheet'!E20,'Data Sheet'!E21:E22)-1*'Data Sheet'!E19,0)</f>
        <v>2947.21</v>
      </c>
      <c r="D10" s="9">
        <f>IFERROR(SUM('Data Sheet'!F18,'Data Sheet'!F20,'Data Sheet'!F21:F22)-1*'Data Sheet'!F19,0)</f>
        <v>1572.9299999999998</v>
      </c>
      <c r="E10" s="9">
        <f>IFERROR(SUM('Data Sheet'!G18,'Data Sheet'!G20,'Data Sheet'!G21:G22)-1*'Data Sheet'!G19,0)</f>
        <v>2209.7400000000002</v>
      </c>
      <c r="F10" s="9">
        <f>IFERROR(SUM('Data Sheet'!H18,'Data Sheet'!H20,'Data Sheet'!H21:H22)-1*'Data Sheet'!H19,0)</f>
        <v>3410.17</v>
      </c>
      <c r="G10" s="9">
        <f>IFERROR(SUM('Data Sheet'!I18,'Data Sheet'!I20,'Data Sheet'!I21:I22)-1*'Data Sheet'!I19,0)</f>
        <v>3889.96</v>
      </c>
      <c r="H10" s="9">
        <f>IFERROR(SUM('Data Sheet'!J18,'Data Sheet'!J20,'Data Sheet'!J21:J22)-1*'Data Sheet'!J19,0)</f>
        <v>4396.82</v>
      </c>
      <c r="I10" s="9">
        <f>IFERROR(SUM('Data Sheet'!K18,'Data Sheet'!K20,'Data Sheet'!K21:K22)-1*'Data Sheet'!K19,0)</f>
        <v>5082.6900000000005</v>
      </c>
    </row>
    <row r="11" spans="1:9" x14ac:dyDescent="0.3">
      <c r="B11" s="10" t="s">
        <v>61</v>
      </c>
      <c r="C11" s="11">
        <f>IFERROR(C10/C7,0)</f>
        <v>0.66034451081525558</v>
      </c>
      <c r="D11" s="11">
        <f t="shared" ref="D11:I11" si="1">IFERROR(D10/D7,0)</f>
        <v>0.99858427080423562</v>
      </c>
      <c r="E11" s="11">
        <f t="shared" si="1"/>
        <v>0.72303041011445524</v>
      </c>
      <c r="F11" s="11">
        <f t="shared" si="1"/>
        <v>0.58695745717231418</v>
      </c>
      <c r="G11" s="11">
        <f t="shared" si="1"/>
        <v>0.57469399815327793</v>
      </c>
      <c r="H11" s="11">
        <f t="shared" si="1"/>
        <v>0.52754201191667438</v>
      </c>
      <c r="I11" s="11">
        <f t="shared" si="1"/>
        <v>0.52457163734542112</v>
      </c>
    </row>
    <row r="13" spans="1:9" x14ac:dyDescent="0.3">
      <c r="B13" s="15" t="s">
        <v>62</v>
      </c>
      <c r="C13" s="16">
        <f>IFERROR(C7-C10,0)</f>
        <v>1515.9300000000003</v>
      </c>
      <c r="D13" s="16">
        <f t="shared" ref="D13:I13" si="2">IFERROR(D7-D10,0)</f>
        <v>2.2300000000002456</v>
      </c>
      <c r="E13" s="16">
        <f t="shared" si="2"/>
        <v>846.47999999999956</v>
      </c>
      <c r="F13" s="16">
        <f t="shared" si="2"/>
        <v>2399.7399999999998</v>
      </c>
      <c r="G13" s="16">
        <f t="shared" si="2"/>
        <v>2878.79</v>
      </c>
      <c r="H13" s="16">
        <f t="shared" si="2"/>
        <v>3937.7200000000012</v>
      </c>
      <c r="I13" s="16">
        <f t="shared" si="2"/>
        <v>4606.5299999999988</v>
      </c>
    </row>
    <row r="14" spans="1:9" x14ac:dyDescent="0.3">
      <c r="B14" s="10" t="s">
        <v>63</v>
      </c>
      <c r="C14" s="11">
        <f>IFERROR(C13/C7,0)</f>
        <v>0.33965548918474442</v>
      </c>
      <c r="D14" s="11">
        <f t="shared" ref="D14:I14" si="3">IFERROR(D13/D7,0)</f>
        <v>1.4157291957643957E-3</v>
      </c>
      <c r="E14" s="11">
        <f t="shared" si="3"/>
        <v>0.27696958988554476</v>
      </c>
      <c r="F14" s="11">
        <f t="shared" si="3"/>
        <v>0.41304254282768577</v>
      </c>
      <c r="G14" s="11">
        <f t="shared" si="3"/>
        <v>0.42530600184672207</v>
      </c>
      <c r="H14" s="11">
        <f t="shared" si="3"/>
        <v>0.47245798808332562</v>
      </c>
      <c r="I14" s="11">
        <f t="shared" si="3"/>
        <v>0.47542836265457894</v>
      </c>
    </row>
    <row r="16" spans="1:9" x14ac:dyDescent="0.3">
      <c r="B16" t="s">
        <v>64</v>
      </c>
      <c r="C16" s="9">
        <f>IFERROR(SUM('Data Sheet'!E23:E24),0)</f>
        <v>548.4</v>
      </c>
      <c r="D16" s="9">
        <f>IFERROR(SUM('Data Sheet'!F23:F24),0)</f>
        <v>363.99</v>
      </c>
      <c r="E16" s="9">
        <f>IFERROR(SUM('Data Sheet'!G23:G24),0)</f>
        <v>441.72999999999996</v>
      </c>
      <c r="F16" s="9">
        <f>IFERROR(SUM('Data Sheet'!H23:H24),0)</f>
        <v>595.17999999999995</v>
      </c>
      <c r="G16" s="9">
        <f>IFERROR(SUM('Data Sheet'!I23:I24),0)</f>
        <v>719.28</v>
      </c>
      <c r="H16" s="9">
        <f>IFERROR(SUM('Data Sheet'!J23:J24),0)</f>
        <v>1168.3900000000001</v>
      </c>
      <c r="I16" s="9">
        <f>IFERROR(SUM('Data Sheet'!K23:K24),0)</f>
        <v>1410.73</v>
      </c>
    </row>
    <row r="17" spans="2:9" x14ac:dyDescent="0.3">
      <c r="B17" s="10" t="s">
        <v>65</v>
      </c>
      <c r="C17" s="11">
        <f>C16/C7</f>
        <v>0.1228731341611511</v>
      </c>
      <c r="D17" s="11">
        <f t="shared" ref="D17:I17" si="4">D16/D7</f>
        <v>0.23108128698037025</v>
      </c>
      <c r="E17" s="11">
        <f t="shared" si="4"/>
        <v>0.144534752079366</v>
      </c>
      <c r="F17" s="11">
        <f t="shared" si="4"/>
        <v>0.10244220650578063</v>
      </c>
      <c r="G17" s="11">
        <f t="shared" si="4"/>
        <v>0.10626481994459834</v>
      </c>
      <c r="H17" s="11">
        <f t="shared" si="4"/>
        <v>0.14018650099465596</v>
      </c>
      <c r="I17" s="11">
        <f t="shared" si="4"/>
        <v>0.14559789126472514</v>
      </c>
    </row>
    <row r="19" spans="2:9" x14ac:dyDescent="0.3">
      <c r="B19" s="15" t="s">
        <v>66</v>
      </c>
      <c r="C19" s="16">
        <f>IFERROR(C13-C16,0)</f>
        <v>967.53000000000031</v>
      </c>
      <c r="D19" s="16">
        <f t="shared" ref="D19:I19" si="5">IFERROR(D13-D16,0)</f>
        <v>-361.75999999999976</v>
      </c>
      <c r="E19" s="16">
        <f t="shared" si="5"/>
        <v>404.7499999999996</v>
      </c>
      <c r="F19" s="16">
        <f t="shared" si="5"/>
        <v>1804.56</v>
      </c>
      <c r="G19" s="16">
        <f t="shared" si="5"/>
        <v>2159.5100000000002</v>
      </c>
      <c r="H19" s="16">
        <f t="shared" si="5"/>
        <v>2769.3300000000008</v>
      </c>
      <c r="I19" s="16">
        <f t="shared" si="5"/>
        <v>3195.7999999999988</v>
      </c>
    </row>
    <row r="20" spans="2:9" x14ac:dyDescent="0.3">
      <c r="B20" s="10" t="s">
        <v>67</v>
      </c>
      <c r="C20" s="11">
        <f>C19/C7</f>
        <v>0.2167823550235933</v>
      </c>
      <c r="D20" s="11">
        <f t="shared" ref="D20:I20" si="6">D19/D7</f>
        <v>-0.22966555778460584</v>
      </c>
      <c r="E20" s="11">
        <f t="shared" si="6"/>
        <v>0.13243483780617876</v>
      </c>
      <c r="F20" s="11">
        <f t="shared" si="6"/>
        <v>0.31060033632190515</v>
      </c>
      <c r="G20" s="11">
        <f t="shared" si="6"/>
        <v>0.31904118190212377</v>
      </c>
      <c r="H20" s="11">
        <f t="shared" si="6"/>
        <v>0.3322714870886696</v>
      </c>
      <c r="I20" s="11">
        <f t="shared" si="6"/>
        <v>0.32983047138985377</v>
      </c>
    </row>
    <row r="22" spans="2:9" x14ac:dyDescent="0.3">
      <c r="B22" t="s">
        <v>6</v>
      </c>
      <c r="C22" s="9">
        <f>IFERROR('Data Sheet'!E27,0)</f>
        <v>341.12</v>
      </c>
      <c r="D22" s="9">
        <f>IFERROR('Data Sheet'!F27,0)</f>
        <v>402.82</v>
      </c>
      <c r="E22" s="9">
        <f>IFERROR('Data Sheet'!G27,0)</f>
        <v>427.66</v>
      </c>
      <c r="F22" s="9">
        <f>IFERROR('Data Sheet'!H27,0)</f>
        <v>236.05</v>
      </c>
      <c r="G22" s="9">
        <f>IFERROR('Data Sheet'!I27,0)</f>
        <v>220.22</v>
      </c>
      <c r="H22" s="9">
        <f>IFERROR('Data Sheet'!J27,0)</f>
        <v>208.38</v>
      </c>
      <c r="I22" s="9">
        <f>IFERROR('Data Sheet'!K27,0)</f>
        <v>221.35</v>
      </c>
    </row>
    <row r="23" spans="2:9" x14ac:dyDescent="0.3">
      <c r="B23" s="10" t="s">
        <v>68</v>
      </c>
      <c r="C23" s="11">
        <f>IFERROR(C22/C7,0)</f>
        <v>7.6430495122268169E-2</v>
      </c>
      <c r="D23" s="11">
        <f t="shared" ref="D23:I23" si="7">IFERROR(D22/D7,0)</f>
        <v>0.25573275095863274</v>
      </c>
      <c r="E23" s="11">
        <f t="shared" si="7"/>
        <v>0.13993102590782078</v>
      </c>
      <c r="F23" s="11">
        <f t="shared" si="7"/>
        <v>4.0628856557158373E-2</v>
      </c>
      <c r="G23" s="11">
        <f t="shared" si="7"/>
        <v>3.2534810710987995E-2</v>
      </c>
      <c r="H23" s="11">
        <f t="shared" si="7"/>
        <v>2.5001979713337504E-2</v>
      </c>
      <c r="I23" s="11">
        <f t="shared" si="7"/>
        <v>2.2844976169392378E-2</v>
      </c>
    </row>
    <row r="25" spans="2:9" x14ac:dyDescent="0.3">
      <c r="B25" t="s">
        <v>5</v>
      </c>
      <c r="C25" s="9">
        <f>IFERROR('Data Sheet'!E26,0)</f>
        <v>404.24</v>
      </c>
      <c r="D25" s="9">
        <f>IFERROR('Data Sheet'!F26,0)</f>
        <v>409.63</v>
      </c>
      <c r="E25" s="9">
        <f>IFERROR('Data Sheet'!G26,0)</f>
        <v>406.05</v>
      </c>
      <c r="F25" s="9">
        <f>IFERROR('Data Sheet'!H26,0)</f>
        <v>416.06</v>
      </c>
      <c r="G25" s="9">
        <f>IFERROR('Data Sheet'!I26,0)</f>
        <v>454.3</v>
      </c>
      <c r="H25" s="9">
        <f>IFERROR('Data Sheet'!J26,0)</f>
        <v>518.16</v>
      </c>
      <c r="I25" s="9">
        <f>IFERROR('Data Sheet'!K26,0)</f>
        <v>605.16</v>
      </c>
    </row>
    <row r="26" spans="2:9" x14ac:dyDescent="0.3">
      <c r="B26" s="11" t="s">
        <v>69</v>
      </c>
      <c r="C26" s="11">
        <f>IFERROR(C25/C7,0)</f>
        <v>9.057300465591489E-2</v>
      </c>
      <c r="D26" s="11">
        <f t="shared" ref="D26:I26" si="8">IFERROR(D25/D7,0)</f>
        <v>0.26005612128291727</v>
      </c>
      <c r="E26" s="11">
        <f t="shared" si="8"/>
        <v>0.1328601998547225</v>
      </c>
      <c r="F26" s="11">
        <f t="shared" si="8"/>
        <v>7.1612124800556287E-2</v>
      </c>
      <c r="G26" s="11">
        <f t="shared" si="8"/>
        <v>6.7117266851338869E-2</v>
      </c>
      <c r="H26" s="11">
        <f t="shared" si="8"/>
        <v>6.217019775536501E-2</v>
      </c>
      <c r="I26" s="11">
        <f t="shared" si="8"/>
        <v>6.2457039885563545E-2</v>
      </c>
    </row>
    <row r="28" spans="2:9" x14ac:dyDescent="0.3">
      <c r="B28" s="15" t="s">
        <v>70</v>
      </c>
      <c r="C28" s="16">
        <f>IFERROR(C19-SUM(C22,C25),0)</f>
        <v>222.1700000000003</v>
      </c>
      <c r="D28" s="16">
        <f>IFERROR(D19-SUM(D22,D25),0)</f>
        <v>-1174.2099999999998</v>
      </c>
      <c r="E28" s="16">
        <f t="shared" ref="E28:I28" si="9">IFERROR(E19-SUM(E22,E25),0)</f>
        <v>-428.96000000000043</v>
      </c>
      <c r="F28" s="16">
        <f t="shared" si="9"/>
        <v>1152.4499999999998</v>
      </c>
      <c r="G28" s="16">
        <f t="shared" si="9"/>
        <v>1484.9900000000002</v>
      </c>
      <c r="H28" s="16">
        <f t="shared" si="9"/>
        <v>2042.7900000000009</v>
      </c>
      <c r="I28" s="16">
        <f t="shared" si="9"/>
        <v>2369.2899999999991</v>
      </c>
    </row>
    <row r="29" spans="2:9" x14ac:dyDescent="0.3">
      <c r="B29" s="11" t="s">
        <v>71</v>
      </c>
      <c r="C29" s="11">
        <f t="shared" ref="C29:I29" si="10">IFERROR(C28/C7,0)</f>
        <v>4.9778855245410245E-2</v>
      </c>
      <c r="D29" s="11">
        <f t="shared" si="10"/>
        <v>-0.74545443002615597</v>
      </c>
      <c r="E29" s="11">
        <f t="shared" si="10"/>
        <v>-0.14035638795636454</v>
      </c>
      <c r="F29" s="11">
        <f t="shared" si="10"/>
        <v>0.19835935496419047</v>
      </c>
      <c r="G29" s="11">
        <f t="shared" si="10"/>
        <v>0.21938910433979689</v>
      </c>
      <c r="H29" s="11">
        <f t="shared" si="10"/>
        <v>0.24509930961996712</v>
      </c>
      <c r="I29" s="11">
        <f t="shared" si="10"/>
        <v>0.24452845533489787</v>
      </c>
    </row>
    <row r="31" spans="2:9" x14ac:dyDescent="0.3">
      <c r="B31" t="s">
        <v>72</v>
      </c>
      <c r="C31" s="9">
        <f>IFERROR('Data Sheet'!E28-'Data Sheet'!E30,0)</f>
        <v>41.120000000000005</v>
      </c>
      <c r="D31" s="9">
        <f>IFERROR('Data Sheet'!F28-'Data Sheet'!F30,0)</f>
        <v>-129.42999999999995</v>
      </c>
      <c r="E31" s="9">
        <f>IFERROR('Data Sheet'!G28-'Data Sheet'!G30,0)</f>
        <v>-10.460000000000008</v>
      </c>
      <c r="F31" s="9">
        <f>IFERROR('Data Sheet'!H28-'Data Sheet'!H30,0)</f>
        <v>292.05000000000007</v>
      </c>
      <c r="G31" s="9">
        <f>IFERROR('Data Sheet'!I28-'Data Sheet'!I30,0)</f>
        <v>406.46000000000004</v>
      </c>
      <c r="H31" s="9">
        <f>IFERROR('Data Sheet'!J28-'Data Sheet'!J30,0)</f>
        <v>670.46000000000026</v>
      </c>
      <c r="I31" s="9">
        <f>IFERROR('Data Sheet'!K28-'Data Sheet'!K30,0)</f>
        <v>841.48</v>
      </c>
    </row>
    <row r="32" spans="2:9" x14ac:dyDescent="0.3">
      <c r="B32" s="11" t="s">
        <v>73</v>
      </c>
      <c r="C32" s="11">
        <f>IFERROR(C31/C28,0)</f>
        <v>0.18508349462123577</v>
      </c>
      <c r="D32" s="11">
        <f t="shared" ref="D32:I32" si="11">IFERROR(D31/D28,0)</f>
        <v>0.11022730176033245</v>
      </c>
      <c r="E32" s="11">
        <f t="shared" si="11"/>
        <v>2.4384558000745984E-2</v>
      </c>
      <c r="F32" s="11">
        <f t="shared" si="11"/>
        <v>0.25341663412729415</v>
      </c>
      <c r="G32" s="11">
        <f t="shared" si="11"/>
        <v>0.27371228089078037</v>
      </c>
      <c r="H32" s="11">
        <f t="shared" si="11"/>
        <v>0.32820799005281992</v>
      </c>
      <c r="I32" s="11">
        <f t="shared" si="11"/>
        <v>0.35516125083885902</v>
      </c>
    </row>
    <row r="34" spans="1:9" x14ac:dyDescent="0.3">
      <c r="B34" s="15" t="s">
        <v>74</v>
      </c>
      <c r="C34" s="16">
        <f>IFERROR(C28-C31,0)</f>
        <v>181.0500000000003</v>
      </c>
      <c r="D34" s="16">
        <f t="shared" ref="D34:I34" si="12">IFERROR(D28-D31,0)</f>
        <v>-1044.7799999999997</v>
      </c>
      <c r="E34" s="16">
        <f>IFERROR(E28-E31,0)</f>
        <v>-418.50000000000045</v>
      </c>
      <c r="F34" s="16">
        <f t="shared" si="12"/>
        <v>860.39999999999975</v>
      </c>
      <c r="G34" s="16">
        <f t="shared" si="12"/>
        <v>1078.5300000000002</v>
      </c>
      <c r="H34" s="16">
        <f t="shared" si="12"/>
        <v>1372.3300000000006</v>
      </c>
      <c r="I34" s="16">
        <f t="shared" si="12"/>
        <v>1527.809999999999</v>
      </c>
    </row>
    <row r="35" spans="1:9" x14ac:dyDescent="0.3">
      <c r="B35" s="11" t="s">
        <v>75</v>
      </c>
      <c r="C35" s="11">
        <f>IFERROR(C34/C7,0)</f>
        <v>4.0565610758345083E-2</v>
      </c>
      <c r="D35" s="11">
        <f t="shared" ref="D35:H35" si="13">IFERROR(D34/D7,0)</f>
        <v>-0.66328499961908616</v>
      </c>
      <c r="E35" s="11">
        <f t="shared" si="13"/>
        <v>-0.1369338594734674</v>
      </c>
      <c r="F35" s="11">
        <f t="shared" si="13"/>
        <v>0.14809179488150415</v>
      </c>
      <c r="G35" s="11">
        <f t="shared" si="13"/>
        <v>0.15933961218836568</v>
      </c>
      <c r="H35" s="11">
        <f t="shared" si="13"/>
        <v>0.16465575784626391</v>
      </c>
      <c r="I35" s="11">
        <f>IFERROR(I34/I7,0)</f>
        <v>0.15768142327246149</v>
      </c>
    </row>
    <row r="37" spans="1:9" x14ac:dyDescent="0.3">
      <c r="B37" t="s">
        <v>40</v>
      </c>
      <c r="C37">
        <f>IFERROR('Data Sheet'!E93,0)</f>
        <v>132.13999999999999</v>
      </c>
      <c r="D37">
        <f>IFERROR('Data Sheet'!F93,0)</f>
        <v>132.13999999999999</v>
      </c>
      <c r="E37">
        <f>IFERROR('Data Sheet'!G93,0)</f>
        <v>142.04</v>
      </c>
      <c r="F37">
        <f>IFERROR('Data Sheet'!H93,0)</f>
        <v>142.04</v>
      </c>
      <c r="G37">
        <f>IFERROR('Data Sheet'!I93,0)</f>
        <v>142.34</v>
      </c>
      <c r="H37">
        <f>IFERROR('Data Sheet'!J93,0)</f>
        <v>142.34</v>
      </c>
      <c r="I37">
        <f>IFERROR('Data Sheet'!K93,0)</f>
        <v>142.34</v>
      </c>
    </row>
    <row r="39" spans="1:9" x14ac:dyDescent="0.3">
      <c r="B39" t="s">
        <v>31</v>
      </c>
      <c r="C39" s="9">
        <f>IFERROR(C34/C37,0)</f>
        <v>1.3701377327077366</v>
      </c>
      <c r="D39" s="9">
        <f t="shared" ref="D39:H39" si="14">IFERROR(D34/D37,0)</f>
        <v>-7.9066141970637194</v>
      </c>
      <c r="E39" s="9">
        <f t="shared" si="14"/>
        <v>-2.946353139960578</v>
      </c>
      <c r="F39" s="9">
        <f t="shared" si="14"/>
        <v>6.0574486060264698</v>
      </c>
      <c r="G39" s="9">
        <f t="shared" si="14"/>
        <v>7.5771392440635115</v>
      </c>
      <c r="H39" s="9">
        <f t="shared" si="14"/>
        <v>9.6412111844878492</v>
      </c>
      <c r="I39" s="9">
        <f>IFERROR(I34/I37,0)</f>
        <v>10.733525361809745</v>
      </c>
    </row>
    <row r="40" spans="1:9" x14ac:dyDescent="0.3">
      <c r="B40" s="11" t="s">
        <v>78</v>
      </c>
      <c r="C40" s="11"/>
      <c r="D40" s="11">
        <f>IFERROR(D39/C39-1,0)</f>
        <v>-6.7706710853355316</v>
      </c>
      <c r="E40" s="11">
        <f t="shared" ref="E40:H40" si="15">IFERROR(E39/D39-1,0)</f>
        <v>-0.62735589893145849</v>
      </c>
      <c r="F40" s="11">
        <f t="shared" si="15"/>
        <v>-3.0559139784946208</v>
      </c>
      <c r="G40" s="11">
        <f t="shared" si="15"/>
        <v>0.25087965856204253</v>
      </c>
      <c r="H40" s="11">
        <f t="shared" si="15"/>
        <v>0.2724078143398887</v>
      </c>
      <c r="I40" s="11">
        <f>IFERROR(I39/H39-1,0)</f>
        <v>0.11329636457703218</v>
      </c>
    </row>
    <row r="42" spans="1:9" x14ac:dyDescent="0.3">
      <c r="B42" t="s">
        <v>76</v>
      </c>
      <c r="C42" s="9">
        <f>'Data Sheet'!E31/'Data Sheet'!E93</f>
        <v>0.44997729680641751</v>
      </c>
      <c r="D42" s="9">
        <f>'Data Sheet'!F31/'Data Sheet'!F93</f>
        <v>0.35999697290752236</v>
      </c>
      <c r="E42" s="9">
        <f>'Data Sheet'!G31/'Data Sheet'!G93</f>
        <v>0.40002816108138556</v>
      </c>
      <c r="F42" s="9">
        <f>'Data Sheet'!H31/'Data Sheet'!H93</f>
        <v>1</v>
      </c>
      <c r="G42" s="9">
        <f>'Data Sheet'!I31/'Data Sheet'!I93</f>
        <v>1.7500351271603203</v>
      </c>
      <c r="H42" s="9">
        <f>'Data Sheet'!J31/'Data Sheet'!J93</f>
        <v>2.2499648728396795</v>
      </c>
      <c r="I42" s="9">
        <f>'Data Sheet'!K31/'Data Sheet'!K93</f>
        <v>3.2499648728396799</v>
      </c>
    </row>
    <row r="43" spans="1:9" x14ac:dyDescent="0.3">
      <c r="B43" s="11" t="s">
        <v>79</v>
      </c>
      <c r="C43" s="11">
        <f>'Data Sheet'!E31/'Data Sheet'!E30</f>
        <v>0.16776705603521244</v>
      </c>
      <c r="D43" s="11">
        <f>'Data Sheet'!F31/'Data Sheet'!F30</f>
        <v>-6.6059352043437811E-2</v>
      </c>
      <c r="E43" s="11">
        <f>'Data Sheet'!G31/'Data Sheet'!G30</f>
        <v>-0.2293718714677862</v>
      </c>
      <c r="F43" s="11">
        <f>'Data Sheet'!H31/'Data Sheet'!H30</f>
        <v>0.14167306675709909</v>
      </c>
      <c r="G43" s="11">
        <f>'Data Sheet'!I31/'Data Sheet'!I30</f>
        <v>0.19784444073800503</v>
      </c>
      <c r="H43" s="11">
        <f>'Data Sheet'!J31/'Data Sheet'!J30</f>
        <v>0.16788722943609477</v>
      </c>
      <c r="I43" s="11">
        <f>'Data Sheet'!K31/'Data Sheet'!K30</f>
        <v>0.22193649910285074</v>
      </c>
    </row>
    <row r="45" spans="1:9" x14ac:dyDescent="0.3">
      <c r="B45" t="s">
        <v>77</v>
      </c>
      <c r="C45" s="9">
        <f>IFERROR(IF(C39&gt;C42,1-C43,0),0)</f>
        <v>0.83223294396478753</v>
      </c>
      <c r="D45" s="9">
        <f>IFERROR(IF(D39&gt;D42,1-D43,0),0)</f>
        <v>0</v>
      </c>
      <c r="E45" s="9">
        <f t="shared" ref="E45:I45" si="16">IFERROR(IF(E39&gt;E42,1-E43,0),0)</f>
        <v>0</v>
      </c>
      <c r="F45" s="9">
        <f t="shared" si="16"/>
        <v>0.85832693324290088</v>
      </c>
      <c r="G45" s="9">
        <f t="shared" si="16"/>
        <v>0.802155559261995</v>
      </c>
      <c r="H45" s="9">
        <f t="shared" si="16"/>
        <v>0.8321127705639052</v>
      </c>
      <c r="I45" s="9">
        <f t="shared" si="16"/>
        <v>0.77806350089714926</v>
      </c>
    </row>
    <row r="47" spans="1:9" x14ac:dyDescent="0.3">
      <c r="A47" s="2" t="s">
        <v>58</v>
      </c>
      <c r="B47" s="172" t="s">
        <v>80</v>
      </c>
      <c r="C47" s="173"/>
      <c r="D47" s="173"/>
      <c r="E47" s="173"/>
      <c r="F47" s="173"/>
      <c r="G47" s="173"/>
      <c r="H47" s="173"/>
      <c r="I47" s="173"/>
    </row>
    <row r="48" spans="1:9" x14ac:dyDescent="0.3">
      <c r="B48" t="s">
        <v>11</v>
      </c>
      <c r="C48" s="9">
        <f>IFERROR('Data Sheet'!E57,0)</f>
        <v>118.93</v>
      </c>
      <c r="D48" s="9">
        <f>IFERROR('Data Sheet'!F57,0)</f>
        <v>118.93</v>
      </c>
      <c r="E48" s="9">
        <f>IFERROR('Data Sheet'!G57,0)</f>
        <v>142.04</v>
      </c>
      <c r="F48" s="9">
        <f>IFERROR('Data Sheet'!H57,0)</f>
        <v>142.04</v>
      </c>
      <c r="G48" s="9">
        <f>IFERROR('Data Sheet'!I57,0)</f>
        <v>142.34</v>
      </c>
      <c r="H48" s="9">
        <f>IFERROR('Data Sheet'!J57,0)</f>
        <v>142.34</v>
      </c>
      <c r="I48" s="9">
        <f>IFERROR('Data Sheet'!K57,0)</f>
        <v>142.34</v>
      </c>
    </row>
    <row r="49" spans="2:9" x14ac:dyDescent="0.3">
      <c r="B49" t="s">
        <v>12</v>
      </c>
      <c r="C49" s="9">
        <f>IFERROR('Data Sheet'!E58,0)</f>
        <v>4237.88</v>
      </c>
      <c r="D49" s="9">
        <f>IFERROR('Data Sheet'!F58,0)</f>
        <v>3529.51</v>
      </c>
      <c r="E49" s="9">
        <f>IFERROR('Data Sheet'!G58,0)</f>
        <v>6920.21</v>
      </c>
      <c r="F49" s="9">
        <f>IFERROR('Data Sheet'!H58,0)</f>
        <v>7839.92</v>
      </c>
      <c r="G49" s="9">
        <f>IFERROR('Data Sheet'!I58,0)</f>
        <v>9314.31</v>
      </c>
      <c r="H49" s="9">
        <f>IFERROR('Data Sheet'!J58,0)</f>
        <v>11018.37</v>
      </c>
      <c r="I49" s="9">
        <f>IFERROR('Data Sheet'!K58,0)</f>
        <v>12909.95</v>
      </c>
    </row>
    <row r="50" spans="2:9" x14ac:dyDescent="0.3">
      <c r="B50" t="s">
        <v>37</v>
      </c>
      <c r="C50" s="9">
        <f>IFERROR('Data Sheet'!E59,0)</f>
        <v>4500.78</v>
      </c>
      <c r="D50" s="9">
        <f>IFERROR('Data Sheet'!F59,0)</f>
        <v>5518.33</v>
      </c>
      <c r="E50" s="9">
        <f>IFERROR('Data Sheet'!G59,0)</f>
        <v>3887.87</v>
      </c>
      <c r="F50" s="9">
        <f>IFERROR('Data Sheet'!H59,0)</f>
        <v>3139.01</v>
      </c>
      <c r="G50" s="9">
        <f>IFERROR('Data Sheet'!I59,0)</f>
        <v>2736.23</v>
      </c>
      <c r="H50" s="9">
        <f>IFERROR('Data Sheet'!J59,0)</f>
        <v>3084.27</v>
      </c>
      <c r="I50" s="9">
        <f>IFERROR('Data Sheet'!K59,0)</f>
        <v>2836.55</v>
      </c>
    </row>
    <row r="51" spans="2:9" x14ac:dyDescent="0.3">
      <c r="B51" t="s">
        <v>38</v>
      </c>
      <c r="C51" s="9">
        <f>IFERROR('Data Sheet'!E60,0)</f>
        <v>2584.17</v>
      </c>
      <c r="D51" s="9">
        <f>IFERROR('Data Sheet'!F60,0)</f>
        <v>2267.89</v>
      </c>
      <c r="E51" s="9">
        <f>IFERROR('Data Sheet'!G60,0)</f>
        <v>2051.92</v>
      </c>
      <c r="F51" s="9">
        <f>IFERROR('Data Sheet'!H60,0)</f>
        <v>2391.0700000000002</v>
      </c>
      <c r="G51" s="9">
        <f>IFERROR('Data Sheet'!I60,0)</f>
        <v>2540.54</v>
      </c>
      <c r="H51" s="9">
        <f>IFERROR('Data Sheet'!J60,0)</f>
        <v>3371</v>
      </c>
      <c r="I51" s="9">
        <f>IFERROR('Data Sheet'!K60,0)</f>
        <v>4331.88</v>
      </c>
    </row>
    <row r="52" spans="2:9" x14ac:dyDescent="0.3">
      <c r="B52" s="15" t="s">
        <v>81</v>
      </c>
      <c r="C52" s="16">
        <f>IFERROR(SUM(C48:C51),0)</f>
        <v>11441.76</v>
      </c>
      <c r="D52" s="16">
        <f t="shared" ref="D52:I52" si="17">IFERROR(SUM(D48:D51),0)</f>
        <v>11434.66</v>
      </c>
      <c r="E52" s="16">
        <f t="shared" si="17"/>
        <v>13002.039999999999</v>
      </c>
      <c r="F52" s="16">
        <f t="shared" si="17"/>
        <v>13512.04</v>
      </c>
      <c r="G52" s="16">
        <f t="shared" si="17"/>
        <v>14733.419999999998</v>
      </c>
      <c r="H52" s="16">
        <f t="shared" si="17"/>
        <v>17615.980000000003</v>
      </c>
      <c r="I52" s="16">
        <f t="shared" si="17"/>
        <v>20220.72</v>
      </c>
    </row>
    <row r="53" spans="2:9" x14ac:dyDescent="0.3">
      <c r="C53" s="9"/>
      <c r="D53" s="9"/>
      <c r="E53" s="9"/>
      <c r="F53" s="9"/>
      <c r="G53" s="9"/>
      <c r="H53" s="9"/>
      <c r="I53" s="9"/>
    </row>
    <row r="54" spans="2:9" x14ac:dyDescent="0.3">
      <c r="B54" t="s">
        <v>82</v>
      </c>
      <c r="C54" s="9">
        <f>IFERROR('Data Sheet'!E62,0)</f>
        <v>8058.85</v>
      </c>
      <c r="D54" s="9">
        <f>IFERROR('Data Sheet'!F62,0)</f>
        <v>8437.7000000000007</v>
      </c>
      <c r="E54" s="9">
        <f>IFERROR('Data Sheet'!G62,0)</f>
        <v>8415.34</v>
      </c>
      <c r="F54" s="9">
        <f>IFERROR('Data Sheet'!H62,0)</f>
        <v>8818.5300000000007</v>
      </c>
      <c r="G54" s="9">
        <f>IFERROR('Data Sheet'!I62,0)</f>
        <v>9311.34</v>
      </c>
      <c r="H54" s="9">
        <f>IFERROR('Data Sheet'!J62,0)</f>
        <v>10918.18</v>
      </c>
      <c r="I54" s="9">
        <f>IFERROR('Data Sheet'!K62,0)</f>
        <v>12210.06</v>
      </c>
    </row>
    <row r="55" spans="2:9" x14ac:dyDescent="0.3">
      <c r="B55" t="s">
        <v>15</v>
      </c>
      <c r="C55" s="9">
        <f>IFERROR('Data Sheet'!E63,0)</f>
        <v>244.08</v>
      </c>
      <c r="D55" s="9">
        <f>IFERROR('Data Sheet'!F63,0)</f>
        <v>164.99</v>
      </c>
      <c r="E55" s="9">
        <f>IFERROR('Data Sheet'!G63,0)</f>
        <v>193.54</v>
      </c>
      <c r="F55" s="9">
        <f>IFERROR('Data Sheet'!H63,0)</f>
        <v>332.05</v>
      </c>
      <c r="G55" s="9">
        <f>IFERROR('Data Sheet'!I63,0)</f>
        <v>255.52</v>
      </c>
      <c r="H55" s="9">
        <f>IFERROR('Data Sheet'!J63,0)</f>
        <v>632.57000000000005</v>
      </c>
      <c r="I55" s="9">
        <f>IFERROR('Data Sheet'!K63,0)</f>
        <v>787.31</v>
      </c>
    </row>
    <row r="56" spans="2:9" x14ac:dyDescent="0.3">
      <c r="B56" t="s">
        <v>16</v>
      </c>
      <c r="C56" s="9">
        <f>IFERROR('Data Sheet'!E64,0)</f>
        <v>1426.59</v>
      </c>
      <c r="D56" s="9">
        <f>IFERROR('Data Sheet'!F64,0)</f>
        <v>1483.17</v>
      </c>
      <c r="E56" s="9">
        <f>IFERROR('Data Sheet'!G64,0)</f>
        <v>1966.8</v>
      </c>
      <c r="F56" s="9">
        <f>IFERROR('Data Sheet'!H64,0)</f>
        <v>1891.04</v>
      </c>
      <c r="G56" s="9">
        <f>IFERROR('Data Sheet'!I64,0)</f>
        <v>2261.1999999999998</v>
      </c>
      <c r="H56" s="9">
        <f>IFERROR('Data Sheet'!J64,0)</f>
        <v>2278.7600000000002</v>
      </c>
      <c r="I56" s="9">
        <f>IFERROR('Data Sheet'!K64,0)</f>
        <v>3606.43</v>
      </c>
    </row>
    <row r="57" spans="2:9" x14ac:dyDescent="0.3">
      <c r="B57" t="s">
        <v>39</v>
      </c>
      <c r="C57" s="9">
        <f>IFERROR('Data Sheet'!E65-SUM('Data Sheet'!E67:E69),0)</f>
        <v>1013.03</v>
      </c>
      <c r="D57" s="9">
        <f>IFERROR('Data Sheet'!F65-SUM('Data Sheet'!F67:F69),0)</f>
        <v>882.44999999999993</v>
      </c>
      <c r="E57" s="9">
        <f>IFERROR('Data Sheet'!G65-SUM('Data Sheet'!G67:G69),0)</f>
        <v>882.38000000000011</v>
      </c>
      <c r="F57" s="9">
        <f>IFERROR('Data Sheet'!H65-SUM('Data Sheet'!H67:H69),0)</f>
        <v>861.32999999999993</v>
      </c>
      <c r="G57" s="9">
        <f>IFERROR('Data Sheet'!I65-SUM('Data Sheet'!I67:I69),0)</f>
        <v>826.96</v>
      </c>
      <c r="H57" s="9">
        <f>IFERROR('Data Sheet'!J65-SUM('Data Sheet'!J67:J69),0)</f>
        <v>818.56</v>
      </c>
      <c r="I57" s="9">
        <f>IFERROR('Data Sheet'!K65-SUM('Data Sheet'!K67:K69),0)</f>
        <v>909.17999999999984</v>
      </c>
    </row>
    <row r="58" spans="2:9" x14ac:dyDescent="0.3">
      <c r="B58" s="2" t="s">
        <v>83</v>
      </c>
      <c r="C58" s="9">
        <f>IFERROR(SUM(C54:C57),0)</f>
        <v>10742.550000000001</v>
      </c>
      <c r="D58" s="9">
        <f t="shared" ref="D58:I58" si="18">IFERROR(SUM(D54:D57),0)</f>
        <v>10968.310000000001</v>
      </c>
      <c r="E58" s="9">
        <f t="shared" si="18"/>
        <v>11458.060000000001</v>
      </c>
      <c r="F58" s="9">
        <f t="shared" si="18"/>
        <v>11902.949999999999</v>
      </c>
      <c r="G58" s="9">
        <f t="shared" si="18"/>
        <v>12655.02</v>
      </c>
      <c r="H58" s="9">
        <f t="shared" si="18"/>
        <v>14648.07</v>
      </c>
      <c r="I58" s="9">
        <f t="shared" si="18"/>
        <v>17512.98</v>
      </c>
    </row>
    <row r="59" spans="2:9" x14ac:dyDescent="0.3">
      <c r="C59" s="9"/>
      <c r="D59" s="9"/>
      <c r="E59" s="9"/>
      <c r="F59" s="9"/>
      <c r="G59" s="9"/>
      <c r="H59" s="9"/>
      <c r="I59" s="9"/>
    </row>
    <row r="60" spans="2:9" x14ac:dyDescent="0.3">
      <c r="B60" t="s">
        <v>44</v>
      </c>
      <c r="C60" s="9">
        <f>IFERROR('Data Sheet'!E67,0)</f>
        <v>290.02</v>
      </c>
      <c r="D60" s="9">
        <f>IFERROR('Data Sheet'!F67,0)</f>
        <v>219.84</v>
      </c>
      <c r="E60" s="9">
        <f>IFERROR('Data Sheet'!G67,0)</f>
        <v>255.34</v>
      </c>
      <c r="F60" s="9">
        <f>IFERROR('Data Sheet'!H67,0)</f>
        <v>446.45</v>
      </c>
      <c r="G60" s="9">
        <f>IFERROR('Data Sheet'!I67,0)</f>
        <v>476.46</v>
      </c>
      <c r="H60" s="9">
        <f>IFERROR('Data Sheet'!J67,0)</f>
        <v>650.88</v>
      </c>
      <c r="I60" s="9">
        <f>IFERROR('Data Sheet'!K67,0)</f>
        <v>726.82</v>
      </c>
    </row>
    <row r="61" spans="2:9" x14ac:dyDescent="0.3">
      <c r="B61" t="s">
        <v>30</v>
      </c>
      <c r="C61" s="9">
        <f>IFERROR('Data Sheet'!E68,0)</f>
        <v>93.61</v>
      </c>
      <c r="D61" s="9">
        <f>IFERROR('Data Sheet'!F68,0)</f>
        <v>92.88</v>
      </c>
      <c r="E61" s="9">
        <f>IFERROR('Data Sheet'!G68,0)</f>
        <v>100.83</v>
      </c>
      <c r="F61" s="9">
        <f>IFERROR('Data Sheet'!H68,0)</f>
        <v>109.21</v>
      </c>
      <c r="G61" s="9">
        <f>IFERROR('Data Sheet'!I68,0)</f>
        <v>116.44</v>
      </c>
      <c r="H61" s="9">
        <f>IFERROR('Data Sheet'!J68,0)</f>
        <v>135.47</v>
      </c>
      <c r="I61" s="9">
        <f>IFERROR('Data Sheet'!K68,0)</f>
        <v>149.72999999999999</v>
      </c>
    </row>
    <row r="62" spans="2:9" x14ac:dyDescent="0.3">
      <c r="B62" t="s">
        <v>53</v>
      </c>
      <c r="C62" s="9">
        <f>IFERROR('Data Sheet'!E69,0)</f>
        <v>315.58</v>
      </c>
      <c r="D62" s="9">
        <f>IFERROR('Data Sheet'!F69,0)</f>
        <v>153.63</v>
      </c>
      <c r="E62" s="9">
        <f>IFERROR('Data Sheet'!G69,0)</f>
        <v>1187.81</v>
      </c>
      <c r="F62" s="9">
        <f>IFERROR('Data Sheet'!H69,0)</f>
        <v>1053.43</v>
      </c>
      <c r="G62" s="9">
        <f>IFERROR('Data Sheet'!I69,0)</f>
        <v>1485.5</v>
      </c>
      <c r="H62" s="9">
        <f>IFERROR('Data Sheet'!J69,0)</f>
        <v>2181.56</v>
      </c>
      <c r="I62" s="9">
        <f>IFERROR('Data Sheet'!K69,0)</f>
        <v>1831.19</v>
      </c>
    </row>
    <row r="63" spans="2:9" x14ac:dyDescent="0.3">
      <c r="B63" s="2" t="s">
        <v>84</v>
      </c>
      <c r="C63" s="9">
        <f>IFERROR(SUM(C60:C62),0)</f>
        <v>699.21</v>
      </c>
      <c r="D63" s="9">
        <f t="shared" ref="D63:I63" si="19">IFERROR(SUM(D60:D62),0)</f>
        <v>466.35</v>
      </c>
      <c r="E63" s="9">
        <f t="shared" si="19"/>
        <v>1543.98</v>
      </c>
      <c r="F63" s="9">
        <f t="shared" si="19"/>
        <v>1609.0900000000001</v>
      </c>
      <c r="G63" s="9">
        <f t="shared" si="19"/>
        <v>2078.4</v>
      </c>
      <c r="H63" s="9">
        <f t="shared" si="19"/>
        <v>2967.91</v>
      </c>
      <c r="I63" s="9">
        <f t="shared" si="19"/>
        <v>2707.7400000000002</v>
      </c>
    </row>
    <row r="64" spans="2:9" x14ac:dyDescent="0.3">
      <c r="B64" s="15" t="s">
        <v>115</v>
      </c>
      <c r="C64" s="16">
        <f>IFERROR(SUM(C63,C58),0)</f>
        <v>11441.760000000002</v>
      </c>
      <c r="D64" s="16">
        <f t="shared" ref="D64:I64" si="20">IFERROR(SUM(D63,D58),0)</f>
        <v>11434.660000000002</v>
      </c>
      <c r="E64" s="16">
        <f t="shared" si="20"/>
        <v>13002.04</v>
      </c>
      <c r="F64" s="16">
        <f t="shared" si="20"/>
        <v>13512.039999999999</v>
      </c>
      <c r="G64" s="16">
        <f t="shared" si="20"/>
        <v>14733.42</v>
      </c>
      <c r="H64" s="16">
        <f t="shared" si="20"/>
        <v>17615.98</v>
      </c>
      <c r="I64" s="16">
        <f t="shared" si="20"/>
        <v>20220.72</v>
      </c>
    </row>
    <row r="66" spans="1:9" x14ac:dyDescent="0.3">
      <c r="A66" s="2" t="s">
        <v>58</v>
      </c>
      <c r="B66" s="172" t="s">
        <v>108</v>
      </c>
      <c r="C66" s="173"/>
      <c r="D66" s="173"/>
      <c r="E66" s="173"/>
      <c r="F66" s="173"/>
      <c r="G66" s="173"/>
      <c r="H66" s="173"/>
      <c r="I66" s="173"/>
    </row>
    <row r="67" spans="1:9" x14ac:dyDescent="0.3">
      <c r="B67" s="2" t="s">
        <v>112</v>
      </c>
    </row>
    <row r="68" spans="1:9" x14ac:dyDescent="0.3">
      <c r="B68" t="str">
        <f>Cashflow!B3</f>
        <v>Profit from operations</v>
      </c>
      <c r="C68" s="9">
        <f>Cashflow!C3</f>
        <v>1006</v>
      </c>
      <c r="D68" s="9">
        <f>Cashflow!D3</f>
        <v>-265</v>
      </c>
      <c r="E68" s="9">
        <f>Cashflow!E3</f>
        <v>495</v>
      </c>
      <c r="F68" s="9">
        <f>Cashflow!F3</f>
        <v>1845</v>
      </c>
      <c r="G68" s="9">
        <f>Cashflow!G3</f>
        <v>2208</v>
      </c>
      <c r="H68" s="9">
        <f>Cashflow!H3</f>
        <v>2829</v>
      </c>
      <c r="I68" s="9">
        <f>Cashflow!I3</f>
        <v>3201</v>
      </c>
    </row>
    <row r="69" spans="1:9" x14ac:dyDescent="0.3">
      <c r="B69" t="str">
        <f>Cashflow!B4</f>
        <v>Receivables</v>
      </c>
      <c r="C69" s="9">
        <f>Cashflow!C4</f>
        <v>0</v>
      </c>
      <c r="D69" s="9">
        <f>Cashflow!D4</f>
        <v>0</v>
      </c>
      <c r="E69" s="9">
        <f>Cashflow!E4</f>
        <v>0</v>
      </c>
      <c r="F69" s="9">
        <f>Cashflow!F4</f>
        <v>0</v>
      </c>
      <c r="G69" s="9">
        <f>Cashflow!G4</f>
        <v>0</v>
      </c>
      <c r="H69" s="9">
        <f>Cashflow!H4</f>
        <v>-82</v>
      </c>
      <c r="I69" s="9">
        <f>Cashflow!I4</f>
        <v>-146</v>
      </c>
    </row>
    <row r="70" spans="1:9" x14ac:dyDescent="0.3">
      <c r="B70" t="str">
        <f>Cashflow!B5</f>
        <v>Inventory</v>
      </c>
      <c r="C70" s="9">
        <f>Cashflow!C5</f>
        <v>-13</v>
      </c>
      <c r="D70" s="9">
        <f>Cashflow!D5</f>
        <v>12</v>
      </c>
      <c r="E70" s="9">
        <f>Cashflow!E5</f>
        <v>-8</v>
      </c>
      <c r="F70" s="9">
        <f>Cashflow!F5</f>
        <v>-8</v>
      </c>
      <c r="G70" s="9">
        <f>Cashflow!G5</f>
        <v>-7</v>
      </c>
      <c r="H70" s="9">
        <f>Cashflow!H5</f>
        <v>-7</v>
      </c>
      <c r="I70" s="9">
        <f>Cashflow!I5</f>
        <v>-10</v>
      </c>
    </row>
    <row r="71" spans="1:9" x14ac:dyDescent="0.3">
      <c r="B71" t="str">
        <f>Cashflow!B6</f>
        <v>Payables</v>
      </c>
      <c r="C71" s="9">
        <f>Cashflow!C6</f>
        <v>0</v>
      </c>
      <c r="D71" s="9">
        <f>Cashflow!D6</f>
        <v>0</v>
      </c>
      <c r="E71" s="9">
        <f>Cashflow!E6</f>
        <v>0</v>
      </c>
      <c r="F71" s="9">
        <f>Cashflow!F6</f>
        <v>0</v>
      </c>
      <c r="G71" s="9">
        <f>Cashflow!G6</f>
        <v>0</v>
      </c>
      <c r="H71" s="9">
        <f>Cashflow!H6</f>
        <v>36</v>
      </c>
      <c r="I71" s="9">
        <f>Cashflow!I6</f>
        <v>92</v>
      </c>
    </row>
    <row r="72" spans="1:9" x14ac:dyDescent="0.3">
      <c r="B72" t="str">
        <f>Cashflow!B7</f>
        <v>Other WC items</v>
      </c>
      <c r="C72" s="9">
        <f>Cashflow!C7</f>
        <v>37</v>
      </c>
      <c r="D72" s="9">
        <f>Cashflow!D7</f>
        <v>-88</v>
      </c>
      <c r="E72" s="9">
        <f>Cashflow!E7</f>
        <v>129</v>
      </c>
      <c r="F72" s="9">
        <f>Cashflow!F7</f>
        <v>32</v>
      </c>
      <c r="G72" s="9">
        <f>Cashflow!G7</f>
        <v>43</v>
      </c>
      <c r="H72" s="9">
        <f>Cashflow!H7</f>
        <v>0</v>
      </c>
      <c r="I72" s="9">
        <f>Cashflow!I7</f>
        <v>0</v>
      </c>
    </row>
    <row r="73" spans="1:9" x14ac:dyDescent="0.3">
      <c r="B73" t="str">
        <f>Cashflow!B8</f>
        <v>Working capital changes</v>
      </c>
      <c r="C73" s="9">
        <f>Cashflow!C8</f>
        <v>23</v>
      </c>
      <c r="D73" s="9">
        <f>Cashflow!D8</f>
        <v>-77</v>
      </c>
      <c r="E73" s="9">
        <f>Cashflow!E8</f>
        <v>121</v>
      </c>
      <c r="F73" s="9">
        <f>Cashflow!F8</f>
        <v>24</v>
      </c>
      <c r="G73" s="9">
        <f>Cashflow!G8</f>
        <v>36</v>
      </c>
      <c r="H73" s="9">
        <f>Cashflow!H8</f>
        <v>-53</v>
      </c>
      <c r="I73" s="9">
        <f>Cashflow!I8</f>
        <v>-63</v>
      </c>
    </row>
    <row r="74" spans="1:9" x14ac:dyDescent="0.3">
      <c r="B74" t="str">
        <f>Cashflow!B9</f>
        <v>Direct taxes</v>
      </c>
      <c r="C74" s="9">
        <f>Cashflow!C9</f>
        <v>-206</v>
      </c>
      <c r="D74" s="9">
        <f>Cashflow!D9</f>
        <v>23</v>
      </c>
      <c r="E74" s="9">
        <f>Cashflow!E9</f>
        <v>55</v>
      </c>
      <c r="F74" s="9">
        <f>Cashflow!F9</f>
        <v>-250</v>
      </c>
      <c r="G74" s="9">
        <f>Cashflow!G9</f>
        <v>-309</v>
      </c>
      <c r="H74" s="9">
        <f>Cashflow!H9</f>
        <v>-581</v>
      </c>
      <c r="I74" s="9">
        <f>Cashflow!I9</f>
        <v>-667</v>
      </c>
    </row>
    <row r="75" spans="1:9" x14ac:dyDescent="0.3">
      <c r="B75" s="15" t="s">
        <v>109</v>
      </c>
      <c r="C75" s="17">
        <f>IFERROR(SUM(C68:C74),0)</f>
        <v>847</v>
      </c>
      <c r="D75" s="17">
        <f t="shared" ref="D75:I75" si="21">IFERROR(SUM(D68:D74),0)</f>
        <v>-395</v>
      </c>
      <c r="E75" s="17">
        <f t="shared" si="21"/>
        <v>792</v>
      </c>
      <c r="F75" s="17">
        <f t="shared" si="21"/>
        <v>1643</v>
      </c>
      <c r="G75" s="17">
        <f t="shared" si="21"/>
        <v>1971</v>
      </c>
      <c r="H75" s="17">
        <f t="shared" si="21"/>
        <v>2142</v>
      </c>
      <c r="I75" s="17">
        <f t="shared" si="21"/>
        <v>2407</v>
      </c>
    </row>
    <row r="76" spans="1:9" x14ac:dyDescent="0.3">
      <c r="B76" s="2"/>
      <c r="C76" s="9"/>
      <c r="D76" s="9"/>
      <c r="E76" s="9"/>
      <c r="F76" s="9"/>
      <c r="G76" s="9"/>
      <c r="H76" s="9"/>
      <c r="I76" s="9"/>
    </row>
    <row r="77" spans="1:9" x14ac:dyDescent="0.3">
      <c r="B77" s="2" t="s">
        <v>113</v>
      </c>
    </row>
    <row r="78" spans="1:9" x14ac:dyDescent="0.3">
      <c r="B78" t="str">
        <f>Cashflow!B11</f>
        <v>Fixed assets purchased</v>
      </c>
      <c r="C78" s="9">
        <f>Cashflow!C11</f>
        <v>-487</v>
      </c>
      <c r="D78" s="9">
        <f>Cashflow!D11</f>
        <v>-215</v>
      </c>
      <c r="E78" s="9">
        <f>Cashflow!E11</f>
        <v>-318</v>
      </c>
      <c r="F78" s="9">
        <f>Cashflow!F11</f>
        <v>-471</v>
      </c>
      <c r="G78" s="9">
        <f>Cashflow!G11</f>
        <v>-637</v>
      </c>
      <c r="H78" s="9">
        <f>Cashflow!H11</f>
        <v>-1074</v>
      </c>
      <c r="I78" s="9">
        <f>Cashflow!I11</f>
        <v>-1037</v>
      </c>
    </row>
    <row r="79" spans="1:9" x14ac:dyDescent="0.3">
      <c r="B79" t="str">
        <f>Cashflow!B12</f>
        <v>Fixed assets sold</v>
      </c>
      <c r="C79" s="9">
        <f>Cashflow!C12</f>
        <v>175</v>
      </c>
      <c r="D79" s="9">
        <f>Cashflow!D12</f>
        <v>28</v>
      </c>
      <c r="E79" s="9">
        <f>Cashflow!E12</f>
        <v>33</v>
      </c>
      <c r="F79" s="9">
        <f>Cashflow!F12</f>
        <v>43</v>
      </c>
      <c r="G79" s="9">
        <f>Cashflow!G12</f>
        <v>4</v>
      </c>
      <c r="H79" s="9">
        <f>Cashflow!H12</f>
        <v>12</v>
      </c>
      <c r="I79" s="9">
        <f>Cashflow!I12</f>
        <v>9</v>
      </c>
    </row>
    <row r="80" spans="1:9" x14ac:dyDescent="0.3">
      <c r="B80" t="str">
        <f>Cashflow!B13</f>
        <v>Investments purchased</v>
      </c>
      <c r="C80" s="9">
        <f>Cashflow!C13</f>
        <v>-1938</v>
      </c>
      <c r="D80" s="9">
        <f>Cashflow!D13</f>
        <v>-1512</v>
      </c>
      <c r="E80" s="9">
        <f>Cashflow!E13</f>
        <v>-2339</v>
      </c>
      <c r="F80" s="9">
        <f>Cashflow!F13</f>
        <v>-2069</v>
      </c>
      <c r="G80" s="9">
        <f>Cashflow!G13</f>
        <v>-2525</v>
      </c>
      <c r="H80" s="9">
        <f>Cashflow!H13</f>
        <v>-3156</v>
      </c>
      <c r="I80" s="9">
        <f>Cashflow!I13</f>
        <v>-5438</v>
      </c>
    </row>
    <row r="81" spans="2:9" x14ac:dyDescent="0.3">
      <c r="B81" t="str">
        <f>Cashflow!B14</f>
        <v>Investments sold</v>
      </c>
      <c r="C81" s="9">
        <f>Cashflow!C14</f>
        <v>1712</v>
      </c>
      <c r="D81" s="9">
        <f>Cashflow!D14</f>
        <v>1591</v>
      </c>
      <c r="E81" s="9">
        <f>Cashflow!E14</f>
        <v>1893</v>
      </c>
      <c r="F81" s="9">
        <f>Cashflow!F14</f>
        <v>2250</v>
      </c>
      <c r="G81" s="9">
        <f>Cashflow!G14</f>
        <v>2597</v>
      </c>
      <c r="H81" s="9">
        <f>Cashflow!H14</f>
        <v>3037</v>
      </c>
      <c r="I81" s="9">
        <f>Cashflow!I14</f>
        <v>4568</v>
      </c>
    </row>
    <row r="82" spans="2:9" x14ac:dyDescent="0.3">
      <c r="B82" t="str">
        <f>Cashflow!B15</f>
        <v>Subsidy received</v>
      </c>
      <c r="C82" s="9">
        <f>Cashflow!C15</f>
        <v>0</v>
      </c>
      <c r="D82" s="9">
        <f>Cashflow!D15</f>
        <v>0</v>
      </c>
      <c r="E82" s="9">
        <f>Cashflow!E15</f>
        <v>0</v>
      </c>
      <c r="F82" s="9">
        <f>Cashflow!F15</f>
        <v>0</v>
      </c>
      <c r="G82" s="9">
        <f>Cashflow!G15</f>
        <v>0</v>
      </c>
      <c r="H82" s="9">
        <f>Cashflow!H15</f>
        <v>5</v>
      </c>
      <c r="I82" s="9">
        <f>Cashflow!I15</f>
        <v>0</v>
      </c>
    </row>
    <row r="83" spans="2:9" x14ac:dyDescent="0.3">
      <c r="B83" t="str">
        <f>Cashflow!B16</f>
        <v>Interest received</v>
      </c>
      <c r="C83" s="9">
        <f>Cashflow!C16</f>
        <v>16</v>
      </c>
      <c r="D83" s="9">
        <f>Cashflow!D16</f>
        <v>18</v>
      </c>
      <c r="E83" s="9">
        <f>Cashflow!E16</f>
        <v>12</v>
      </c>
      <c r="F83" s="9">
        <f>Cashflow!F16</f>
        <v>30</v>
      </c>
      <c r="G83" s="9">
        <f>Cashflow!G16</f>
        <v>53</v>
      </c>
      <c r="H83" s="9">
        <f>Cashflow!H16</f>
        <v>109</v>
      </c>
      <c r="I83" s="9">
        <f>Cashflow!I16</f>
        <v>107</v>
      </c>
    </row>
    <row r="84" spans="2:9" x14ac:dyDescent="0.3">
      <c r="B84" t="str">
        <f>Cashflow!B17</f>
        <v>Dividends received</v>
      </c>
      <c r="C84" s="9">
        <f>Cashflow!C17</f>
        <v>14</v>
      </c>
      <c r="D84" s="9">
        <f>Cashflow!D17</f>
        <v>7</v>
      </c>
      <c r="E84" s="9">
        <f>Cashflow!E17</f>
        <v>8</v>
      </c>
      <c r="F84" s="9">
        <f>Cashflow!F17</f>
        <v>5</v>
      </c>
      <c r="G84" s="9">
        <f>Cashflow!G17</f>
        <v>27</v>
      </c>
      <c r="H84" s="9">
        <f>Cashflow!H17</f>
        <v>44</v>
      </c>
      <c r="I84" s="9">
        <f>Cashflow!I17</f>
        <v>45</v>
      </c>
    </row>
    <row r="85" spans="2:9" x14ac:dyDescent="0.3">
      <c r="B85" t="str">
        <f>Cashflow!B18</f>
        <v>Investment in group cos</v>
      </c>
      <c r="C85" s="9">
        <f>Cashflow!C18</f>
        <v>0</v>
      </c>
      <c r="D85" s="9">
        <f>Cashflow!D18</f>
        <v>-73</v>
      </c>
      <c r="E85" s="9">
        <f>Cashflow!E18</f>
        <v>-544</v>
      </c>
      <c r="F85" s="9">
        <f>Cashflow!F18</f>
        <v>0</v>
      </c>
      <c r="G85" s="9">
        <f>Cashflow!G18</f>
        <v>0</v>
      </c>
      <c r="H85" s="9">
        <f>Cashflow!H18</f>
        <v>0</v>
      </c>
      <c r="I85" s="9">
        <f>Cashflow!I18</f>
        <v>0</v>
      </c>
    </row>
    <row r="86" spans="2:9" x14ac:dyDescent="0.3">
      <c r="B86" t="str">
        <f>Cashflow!B19</f>
        <v>Redemp n Canc of Shares</v>
      </c>
      <c r="C86" s="9">
        <f>Cashflow!C19</f>
        <v>30</v>
      </c>
      <c r="D86" s="9">
        <f>Cashflow!D19</f>
        <v>0</v>
      </c>
      <c r="E86" s="9">
        <f>Cashflow!E19</f>
        <v>0</v>
      </c>
      <c r="F86" s="9">
        <f>Cashflow!F19</f>
        <v>0</v>
      </c>
      <c r="G86" s="9">
        <f>Cashflow!G19</f>
        <v>0</v>
      </c>
      <c r="H86" s="9">
        <f>Cashflow!H19</f>
        <v>0</v>
      </c>
      <c r="I86" s="9">
        <f>Cashflow!I19</f>
        <v>0</v>
      </c>
    </row>
    <row r="87" spans="2:9" x14ac:dyDescent="0.3">
      <c r="B87" t="str">
        <f>Cashflow!B20</f>
        <v>Acquisition of companies</v>
      </c>
      <c r="C87" s="9">
        <f>Cashflow!C20</f>
        <v>0</v>
      </c>
      <c r="D87" s="9">
        <f>Cashflow!D20</f>
        <v>0</v>
      </c>
      <c r="E87" s="9">
        <f>Cashflow!E20</f>
        <v>0</v>
      </c>
      <c r="F87" s="9">
        <f>Cashflow!F20</f>
        <v>0</v>
      </c>
      <c r="G87" s="9">
        <f>Cashflow!G20</f>
        <v>0</v>
      </c>
      <c r="H87" s="9">
        <f>Cashflow!H20</f>
        <v>-18</v>
      </c>
      <c r="I87" s="9">
        <f>Cashflow!I20</f>
        <v>-412</v>
      </c>
    </row>
    <row r="88" spans="2:9" x14ac:dyDescent="0.3">
      <c r="B88" t="str">
        <f>Cashflow!B21</f>
        <v>Other investing items</v>
      </c>
      <c r="C88" s="9">
        <f>Cashflow!C21</f>
        <v>-18</v>
      </c>
      <c r="D88" s="9">
        <f>Cashflow!D21</f>
        <v>39</v>
      </c>
      <c r="E88" s="9">
        <f>Cashflow!E21</f>
        <v>-385</v>
      </c>
      <c r="F88" s="9">
        <f>Cashflow!F21</f>
        <v>73</v>
      </c>
      <c r="G88" s="9">
        <f>Cashflow!G21</f>
        <v>-727</v>
      </c>
      <c r="H88" s="9">
        <f>Cashflow!H21</f>
        <v>-829</v>
      </c>
      <c r="I88" s="9">
        <f>Cashflow!I21</f>
        <v>811</v>
      </c>
    </row>
    <row r="89" spans="2:9" x14ac:dyDescent="0.3">
      <c r="B89" s="15" t="s">
        <v>110</v>
      </c>
      <c r="C89" s="17">
        <f>IFERROR(SUM(C78:C88),0)</f>
        <v>-496</v>
      </c>
      <c r="D89" s="17">
        <f t="shared" ref="D89:I89" si="22">IFERROR(SUM(D78:D88),0)</f>
        <v>-117</v>
      </c>
      <c r="E89" s="17">
        <f t="shared" si="22"/>
        <v>-1640</v>
      </c>
      <c r="F89" s="17">
        <f t="shared" si="22"/>
        <v>-139</v>
      </c>
      <c r="G89" s="17">
        <f t="shared" si="22"/>
        <v>-1208</v>
      </c>
      <c r="H89" s="17">
        <f t="shared" si="22"/>
        <v>-1870</v>
      </c>
      <c r="I89" s="17">
        <f t="shared" si="22"/>
        <v>-1347</v>
      </c>
    </row>
    <row r="90" spans="2:9" x14ac:dyDescent="0.3">
      <c r="C90" s="9"/>
      <c r="D90" s="9"/>
      <c r="E90" s="9"/>
      <c r="F90" s="9"/>
      <c r="G90" s="9"/>
      <c r="H90" s="9"/>
      <c r="I90" s="9"/>
    </row>
    <row r="91" spans="2:9" x14ac:dyDescent="0.3">
      <c r="B91" s="2" t="s">
        <v>114</v>
      </c>
    </row>
    <row r="92" spans="2:9" x14ac:dyDescent="0.3">
      <c r="B92" t="str">
        <f>Cashflow!B23</f>
        <v>Proceeds from shares</v>
      </c>
      <c r="C92" s="9">
        <f>Cashflow!C23</f>
        <v>0</v>
      </c>
      <c r="D92" s="9">
        <f>Cashflow!D23</f>
        <v>0</v>
      </c>
      <c r="E92" s="9">
        <f>Cashflow!E23</f>
        <v>3982</v>
      </c>
      <c r="F92" s="9">
        <f>Cashflow!F23</f>
        <v>1</v>
      </c>
      <c r="G92" s="9">
        <f>Cashflow!G23</f>
        <v>6</v>
      </c>
      <c r="H92" s="9">
        <f>Cashflow!H23</f>
        <v>0</v>
      </c>
      <c r="I92" s="9">
        <f>Cashflow!I23</f>
        <v>0</v>
      </c>
    </row>
    <row r="93" spans="2:9" x14ac:dyDescent="0.3">
      <c r="B93" t="str">
        <f>Cashflow!B24</f>
        <v>Redemption of debentures</v>
      </c>
      <c r="C93" s="9">
        <f>Cashflow!C24</f>
        <v>0</v>
      </c>
      <c r="D93" s="9">
        <f>Cashflow!D24</f>
        <v>0</v>
      </c>
      <c r="E93" s="9">
        <f>Cashflow!E24</f>
        <v>0</v>
      </c>
      <c r="F93" s="9">
        <f>Cashflow!F24</f>
        <v>0</v>
      </c>
      <c r="G93" s="9">
        <f>Cashflow!G24</f>
        <v>0</v>
      </c>
      <c r="H93" s="9">
        <f>Cashflow!H24</f>
        <v>0</v>
      </c>
      <c r="I93" s="9">
        <f>Cashflow!I24</f>
        <v>0</v>
      </c>
    </row>
    <row r="94" spans="2:9" x14ac:dyDescent="0.3">
      <c r="B94" t="str">
        <f>Cashflow!B25</f>
        <v>Proceeds from borrowings</v>
      </c>
      <c r="C94" s="9">
        <f>Cashflow!C25</f>
        <v>1015</v>
      </c>
      <c r="D94" s="9">
        <f>Cashflow!D25</f>
        <v>1141</v>
      </c>
      <c r="E94" s="9">
        <f>Cashflow!E25</f>
        <v>1520</v>
      </c>
      <c r="F94" s="9">
        <f>Cashflow!F25</f>
        <v>59</v>
      </c>
      <c r="G94" s="9">
        <f>Cashflow!G25</f>
        <v>138</v>
      </c>
      <c r="H94" s="9">
        <f>Cashflow!H25</f>
        <v>275</v>
      </c>
      <c r="I94" s="9">
        <f>Cashflow!I25</f>
        <v>99</v>
      </c>
    </row>
    <row r="95" spans="2:9" x14ac:dyDescent="0.3">
      <c r="B95" t="str">
        <f>Cashflow!B26</f>
        <v>Repayment of borrowings</v>
      </c>
      <c r="C95" s="9">
        <f>Cashflow!C26</f>
        <v>-793</v>
      </c>
      <c r="D95" s="9">
        <f>Cashflow!D26</f>
        <v>-428</v>
      </c>
      <c r="E95" s="9">
        <f>Cashflow!E26</f>
        <v>-3176</v>
      </c>
      <c r="F95" s="9">
        <f>Cashflow!F26</f>
        <v>-1253</v>
      </c>
      <c r="G95" s="9">
        <f>Cashflow!G26</f>
        <v>-709</v>
      </c>
      <c r="H95" s="9">
        <f>Cashflow!H26</f>
        <v>-325</v>
      </c>
      <c r="I95" s="9">
        <f>Cashflow!I26</f>
        <v>-461</v>
      </c>
    </row>
    <row r="96" spans="2:9" x14ac:dyDescent="0.3">
      <c r="B96" t="str">
        <f>Cashflow!B27</f>
        <v>Interest paid fin</v>
      </c>
      <c r="C96" s="9">
        <f>Cashflow!C27</f>
        <v>-155</v>
      </c>
      <c r="D96" s="9">
        <f>Cashflow!D27</f>
        <v>-232</v>
      </c>
      <c r="E96" s="9">
        <f>Cashflow!E27</f>
        <v>-281</v>
      </c>
      <c r="F96" s="9">
        <f>Cashflow!F27</f>
        <v>-83</v>
      </c>
      <c r="G96" s="9">
        <f>Cashflow!G27</f>
        <v>-67</v>
      </c>
      <c r="H96" s="9">
        <f>Cashflow!H27</f>
        <v>-27</v>
      </c>
      <c r="I96" s="9">
        <f>Cashflow!I27</f>
        <v>-22</v>
      </c>
    </row>
    <row r="97" spans="2:9" x14ac:dyDescent="0.3">
      <c r="B97" t="str">
        <f>Cashflow!B28</f>
        <v>Dividends paid</v>
      </c>
      <c r="C97" s="9">
        <f>Cashflow!C28</f>
        <v>-76</v>
      </c>
      <c r="D97" s="9">
        <f>Cashflow!D28</f>
        <v>-60</v>
      </c>
      <c r="E97" s="9">
        <f>Cashflow!E28</f>
        <v>-52</v>
      </c>
      <c r="F97" s="9">
        <f>Cashflow!F28</f>
        <v>-64</v>
      </c>
      <c r="G97" s="9">
        <f>Cashflow!G28</f>
        <v>-155</v>
      </c>
      <c r="H97" s="9">
        <f>Cashflow!H28</f>
        <v>-252</v>
      </c>
      <c r="I97" s="9">
        <f>Cashflow!I28</f>
        <v>-342</v>
      </c>
    </row>
    <row r="98" spans="2:9" x14ac:dyDescent="0.3">
      <c r="B98" t="str">
        <f>Cashflow!B29</f>
        <v>Financial liabilities</v>
      </c>
      <c r="C98" s="9">
        <f>Cashflow!C29</f>
        <v>-136</v>
      </c>
      <c r="D98" s="9">
        <f>Cashflow!D29</f>
        <v>-139</v>
      </c>
      <c r="E98" s="9">
        <f>Cashflow!E29</f>
        <v>-151</v>
      </c>
      <c r="F98" s="9">
        <f>Cashflow!F29</f>
        <v>-187</v>
      </c>
      <c r="G98" s="9">
        <f>Cashflow!G29</f>
        <v>-198</v>
      </c>
      <c r="H98" s="9">
        <f>Cashflow!H29</f>
        <v>-218</v>
      </c>
      <c r="I98" s="9">
        <f>Cashflow!I29</f>
        <v>-263</v>
      </c>
    </row>
    <row r="99" spans="2:9" x14ac:dyDescent="0.3">
      <c r="B99" t="str">
        <f>Cashflow!B30</f>
        <v>Other financing items</v>
      </c>
      <c r="C99" s="9">
        <f>Cashflow!C30</f>
        <v>-121</v>
      </c>
      <c r="D99" s="9">
        <f>Cashflow!D30</f>
        <v>-1</v>
      </c>
      <c r="E99" s="9">
        <f>Cashflow!E30</f>
        <v>-184</v>
      </c>
      <c r="F99" s="9">
        <f>Cashflow!F30</f>
        <v>-1</v>
      </c>
      <c r="G99" s="9">
        <f>Cashflow!G30</f>
        <v>0</v>
      </c>
      <c r="H99" s="9">
        <f>Cashflow!H30</f>
        <v>0</v>
      </c>
      <c r="I99" s="9">
        <f>Cashflow!I30</f>
        <v>13</v>
      </c>
    </row>
    <row r="100" spans="2:9" x14ac:dyDescent="0.3">
      <c r="B100" s="15" t="s">
        <v>111</v>
      </c>
      <c r="C100" s="17">
        <f>IFERROR(SUM(C92:C99),0)</f>
        <v>-266</v>
      </c>
      <c r="D100" s="17">
        <f t="shared" ref="D100:I100" si="23">IFERROR(SUM(D92:D99),0)</f>
        <v>281</v>
      </c>
      <c r="E100" s="17">
        <f t="shared" si="23"/>
        <v>1658</v>
      </c>
      <c r="F100" s="17">
        <f t="shared" si="23"/>
        <v>-1528</v>
      </c>
      <c r="G100" s="17">
        <f t="shared" si="23"/>
        <v>-985</v>
      </c>
      <c r="H100" s="17">
        <f t="shared" si="23"/>
        <v>-547</v>
      </c>
      <c r="I100" s="17">
        <f t="shared" si="23"/>
        <v>-976</v>
      </c>
    </row>
    <row r="102" spans="2:9" x14ac:dyDescent="0.3">
      <c r="B102" s="15" t="s">
        <v>21</v>
      </c>
      <c r="C102" s="16">
        <f>IFERROR(SUM(C100,C89,C75),0)</f>
        <v>85</v>
      </c>
      <c r="D102" s="16">
        <f t="shared" ref="D102:I102" si="24">IFERROR(SUM(D100,D89,D75),0)</f>
        <v>-231</v>
      </c>
      <c r="E102" s="16">
        <f t="shared" si="24"/>
        <v>810</v>
      </c>
      <c r="F102" s="16">
        <f t="shared" si="24"/>
        <v>-24</v>
      </c>
      <c r="G102" s="16">
        <f t="shared" si="24"/>
        <v>-222</v>
      </c>
      <c r="H102" s="16">
        <f t="shared" si="24"/>
        <v>-275</v>
      </c>
      <c r="I102" s="16">
        <f t="shared" si="24"/>
        <v>84</v>
      </c>
    </row>
  </sheetData>
  <mergeCells count="1">
    <mergeCell ref="B1:B3"/>
  </mergeCells>
  <pageMargins left="0.7" right="0.7" top="0.75" bottom="0.75" header="0.3" footer="0.3"/>
  <ignoredErrors>
    <ignoredError sqref="C16:I1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40CC-565A-4218-930A-197CAFB512C2}">
  <dimension ref="A2:I40"/>
  <sheetViews>
    <sheetView showGridLines="0" zoomScale="118" workbookViewId="0">
      <selection activeCell="D5" sqref="D5"/>
    </sheetView>
  </sheetViews>
  <sheetFormatPr defaultRowHeight="14.4" x14ac:dyDescent="0.3"/>
  <cols>
    <col min="1" max="1" width="2.33203125" customWidth="1"/>
    <col min="2" max="2" width="21" bestFit="1" customWidth="1"/>
    <col min="3" max="3" width="10" bestFit="1" customWidth="1"/>
    <col min="4" max="4" width="9.21875" bestFit="1" customWidth="1"/>
    <col min="5" max="5" width="10" bestFit="1" customWidth="1"/>
    <col min="6" max="7" width="11" bestFit="1" customWidth="1"/>
    <col min="8" max="8" width="13.109375" bestFit="1" customWidth="1"/>
    <col min="9" max="9" width="9.21875" bestFit="1" customWidth="1"/>
  </cols>
  <sheetData>
    <row r="2" spans="1:9" x14ac:dyDescent="0.3">
      <c r="A2" t="s">
        <v>58</v>
      </c>
      <c r="B2" s="209" t="str">
        <f>"Common Size P&amp;L Statement-"&amp;'Data Sheet'!B1</f>
        <v>Common Size P&amp;L Statement-INDIAN HOTELS CO LTD</v>
      </c>
      <c r="C2" s="209"/>
      <c r="D2" s="209"/>
      <c r="E2" s="209"/>
      <c r="F2" s="209"/>
      <c r="G2" s="209"/>
      <c r="H2" s="209"/>
      <c r="I2" s="209"/>
    </row>
    <row r="3" spans="1:9" s="19" customFormat="1" x14ac:dyDescent="0.3">
      <c r="B3" s="20"/>
      <c r="C3" s="20"/>
      <c r="D3" s="20"/>
      <c r="E3" s="20"/>
      <c r="F3" s="20"/>
      <c r="G3" s="20"/>
      <c r="H3" s="20"/>
      <c r="I3" s="20"/>
    </row>
    <row r="4" spans="1:9" x14ac:dyDescent="0.3">
      <c r="B4" s="170" t="s">
        <v>225</v>
      </c>
      <c r="C4" s="171">
        <f>'Data Sheet'!E16</f>
        <v>43921</v>
      </c>
      <c r="D4" s="171">
        <f>'Data Sheet'!F16</f>
        <v>44286</v>
      </c>
      <c r="E4" s="171">
        <f>'Data Sheet'!G16</f>
        <v>44651</v>
      </c>
      <c r="F4" s="171">
        <f>'Data Sheet'!H16</f>
        <v>45016</v>
      </c>
      <c r="G4" s="171">
        <f>'Data Sheet'!I16</f>
        <v>45382</v>
      </c>
      <c r="H4" s="171">
        <f>'Data Sheet'!J16</f>
        <v>45747</v>
      </c>
      <c r="I4" s="171">
        <f>'Data Sheet'!K16</f>
        <v>46112</v>
      </c>
    </row>
    <row r="6" spans="1:9" x14ac:dyDescent="0.3">
      <c r="B6" t="s">
        <v>1</v>
      </c>
      <c r="C6" s="18">
        <f>'Data Sheet'!E17/'Data Sheet'!E$17</f>
        <v>1</v>
      </c>
      <c r="D6" s="18">
        <f>'Data Sheet'!F17/'Data Sheet'!F$17</f>
        <v>1</v>
      </c>
      <c r="E6" s="18">
        <f>'Data Sheet'!G17/'Data Sheet'!G$17</f>
        <v>1</v>
      </c>
      <c r="F6" s="18">
        <f>'Data Sheet'!H17/'Data Sheet'!H$17</f>
        <v>1</v>
      </c>
      <c r="G6" s="18">
        <f>'Data Sheet'!I17/'Data Sheet'!I$17</f>
        <v>1</v>
      </c>
      <c r="H6" s="18">
        <f>'Data Sheet'!J17/'Data Sheet'!J$17</f>
        <v>1</v>
      </c>
      <c r="I6" s="18">
        <f>'Data Sheet'!K17/'Data Sheet'!K$17</f>
        <v>1</v>
      </c>
    </row>
    <row r="7" spans="1:9" x14ac:dyDescent="0.3">
      <c r="B7" t="s">
        <v>46</v>
      </c>
      <c r="C7" s="18">
        <f>'Data Sheet'!E18/'Data Sheet'!E$17</f>
        <v>8.3026747984602758E-2</v>
      </c>
      <c r="D7" s="18">
        <f>'Data Sheet'!F18/'Data Sheet'!F$17</f>
        <v>9.1305010284669488E-2</v>
      </c>
      <c r="E7" s="18">
        <f>'Data Sheet'!G18/'Data Sheet'!G$17</f>
        <v>8.4166061343751444E-2</v>
      </c>
      <c r="F7" s="18">
        <f>'Data Sheet'!H18/'Data Sheet'!H$17</f>
        <v>8.1393687681909008E-2</v>
      </c>
      <c r="G7" s="18">
        <f>'Data Sheet'!I18/'Data Sheet'!I$17</f>
        <v>7.6946260387811646E-2</v>
      </c>
      <c r="H7" s="18">
        <f>'Data Sheet'!J18/'Data Sheet'!J$17</f>
        <v>9.2836557266507802E-2</v>
      </c>
      <c r="I7" s="18">
        <f>'Data Sheet'!K18/'Data Sheet'!K$17</f>
        <v>9.8138962682238623E-2</v>
      </c>
    </row>
    <row r="8" spans="1:9" x14ac:dyDescent="0.3">
      <c r="B8" t="s">
        <v>47</v>
      </c>
      <c r="C8" s="18">
        <f>'Data Sheet'!E19/'Data Sheet'!E$17</f>
        <v>0</v>
      </c>
      <c r="D8" s="18">
        <f>'Data Sheet'!F19/'Data Sheet'!F$17</f>
        <v>0</v>
      </c>
      <c r="E8" s="18">
        <f>'Data Sheet'!G19/'Data Sheet'!G$17</f>
        <v>0</v>
      </c>
      <c r="F8" s="18">
        <f>'Data Sheet'!H19/'Data Sheet'!H$17</f>
        <v>0</v>
      </c>
      <c r="G8" s="18">
        <f>'Data Sheet'!I19/'Data Sheet'!I$17</f>
        <v>0</v>
      </c>
      <c r="H8" s="18">
        <f>'Data Sheet'!J19/'Data Sheet'!J$17</f>
        <v>0</v>
      </c>
      <c r="I8" s="18">
        <f>'Data Sheet'!K19/'Data Sheet'!K$17</f>
        <v>0</v>
      </c>
    </row>
    <row r="9" spans="1:9" x14ac:dyDescent="0.3">
      <c r="B9" t="s">
        <v>48</v>
      </c>
      <c r="C9" s="18">
        <f>'Data Sheet'!E20/'Data Sheet'!E$17</f>
        <v>6.0466398096407456E-2</v>
      </c>
      <c r="D9" s="18">
        <f>'Data Sheet'!F20/'Data Sheet'!F$17</f>
        <v>0.10973488407526853</v>
      </c>
      <c r="E9" s="18">
        <f>'Data Sheet'!G20/'Data Sheet'!G$17</f>
        <v>7.355164222470896E-2</v>
      </c>
      <c r="F9" s="18">
        <f>'Data Sheet'!H20/'Data Sheet'!H$17</f>
        <v>5.2167761634861809E-2</v>
      </c>
      <c r="G9" s="18">
        <f>'Data Sheet'!I20/'Data Sheet'!I$17</f>
        <v>4.5649492151431208E-2</v>
      </c>
      <c r="H9" s="18">
        <f>'Data Sheet'!J20/'Data Sheet'!J$17</f>
        <v>4.3272934079145335E-2</v>
      </c>
      <c r="I9" s="18">
        <f>'Data Sheet'!K20/'Data Sheet'!K$17</f>
        <v>3.8919541511081394E-2</v>
      </c>
    </row>
    <row r="10" spans="1:9" x14ac:dyDescent="0.3">
      <c r="B10" t="s">
        <v>49</v>
      </c>
      <c r="C10" s="18">
        <f>'Data Sheet'!E21/'Data Sheet'!E$17</f>
        <v>0.18106310803604636</v>
      </c>
      <c r="D10" s="18">
        <f>'Data Sheet'!F21/'Data Sheet'!F$17</f>
        <v>0.22863074227380073</v>
      </c>
      <c r="E10" s="18">
        <f>'Data Sheet'!G21/'Data Sheet'!G$17</f>
        <v>0.18791840901505785</v>
      </c>
      <c r="F10" s="18">
        <f>'Data Sheet'!H21/'Data Sheet'!H$17</f>
        <v>0.17995115242749027</v>
      </c>
      <c r="G10" s="18">
        <f>'Data Sheet'!I21/'Data Sheet'!I$17</f>
        <v>0.18453333333333333</v>
      </c>
      <c r="H10" s="18">
        <f>'Data Sheet'!J21/'Data Sheet'!J$17</f>
        <v>0.13266958944344859</v>
      </c>
      <c r="I10" s="18">
        <f>'Data Sheet'!K21/'Data Sheet'!K$17</f>
        <v>0.13034588955560925</v>
      </c>
    </row>
    <row r="11" spans="1:9" x14ac:dyDescent="0.3">
      <c r="B11" t="s">
        <v>50</v>
      </c>
      <c r="C11" s="18">
        <f>'Data Sheet'!E22/'Data Sheet'!E$17</f>
        <v>0.33578825669819901</v>
      </c>
      <c r="D11" s="18">
        <f>'Data Sheet'!F22/'Data Sheet'!F$17</f>
        <v>0.5689136341704969</v>
      </c>
      <c r="E11" s="18">
        <f>'Data Sheet'!G22/'Data Sheet'!G$17</f>
        <v>0.37739429753093695</v>
      </c>
      <c r="F11" s="18">
        <f>'Data Sheet'!H22/'Data Sheet'!H$17</f>
        <v>0.27344485542805314</v>
      </c>
      <c r="G11" s="18">
        <f>'Data Sheet'!I22/'Data Sheet'!I$17</f>
        <v>0.26756491228070173</v>
      </c>
      <c r="H11" s="18">
        <f>'Data Sheet'!J22/'Data Sheet'!J$17</f>
        <v>0.2587629311275727</v>
      </c>
      <c r="I11" s="18">
        <f>'Data Sheet'!K22/'Data Sheet'!K$17</f>
        <v>0.25716724359649179</v>
      </c>
    </row>
    <row r="12" spans="1:9" x14ac:dyDescent="0.3">
      <c r="B12" t="s">
        <v>51</v>
      </c>
      <c r="C12" s="18">
        <f>'Data Sheet'!E23/'Data Sheet'!E$17</f>
        <v>9.5495547977432912E-2</v>
      </c>
      <c r="D12" s="18">
        <f>'Data Sheet'!F23/'Data Sheet'!F$17</f>
        <v>0.16739886741664339</v>
      </c>
      <c r="E12" s="18">
        <f>'Data Sheet'!G23/'Data Sheet'!G$17</f>
        <v>0.10831026562223924</v>
      </c>
      <c r="F12" s="18">
        <f>'Data Sheet'!H23/'Data Sheet'!H$17</f>
        <v>8.1402293667199671E-2</v>
      </c>
      <c r="G12" s="18">
        <f>'Data Sheet'!I23/'Data Sheet'!I$17</f>
        <v>8.4067220683287161E-2</v>
      </c>
      <c r="H12" s="18">
        <f>'Data Sheet'!J23/'Data Sheet'!J$17</f>
        <v>0.11861722422593207</v>
      </c>
      <c r="I12" s="18">
        <f>'Data Sheet'!K23/'Data Sheet'!K$17</f>
        <v>0.1212275085094569</v>
      </c>
    </row>
    <row r="13" spans="1:9" x14ac:dyDescent="0.3">
      <c r="B13" t="s">
        <v>52</v>
      </c>
      <c r="C13" s="18">
        <f>'Data Sheet'!E24/'Data Sheet'!E$17</f>
        <v>2.7377586183718185E-2</v>
      </c>
      <c r="D13" s="18">
        <f>'Data Sheet'!F24/'Data Sheet'!F$17</f>
        <v>6.3682419563726861E-2</v>
      </c>
      <c r="E13" s="18">
        <f>'Data Sheet'!G24/'Data Sheet'!G$17</f>
        <v>3.6224486457126781E-2</v>
      </c>
      <c r="F13" s="18">
        <f>'Data Sheet'!H24/'Data Sheet'!H$17</f>
        <v>2.1039912838580976E-2</v>
      </c>
      <c r="G13" s="18">
        <f>'Data Sheet'!I24/'Data Sheet'!I$17</f>
        <v>2.2197599261311173E-2</v>
      </c>
      <c r="H13" s="18">
        <f>'Data Sheet'!J24/'Data Sheet'!J$17</f>
        <v>2.1569276768723888E-2</v>
      </c>
      <c r="I13" s="18">
        <f>'Data Sheet'!K24/'Data Sheet'!K$17</f>
        <v>2.4370382755268226E-2</v>
      </c>
    </row>
    <row r="14" spans="1:9" x14ac:dyDescent="0.3">
      <c r="B14" t="s">
        <v>4</v>
      </c>
      <c r="C14" s="18">
        <f>'Data Sheet'!E25/'Data Sheet'!E$17</f>
        <v>3.8844849142083825E-2</v>
      </c>
      <c r="D14" s="18">
        <f>'Data Sheet'!F25/'Data Sheet'!F$17</f>
        <v>0.20611874349272455</v>
      </c>
      <c r="E14" s="18">
        <f>'Data Sheet'!G25/'Data Sheet'!G$17</f>
        <v>5.5879485115600321E-2</v>
      </c>
      <c r="F14" s="18">
        <f>'Data Sheet'!H25/'Data Sheet'!H$17</f>
        <v>2.4473700969550302E-2</v>
      </c>
      <c r="G14" s="18">
        <f>'Data Sheet'!I25/'Data Sheet'!I$17</f>
        <v>2.6672576177285318E-2</v>
      </c>
      <c r="H14" s="18">
        <f>'Data Sheet'!J25/'Data Sheet'!J$17</f>
        <v>6.4221900668783152E-2</v>
      </c>
      <c r="I14" s="18">
        <f>'Data Sheet'!K25/'Data Sheet'!K$17</f>
        <v>5.7442188328885098E-2</v>
      </c>
    </row>
    <row r="15" spans="1:9" x14ac:dyDescent="0.3">
      <c r="B15" t="s">
        <v>5</v>
      </c>
      <c r="C15" s="18">
        <f>'Data Sheet'!E26/'Data Sheet'!E$17</f>
        <v>9.057300465591489E-2</v>
      </c>
      <c r="D15" s="18">
        <f>'Data Sheet'!F26/'Data Sheet'!F$17</f>
        <v>0.26005612128291727</v>
      </c>
      <c r="E15" s="18">
        <f>'Data Sheet'!G26/'Data Sheet'!G$17</f>
        <v>0.1328601998547225</v>
      </c>
      <c r="F15" s="18">
        <f>'Data Sheet'!H26/'Data Sheet'!H$17</f>
        <v>7.1612124800556287E-2</v>
      </c>
      <c r="G15" s="18">
        <f>'Data Sheet'!I26/'Data Sheet'!I$17</f>
        <v>6.7117266851338869E-2</v>
      </c>
      <c r="H15" s="18">
        <f>'Data Sheet'!J26/'Data Sheet'!J$17</f>
        <v>6.217019775536501E-2</v>
      </c>
      <c r="I15" s="18">
        <f>'Data Sheet'!K26/'Data Sheet'!K$17</f>
        <v>6.2457039885563545E-2</v>
      </c>
    </row>
    <row r="16" spans="1:9" x14ac:dyDescent="0.3">
      <c r="B16" t="s">
        <v>6</v>
      </c>
      <c r="C16" s="18">
        <f>'Data Sheet'!E27/'Data Sheet'!E$17</f>
        <v>7.6430495122268169E-2</v>
      </c>
      <c r="D16" s="18">
        <f>'Data Sheet'!F27/'Data Sheet'!F$17</f>
        <v>0.25573275095863274</v>
      </c>
      <c r="E16" s="18">
        <f>'Data Sheet'!G27/'Data Sheet'!G$17</f>
        <v>0.13993102590782078</v>
      </c>
      <c r="F16" s="18">
        <f>'Data Sheet'!H27/'Data Sheet'!H$17</f>
        <v>4.0628856557158373E-2</v>
      </c>
      <c r="G16" s="18">
        <f>'Data Sheet'!I27/'Data Sheet'!I$17</f>
        <v>3.2534810710987995E-2</v>
      </c>
      <c r="H16" s="18">
        <f>'Data Sheet'!J27/'Data Sheet'!J$17</f>
        <v>2.5001979713337504E-2</v>
      </c>
      <c r="I16" s="18">
        <f>'Data Sheet'!K27/'Data Sheet'!K$17</f>
        <v>2.2844976169392378E-2</v>
      </c>
    </row>
    <row r="17" spans="1:9" x14ac:dyDescent="0.3">
      <c r="B17" t="s">
        <v>7</v>
      </c>
      <c r="C17" s="18">
        <f>'Data Sheet'!E28/'Data Sheet'!E$17</f>
        <v>8.8623704387494007E-2</v>
      </c>
      <c r="D17" s="18">
        <f>'Data Sheet'!F28/'Data Sheet'!F$17</f>
        <v>-0.53933568653343145</v>
      </c>
      <c r="E17" s="18">
        <f>'Data Sheet'!G28/'Data Sheet'!G$17</f>
        <v>-8.447690284076409E-2</v>
      </c>
      <c r="F17" s="18">
        <f>'Data Sheet'!H28/'Data Sheet'!H$17</f>
        <v>0.22283305593374081</v>
      </c>
      <c r="G17" s="18">
        <f>'Data Sheet'!I28/'Data Sheet'!I$17</f>
        <v>0.24606168051708219</v>
      </c>
      <c r="H17" s="18">
        <f>'Data Sheet'!J28/'Data Sheet'!J$17</f>
        <v>0.3093212102887502</v>
      </c>
      <c r="I17" s="18">
        <f>'Data Sheet'!K28/'Data Sheet'!K$17</f>
        <v>0.30197064366378307</v>
      </c>
    </row>
    <row r="18" spans="1:9" x14ac:dyDescent="0.3">
      <c r="B18" t="s">
        <v>8</v>
      </c>
      <c r="C18" s="18">
        <f>'Data Sheet'!E29/'Data Sheet'!E$17</f>
        <v>1.0031054369793464E-2</v>
      </c>
      <c r="D18" s="18">
        <f>'Data Sheet'!F29/'Data Sheet'!F$17</f>
        <v>-9.8612204474466086E-2</v>
      </c>
      <c r="E18" s="18">
        <f>'Data Sheet'!G29/'Data Sheet'!G$17</f>
        <v>-1.1707272382223794E-2</v>
      </c>
      <c r="F18" s="18">
        <f>'Data Sheet'!H29/'Data Sheet'!H$17</f>
        <v>5.563081011581935E-2</v>
      </c>
      <c r="G18" s="18">
        <f>'Data Sheet'!I29/'Data Sheet'!I$17</f>
        <v>6.8541458910433978E-2</v>
      </c>
      <c r="H18" s="18">
        <f>'Data Sheet'!J29/'Data Sheet'!J$17</f>
        <v>7.4005284034871735E-2</v>
      </c>
      <c r="I18" s="18">
        <f>'Data Sheet'!K29/'Data Sheet'!K$17</f>
        <v>7.5415771341759197E-2</v>
      </c>
    </row>
    <row r="19" spans="1:9" x14ac:dyDescent="0.3">
      <c r="B19" t="s">
        <v>9</v>
      </c>
      <c r="C19" s="18">
        <f>'Data Sheet'!E30/'Data Sheet'!E$17</f>
        <v>7.9410459900428845E-2</v>
      </c>
      <c r="D19" s="18">
        <f>'Data Sheet'!F30/'Data Sheet'!F$17</f>
        <v>-0.45716625612636175</v>
      </c>
      <c r="E19" s="18">
        <f>'Data Sheet'!G30/'Data Sheet'!G$17</f>
        <v>-8.1054374357866915E-2</v>
      </c>
      <c r="F19" s="18">
        <f>'Data Sheet'!H30/'Data Sheet'!H$17</f>
        <v>0.17256549585105449</v>
      </c>
      <c r="G19" s="18">
        <f>'Data Sheet'!I30/'Data Sheet'!I$17</f>
        <v>0.18601218836565095</v>
      </c>
      <c r="H19" s="18">
        <f>'Data Sheet'!J30/'Data Sheet'!J$17</f>
        <v>0.22887765851504699</v>
      </c>
      <c r="I19" s="18">
        <f>'Data Sheet'!K30/'Data Sheet'!K$17</f>
        <v>0.21512361160134669</v>
      </c>
    </row>
    <row r="20" spans="1:9" x14ac:dyDescent="0.3">
      <c r="B20" t="s">
        <v>36</v>
      </c>
      <c r="C20" s="18">
        <f>'Data Sheet'!E31/'Data Sheet'!E$17</f>
        <v>1.3322459075897238E-2</v>
      </c>
      <c r="D20" s="18">
        <f>'Data Sheet'!F31/'Data Sheet'!F$17</f>
        <v>3.0200106655831786E-2</v>
      </c>
      <c r="E20" s="18">
        <f>'Data Sheet'!G31/'Data Sheet'!G$17</f>
        <v>1.8591593537114474E-2</v>
      </c>
      <c r="F20" s="18">
        <f>'Data Sheet'!H31/'Data Sheet'!H$17</f>
        <v>2.4447883013678354E-2</v>
      </c>
      <c r="G20" s="18">
        <f>'Data Sheet'!I31/'Data Sheet'!I$17</f>
        <v>3.6801477377654664E-2</v>
      </c>
      <c r="H20" s="18">
        <f>'Data Sheet'!J31/'Data Sheet'!J$17</f>
        <v>3.8425635967911841E-2</v>
      </c>
      <c r="I20" s="18">
        <f>'Data Sheet'!K31/'Data Sheet'!K$17</f>
        <v>4.7743781233164286E-2</v>
      </c>
    </row>
    <row r="21" spans="1:9" x14ac:dyDescent="0.3">
      <c r="B21" t="s">
        <v>66</v>
      </c>
      <c r="C21" s="18">
        <f>'Historicial Financials'!C19/'Historicial Financials'!C$7</f>
        <v>0.2167823550235933</v>
      </c>
      <c r="D21" s="18">
        <f>'Historicial Financials'!D19/'Historicial Financials'!D$7</f>
        <v>-0.22966555778460584</v>
      </c>
      <c r="E21" s="18">
        <f>'Historicial Financials'!E19/'Historicial Financials'!E$7</f>
        <v>0.13243483780617876</v>
      </c>
      <c r="F21" s="18">
        <f>'Historicial Financials'!F19/'Historicial Financials'!F$7</f>
        <v>0.31060033632190515</v>
      </c>
      <c r="G21" s="18">
        <f>'Historicial Financials'!G19/'Historicial Financials'!G$7</f>
        <v>0.31904118190212377</v>
      </c>
      <c r="H21" s="18">
        <f>'Historicial Financials'!H19/'Historicial Financials'!H$7</f>
        <v>0.3322714870886696</v>
      </c>
      <c r="I21" s="18">
        <f>'Historicial Financials'!I19/'Historicial Financials'!I$7</f>
        <v>0.32983047138985377</v>
      </c>
    </row>
    <row r="23" spans="1:9" x14ac:dyDescent="0.3">
      <c r="A23" t="s">
        <v>58</v>
      </c>
      <c r="B23" s="209" t="str">
        <f>"Common Size Balance sheet Statement-"&amp;'Data Sheet'!B1</f>
        <v>Common Size Balance sheet Statement-INDIAN HOTELS CO LTD</v>
      </c>
      <c r="C23" s="209"/>
      <c r="D23" s="209"/>
      <c r="E23" s="209"/>
      <c r="F23" s="209"/>
      <c r="G23" s="209"/>
      <c r="H23" s="209"/>
      <c r="I23" s="209"/>
    </row>
    <row r="24" spans="1:9" s="19" customFormat="1" x14ac:dyDescent="0.3">
      <c r="B24" s="20"/>
      <c r="C24" s="20"/>
      <c r="D24" s="20"/>
      <c r="E24" s="20"/>
      <c r="F24" s="20"/>
      <c r="G24" s="20"/>
      <c r="H24" s="20"/>
      <c r="I24" s="20"/>
    </row>
    <row r="25" spans="1:9" x14ac:dyDescent="0.3">
      <c r="B25" s="170" t="s">
        <v>225</v>
      </c>
      <c r="C25" s="171">
        <f>'Data Sheet'!E16</f>
        <v>43921</v>
      </c>
      <c r="D25" s="171">
        <f>'Data Sheet'!F16</f>
        <v>44286</v>
      </c>
      <c r="E25" s="171">
        <f>'Data Sheet'!G16</f>
        <v>44651</v>
      </c>
      <c r="F25" s="171">
        <f>'Data Sheet'!H16</f>
        <v>45016</v>
      </c>
      <c r="G25" s="171">
        <f>'Data Sheet'!I16</f>
        <v>45382</v>
      </c>
      <c r="H25" s="171">
        <f>'Data Sheet'!J16</f>
        <v>45747</v>
      </c>
      <c r="I25" s="171">
        <f>'Data Sheet'!K16</f>
        <v>46112</v>
      </c>
    </row>
    <row r="27" spans="1:9" x14ac:dyDescent="0.3">
      <c r="B27" s="2" t="s">
        <v>81</v>
      </c>
      <c r="C27" s="18">
        <f>'Data Sheet'!E61/'Data Sheet'!E$61</f>
        <v>1</v>
      </c>
      <c r="D27" s="18">
        <f>'Data Sheet'!F61/'Data Sheet'!F$61</f>
        <v>1</v>
      </c>
      <c r="E27" s="18">
        <f>'Data Sheet'!G61/'Data Sheet'!G$61</f>
        <v>1</v>
      </c>
      <c r="F27" s="18">
        <f>'Data Sheet'!H61/'Data Sheet'!H$61</f>
        <v>1</v>
      </c>
      <c r="G27" s="18">
        <f>'Data Sheet'!I61/'Data Sheet'!I$61</f>
        <v>1</v>
      </c>
      <c r="H27" s="18">
        <f>'Data Sheet'!J61/'Data Sheet'!J$61</f>
        <v>1</v>
      </c>
      <c r="I27" s="18">
        <f>'Data Sheet'!K61/'Data Sheet'!K$61</f>
        <v>1</v>
      </c>
    </row>
    <row r="28" spans="1:9" x14ac:dyDescent="0.3">
      <c r="B28" t="s">
        <v>11</v>
      </c>
      <c r="C28" s="18">
        <f>'Data Sheet'!E57/'Data Sheet'!E$61</f>
        <v>1.0394379885612004E-2</v>
      </c>
      <c r="D28" s="18">
        <f>'Data Sheet'!F57/'Data Sheet'!F$61</f>
        <v>1.0400833955710096E-2</v>
      </c>
      <c r="E28" s="18">
        <f>'Data Sheet'!G57/'Data Sheet'!G$61</f>
        <v>1.0924439549486079E-2</v>
      </c>
      <c r="F28" s="18">
        <f>'Data Sheet'!H57/'Data Sheet'!H$61</f>
        <v>1.0512106240064415E-2</v>
      </c>
      <c r="G28" s="18">
        <f>'Data Sheet'!I57/'Data Sheet'!I$61</f>
        <v>9.6610291432674827E-3</v>
      </c>
      <c r="H28" s="18">
        <f>'Data Sheet'!J57/'Data Sheet'!J$61</f>
        <v>8.0801635787506581E-3</v>
      </c>
      <c r="I28" s="18">
        <f>'Data Sheet'!K57/'Data Sheet'!K$61</f>
        <v>7.039314129269383E-3</v>
      </c>
    </row>
    <row r="29" spans="1:9" x14ac:dyDescent="0.3">
      <c r="B29" t="s">
        <v>12</v>
      </c>
      <c r="C29" s="18">
        <f>'Data Sheet'!E58/'Data Sheet'!E$61</f>
        <v>0.37038707331739174</v>
      </c>
      <c r="D29" s="18">
        <f>'Data Sheet'!F58/'Data Sheet'!F$61</f>
        <v>0.30866768229225883</v>
      </c>
      <c r="E29" s="18">
        <f>'Data Sheet'!G58/'Data Sheet'!G$61</f>
        <v>0.53224032536432742</v>
      </c>
      <c r="F29" s="18">
        <f>'Data Sheet'!H58/'Data Sheet'!H$61</f>
        <v>0.58021734689950588</v>
      </c>
      <c r="G29" s="18">
        <f>'Data Sheet'!I58/'Data Sheet'!I$61</f>
        <v>0.63218926766494132</v>
      </c>
      <c r="H29" s="18">
        <f>'Data Sheet'!J58/'Data Sheet'!J$61</f>
        <v>0.62547584636222342</v>
      </c>
      <c r="I29" s="18">
        <f>'Data Sheet'!K58/'Data Sheet'!K$61</f>
        <v>0.63845154870845355</v>
      </c>
    </row>
    <row r="30" spans="1:9" x14ac:dyDescent="0.3">
      <c r="B30" t="s">
        <v>37</v>
      </c>
      <c r="C30" s="18">
        <f>'Data Sheet'!E59/'Data Sheet'!E$61</f>
        <v>0.39336430758904223</v>
      </c>
      <c r="D30" s="18">
        <f>'Data Sheet'!F59/'Data Sheet'!F$61</f>
        <v>0.48259677156994613</v>
      </c>
      <c r="E30" s="18">
        <f>'Data Sheet'!G59/'Data Sheet'!G$61</f>
        <v>0.29901999993847117</v>
      </c>
      <c r="F30" s="18">
        <f>'Data Sheet'!H59/'Data Sheet'!H$61</f>
        <v>0.23231207130825546</v>
      </c>
      <c r="G30" s="18">
        <f>'Data Sheet'!I59/'Data Sheet'!I$61</f>
        <v>0.18571587587946314</v>
      </c>
      <c r="H30" s="18">
        <f>'Data Sheet'!J59/'Data Sheet'!J$61</f>
        <v>0.17508364564446599</v>
      </c>
      <c r="I30" s="18">
        <f>'Data Sheet'!K59/'Data Sheet'!K$61</f>
        <v>0.140279376797661</v>
      </c>
    </row>
    <row r="31" spans="1:9" x14ac:dyDescent="0.3">
      <c r="B31" t="s">
        <v>38</v>
      </c>
      <c r="C31" s="18">
        <f>'Data Sheet'!E60/'Data Sheet'!E$61</f>
        <v>0.22585423920795403</v>
      </c>
      <c r="D31" s="18">
        <f>'Data Sheet'!F60/'Data Sheet'!F$61</f>
        <v>0.19833471218208498</v>
      </c>
      <c r="E31" s="18">
        <f>'Data Sheet'!G60/'Data Sheet'!G$61</f>
        <v>0.15781523514771528</v>
      </c>
      <c r="F31" s="18">
        <f>'Data Sheet'!H60/'Data Sheet'!H$61</f>
        <v>0.1769584755521742</v>
      </c>
      <c r="G31" s="18">
        <f>'Data Sheet'!I60/'Data Sheet'!I$61</f>
        <v>0.17243382731232804</v>
      </c>
      <c r="H31" s="18">
        <f>'Data Sheet'!J60/'Data Sheet'!J$61</f>
        <v>0.19136034441455996</v>
      </c>
      <c r="I31" s="18">
        <f>'Data Sheet'!K60/'Data Sheet'!K$61</f>
        <v>0.21422976036461608</v>
      </c>
    </row>
    <row r="32" spans="1:9" x14ac:dyDescent="0.3">
      <c r="C32" s="18"/>
      <c r="D32" s="18"/>
      <c r="E32" s="18"/>
      <c r="F32" s="18"/>
      <c r="G32" s="18"/>
      <c r="H32" s="18"/>
      <c r="I32" s="18"/>
    </row>
    <row r="33" spans="2:9" x14ac:dyDescent="0.3">
      <c r="B33" s="2" t="s">
        <v>115</v>
      </c>
      <c r="C33" s="18">
        <f>'Data Sheet'!E61/'Data Sheet'!E$61</f>
        <v>1</v>
      </c>
      <c r="D33" s="18">
        <f>'Data Sheet'!F61/'Data Sheet'!F$61</f>
        <v>1</v>
      </c>
      <c r="E33" s="18">
        <f>'Data Sheet'!G61/'Data Sheet'!G$61</f>
        <v>1</v>
      </c>
      <c r="F33" s="18">
        <f>'Data Sheet'!H61/'Data Sheet'!H$61</f>
        <v>1</v>
      </c>
      <c r="G33" s="18">
        <f>'Data Sheet'!I61/'Data Sheet'!I$61</f>
        <v>1</v>
      </c>
      <c r="H33" s="18">
        <f>'Data Sheet'!J61/'Data Sheet'!J$61</f>
        <v>1</v>
      </c>
      <c r="I33" s="18">
        <f>'Data Sheet'!K61/'Data Sheet'!K$61</f>
        <v>1</v>
      </c>
    </row>
    <row r="34" spans="2:9" x14ac:dyDescent="0.3">
      <c r="B34" t="s">
        <v>82</v>
      </c>
      <c r="C34" s="18">
        <f>'Data Sheet'!E62/'Data Sheet'!E$61</f>
        <v>0.70433657059753052</v>
      </c>
      <c r="D34" s="18">
        <f>'Data Sheet'!F62/'Data Sheet'!F$61</f>
        <v>0.73790563077520455</v>
      </c>
      <c r="E34" s="18">
        <f>'Data Sheet'!G62/'Data Sheet'!G$61</f>
        <v>0.64723228047291037</v>
      </c>
      <c r="F34" s="18">
        <f>'Data Sheet'!H62/'Data Sheet'!H$61</f>
        <v>0.65264238412556508</v>
      </c>
      <c r="G34" s="18">
        <f>'Data Sheet'!I62/'Data Sheet'!I$61</f>
        <v>0.63198768514031367</v>
      </c>
      <c r="H34" s="18">
        <f>'Data Sheet'!J62/'Data Sheet'!J$61</f>
        <v>0.61978839667165841</v>
      </c>
      <c r="I34" s="18">
        <f>'Data Sheet'!K62/'Data Sheet'!K$61</f>
        <v>0.60383903243801407</v>
      </c>
    </row>
    <row r="35" spans="2:9" x14ac:dyDescent="0.3">
      <c r="B35" t="s">
        <v>15</v>
      </c>
      <c r="C35" s="18">
        <f>'Data Sheet'!E63/'Data Sheet'!E$61</f>
        <v>2.1332382430675003E-2</v>
      </c>
      <c r="D35" s="18">
        <f>'Data Sheet'!F63/'Data Sheet'!F$61</f>
        <v>1.4428937983289404E-2</v>
      </c>
      <c r="E35" s="18">
        <f>'Data Sheet'!G63/'Data Sheet'!G$61</f>
        <v>1.4885356451756799E-2</v>
      </c>
      <c r="F35" s="18">
        <f>'Data Sheet'!H63/'Data Sheet'!H$61</f>
        <v>2.4574379590350533E-2</v>
      </c>
      <c r="G35" s="18">
        <f>'Data Sheet'!I63/'Data Sheet'!I$61</f>
        <v>1.7342884408372259E-2</v>
      </c>
      <c r="H35" s="18">
        <f>'Data Sheet'!J63/'Data Sheet'!J$61</f>
        <v>3.5908873647676719E-2</v>
      </c>
      <c r="I35" s="18">
        <f>'Data Sheet'!K63/'Data Sheet'!K$61</f>
        <v>3.8935804461957831E-2</v>
      </c>
    </row>
    <row r="36" spans="2:9" x14ac:dyDescent="0.3">
      <c r="B36" t="s">
        <v>16</v>
      </c>
      <c r="C36" s="18">
        <f>'Data Sheet'!E64/'Data Sheet'!E$61</f>
        <v>0.12468274111675126</v>
      </c>
      <c r="D36" s="18">
        <f>'Data Sheet'!F64/'Data Sheet'!F$61</f>
        <v>0.12970827291760315</v>
      </c>
      <c r="E36" s="18">
        <f>'Data Sheet'!G64/'Data Sheet'!G$61</f>
        <v>0.15126857016283599</v>
      </c>
      <c r="F36" s="18">
        <f>'Data Sheet'!H64/'Data Sheet'!H$61</f>
        <v>0.13995222039011132</v>
      </c>
      <c r="G36" s="18">
        <f>'Data Sheet'!I64/'Data Sheet'!I$61</f>
        <v>0.1534742103326994</v>
      </c>
      <c r="H36" s="18">
        <f>'Data Sheet'!J64/'Data Sheet'!J$61</f>
        <v>0.12935754922519213</v>
      </c>
      <c r="I36" s="18">
        <f>'Data Sheet'!K64/'Data Sheet'!K$61</f>
        <v>0.17835319414936757</v>
      </c>
    </row>
    <row r="37" spans="2:9" x14ac:dyDescent="0.3">
      <c r="B37" t="s">
        <v>39</v>
      </c>
      <c r="C37" s="18">
        <f>'Data Sheet'!E65/'Data Sheet'!E$61</f>
        <v>0.14964830585504327</v>
      </c>
      <c r="D37" s="18">
        <f>'Data Sheet'!F65/'Data Sheet'!F$61</f>
        <v>0.11795715832390294</v>
      </c>
      <c r="E37" s="18">
        <f>'Data Sheet'!G65/'Data Sheet'!G$61</f>
        <v>0.1866137929124968</v>
      </c>
      <c r="F37" s="18">
        <f>'Data Sheet'!H65/'Data Sheet'!H$61</f>
        <v>0.18283101589397308</v>
      </c>
      <c r="G37" s="18">
        <f>'Data Sheet'!I65/'Data Sheet'!I$61</f>
        <v>0.19719522011861471</v>
      </c>
      <c r="H37" s="18">
        <f>'Data Sheet'!J65/'Data Sheet'!J$61</f>
        <v>0.21494518045547281</v>
      </c>
      <c r="I37" s="18">
        <f>'Data Sheet'!K65/'Data Sheet'!K$61</f>
        <v>0.17887196895066051</v>
      </c>
    </row>
    <row r="38" spans="2:9" x14ac:dyDescent="0.3">
      <c r="B38" t="s">
        <v>44</v>
      </c>
      <c r="C38" s="18">
        <f>'Data Sheet'!E67/'Data Sheet'!E$61</f>
        <v>2.5347498986169958E-2</v>
      </c>
      <c r="D38" s="18">
        <f>'Data Sheet'!F67/'Data Sheet'!F$61</f>
        <v>1.9225757477703755E-2</v>
      </c>
      <c r="E38" s="18">
        <f>'Data Sheet'!G67/'Data Sheet'!G$61</f>
        <v>1.9638456734481665E-2</v>
      </c>
      <c r="F38" s="18">
        <f>'Data Sheet'!H67/'Data Sheet'!H$61</f>
        <v>3.3040902780039134E-2</v>
      </c>
      <c r="G38" s="18">
        <f>'Data Sheet'!I67/'Data Sheet'!I$61</f>
        <v>3.2338723799362264E-2</v>
      </c>
      <c r="H38" s="18">
        <f>'Data Sheet'!J67/'Data Sheet'!J$61</f>
        <v>3.6948270831370152E-2</v>
      </c>
      <c r="I38" s="18">
        <f>'Data Sheet'!K67/'Data Sheet'!K$61</f>
        <v>3.5944318501022712E-2</v>
      </c>
    </row>
    <row r="39" spans="2:9" x14ac:dyDescent="0.3">
      <c r="B39" t="s">
        <v>30</v>
      </c>
      <c r="C39" s="18">
        <f>'Data Sheet'!E68/'Data Sheet'!E$61</f>
        <v>8.1814336255960612E-3</v>
      </c>
      <c r="D39" s="18">
        <f>'Data Sheet'!F68/'Data Sheet'!F$61</f>
        <v>8.1226726461477647E-3</v>
      </c>
      <c r="E39" s="18">
        <f>'Data Sheet'!G68/'Data Sheet'!G$61</f>
        <v>7.7549369175913931E-3</v>
      </c>
      <c r="F39" s="18">
        <f>'Data Sheet'!H68/'Data Sheet'!H$61</f>
        <v>8.0824213072193379E-3</v>
      </c>
      <c r="G39" s="18">
        <f>'Data Sheet'!I68/'Data Sheet'!I$61</f>
        <v>7.9031209318678221E-3</v>
      </c>
      <c r="H39" s="18">
        <f>'Data Sheet'!J68/'Data Sheet'!J$61</f>
        <v>7.6901767599645322E-3</v>
      </c>
      <c r="I39" s="18">
        <f>'Data Sheet'!K68/'Data Sheet'!K$61</f>
        <v>7.4047808386644978E-3</v>
      </c>
    </row>
    <row r="40" spans="2:9" x14ac:dyDescent="0.3">
      <c r="B40" t="s">
        <v>53</v>
      </c>
      <c r="C40" s="18">
        <f>'Data Sheet'!E69/'Data Sheet'!E$61</f>
        <v>2.7581421040119701E-2</v>
      </c>
      <c r="D40" s="18">
        <f>'Data Sheet'!F69/'Data Sheet'!F$61</f>
        <v>1.3435467254819995E-2</v>
      </c>
      <c r="E40" s="18">
        <f>'Data Sheet'!G69/'Data Sheet'!G$61</f>
        <v>9.1355664188081248E-2</v>
      </c>
      <c r="F40" s="18">
        <f>'Data Sheet'!H69/'Data Sheet'!H$61</f>
        <v>7.7962321011483093E-2</v>
      </c>
      <c r="G40" s="18">
        <f>'Data Sheet'!I69/'Data Sheet'!I$61</f>
        <v>0.10082519876579911</v>
      </c>
      <c r="H40" s="18">
        <f>'Data Sheet'!J69/'Data Sheet'!J$61</f>
        <v>0.1238398317890915</v>
      </c>
      <c r="I40" s="18">
        <f>'Data Sheet'!K69/'Data Sheet'!K$61</f>
        <v>9.0560078968503585E-2</v>
      </c>
    </row>
  </sheetData>
  <mergeCells count="2">
    <mergeCell ref="B2:I2"/>
    <mergeCell ref="B23:I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A7E5-C844-4641-A68F-3BE4FC8B7500}">
  <dimension ref="B2:M48"/>
  <sheetViews>
    <sheetView showGridLines="0" zoomScale="108" workbookViewId="0">
      <pane ySplit="4" topLeftCell="A5" activePane="bottomLeft" state="frozen"/>
      <selection pane="bottomLeft" activeCell="I14" sqref="I14"/>
    </sheetView>
  </sheetViews>
  <sheetFormatPr defaultRowHeight="14.4" x14ac:dyDescent="0.3"/>
  <cols>
    <col min="1" max="1" width="2.33203125" customWidth="1"/>
    <col min="2" max="2" width="24.33203125" bestFit="1" customWidth="1"/>
    <col min="3" max="3" width="14.44140625" bestFit="1" customWidth="1"/>
    <col min="4" max="7" width="12.88671875" bestFit="1" customWidth="1"/>
    <col min="8" max="9" width="12.77734375" bestFit="1" customWidth="1"/>
    <col min="10" max="10" width="13.33203125" customWidth="1"/>
    <col min="11" max="11" width="12.77734375" bestFit="1" customWidth="1"/>
    <col min="12" max="12" width="12.33203125" bestFit="1" customWidth="1"/>
  </cols>
  <sheetData>
    <row r="2" spans="2:13" ht="18" x14ac:dyDescent="0.3">
      <c r="B2" s="212" t="str">
        <f>"Ratio Analysis-"&amp;'Data Sheet'!B1</f>
        <v>Ratio Analysis-INDIAN HOTELS CO LTD</v>
      </c>
      <c r="C2" s="212"/>
      <c r="D2" s="212"/>
      <c r="E2" s="212"/>
      <c r="F2" s="212"/>
      <c r="G2" s="212"/>
      <c r="H2" s="212"/>
      <c r="I2" s="212"/>
      <c r="J2" s="212"/>
      <c r="K2" s="212"/>
      <c r="L2" s="212"/>
    </row>
    <row r="3" spans="2:13" x14ac:dyDescent="0.3">
      <c r="B3" s="90"/>
      <c r="C3" s="90"/>
      <c r="D3" s="90"/>
      <c r="E3" s="90"/>
      <c r="F3" s="90"/>
      <c r="G3" s="90"/>
      <c r="H3" s="90"/>
      <c r="I3" s="90"/>
      <c r="J3" s="90"/>
      <c r="K3" s="90"/>
      <c r="L3" s="90"/>
    </row>
    <row r="4" spans="2:13" s="22" customFormat="1" ht="21" x14ac:dyDescent="0.4">
      <c r="B4" s="170" t="s">
        <v>56</v>
      </c>
      <c r="C4" s="171">
        <f>'Historicial Financials'!C4</f>
        <v>43921</v>
      </c>
      <c r="D4" s="171">
        <f>'Historicial Financials'!D4</f>
        <v>44286</v>
      </c>
      <c r="E4" s="171">
        <f>'Historicial Financials'!E4</f>
        <v>44651</v>
      </c>
      <c r="F4" s="171">
        <f>'Historicial Financials'!F4</f>
        <v>45016</v>
      </c>
      <c r="G4" s="171">
        <f>'Historicial Financials'!G4</f>
        <v>45382</v>
      </c>
      <c r="H4" s="171">
        <f>'Historicial Financials'!H4</f>
        <v>45747</v>
      </c>
      <c r="I4" s="171">
        <f>'Historicial Financials'!I4</f>
        <v>46112</v>
      </c>
      <c r="J4" s="174" t="s">
        <v>146</v>
      </c>
      <c r="K4" s="171" t="s">
        <v>144</v>
      </c>
      <c r="L4" s="171" t="s">
        <v>145</v>
      </c>
    </row>
    <row r="5" spans="2:13" ht="21" x14ac:dyDescent="0.4">
      <c r="M5" s="22"/>
    </row>
    <row r="6" spans="2:13" ht="21" x14ac:dyDescent="0.4">
      <c r="B6" s="91" t="s">
        <v>116</v>
      </c>
      <c r="C6" s="91"/>
      <c r="D6" s="92">
        <f>IFERROR('Historicial Financials'!D8,0)</f>
        <v>-0.64707358496484546</v>
      </c>
      <c r="E6" s="92">
        <f>IFERROR('Historicial Financials'!E8,0)</f>
        <v>0.94026003707559846</v>
      </c>
      <c r="F6" s="92">
        <f>IFERROR('Historicial Financials'!F8,0)</f>
        <v>0.90101170727238222</v>
      </c>
      <c r="G6" s="92">
        <f>IFERROR('Historicial Financials'!G8,0)</f>
        <v>0.16503525872173586</v>
      </c>
      <c r="H6" s="92">
        <f>IFERROR('Historicial Financials'!H8,0)</f>
        <v>0.23132631578947382</v>
      </c>
      <c r="I6" s="92">
        <f>IFERROR('Historicial Financials'!I8,0)</f>
        <v>0.16253806448826191</v>
      </c>
      <c r="J6" s="91"/>
      <c r="K6" s="92">
        <f>IFERROR(AVERAGE(D6:I6),0)</f>
        <v>0.29218296639710112</v>
      </c>
      <c r="L6" s="92">
        <f>IFERROR(MEDIAN(D6:I6),0)</f>
        <v>0.19818078725560484</v>
      </c>
      <c r="M6" s="22"/>
    </row>
    <row r="7" spans="2:13" ht="21" x14ac:dyDescent="0.4">
      <c r="B7" t="s">
        <v>117</v>
      </c>
      <c r="D7" s="18">
        <f>IFERROR('Historicial Financials'!D19/'Historicial Financials'!C19-1,0)</f>
        <v>-1.3739005508873106</v>
      </c>
      <c r="E7" s="18">
        <f>IFERROR('Historicial Financials'!E19/'Historicial Financials'!D19-1,0)</f>
        <v>-2.1188356921716052</v>
      </c>
      <c r="F7" s="18">
        <f>IFERROR('Historicial Financials'!F19/'Historicial Financials'!E19-1,0)</f>
        <v>3.4584558369363849</v>
      </c>
      <c r="G7" s="18">
        <f>IFERROR('Historicial Financials'!G19/'Historicial Financials'!F19-1,0)</f>
        <v>0.19669614753734987</v>
      </c>
      <c r="H7" s="18">
        <f>IFERROR('Historicial Financials'!H19/'Historicial Financials'!G19-1,0)</f>
        <v>0.28238813434529164</v>
      </c>
      <c r="I7" s="18">
        <f>IFERROR('Historicial Financials'!I19/'Historicial Financials'!H19-1,0)</f>
        <v>0.15399753731046784</v>
      </c>
      <c r="K7" s="18">
        <f t="shared" ref="K7:K10" si="0">IFERROR(AVERAGE(D7:I7),0)</f>
        <v>9.980023551176305E-2</v>
      </c>
      <c r="L7" s="18">
        <f t="shared" ref="L7:L43" si="1">IFERROR(MEDIAN(D7:I7),0)</f>
        <v>0.17534684242390886</v>
      </c>
      <c r="M7" s="22"/>
    </row>
    <row r="8" spans="2:13" ht="21" x14ac:dyDescent="0.4">
      <c r="B8" t="s">
        <v>142</v>
      </c>
      <c r="D8" s="18">
        <f>IFERROR('Historicial Financials'!D28/'Historicial Financials'!C28-1,0)</f>
        <v>-6.2851870189494452</v>
      </c>
      <c r="E8" s="18">
        <f>IFERROR('Historicial Financials'!E28/'Historicial Financials'!D28-1,0)</f>
        <v>-0.63468204154282404</v>
      </c>
      <c r="F8" s="18">
        <f>IFERROR('Historicial Financials'!F28/'Historicial Financials'!E28-1,0)</f>
        <v>-3.6866141365162219</v>
      </c>
      <c r="G8" s="18">
        <f>IFERROR('Historicial Financials'!G28/'Historicial Financials'!F28-1,0)</f>
        <v>0.28855047941342393</v>
      </c>
      <c r="H8" s="18">
        <f>IFERROR('Historicial Financials'!H28/'Historicial Financials'!G28-1,0)</f>
        <v>0.37562542508703789</v>
      </c>
      <c r="I8" s="18">
        <f>IFERROR('Historicial Financials'!I28/'Historicial Financials'!H28-1,0)</f>
        <v>0.15983042799308689</v>
      </c>
      <c r="K8" s="18">
        <f t="shared" si="0"/>
        <v>-1.6304128107524904</v>
      </c>
      <c r="L8" s="18">
        <f t="shared" si="1"/>
        <v>-0.23742580677486858</v>
      </c>
      <c r="M8" s="22"/>
    </row>
    <row r="9" spans="2:13" ht="21" x14ac:dyDescent="0.4">
      <c r="B9" t="s">
        <v>118</v>
      </c>
      <c r="D9" s="18">
        <f>IFERROR('Historicial Financials'!D34/'Historicial Financials'!C34-1,0)</f>
        <v>-6.7706710853355316</v>
      </c>
      <c r="E9" s="18">
        <f>IFERROR('Historicial Financials'!E34/'Historicial Financials'!D34-1,0)</f>
        <v>-0.59943720209039175</v>
      </c>
      <c r="F9" s="18">
        <f>IFERROR('Historicial Financials'!F34/'Historicial Financials'!E34-1,0)</f>
        <v>-3.0559139784946208</v>
      </c>
      <c r="G9" s="18">
        <f>IFERROR('Historicial Financials'!G34/'Historicial Financials'!F34-1,0)</f>
        <v>0.25352161785216243</v>
      </c>
      <c r="H9" s="18">
        <f>IFERROR('Historicial Financials'!H34/'Historicial Financials'!G34-1,0)</f>
        <v>0.27240781433988892</v>
      </c>
      <c r="I9" s="18">
        <f>IFERROR('Historicial Financials'!I34/'Historicial Financials'!H34-1,0)</f>
        <v>0.11329636457703196</v>
      </c>
      <c r="K9" s="18">
        <f t="shared" si="0"/>
        <v>-1.6311327448585768</v>
      </c>
      <c r="L9" s="18">
        <f t="shared" si="1"/>
        <v>-0.2430704187566799</v>
      </c>
      <c r="M9" s="22"/>
    </row>
    <row r="10" spans="2:13" ht="21" x14ac:dyDescent="0.4">
      <c r="B10" t="s">
        <v>119</v>
      </c>
      <c r="D10" s="18">
        <f>IFERROR('Historicial Financials'!D42/'Historicial Financials'!C42-1,0)</f>
        <v>-0.19996636394214606</v>
      </c>
      <c r="E10" s="18">
        <f>IFERROR('Historicial Financials'!E42/'Historicial Financials'!D42-1,0)</f>
        <v>0.1111986799515301</v>
      </c>
      <c r="F10" s="18">
        <f>IFERROR('Historicial Financials'!F42/'Historicial Financials'!E42-1,0)</f>
        <v>1.4998240056318197</v>
      </c>
      <c r="G10" s="18">
        <f>IFERROR('Historicial Financials'!G42/'Historicial Financials'!F42-1,0)</f>
        <v>0.75003512716032028</v>
      </c>
      <c r="H10" s="18">
        <f>IFERROR('Historicial Financials'!H42/'Historicial Financials'!G42-1,0)</f>
        <v>0.28566840626254519</v>
      </c>
      <c r="I10" s="18">
        <f>IFERROR('Historicial Financials'!I42/'Historicial Financials'!H42-1,0)</f>
        <v>0.44445138325110878</v>
      </c>
      <c r="K10" s="18">
        <f t="shared" si="0"/>
        <v>0.48186853971919624</v>
      </c>
      <c r="L10" s="18">
        <f t="shared" si="1"/>
        <v>0.36505989475682699</v>
      </c>
      <c r="M10" s="22"/>
    </row>
    <row r="11" spans="2:13" ht="21" x14ac:dyDescent="0.4">
      <c r="B11" s="93"/>
      <c r="C11" s="93"/>
      <c r="D11" s="93"/>
      <c r="E11" s="93"/>
      <c r="F11" s="93"/>
      <c r="G11" s="93"/>
      <c r="H11" s="93"/>
      <c r="I11" s="93"/>
      <c r="J11" s="91"/>
      <c r="K11" s="91"/>
      <c r="L11" s="92"/>
      <c r="M11" s="22"/>
    </row>
    <row r="12" spans="2:13" ht="21" x14ac:dyDescent="0.4">
      <c r="B12" t="s">
        <v>63</v>
      </c>
      <c r="C12" s="18">
        <f>IFERROR('Historicial Financials'!C14,0)</f>
        <v>0.33965548918474442</v>
      </c>
      <c r="D12" s="18">
        <f>IFERROR('Historicial Financials'!D14,0)</f>
        <v>1.4157291957643957E-3</v>
      </c>
      <c r="E12" s="18">
        <f>IFERROR('Historicial Financials'!E14,0)</f>
        <v>0.27696958988554476</v>
      </c>
      <c r="F12" s="18">
        <f>IFERROR('Historicial Financials'!F14,0)</f>
        <v>0.41304254282768577</v>
      </c>
      <c r="G12" s="18">
        <f>IFERROR('Historicial Financials'!G14,0)</f>
        <v>0.42530600184672207</v>
      </c>
      <c r="H12" s="18">
        <f>IFERROR('Historicial Financials'!H14,0)</f>
        <v>0.47245798808332562</v>
      </c>
      <c r="I12" s="18">
        <f>IFERROR('Historicial Financials'!I14,0)</f>
        <v>0.47542836265457894</v>
      </c>
      <c r="J12" s="91"/>
      <c r="K12" s="92">
        <f>IFERROR(AVERAGE(C12:I12),0)</f>
        <v>0.34346795766833799</v>
      </c>
      <c r="L12" s="92">
        <f t="shared" si="1"/>
        <v>0.41917427233720395</v>
      </c>
      <c r="M12" s="22"/>
    </row>
    <row r="13" spans="2:13" ht="21" x14ac:dyDescent="0.4">
      <c r="B13" t="s">
        <v>120</v>
      </c>
      <c r="C13" s="18">
        <f>IFERROR('Historicial Financials'!C20,0)</f>
        <v>0.2167823550235933</v>
      </c>
      <c r="D13" s="18">
        <f>IFERROR('Historicial Financials'!D20,0)</f>
        <v>-0.22966555778460584</v>
      </c>
      <c r="E13" s="18">
        <f>IFERROR('Historicial Financials'!E20,0)</f>
        <v>0.13243483780617876</v>
      </c>
      <c r="F13" s="18">
        <f>IFERROR('Historicial Financials'!F20,0)</f>
        <v>0.31060033632190515</v>
      </c>
      <c r="G13" s="18">
        <f>IFERROR('Historicial Financials'!G20,0)</f>
        <v>0.31904118190212377</v>
      </c>
      <c r="H13" s="18">
        <f>IFERROR('Historicial Financials'!H20,0)</f>
        <v>0.3322714870886696</v>
      </c>
      <c r="I13" s="18">
        <f>IFERROR('Historicial Financials'!I20,0)</f>
        <v>0.32983047138985377</v>
      </c>
      <c r="K13" s="18">
        <f t="shared" ref="K13:K43" si="2">IFERROR(AVERAGE(C13:I13),0)</f>
        <v>0.20161358739253124</v>
      </c>
      <c r="L13" s="18">
        <f t="shared" si="1"/>
        <v>0.31482075911201446</v>
      </c>
      <c r="M13" s="22"/>
    </row>
    <row r="14" spans="2:13" ht="21" x14ac:dyDescent="0.4">
      <c r="B14" t="s">
        <v>67</v>
      </c>
      <c r="C14" s="18">
        <f>IFERROR('Historicial Financials'!C20,0)</f>
        <v>0.2167823550235933</v>
      </c>
      <c r="D14" s="18">
        <f>IFERROR('Historicial Financials'!D20,0)</f>
        <v>-0.22966555778460584</v>
      </c>
      <c r="E14" s="18">
        <f>IFERROR('Historicial Financials'!E20,0)</f>
        <v>0.13243483780617876</v>
      </c>
      <c r="F14" s="18">
        <f>IFERROR('Historicial Financials'!F20,0)</f>
        <v>0.31060033632190515</v>
      </c>
      <c r="G14" s="18">
        <f>IFERROR('Historicial Financials'!G20,0)</f>
        <v>0.31904118190212377</v>
      </c>
      <c r="H14" s="18">
        <f>IFERROR('Historicial Financials'!H20,0)</f>
        <v>0.3322714870886696</v>
      </c>
      <c r="I14" s="18">
        <f>IFERROR('Historicial Financials'!I20,0)</f>
        <v>0.32983047138985377</v>
      </c>
      <c r="K14" s="18">
        <f t="shared" si="2"/>
        <v>0.20161358739253124</v>
      </c>
      <c r="L14" s="18">
        <f t="shared" si="1"/>
        <v>0.31482075911201446</v>
      </c>
      <c r="M14" s="22"/>
    </row>
    <row r="15" spans="2:13" ht="21" x14ac:dyDescent="0.4">
      <c r="B15" t="s">
        <v>121</v>
      </c>
      <c r="C15" s="18">
        <f>IFERROR(('Historicial Financials'!C19-'Historicial Financials'!C25)/'Historicial Financials'!C7,0)</f>
        <v>0.12620935036767841</v>
      </c>
      <c r="D15" s="18">
        <f>IFERROR(('Historicial Financials'!D19-'Historicial Financials'!D25)/'Historicial Financials'!D7,0)</f>
        <v>-0.48972167906752312</v>
      </c>
      <c r="E15" s="18">
        <f>IFERROR(('Historicial Financials'!E19-'Historicial Financials'!E25)/'Historicial Financials'!E7,0)</f>
        <v>-4.2536204854375971E-4</v>
      </c>
      <c r="F15" s="18">
        <f>IFERROR(('Historicial Financials'!F19-'Historicial Financials'!F25)/'Historicial Financials'!F7,0)</f>
        <v>0.23898821152134889</v>
      </c>
      <c r="G15" s="18">
        <f>IFERROR(('Historicial Financials'!G19-'Historicial Financials'!G25)/'Historicial Financials'!G7,0)</f>
        <v>0.25192391505078487</v>
      </c>
      <c r="H15" s="18">
        <f>IFERROR(('Historicial Financials'!H19-'Historicial Financials'!H25)/'Historicial Financials'!H7,0)</f>
        <v>0.27010128933330463</v>
      </c>
      <c r="I15" s="18">
        <f>IFERROR(('Historicial Financials'!I19-'Historicial Financials'!I25)/'Historicial Financials'!I7,0)</f>
        <v>0.26737343150429027</v>
      </c>
      <c r="K15" s="18">
        <f t="shared" si="2"/>
        <v>9.4921308094477172E-2</v>
      </c>
      <c r="L15" s="18">
        <f t="shared" si="1"/>
        <v>0.24545606328606689</v>
      </c>
      <c r="M15" s="22"/>
    </row>
    <row r="16" spans="2:13" ht="21" x14ac:dyDescent="0.4">
      <c r="B16" t="s">
        <v>122</v>
      </c>
      <c r="C16" s="18">
        <f>IFERROR('Historicial Financials'!C29,0)</f>
        <v>4.9778855245410245E-2</v>
      </c>
      <c r="D16" s="18">
        <f>IFERROR('Historicial Financials'!D29,0)</f>
        <v>-0.74545443002615597</v>
      </c>
      <c r="E16" s="18">
        <f>IFERROR('Historicial Financials'!E29,0)</f>
        <v>-0.14035638795636454</v>
      </c>
      <c r="F16" s="18">
        <f>IFERROR('Historicial Financials'!F29,0)</f>
        <v>0.19835935496419047</v>
      </c>
      <c r="G16" s="18">
        <f>IFERROR('Historicial Financials'!G29,0)</f>
        <v>0.21938910433979689</v>
      </c>
      <c r="H16" s="18">
        <f>IFERROR('Historicial Financials'!H29,0)</f>
        <v>0.24509930961996712</v>
      </c>
      <c r="I16" s="18">
        <f>IFERROR('Historicial Financials'!I29,0)</f>
        <v>0.24452845533489787</v>
      </c>
      <c r="K16" s="18">
        <f t="shared" si="2"/>
        <v>1.0192037360248865E-2</v>
      </c>
      <c r="L16" s="18">
        <f t="shared" si="1"/>
        <v>0.20887422965199368</v>
      </c>
      <c r="M16" s="22"/>
    </row>
    <row r="17" spans="2:13" ht="21" x14ac:dyDescent="0.4">
      <c r="B17" t="s">
        <v>123</v>
      </c>
      <c r="C17" s="18">
        <f>IFERROR('Historicial Financials'!C35,0)</f>
        <v>4.0565610758345083E-2</v>
      </c>
      <c r="D17" s="18">
        <f>IFERROR('Historicial Financials'!D35,0)</f>
        <v>-0.66328499961908616</v>
      </c>
      <c r="E17" s="18">
        <f>IFERROR('Historicial Financials'!E35,0)</f>
        <v>-0.1369338594734674</v>
      </c>
      <c r="F17" s="18">
        <f>IFERROR('Historicial Financials'!F35,0)</f>
        <v>0.14809179488150415</v>
      </c>
      <c r="G17" s="18">
        <f>IFERROR('Historicial Financials'!G35,0)</f>
        <v>0.15933961218836568</v>
      </c>
      <c r="H17" s="18">
        <f>IFERROR('Historicial Financials'!H35,0)</f>
        <v>0.16465575784626391</v>
      </c>
      <c r="I17" s="18">
        <f>IFERROR('Historicial Financials'!I35,0)</f>
        <v>0.15768142327246149</v>
      </c>
      <c r="K17" s="18">
        <f t="shared" si="2"/>
        <v>-1.855495144937332E-2</v>
      </c>
      <c r="L17" s="18">
        <f t="shared" si="1"/>
        <v>0.15288660907698282</v>
      </c>
      <c r="M17" s="22"/>
    </row>
    <row r="18" spans="2:13" ht="21" x14ac:dyDescent="0.4">
      <c r="B18" s="93"/>
      <c r="C18" s="93"/>
      <c r="D18" s="93"/>
      <c r="E18" s="93"/>
      <c r="F18" s="93"/>
      <c r="G18" s="93"/>
      <c r="H18" s="93"/>
      <c r="I18" s="93"/>
      <c r="J18" s="91"/>
      <c r="K18" s="91"/>
      <c r="L18" s="92"/>
      <c r="M18" s="22"/>
    </row>
    <row r="19" spans="2:13" ht="21" x14ac:dyDescent="0.4">
      <c r="B19" t="s">
        <v>124</v>
      </c>
      <c r="C19" s="18">
        <f>IFERROR('Historicial Financials'!C17,0)</f>
        <v>0.1228731341611511</v>
      </c>
      <c r="D19" s="18">
        <f>IFERROR('Historicial Financials'!D17,0)</f>
        <v>0.23108128698037025</v>
      </c>
      <c r="E19" s="18">
        <f>IFERROR('Historicial Financials'!E17,0)</f>
        <v>0.144534752079366</v>
      </c>
      <c r="F19" s="18">
        <f>IFERROR('Historicial Financials'!F17,0)</f>
        <v>0.10244220650578063</v>
      </c>
      <c r="G19" s="18">
        <f>IFERROR('Historicial Financials'!G17,0)</f>
        <v>0.10626481994459834</v>
      </c>
      <c r="H19" s="18">
        <f>IFERROR('Historicial Financials'!H17,0)</f>
        <v>0.14018650099465596</v>
      </c>
      <c r="I19" s="18">
        <f>IFERROR('Historicial Financials'!I17,0)</f>
        <v>0.14559789126472514</v>
      </c>
      <c r="J19" s="91"/>
      <c r="K19" s="92">
        <f t="shared" si="2"/>
        <v>0.14185437027580677</v>
      </c>
      <c r="L19" s="92">
        <f t="shared" si="1"/>
        <v>0.14236062653701098</v>
      </c>
      <c r="M19" s="22"/>
    </row>
    <row r="20" spans="2:13" ht="21" x14ac:dyDescent="0.4">
      <c r="B20" t="s">
        <v>125</v>
      </c>
      <c r="C20" s="18">
        <f>IFERROR('Historicial Financials'!C26,0)</f>
        <v>9.057300465591489E-2</v>
      </c>
      <c r="D20" s="18">
        <f>IFERROR('Historicial Financials'!D26,0)</f>
        <v>0.26005612128291727</v>
      </c>
      <c r="E20" s="18">
        <f>IFERROR('Historicial Financials'!E26,0)</f>
        <v>0.1328601998547225</v>
      </c>
      <c r="F20" s="18">
        <f>IFERROR('Historicial Financials'!F26,0)</f>
        <v>7.1612124800556287E-2</v>
      </c>
      <c r="G20" s="18">
        <f>IFERROR('Historicial Financials'!G26,0)</f>
        <v>6.7117266851338869E-2</v>
      </c>
      <c r="H20" s="18">
        <f>IFERROR('Historicial Financials'!H26,0)</f>
        <v>6.217019775536501E-2</v>
      </c>
      <c r="I20" s="18">
        <f>IFERROR('Historicial Financials'!I26,0)</f>
        <v>6.2457039885563545E-2</v>
      </c>
      <c r="K20" s="18">
        <f t="shared" si="2"/>
        <v>0.10669227929805405</v>
      </c>
      <c r="L20" s="18">
        <f t="shared" si="1"/>
        <v>6.9364695825947578E-2</v>
      </c>
      <c r="M20" s="22"/>
    </row>
    <row r="21" spans="2:13" ht="21" x14ac:dyDescent="0.4">
      <c r="B21" t="s">
        <v>126</v>
      </c>
      <c r="C21" s="18">
        <f>IFERROR(C15,0)</f>
        <v>0.12620935036767841</v>
      </c>
      <c r="D21" s="18">
        <f t="shared" ref="D21:I21" si="3">IFERROR(D15,0)</f>
        <v>-0.48972167906752312</v>
      </c>
      <c r="E21" s="18">
        <f t="shared" si="3"/>
        <v>-4.2536204854375971E-4</v>
      </c>
      <c r="F21" s="18">
        <f t="shared" si="3"/>
        <v>0.23898821152134889</v>
      </c>
      <c r="G21" s="18">
        <f t="shared" si="3"/>
        <v>0.25192391505078487</v>
      </c>
      <c r="H21" s="18">
        <f t="shared" si="3"/>
        <v>0.27010128933330463</v>
      </c>
      <c r="I21" s="18">
        <f t="shared" si="3"/>
        <v>0.26737343150429027</v>
      </c>
      <c r="K21" s="18">
        <f t="shared" si="2"/>
        <v>9.4921308094477172E-2</v>
      </c>
      <c r="L21" s="18">
        <f t="shared" si="1"/>
        <v>0.24545606328606689</v>
      </c>
      <c r="M21" s="22"/>
    </row>
    <row r="22" spans="2:13" ht="21" x14ac:dyDescent="0.4">
      <c r="B22" s="93"/>
      <c r="C22" s="93"/>
      <c r="D22" s="93"/>
      <c r="E22" s="93"/>
      <c r="F22" s="93"/>
      <c r="G22" s="93"/>
      <c r="H22" s="93"/>
      <c r="I22" s="93"/>
      <c r="J22" s="91"/>
      <c r="K22" s="91"/>
      <c r="L22" s="92"/>
      <c r="M22" s="22"/>
    </row>
    <row r="23" spans="2:13" ht="21" x14ac:dyDescent="0.4">
      <c r="B23" t="s">
        <v>143</v>
      </c>
      <c r="C23" s="18">
        <f>IFERROR(('Historicial Financials'!C19-'Historicial Financials'!C25)/SUM('Historicial Financials'!C48:C50),0)</f>
        <v>6.3594047590823266E-2</v>
      </c>
      <c r="D23" s="18">
        <f>IFERROR(('Historicial Financials'!D19-'Historicial Financials'!D25)/SUM('Historicial Financials'!D48:D50),0)</f>
        <v>-8.4150687755883455E-2</v>
      </c>
      <c r="E23" s="18">
        <f>IFERROR(('Historicial Financials'!E19-'Historicial Financials'!E25)/SUM('Historicial Financials'!E48:E50),0)</f>
        <v>-1.1872016014440111E-4</v>
      </c>
      <c r="F23" s="18">
        <f>IFERROR(('Historicial Financials'!F19-'Historicial Financials'!F25)/SUM('Historicial Financials'!F48:F50),0)</f>
        <v>0.12485421685338598</v>
      </c>
      <c r="G23" s="18">
        <f>IFERROR(('Historicial Financials'!G19-'Historicial Financials'!G25)/SUM('Historicial Financials'!G48:G50),0)</f>
        <v>0.13985293056275469</v>
      </c>
      <c r="H23" s="18">
        <f>IFERROR(('Historicial Financials'!H19-'Historicial Financials'!H25)/SUM('Historicial Financials'!H48:H50),0)</f>
        <v>0.15803251391016349</v>
      </c>
      <c r="I23" s="18">
        <f>IFERROR(('Historicial Financials'!I19-'Historicial Financials'!I25)/SUM('Historicial Financials'!I48:I50),0)</f>
        <v>0.16304777441273238</v>
      </c>
      <c r="J23" s="91"/>
      <c r="K23" s="92">
        <f t="shared" si="2"/>
        <v>8.073029648769027E-2</v>
      </c>
      <c r="L23" s="92">
        <f t="shared" si="1"/>
        <v>0.13235357370807033</v>
      </c>
      <c r="M23" s="22"/>
    </row>
    <row r="24" spans="2:13" ht="21" x14ac:dyDescent="0.4">
      <c r="B24" t="s">
        <v>127</v>
      </c>
      <c r="C24" s="18">
        <f>IFERROR('Historicial Financials'!C45,0)</f>
        <v>0.83223294396478753</v>
      </c>
      <c r="D24" s="18">
        <f>IFERROR('Historicial Financials'!D45,0)</f>
        <v>0</v>
      </c>
      <c r="E24" s="18">
        <f>IFERROR('Historicial Financials'!E45,0)</f>
        <v>0</v>
      </c>
      <c r="F24" s="18">
        <f>IFERROR('Historicial Financials'!F45,0)</f>
        <v>0.85832693324290088</v>
      </c>
      <c r="G24" s="18">
        <f>IFERROR('Historicial Financials'!G45,0)</f>
        <v>0.802155559261995</v>
      </c>
      <c r="H24" s="18">
        <f>IFERROR('Historicial Financials'!H45,0)</f>
        <v>0.8321127705639052</v>
      </c>
      <c r="I24" s="18">
        <f>IFERROR('Historicial Financials'!I45,0)</f>
        <v>0.77806350089714926</v>
      </c>
      <c r="K24" s="18">
        <f t="shared" si="2"/>
        <v>0.58612738684724819</v>
      </c>
      <c r="L24" s="18">
        <f t="shared" si="1"/>
        <v>0.79010953007957219</v>
      </c>
      <c r="M24" s="22"/>
    </row>
    <row r="25" spans="2:13" ht="21" x14ac:dyDescent="0.4">
      <c r="B25" t="s">
        <v>363</v>
      </c>
      <c r="C25" s="18">
        <f>IFERROR('Historicial Financials'!C34/SUM('Historicial Financials'!C48:C49),0)</f>
        <v>4.1555633594304156E-2</v>
      </c>
      <c r="D25" s="18">
        <f>IFERROR('Historicial Financials'!D34/SUM('Historicial Financials'!D48:D49),0)</f>
        <v>-0.28636348686013741</v>
      </c>
      <c r="E25" s="18">
        <f>IFERROR('Historicial Financials'!E34/SUM('Historicial Financials'!E48:E49),0)</f>
        <v>-5.9258734822471654E-2</v>
      </c>
      <c r="F25" s="18">
        <f>IFERROR('Historicial Financials'!F34/SUM('Historicial Financials'!F48:F49),0)</f>
        <v>0.10779307338047293</v>
      </c>
      <c r="G25" s="18">
        <f>IFERROR('Historicial Financials'!G34/SUM('Historicial Financials'!G48:G49),0)</f>
        <v>0.11404990139214206</v>
      </c>
      <c r="H25" s="18">
        <f>IFERROR('Historicial Financials'!H34/SUM('Historicial Financials'!H48:H49),0)</f>
        <v>0.12296081521695308</v>
      </c>
      <c r="I25" s="18">
        <f>IFERROR('Historicial Financials'!I34/SUM('Historicial Financials'!I48:I49),0)</f>
        <v>0.11705302287950996</v>
      </c>
      <c r="K25" s="18">
        <f t="shared" si="2"/>
        <v>2.2541460682967591E-2</v>
      </c>
      <c r="L25" s="18">
        <f t="shared" si="1"/>
        <v>0.1109214873863075</v>
      </c>
      <c r="M25" s="22"/>
    </row>
    <row r="26" spans="2:13" ht="21" x14ac:dyDescent="0.4">
      <c r="B26" t="s">
        <v>128</v>
      </c>
      <c r="C26" s="18">
        <f>IFERROR(C24*C25,0)</f>
        <v>3.458396728450977E-2</v>
      </c>
      <c r="D26" s="18">
        <f t="shared" ref="D26:I26" si="4">IFERROR(D24*D25,0)</f>
        <v>0</v>
      </c>
      <c r="E26" s="18">
        <f t="shared" si="4"/>
        <v>0</v>
      </c>
      <c r="F26" s="18">
        <f t="shared" si="4"/>
        <v>9.2521698099488306E-2</v>
      </c>
      <c r="G26" s="18">
        <f t="shared" si="4"/>
        <v>9.1485762434989099E-2</v>
      </c>
      <c r="H26" s="18">
        <f t="shared" si="4"/>
        <v>0.10231726462097522</v>
      </c>
      <c r="I26" s="18">
        <f t="shared" si="4"/>
        <v>9.1074684772225634E-2</v>
      </c>
      <c r="K26" s="18">
        <f t="shared" si="2"/>
        <v>5.8854768173169716E-2</v>
      </c>
      <c r="L26" s="18">
        <f t="shared" si="1"/>
        <v>9.1280223603607366E-2</v>
      </c>
      <c r="M26" s="22"/>
    </row>
    <row r="27" spans="2:13" ht="21" x14ac:dyDescent="0.4">
      <c r="B27" t="s">
        <v>129</v>
      </c>
      <c r="C27" s="94">
        <f>IFERROR(('Historicial Financials'!C19-'Historicial Financials'!C25)/'Historicial Financials'!C22,0)</f>
        <v>1.651295731707318</v>
      </c>
      <c r="D27" s="94">
        <f>IFERROR(('Historicial Financials'!D19-'Historicial Financials'!D25)/'Historicial Financials'!D22,0)</f>
        <v>-1.9149744302666198</v>
      </c>
      <c r="E27" s="94">
        <f>IFERROR(('Historicial Financials'!E19-'Historicial Financials'!E25)/'Historicial Financials'!E22,0)</f>
        <v>-3.039797970351235E-3</v>
      </c>
      <c r="F27" s="94">
        <f>IFERROR(('Historicial Financials'!F19-'Historicial Financials'!F25)/'Historicial Financials'!F22,0)</f>
        <v>5.8822283414530814</v>
      </c>
      <c r="G27" s="94">
        <f>IFERROR(('Historicial Financials'!G19-'Historicial Financials'!G25)/'Historicial Financials'!G22,0)</f>
        <v>7.7432113341204261</v>
      </c>
      <c r="H27" s="94">
        <f>IFERROR(('Historicial Financials'!H19-'Historicial Financials'!H25)/'Historicial Financials'!H22,0)</f>
        <v>10.803196084077172</v>
      </c>
      <c r="I27" s="94">
        <f>IFERROR(('Historicial Financials'!I19-'Historicial Financials'!I25)/'Historicial Financials'!I22,0)</f>
        <v>11.703817483623217</v>
      </c>
      <c r="K27" s="94">
        <f t="shared" si="2"/>
        <v>5.123676392392035</v>
      </c>
      <c r="L27" s="94">
        <f t="shared" si="1"/>
        <v>6.8127198377867533</v>
      </c>
      <c r="M27" s="22"/>
    </row>
    <row r="28" spans="2:13" ht="21" x14ac:dyDescent="0.4">
      <c r="B28" s="93"/>
      <c r="C28" s="93"/>
      <c r="D28" s="93"/>
      <c r="E28" s="93"/>
      <c r="F28" s="93"/>
      <c r="G28" s="93"/>
      <c r="H28" s="93"/>
      <c r="I28" s="93"/>
      <c r="J28" s="91"/>
      <c r="K28" s="91"/>
      <c r="L28" s="92"/>
      <c r="M28" s="22"/>
    </row>
    <row r="29" spans="2:13" ht="21" x14ac:dyDescent="0.4">
      <c r="B29" t="s">
        <v>130</v>
      </c>
      <c r="C29" s="94">
        <f>IFERROR('Historicial Financials'!C7/'Historicial Financials'!C60,0)</f>
        <v>15.389076615405836</v>
      </c>
      <c r="D29" s="94">
        <f>IFERROR('Historicial Financials'!D7/'Historicial Financials'!D60,0)</f>
        <v>7.1650291120815144</v>
      </c>
      <c r="E29" s="94">
        <f>IFERROR('Historicial Financials'!E7/'Historicial Financials'!E60,0)</f>
        <v>11.969217513903031</v>
      </c>
      <c r="F29" s="94">
        <f>IFERROR('Historicial Financials'!F7/'Historicial Financials'!F60,0)</f>
        <v>13.013573748460074</v>
      </c>
      <c r="G29" s="94">
        <f>IFERROR('Historicial Financials'!G7/'Historicial Financials'!G60,0)</f>
        <v>14.206334214834405</v>
      </c>
      <c r="H29" s="94">
        <f>IFERROR('Historicial Financials'!H7/'Historicial Financials'!H60,0)</f>
        <v>12.80503318584071</v>
      </c>
      <c r="I29" s="94">
        <f>IFERROR('Historicial Financials'!I7/'Historicial Financials'!I60,0)</f>
        <v>13.33097603258028</v>
      </c>
      <c r="J29" s="91"/>
      <c r="K29" s="95">
        <f t="shared" si="2"/>
        <v>12.554177203300837</v>
      </c>
      <c r="L29" s="95">
        <f t="shared" si="1"/>
        <v>12.909303467150391</v>
      </c>
      <c r="M29" s="22"/>
    </row>
    <row r="30" spans="2:13" ht="21" x14ac:dyDescent="0.4">
      <c r="B30" t="s">
        <v>131</v>
      </c>
      <c r="C30" s="94">
        <f>IFERROR('Historicial Financials'!C7/'Historicial Financials'!C51,0)</f>
        <v>1.7271077367201075</v>
      </c>
      <c r="D30" s="94">
        <f>IFERROR('Historicial Financials'!D7/'Historicial Financials'!D51,0)</f>
        <v>0.69454867740498882</v>
      </c>
      <c r="E30" s="94">
        <f>IFERROR('Historicial Financials'!E7/'Historicial Financials'!E51,0)</f>
        <v>1.4894440329057661</v>
      </c>
      <c r="F30" s="94">
        <f>IFERROR('Historicial Financials'!F7/'Historicial Financials'!F51,0)</f>
        <v>2.4298368512841528</v>
      </c>
      <c r="G30" s="94">
        <f>IFERROR('Historicial Financials'!G7/'Historicial Financials'!G51,0)</f>
        <v>2.6642957796374001</v>
      </c>
      <c r="H30" s="94">
        <f>IFERROR('Historicial Financials'!H7/'Historicial Financials'!H51,0)</f>
        <v>2.4724236131711659</v>
      </c>
      <c r="I30" s="94">
        <f>IFERROR('Historicial Financials'!I7/'Historicial Financials'!I51,0)</f>
        <v>2.2367240089753175</v>
      </c>
      <c r="K30" s="94">
        <f t="shared" si="2"/>
        <v>1.9591972428712712</v>
      </c>
      <c r="L30" s="94">
        <f t="shared" si="1"/>
        <v>2.3332804301297352</v>
      </c>
      <c r="M30" s="22"/>
    </row>
    <row r="31" spans="2:13" ht="21" x14ac:dyDescent="0.4">
      <c r="B31" t="s">
        <v>371</v>
      </c>
      <c r="C31" s="94">
        <f>'Historicial Financials'!C63/'Historicial Financials'!C51</f>
        <v>0.27057430432208407</v>
      </c>
      <c r="D31" s="94">
        <f>'Historicial Financials'!D63/'Historicial Financials'!D51</f>
        <v>0.20563166643884848</v>
      </c>
      <c r="E31" s="94">
        <f>'Historicial Financials'!E63/'Historicial Financials'!E51</f>
        <v>0.75245623611056955</v>
      </c>
      <c r="F31" s="94">
        <f>'Historicial Financials'!F63/'Historicial Financials'!F51</f>
        <v>0.67295813171508989</v>
      </c>
      <c r="G31" s="94">
        <f>'Historicial Financials'!G63/'Historicial Financials'!G51</f>
        <v>0.81809379108378544</v>
      </c>
      <c r="H31" s="94">
        <f>'Historicial Financials'!H63/'Historicial Financials'!H51</f>
        <v>0.88042420646692376</v>
      </c>
      <c r="I31" s="94">
        <f>'Historicial Financials'!I63/'Historicial Financials'!I51</f>
        <v>0.62507271669575337</v>
      </c>
      <c r="J31" s="94"/>
      <c r="K31" s="94">
        <f>AVERAGE(C31:I31)</f>
        <v>0.60360157897615063</v>
      </c>
      <c r="L31" s="94">
        <f>IFERROR(MEDIAN(D31:I31),0)</f>
        <v>0.71270718391282972</v>
      </c>
      <c r="M31" s="22"/>
    </row>
    <row r="32" spans="2:13" ht="21" x14ac:dyDescent="0.4">
      <c r="B32" t="s">
        <v>132</v>
      </c>
      <c r="C32" s="94">
        <f>IFERROR('Historicial Financials'!C10/'Historicial Financials'!C61,0)</f>
        <v>31.483922657835702</v>
      </c>
      <c r="D32" s="94">
        <f>IFERROR('Historicial Financials'!D10/AVERAGE('Historicial Financials'!D61,'Historicial Financials'!C61),0)</f>
        <v>16.868786530108849</v>
      </c>
      <c r="E32" s="94">
        <f>IFERROR('Historicial Financials'!E10/AVERAGE('Historicial Financials'!E61,'Historicial Financials'!D61),0)</f>
        <v>22.814929533839248</v>
      </c>
      <c r="F32" s="94">
        <f>IFERROR('Historicial Financials'!F10/AVERAGE('Historicial Financials'!F61,'Historicial Financials'!E61),0)</f>
        <v>32.471624452485244</v>
      </c>
      <c r="G32" s="94">
        <f>IFERROR('Historicial Financials'!G10/AVERAGE('Historicial Financials'!G61,'Historicial Financials'!F61),0)</f>
        <v>34.477819632173727</v>
      </c>
      <c r="H32" s="94">
        <f>IFERROR('Historicial Financials'!H10/AVERAGE('Historicial Financials'!H61,'Historicial Financials'!G61),0)</f>
        <v>34.907863919653842</v>
      </c>
      <c r="I32" s="94">
        <f>IFERROR('Historicial Financials'!I10/AVERAGE('Historicial Financials'!I61,'Historicial Financials'!H61),0)</f>
        <v>35.642987377279105</v>
      </c>
      <c r="K32" s="94">
        <f t="shared" si="2"/>
        <v>29.809704871910814</v>
      </c>
      <c r="L32" s="94">
        <f t="shared" si="1"/>
        <v>33.474722042329489</v>
      </c>
      <c r="M32" s="22"/>
    </row>
    <row r="33" spans="2:13" ht="21" x14ac:dyDescent="0.4">
      <c r="B33" t="s">
        <v>133</v>
      </c>
      <c r="C33" s="94">
        <f>IFERROR('Historicial Financials'!C7/'Historicial Financials'!C54,0)</f>
        <v>0.55381847285903074</v>
      </c>
      <c r="D33" s="94">
        <f>IFERROR('Historicial Financials'!D7/'Historicial Financials'!D54,0)</f>
        <v>0.18668120459366888</v>
      </c>
      <c r="E33" s="94">
        <f>IFERROR('Historicial Financials'!E7/'Historicial Financials'!E54,0)</f>
        <v>0.36317249213935499</v>
      </c>
      <c r="F33" s="94">
        <f>IFERROR('Historicial Financials'!F7/'Historicial Financials'!F54,0)</f>
        <v>0.6588297596084608</v>
      </c>
      <c r="G33" s="94">
        <f>IFERROR('Historicial Financials'!G7/'Historicial Financials'!G54,0)</f>
        <v>0.72693618748751521</v>
      </c>
      <c r="H33" s="94">
        <f>IFERROR('Historicial Financials'!H7/'Historicial Financials'!H54,0)</f>
        <v>0.76336349098476131</v>
      </c>
      <c r="I33" s="94">
        <f>IFERROR('Historicial Financials'!I7/'Historicial Financials'!I54,0)</f>
        <v>0.7935440120687367</v>
      </c>
      <c r="K33" s="94">
        <f t="shared" si="2"/>
        <v>0.57804937424878988</v>
      </c>
      <c r="L33" s="94">
        <f t="shared" si="1"/>
        <v>0.692882973547988</v>
      </c>
      <c r="M33" s="22"/>
    </row>
    <row r="34" spans="2:13" ht="21" x14ac:dyDescent="0.4">
      <c r="B34" t="s">
        <v>134</v>
      </c>
      <c r="C34" s="94">
        <f>IFERROR('Historicial Financials'!C7/SUM('Historicial Financials'!C48:C49),0)</f>
        <v>1.0244054709753236</v>
      </c>
      <c r="D34" s="94">
        <f>IFERROR('Historicial Financials'!D7/SUM('Historicial Financials'!D48:D49),0)</f>
        <v>0.43173520737630333</v>
      </c>
      <c r="E34" s="94">
        <f>IFERROR('Historicial Financials'!E7/SUM('Historicial Financials'!E48:E49),0)</f>
        <v>0.43275443378526673</v>
      </c>
      <c r="F34" s="94">
        <f>IFERROR('Historicial Financials'!F7/SUM('Historicial Financials'!F48:F49),0)</f>
        <v>0.72788011966985555</v>
      </c>
      <c r="G34" s="94">
        <f>IFERROR('Historicial Financials'!G7/SUM('Historicial Financials'!G48:G49),0)</f>
        <v>0.71576615397630239</v>
      </c>
      <c r="H34" s="94">
        <f>IFERROR('Historicial Financials'!H7/SUM('Historicial Financials'!H48:H49),0)</f>
        <v>0.74677507076162719</v>
      </c>
      <c r="I34" s="94">
        <f>IFERROR('Historicial Financials'!I7/SUM('Historicial Financials'!I48:I49),0)</f>
        <v>0.7423387007184179</v>
      </c>
      <c r="K34" s="94">
        <f t="shared" si="2"/>
        <v>0.68880787960901368</v>
      </c>
      <c r="L34" s="94">
        <f t="shared" si="1"/>
        <v>0.72182313682307897</v>
      </c>
      <c r="M34" s="22"/>
    </row>
    <row r="35" spans="2:13" ht="21" x14ac:dyDescent="0.4">
      <c r="B35" s="93"/>
      <c r="C35" s="93"/>
      <c r="D35" s="93"/>
      <c r="E35" s="93"/>
      <c r="F35" s="93"/>
      <c r="G35" s="93"/>
      <c r="H35" s="93"/>
      <c r="I35" s="93"/>
      <c r="J35" s="91"/>
      <c r="K35" s="91"/>
      <c r="L35" s="92"/>
      <c r="M35" s="22"/>
    </row>
    <row r="36" spans="2:13" ht="21" x14ac:dyDescent="0.4">
      <c r="B36" t="s">
        <v>135</v>
      </c>
      <c r="C36" s="96">
        <f>IFERROR(365/C29,0)</f>
        <v>23.718122218886251</v>
      </c>
      <c r="D36" s="96">
        <f t="shared" ref="D36:H36" si="5">IFERROR(365/D29,0)</f>
        <v>50.941872571675255</v>
      </c>
      <c r="E36" s="96">
        <f t="shared" si="5"/>
        <v>30.494892383401719</v>
      </c>
      <c r="F36" s="96">
        <f t="shared" si="5"/>
        <v>28.047637570977866</v>
      </c>
      <c r="G36" s="96">
        <f t="shared" si="5"/>
        <v>25.692764542936288</v>
      </c>
      <c r="H36" s="96">
        <f t="shared" si="5"/>
        <v>28.504416560482039</v>
      </c>
      <c r="I36" s="96">
        <f>IFERROR(365/I29,0)</f>
        <v>27.379840688930589</v>
      </c>
      <c r="J36" s="91"/>
      <c r="K36" s="97">
        <f t="shared" si="2"/>
        <v>30.68279236247</v>
      </c>
      <c r="L36" s="97">
        <f t="shared" si="1"/>
        <v>28.276027065729952</v>
      </c>
      <c r="M36" s="22"/>
    </row>
    <row r="37" spans="2:13" ht="21" x14ac:dyDescent="0.4">
      <c r="B37" t="s">
        <v>136</v>
      </c>
      <c r="C37" s="96">
        <f>IFERROR(365/C30,0)</f>
        <v>211.33597646499996</v>
      </c>
      <c r="D37" s="96">
        <f t="shared" ref="D37:I37" si="6">IFERROR(365/D30,0)</f>
        <v>525.52112166383097</v>
      </c>
      <c r="E37" s="96">
        <f t="shared" si="6"/>
        <v>245.05788195875954</v>
      </c>
      <c r="F37" s="96">
        <f t="shared" si="6"/>
        <v>150.21584671707481</v>
      </c>
      <c r="G37" s="96">
        <f t="shared" si="6"/>
        <v>136.99680147737766</v>
      </c>
      <c r="H37" s="96">
        <f t="shared" si="6"/>
        <v>147.62842340429106</v>
      </c>
      <c r="I37" s="96">
        <f t="shared" si="6"/>
        <v>163.18508610600236</v>
      </c>
      <c r="K37" s="96">
        <f t="shared" si="2"/>
        <v>225.7058768274766</v>
      </c>
      <c r="L37" s="96">
        <f t="shared" si="1"/>
        <v>156.70046641153857</v>
      </c>
      <c r="M37" s="22"/>
    </row>
    <row r="38" spans="2:13" ht="21" x14ac:dyDescent="0.4">
      <c r="B38" t="s">
        <v>137</v>
      </c>
      <c r="C38" s="96">
        <f t="shared" ref="C38:I38" si="7">IFERROR(365/C32,0)</f>
        <v>11.593218671217864</v>
      </c>
      <c r="D38" s="96">
        <f t="shared" si="7"/>
        <v>21.637596714411963</v>
      </c>
      <c r="E38" s="96">
        <f t="shared" si="7"/>
        <v>15.998296179641041</v>
      </c>
      <c r="F38" s="96">
        <f t="shared" si="7"/>
        <v>11.240583314028331</v>
      </c>
      <c r="G38" s="96">
        <f t="shared" si="7"/>
        <v>10.586516313792428</v>
      </c>
      <c r="H38" s="96">
        <f t="shared" si="7"/>
        <v>10.456096678963434</v>
      </c>
      <c r="I38" s="96">
        <f t="shared" si="7"/>
        <v>10.240443544658438</v>
      </c>
      <c r="K38" s="96">
        <f t="shared" si="2"/>
        <v>13.107535916673356</v>
      </c>
      <c r="L38" s="96">
        <f t="shared" si="1"/>
        <v>10.913549813910379</v>
      </c>
      <c r="M38" s="22"/>
    </row>
    <row r="39" spans="2:13" ht="21" x14ac:dyDescent="0.4">
      <c r="B39" t="s">
        <v>138</v>
      </c>
      <c r="C39" s="96">
        <f>IFERROR(SUM(C36,C38)-C37,0)</f>
        <v>-176.02463557489585</v>
      </c>
      <c r="D39" s="96">
        <f t="shared" ref="D39:I39" si="8">IFERROR(SUM(D36,D38)-D37,0)</f>
        <v>-452.94165237774376</v>
      </c>
      <c r="E39" s="96">
        <f t="shared" si="8"/>
        <v>-198.56469339571677</v>
      </c>
      <c r="F39" s="96">
        <f t="shared" si="8"/>
        <v>-110.92762583206861</v>
      </c>
      <c r="G39" s="96">
        <f t="shared" si="8"/>
        <v>-100.71752062064894</v>
      </c>
      <c r="H39" s="96">
        <f t="shared" si="8"/>
        <v>-108.66791016484558</v>
      </c>
      <c r="I39" s="96">
        <f t="shared" si="8"/>
        <v>-125.56480187241334</v>
      </c>
      <c r="J39" s="91"/>
      <c r="K39" s="97">
        <f t="shared" si="2"/>
        <v>-181.91554854833325</v>
      </c>
      <c r="L39" s="97">
        <f t="shared" si="1"/>
        <v>-118.24621385224097</v>
      </c>
      <c r="M39" s="22"/>
    </row>
    <row r="40" spans="2:13" ht="21" x14ac:dyDescent="0.4">
      <c r="B40" s="93"/>
      <c r="C40" s="93"/>
      <c r="D40" s="93"/>
      <c r="E40" s="93"/>
      <c r="F40" s="93"/>
      <c r="G40" s="93"/>
      <c r="H40" s="93"/>
      <c r="I40" s="93"/>
      <c r="J40" s="91"/>
      <c r="K40" s="91"/>
      <c r="L40" s="92"/>
      <c r="M40" s="22"/>
    </row>
    <row r="41" spans="2:13" ht="21" x14ac:dyDescent="0.4">
      <c r="B41" t="s">
        <v>139</v>
      </c>
      <c r="C41" s="18">
        <f>IFERROR('Historicial Financials'!C75/'Historicial Financials'!C7,0)</f>
        <v>0.18977670429338983</v>
      </c>
      <c r="D41" s="18">
        <f>IFERROR('Historicial Financials'!D75/'Historicial Financials'!D7,0)</f>
        <v>-0.25076817593133394</v>
      </c>
      <c r="E41" s="18">
        <f>IFERROR('Historicial Financials'!E75/'Historicial Financials'!E7,0)</f>
        <v>0.25914364803580897</v>
      </c>
      <c r="F41" s="18">
        <f>IFERROR('Historicial Financials'!F75/'Historicial Financials'!F7,0)</f>
        <v>0.28279267665075708</v>
      </c>
      <c r="G41" s="18">
        <f>IFERROR('Historicial Financials'!G75/'Historicial Financials'!G7,0)</f>
        <v>0.29119113573407202</v>
      </c>
      <c r="H41" s="18">
        <f>IFERROR('Historicial Financials'!H75/'Historicial Financials'!H7,0)</f>
        <v>0.25700278599658766</v>
      </c>
      <c r="I41" s="18">
        <f>IFERROR('Historicial Financials'!I75/'Historicial Financials'!I7,0)</f>
        <v>0.24842040948600611</v>
      </c>
      <c r="J41" s="91"/>
      <c r="K41" s="92">
        <f t="shared" si="2"/>
        <v>0.18250845489504111</v>
      </c>
      <c r="L41" s="92">
        <f t="shared" si="1"/>
        <v>0.25807321701619834</v>
      </c>
      <c r="M41" s="22"/>
    </row>
    <row r="42" spans="2:13" ht="21" x14ac:dyDescent="0.4">
      <c r="B42" t="s">
        <v>140</v>
      </c>
      <c r="C42" s="18">
        <f>IFERROR('Historicial Financials'!C75/'Historicial Financials'!C64,0)</f>
        <v>7.4027072758037216E-2</v>
      </c>
      <c r="D42" s="18">
        <f>IFERROR('Historicial Financials'!D75/'Historicial Financials'!D64,0)</f>
        <v>-3.454409663251902E-2</v>
      </c>
      <c r="E42" s="18">
        <f>IFERROR('Historicial Financials'!E75/'Historicial Financials'!E64,0)</f>
        <v>6.09135181863769E-2</v>
      </c>
      <c r="F42" s="18">
        <f>IFERROR('Historicial Financials'!F75/'Historicial Financials'!F64,0)</f>
        <v>0.12159525874701378</v>
      </c>
      <c r="G42" s="18">
        <f>IFERROR('Historicial Financials'!G75/'Historicial Financials'!G64,0)</f>
        <v>0.13377749361655339</v>
      </c>
      <c r="H42" s="18">
        <f>IFERROR('Historicial Financials'!H75/'Historicial Financials'!H64,0)</f>
        <v>0.12159414349925465</v>
      </c>
      <c r="I42" s="18">
        <f>IFERROR('Historicial Financials'!I75/'Historicial Financials'!I64,0)</f>
        <v>0.11903631522517497</v>
      </c>
      <c r="K42" s="18">
        <f t="shared" si="2"/>
        <v>8.5199957914270277E-2</v>
      </c>
      <c r="L42" s="18">
        <f t="shared" si="1"/>
        <v>0.12031522936221481</v>
      </c>
      <c r="M42" s="22"/>
    </row>
    <row r="43" spans="2:13" ht="21" x14ac:dyDescent="0.4">
      <c r="B43" t="s">
        <v>141</v>
      </c>
      <c r="C43" s="18">
        <f>IFERROR('Historicial Financials'!C75/'Historicial Financials'!C50,0)</f>
        <v>0.18818960269108911</v>
      </c>
      <c r="D43" s="18">
        <f>IFERROR('Historicial Financials'!D75/'Historicial Financials'!D50,0)</f>
        <v>-7.1579626444957078E-2</v>
      </c>
      <c r="E43" s="18">
        <f>IFERROR('Historicial Financials'!E75/'Historicial Financials'!E50,0)</f>
        <v>0.20371051501207602</v>
      </c>
      <c r="F43" s="18">
        <f>IFERROR('Historicial Financials'!F75/'Historicial Financials'!F50,0)</f>
        <v>0.52341343289763331</v>
      </c>
      <c r="G43" s="18">
        <f>IFERROR('Historicial Financials'!G75/'Historicial Financials'!G50,0)</f>
        <v>0.72033418243349423</v>
      </c>
      <c r="H43" s="18">
        <f>IFERROR('Historicial Financials'!H75/'Historicial Financials'!H50,0)</f>
        <v>0.69449172737795328</v>
      </c>
      <c r="I43" s="18">
        <f>IFERROR('Historicial Financials'!I75/'Historicial Financials'!I50,0)</f>
        <v>0.8485660397313638</v>
      </c>
      <c r="K43" s="18">
        <f t="shared" si="2"/>
        <v>0.44387512481409325</v>
      </c>
      <c r="L43" s="18">
        <f t="shared" si="1"/>
        <v>0.6089525801377933</v>
      </c>
      <c r="M43" s="22"/>
    </row>
    <row r="44" spans="2:13" ht="21" x14ac:dyDescent="0.4">
      <c r="M44" s="22"/>
    </row>
    <row r="45" spans="2:13" ht="21" x14ac:dyDescent="0.4">
      <c r="M45" s="22"/>
    </row>
    <row r="46" spans="2:13" ht="21" x14ac:dyDescent="0.4">
      <c r="B46" s="22"/>
      <c r="C46" s="22"/>
      <c r="D46" s="22"/>
      <c r="E46" s="22"/>
      <c r="F46" s="22"/>
      <c r="G46" s="22"/>
      <c r="H46" s="22"/>
      <c r="I46" s="22"/>
      <c r="J46" s="22"/>
      <c r="K46" s="22"/>
      <c r="L46" s="22"/>
      <c r="M46" s="22"/>
    </row>
    <row r="47" spans="2:13" ht="21" x14ac:dyDescent="0.4">
      <c r="B47" s="22"/>
      <c r="C47" s="22"/>
      <c r="D47" s="22"/>
      <c r="E47" s="22"/>
      <c r="F47" s="22"/>
      <c r="G47" s="22"/>
      <c r="H47" s="22"/>
      <c r="I47" s="22"/>
      <c r="J47" s="22"/>
      <c r="K47" s="22"/>
      <c r="L47" s="22"/>
      <c r="M47" s="22"/>
    </row>
    <row r="48" spans="2:13" ht="21" x14ac:dyDescent="0.4">
      <c r="B48" s="22"/>
      <c r="C48" s="22"/>
      <c r="D48" s="22"/>
      <c r="E48" s="22"/>
      <c r="F48" s="22"/>
      <c r="G48" s="22"/>
      <c r="H48" s="22"/>
      <c r="I48" s="22"/>
      <c r="J48" s="22"/>
      <c r="K48" s="22"/>
      <c r="L48" s="22"/>
      <c r="M48" s="22"/>
    </row>
  </sheetData>
  <mergeCells count="1">
    <mergeCell ref="B2:L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02040258-F46F-4A92-91F0-679F09EE98AC}">
          <x14:colorSeries rgb="FF376092"/>
          <x14:colorNegative rgb="FFD00000"/>
          <x14:colorAxis rgb="FF000000"/>
          <x14:colorMarkers rgb="FFD00000"/>
          <x14:colorFirst rgb="FFD00000"/>
          <x14:colorLast rgb="FFD00000"/>
          <x14:colorHigh rgb="FFD00000"/>
          <x14:colorLow rgb="FFD00000"/>
          <x14:sparklines>
            <x14:sparkline>
              <xm:f>'Ratio Analysis'!C12:I12</xm:f>
              <xm:sqref>J12</xm:sqref>
            </x14:sparkline>
            <x14:sparkline>
              <xm:f>'Ratio Analysis'!C13:I13</xm:f>
              <xm:sqref>J13</xm:sqref>
            </x14:sparkline>
            <x14:sparkline>
              <xm:f>'Ratio Analysis'!C14:I14</xm:f>
              <xm:sqref>J14</xm:sqref>
            </x14:sparkline>
            <x14:sparkline>
              <xm:f>'Ratio Analysis'!C15:I15</xm:f>
              <xm:sqref>J15</xm:sqref>
            </x14:sparkline>
            <x14:sparkline>
              <xm:f>'Ratio Analysis'!C16:I16</xm:f>
              <xm:sqref>J16</xm:sqref>
            </x14:sparkline>
            <x14:sparkline>
              <xm:f>'Ratio Analysis'!C17:I17</xm:f>
              <xm:sqref>J17</xm:sqref>
            </x14:sparkline>
            <x14:sparkline>
              <xm:f>'Ratio Analysis'!C18:I18</xm:f>
              <xm:sqref>J18</xm:sqref>
            </x14:sparkline>
            <x14:sparkline>
              <xm:f>'Ratio Analysis'!C19:I19</xm:f>
              <xm:sqref>J19</xm:sqref>
            </x14:sparkline>
            <x14:sparkline>
              <xm:f>'Ratio Analysis'!C20:I20</xm:f>
              <xm:sqref>J20</xm:sqref>
            </x14:sparkline>
            <x14:sparkline>
              <xm:f>'Ratio Analysis'!C21:I21</xm:f>
              <xm:sqref>J21</xm:sqref>
            </x14:sparkline>
            <x14:sparkline>
              <xm:f>'Ratio Analysis'!C22:I22</xm:f>
              <xm:sqref>J22</xm:sqref>
            </x14:sparkline>
            <x14:sparkline>
              <xm:f>'Ratio Analysis'!C23:I23</xm:f>
              <xm:sqref>J23</xm:sqref>
            </x14:sparkline>
            <x14:sparkline>
              <xm:f>'Ratio Analysis'!C24:I24</xm:f>
              <xm:sqref>J24</xm:sqref>
            </x14:sparkline>
            <x14:sparkline>
              <xm:f>'Ratio Analysis'!C25:I25</xm:f>
              <xm:sqref>J25</xm:sqref>
            </x14:sparkline>
            <x14:sparkline>
              <xm:f>'Ratio Analysis'!C26:I26</xm:f>
              <xm:sqref>J26</xm:sqref>
            </x14:sparkline>
            <x14:sparkline>
              <xm:f>'Ratio Analysis'!C27:I27</xm:f>
              <xm:sqref>J27</xm:sqref>
            </x14:sparkline>
            <x14:sparkline>
              <xm:f>'Ratio Analysis'!C28:I28</xm:f>
              <xm:sqref>J28</xm:sqref>
            </x14:sparkline>
            <x14:sparkline>
              <xm:f>'Ratio Analysis'!C29:I29</xm:f>
              <xm:sqref>J29</xm:sqref>
            </x14:sparkline>
            <x14:sparkline>
              <xm:f>'Ratio Analysis'!C30:I30</xm:f>
              <xm:sqref>J30</xm:sqref>
            </x14:sparkline>
            <x14:sparkline>
              <xm:f>'Ratio Analysis'!C32:I32</xm:f>
              <xm:sqref>J32</xm:sqref>
            </x14:sparkline>
            <x14:sparkline>
              <xm:f>'Ratio Analysis'!C33:I33</xm:f>
              <xm:sqref>J33</xm:sqref>
            </x14:sparkline>
            <x14:sparkline>
              <xm:f>'Ratio Analysis'!C34:I34</xm:f>
              <xm:sqref>J34</xm:sqref>
            </x14:sparkline>
            <x14:sparkline>
              <xm:f>'Ratio Analysis'!C35:I35</xm:f>
              <xm:sqref>J35</xm:sqref>
            </x14:sparkline>
            <x14:sparkline>
              <xm:f>'Ratio Analysis'!C36:I36</xm:f>
              <xm:sqref>J36</xm:sqref>
            </x14:sparkline>
            <x14:sparkline>
              <xm:f>'Ratio Analysis'!C37:I37</xm:f>
              <xm:sqref>J37</xm:sqref>
            </x14:sparkline>
            <x14:sparkline>
              <xm:f>'Ratio Analysis'!C38:I38</xm:f>
              <xm:sqref>J38</xm:sqref>
            </x14:sparkline>
            <x14:sparkline>
              <xm:f>'Ratio Analysis'!C39:I39</xm:f>
              <xm:sqref>J39</xm:sqref>
            </x14:sparkline>
            <x14:sparkline>
              <xm:f>'Ratio Analysis'!C40:I40</xm:f>
              <xm:sqref>J40</xm:sqref>
            </x14:sparkline>
            <x14:sparkline>
              <xm:f>'Ratio Analysis'!C41:I41</xm:f>
              <xm:sqref>J41</xm:sqref>
            </x14:sparkline>
            <x14:sparkline>
              <xm:f>'Ratio Analysis'!C42:I42</xm:f>
              <xm:sqref>J42</xm:sqref>
            </x14:sparkline>
            <x14:sparkline>
              <xm:f>'Ratio Analysis'!C43:I43</xm:f>
              <xm:sqref>J43</xm:sqref>
            </x14:sparkline>
          </x14:sparklines>
        </x14:sparklineGroup>
        <x14:sparklineGroup displayEmptyCellsAs="gap" xr2:uid="{B4B38490-E6D6-40F0-AE6D-37B96689DC66}">
          <x14:colorSeries rgb="FF376092"/>
          <x14:colorNegative rgb="FFD00000"/>
          <x14:colorAxis rgb="FF000000"/>
          <x14:colorMarkers rgb="FFD00000"/>
          <x14:colorFirst rgb="FFD00000"/>
          <x14:colorLast rgb="FFD00000"/>
          <x14:colorHigh rgb="FFD00000"/>
          <x14:colorLow rgb="FFD00000"/>
          <x14:sparklines>
            <x14:sparkline>
              <xm:f>'Ratio Analysis'!D6:I6</xm:f>
              <xm:sqref>J6</xm:sqref>
            </x14:sparkline>
            <x14:sparkline>
              <xm:f>'Ratio Analysis'!D7:I7</xm:f>
              <xm:sqref>J7</xm:sqref>
            </x14:sparkline>
            <x14:sparkline>
              <xm:f>'Ratio Analysis'!D8:I8</xm:f>
              <xm:sqref>J8</xm:sqref>
            </x14:sparkline>
            <x14:sparkline>
              <xm:f>'Ratio Analysis'!D9:I9</xm:f>
              <xm:sqref>J9</xm:sqref>
            </x14:sparkline>
            <x14:sparkline>
              <xm:f>'Ratio Analysis'!D10:I10</xm:f>
              <xm:sqref>J10</xm:sqref>
            </x14:sparkline>
            <x14:sparkline>
              <xm:f>'Ratio Analysis'!D31:I31</xm:f>
              <xm:sqref>J31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E331-EA93-4B23-8A74-88B2ED396617}">
  <dimension ref="B1:Q31"/>
  <sheetViews>
    <sheetView showGridLines="0" topLeftCell="A2" zoomScale="142" workbookViewId="0">
      <selection activeCell="B19" sqref="B19:H19"/>
    </sheetView>
  </sheetViews>
  <sheetFormatPr defaultRowHeight="14.4" x14ac:dyDescent="0.3"/>
  <cols>
    <col min="1" max="1" width="2.33203125" customWidth="1"/>
    <col min="2" max="2" width="17.77734375" bestFit="1" customWidth="1"/>
    <col min="3" max="3" width="9.109375" bestFit="1" customWidth="1"/>
    <col min="4" max="4" width="9.33203125" customWidth="1"/>
    <col min="6" max="6" width="9.77734375" bestFit="1" customWidth="1"/>
    <col min="7" max="7" width="9.109375" bestFit="1" customWidth="1"/>
    <col min="8" max="12" width="9" bestFit="1" customWidth="1"/>
    <col min="13" max="13" width="7.5546875" customWidth="1"/>
    <col min="14" max="14" width="9" customWidth="1"/>
  </cols>
  <sheetData>
    <row r="1" spans="2:14" x14ac:dyDescent="0.3">
      <c r="B1" s="210" t="s">
        <v>558</v>
      </c>
      <c r="C1" s="210"/>
      <c r="D1" s="210"/>
      <c r="E1" s="210"/>
      <c r="F1" s="210"/>
      <c r="G1" s="210"/>
      <c r="H1" s="210"/>
      <c r="I1" s="210"/>
      <c r="J1" s="210"/>
      <c r="K1" s="210"/>
      <c r="L1" s="210"/>
      <c r="M1" s="148"/>
      <c r="N1" s="148"/>
    </row>
    <row r="2" spans="2:14" ht="23.4" x14ac:dyDescent="0.45">
      <c r="B2" s="21"/>
      <c r="C2" s="21"/>
      <c r="D2" s="21"/>
      <c r="E2" s="21"/>
      <c r="F2" s="21"/>
      <c r="G2" s="21"/>
      <c r="H2" s="21"/>
      <c r="I2" s="21"/>
      <c r="J2" s="21"/>
    </row>
    <row r="3" spans="2:14" x14ac:dyDescent="0.3">
      <c r="B3" s="197" t="s">
        <v>251</v>
      </c>
      <c r="C3" s="198">
        <f>'Data Sheet'!G16</f>
        <v>44651</v>
      </c>
      <c r="D3" s="198">
        <f>'Data Sheet'!H16</f>
        <v>45016</v>
      </c>
      <c r="E3" s="198">
        <f>'Data Sheet'!I16</f>
        <v>45382</v>
      </c>
      <c r="F3" s="198">
        <f>'Data Sheet'!J16</f>
        <v>45747</v>
      </c>
      <c r="G3" s="198">
        <f>'Data Sheet'!K16</f>
        <v>46112</v>
      </c>
      <c r="H3" s="199">
        <f>G3+365</f>
        <v>46477</v>
      </c>
      <c r="I3" s="199">
        <f t="shared" ref="I3:J3" si="0">H3+365</f>
        <v>46842</v>
      </c>
      <c r="J3" s="199">
        <f t="shared" si="0"/>
        <v>47207</v>
      </c>
      <c r="K3" s="199">
        <f>J3+365</f>
        <v>47572</v>
      </c>
      <c r="L3" s="199">
        <f>K3+365</f>
        <v>47937</v>
      </c>
    </row>
    <row r="4" spans="2:14" ht="14.4" customHeight="1" x14ac:dyDescent="0.3">
      <c r="B4" t="s">
        <v>1</v>
      </c>
      <c r="C4" s="9">
        <f>'Data Sheet'!G17</f>
        <v>3056.22</v>
      </c>
      <c r="D4" s="9">
        <f>'Data Sheet'!H17</f>
        <v>5809.91</v>
      </c>
      <c r="E4" s="9">
        <f>'Data Sheet'!I17</f>
        <v>6768.75</v>
      </c>
      <c r="F4" s="9">
        <f>'Data Sheet'!J17</f>
        <v>8334.5400000000009</v>
      </c>
      <c r="G4" s="9">
        <f>'Data Sheet'!K17</f>
        <v>9689.2199999999993</v>
      </c>
      <c r="H4" s="9">
        <f>G4*1.1</f>
        <v>10658.142</v>
      </c>
      <c r="I4" s="9">
        <f t="shared" ref="I4:L4" si="1">H4*1.1</f>
        <v>11723.956200000001</v>
      </c>
      <c r="J4" s="9">
        <f t="shared" si="1"/>
        <v>12896.351820000002</v>
      </c>
      <c r="K4" s="9">
        <f t="shared" si="1"/>
        <v>14185.987002000003</v>
      </c>
      <c r="L4" s="9">
        <f t="shared" si="1"/>
        <v>15604.585702200005</v>
      </c>
    </row>
    <row r="5" spans="2:14" ht="14.4" customHeight="1" x14ac:dyDescent="0.3">
      <c r="B5" s="43" t="s">
        <v>10</v>
      </c>
      <c r="C5" s="30">
        <f>'Historicial Financials'!E8</f>
        <v>0.94026003707559846</v>
      </c>
      <c r="D5" s="30">
        <f>'Historicial Financials'!F8</f>
        <v>0.90101170727238222</v>
      </c>
      <c r="E5" s="30">
        <f>'Historicial Financials'!G8</f>
        <v>0.16503525872173586</v>
      </c>
      <c r="F5" s="30">
        <f>'Historicial Financials'!H8</f>
        <v>0.23132631578947382</v>
      </c>
      <c r="G5" s="30">
        <f>'Historicial Financials'!I8</f>
        <v>0.16253806448826191</v>
      </c>
      <c r="H5" s="30">
        <f>H4/G4-1</f>
        <v>0.10000000000000009</v>
      </c>
      <c r="I5" s="30">
        <f t="shared" ref="I5:L5" si="2">I4/H4-1</f>
        <v>0.10000000000000009</v>
      </c>
      <c r="J5" s="30">
        <f t="shared" si="2"/>
        <v>0.10000000000000009</v>
      </c>
      <c r="K5" s="30">
        <f t="shared" si="2"/>
        <v>0.10000000000000009</v>
      </c>
      <c r="L5" s="30">
        <f t="shared" si="2"/>
        <v>0.10000000000000009</v>
      </c>
    </row>
    <row r="6" spans="2:14" ht="14.4" customHeight="1" x14ac:dyDescent="0.3">
      <c r="B6" t="s">
        <v>66</v>
      </c>
      <c r="C6">
        <f>'Historicial Financials'!E19</f>
        <v>404.7499999999996</v>
      </c>
      <c r="D6">
        <f>'Historicial Financials'!F19</f>
        <v>1804.56</v>
      </c>
      <c r="E6">
        <f>'Historicial Financials'!G19</f>
        <v>2159.5100000000002</v>
      </c>
      <c r="F6">
        <f>'Historicial Financials'!H19</f>
        <v>2769.3300000000008</v>
      </c>
      <c r="G6">
        <f>'Historicial Financials'!I19</f>
        <v>3195.7999999999988</v>
      </c>
      <c r="H6" s="9">
        <f>H4*0.35</f>
        <v>3730.3496999999998</v>
      </c>
      <c r="I6" s="9">
        <f t="shared" ref="I6:L6" si="3">I4*0.35</f>
        <v>4103.3846700000004</v>
      </c>
      <c r="J6" s="9">
        <f t="shared" si="3"/>
        <v>4513.723137</v>
      </c>
      <c r="K6" s="9">
        <f t="shared" si="3"/>
        <v>4965.0954507000006</v>
      </c>
      <c r="L6" s="9">
        <f t="shared" si="3"/>
        <v>5461.6049957700016</v>
      </c>
    </row>
    <row r="7" spans="2:14" ht="14.4" customHeight="1" x14ac:dyDescent="0.3">
      <c r="B7" t="s">
        <v>67</v>
      </c>
      <c r="C7" s="30">
        <f>'Historicial Financials'!E20</f>
        <v>0.13243483780617876</v>
      </c>
      <c r="D7" s="30">
        <f>'Historicial Financials'!F20</f>
        <v>0.31060033632190515</v>
      </c>
      <c r="E7" s="30">
        <f>'Historicial Financials'!G20</f>
        <v>0.31904118190212377</v>
      </c>
      <c r="F7" s="30">
        <f>'Historicial Financials'!H20</f>
        <v>0.3322714870886696</v>
      </c>
      <c r="G7" s="30">
        <f>'Historicial Financials'!I20</f>
        <v>0.32983047138985377</v>
      </c>
      <c r="H7" s="30">
        <f>H6/H4</f>
        <v>0.35</v>
      </c>
      <c r="I7" s="30">
        <f t="shared" ref="I7:L7" si="4">I6/I4</f>
        <v>0.35000000000000003</v>
      </c>
      <c r="J7" s="30">
        <f t="shared" si="4"/>
        <v>0.35</v>
      </c>
      <c r="K7" s="30">
        <f t="shared" si="4"/>
        <v>0.35</v>
      </c>
      <c r="L7" s="30">
        <f t="shared" si="4"/>
        <v>0.35</v>
      </c>
    </row>
    <row r="8" spans="2:14" ht="14.4" customHeight="1" x14ac:dyDescent="0.3">
      <c r="B8" t="s">
        <v>559</v>
      </c>
      <c r="C8">
        <f>'Historicial Financials'!E25</f>
        <v>406.05</v>
      </c>
      <c r="D8">
        <f>'Historicial Financials'!F25</f>
        <v>416.06</v>
      </c>
      <c r="E8">
        <f>'Historicial Financials'!G25</f>
        <v>454.3</v>
      </c>
      <c r="F8">
        <f>'Historicial Financials'!H25</f>
        <v>518.16</v>
      </c>
      <c r="G8">
        <f>'Historicial Financials'!I25</f>
        <v>605.16</v>
      </c>
      <c r="H8" s="9">
        <f>H4*$G$9</f>
        <v>665.67600000000004</v>
      </c>
      <c r="I8" s="9">
        <f>I4*$G$9</f>
        <v>732.24360000000001</v>
      </c>
      <c r="J8" s="9">
        <f>J4*$G$9</f>
        <v>805.46796000000018</v>
      </c>
      <c r="K8" s="9">
        <f>K4*$G$9</f>
        <v>886.01475600000026</v>
      </c>
      <c r="L8" s="9">
        <f>L4*$G$9</f>
        <v>974.61623160000033</v>
      </c>
    </row>
    <row r="9" spans="2:14" ht="14.4" customHeight="1" x14ac:dyDescent="0.3">
      <c r="B9" t="s">
        <v>560</v>
      </c>
      <c r="C9" s="30">
        <f>'Historicial Financials'!E26</f>
        <v>0.1328601998547225</v>
      </c>
      <c r="D9" s="30">
        <f>'Historicial Financials'!F26</f>
        <v>7.1612124800556287E-2</v>
      </c>
      <c r="E9" s="30">
        <f>'Historicial Financials'!G26</f>
        <v>6.7117266851338869E-2</v>
      </c>
      <c r="F9" s="30">
        <f>'Historicial Financials'!H26</f>
        <v>6.217019775536501E-2</v>
      </c>
      <c r="G9" s="30">
        <f>'Historicial Financials'!I26</f>
        <v>6.2457039885563545E-2</v>
      </c>
      <c r="H9" s="200">
        <f>H8/H4</f>
        <v>6.2457039885563552E-2</v>
      </c>
      <c r="I9" s="200">
        <f>I8/I4</f>
        <v>6.2457039885563545E-2</v>
      </c>
      <c r="J9" s="200">
        <f>J8/J4</f>
        <v>6.2457039885563552E-2</v>
      </c>
      <c r="K9" s="200">
        <f>K8/K4</f>
        <v>6.2457039885563545E-2</v>
      </c>
      <c r="L9" s="200">
        <f>L8/L4</f>
        <v>6.2457039885563545E-2</v>
      </c>
    </row>
    <row r="10" spans="2:14" ht="14.4" customHeight="1" x14ac:dyDescent="0.3">
      <c r="B10" t="s">
        <v>259</v>
      </c>
      <c r="C10" s="9">
        <f>C6-C8</f>
        <v>-1.3000000000004093</v>
      </c>
      <c r="D10" s="9">
        <f t="shared" ref="D10:L10" si="5">D6-D8</f>
        <v>1388.5</v>
      </c>
      <c r="E10" s="9">
        <f t="shared" si="5"/>
        <v>1705.2100000000003</v>
      </c>
      <c r="F10" s="9">
        <f t="shared" si="5"/>
        <v>2251.170000000001</v>
      </c>
      <c r="G10" s="9">
        <f t="shared" si="5"/>
        <v>2590.639999999999</v>
      </c>
      <c r="H10" s="9">
        <f>H6-H8</f>
        <v>3064.6736999999998</v>
      </c>
      <c r="I10" s="9">
        <f t="shared" si="5"/>
        <v>3371.1410700000006</v>
      </c>
      <c r="J10" s="9">
        <f t="shared" si="5"/>
        <v>3708.255177</v>
      </c>
      <c r="K10" s="9">
        <f t="shared" si="5"/>
        <v>4079.0806947000001</v>
      </c>
      <c r="L10" s="9">
        <f t="shared" si="5"/>
        <v>4486.9887641700016</v>
      </c>
    </row>
    <row r="11" spans="2:14" ht="14.4" customHeight="1" x14ac:dyDescent="0.3">
      <c r="B11" t="s">
        <v>164</v>
      </c>
      <c r="C11" s="201">
        <v>0.25</v>
      </c>
      <c r="D11" s="201">
        <v>0.25</v>
      </c>
      <c r="E11" s="201">
        <v>0.25</v>
      </c>
      <c r="F11" s="201">
        <v>0.25</v>
      </c>
      <c r="G11" s="201">
        <v>0.25</v>
      </c>
      <c r="H11" s="201">
        <v>0.25</v>
      </c>
      <c r="I11" s="201">
        <v>0.25</v>
      </c>
      <c r="J11" s="201">
        <v>0.25</v>
      </c>
      <c r="K11" s="201">
        <v>0.25</v>
      </c>
      <c r="L11" s="201">
        <v>0.25</v>
      </c>
    </row>
    <row r="12" spans="2:14" ht="14.4" customHeight="1" x14ac:dyDescent="0.3">
      <c r="B12" t="s">
        <v>561</v>
      </c>
      <c r="C12" s="9">
        <f>C10*(1-C11)</f>
        <v>-0.97500000000030695</v>
      </c>
      <c r="D12" s="9">
        <f t="shared" ref="D12:L12" si="6">D10*(1-D11)</f>
        <v>1041.375</v>
      </c>
      <c r="E12" s="9">
        <f t="shared" si="6"/>
        <v>1278.9075000000003</v>
      </c>
      <c r="F12" s="9">
        <f t="shared" si="6"/>
        <v>1688.3775000000007</v>
      </c>
      <c r="G12" s="9">
        <f t="shared" si="6"/>
        <v>1942.9799999999991</v>
      </c>
      <c r="H12" s="9">
        <f t="shared" si="6"/>
        <v>2298.505275</v>
      </c>
      <c r="I12" s="9">
        <f t="shared" si="6"/>
        <v>2528.3558025000002</v>
      </c>
      <c r="J12" s="9">
        <f t="shared" si="6"/>
        <v>2781.1913827500002</v>
      </c>
      <c r="K12" s="9">
        <f t="shared" si="6"/>
        <v>3059.3105210250001</v>
      </c>
      <c r="L12" s="9">
        <f t="shared" si="6"/>
        <v>3365.2415731275014</v>
      </c>
    </row>
    <row r="13" spans="2:14" ht="14.4" customHeight="1" x14ac:dyDescent="0.3">
      <c r="B13" t="s">
        <v>562</v>
      </c>
      <c r="C13">
        <f>IFERROR(('Historicial Financials'!E78*-1)-'Historicial Financials'!E79,0)</f>
        <v>285</v>
      </c>
      <c r="D13">
        <f>IFERROR(('Historicial Financials'!F78*-1)-'Historicial Financials'!F79,0)</f>
        <v>428</v>
      </c>
      <c r="E13">
        <f>IFERROR(('Historicial Financials'!G78*-1)-'Historicial Financials'!G79,0)</f>
        <v>633</v>
      </c>
      <c r="F13">
        <f>IFERROR(('Historicial Financials'!H78*-1)-'Historicial Financials'!H79,0)</f>
        <v>1062</v>
      </c>
      <c r="G13">
        <f>IFERROR(('Historicial Financials'!I78*-1)-'Historicial Financials'!I79,0)</f>
        <v>1028</v>
      </c>
      <c r="H13" s="9">
        <f>H4*0.1</f>
        <v>1065.8142</v>
      </c>
      <c r="I13" s="9">
        <f t="shared" ref="I13:L13" si="7">I4*0.1</f>
        <v>1172.39562</v>
      </c>
      <c r="J13" s="9">
        <f t="shared" si="7"/>
        <v>1289.6351820000002</v>
      </c>
      <c r="K13" s="9">
        <f t="shared" si="7"/>
        <v>1418.5987002000004</v>
      </c>
      <c r="L13" s="9">
        <f t="shared" si="7"/>
        <v>1560.4585702200006</v>
      </c>
    </row>
    <row r="14" spans="2:14" ht="14.4" customHeight="1" x14ac:dyDescent="0.3">
      <c r="B14" t="s">
        <v>564</v>
      </c>
      <c r="C14" s="200">
        <f>C13/C4</f>
        <v>9.325244910379489E-2</v>
      </c>
      <c r="D14" s="200">
        <f t="shared" ref="D14:G14" si="8">D13/D4</f>
        <v>7.3667234087963496E-2</v>
      </c>
      <c r="E14" s="200">
        <f t="shared" si="8"/>
        <v>9.3518005540166205E-2</v>
      </c>
      <c r="F14" s="200">
        <f t="shared" si="8"/>
        <v>0.12742154935965272</v>
      </c>
      <c r="G14" s="200">
        <f t="shared" si="8"/>
        <v>0.10609729162925396</v>
      </c>
      <c r="H14" s="200">
        <f>H13/H4</f>
        <v>0.1</v>
      </c>
      <c r="I14" s="200">
        <f t="shared" ref="I14:L14" si="9">I13/I4</f>
        <v>9.9999999999999992E-2</v>
      </c>
      <c r="J14" s="200">
        <f t="shared" si="9"/>
        <v>0.1</v>
      </c>
      <c r="K14" s="200">
        <f t="shared" si="9"/>
        <v>0.1</v>
      </c>
      <c r="L14" s="200">
        <f t="shared" si="9"/>
        <v>0.1</v>
      </c>
      <c r="M14" s="30"/>
    </row>
    <row r="15" spans="2:14" ht="14.4" customHeight="1" x14ac:dyDescent="0.3">
      <c r="B15" t="s">
        <v>256</v>
      </c>
      <c r="C15" s="147">
        <f>C30</f>
        <v>-76</v>
      </c>
      <c r="D15" s="147">
        <f>D30</f>
        <v>-2</v>
      </c>
      <c r="E15" s="147">
        <f>E30</f>
        <v>-6</v>
      </c>
      <c r="F15" s="147">
        <f>F30</f>
        <v>86</v>
      </c>
      <c r="G15" s="147">
        <f>G30</f>
        <v>58</v>
      </c>
      <c r="H15" s="147">
        <f>H4*$C$31</f>
        <v>-20.875987460280662</v>
      </c>
      <c r="I15" s="147">
        <f t="shared" ref="I15:L15" si="10">I4*$C$31</f>
        <v>-22.963586206308729</v>
      </c>
      <c r="J15" s="147">
        <f t="shared" si="10"/>
        <v>-25.259944826939602</v>
      </c>
      <c r="K15" s="147">
        <f t="shared" si="10"/>
        <v>-27.785939309633566</v>
      </c>
      <c r="L15" s="147">
        <f t="shared" si="10"/>
        <v>-30.564533240596926</v>
      </c>
      <c r="M15" s="147"/>
    </row>
    <row r="16" spans="2:14" ht="14.4" customHeight="1" x14ac:dyDescent="0.3">
      <c r="B16" t="s">
        <v>565</v>
      </c>
      <c r="C16" s="200">
        <f>C15/C4</f>
        <v>-2.4867319761011971E-2</v>
      </c>
      <c r="D16" s="200">
        <f t="shared" ref="D16:G16" si="11">D15/D4</f>
        <v>-3.4423941162599765E-4</v>
      </c>
      <c r="E16" s="200">
        <f t="shared" si="11"/>
        <v>-8.864265927977839E-4</v>
      </c>
      <c r="F16" s="200">
        <f t="shared" si="11"/>
        <v>1.0318505880348524E-2</v>
      </c>
      <c r="G16" s="200">
        <f t="shared" si="11"/>
        <v>5.98603396351822E-3</v>
      </c>
      <c r="H16" s="200">
        <f t="shared" ref="H16" si="12">H15/H4</f>
        <v>-1.9586891843138008E-3</v>
      </c>
      <c r="I16" s="200">
        <f t="shared" ref="I16" si="13">I15/I4</f>
        <v>-1.9586891843138008E-3</v>
      </c>
      <c r="J16" s="200">
        <f t="shared" ref="J16" si="14">J15/J4</f>
        <v>-1.9586891843138008E-3</v>
      </c>
      <c r="K16" s="200">
        <f t="shared" ref="K16" si="15">K15/K4</f>
        <v>-1.9586891843138008E-3</v>
      </c>
      <c r="L16" s="200">
        <f t="shared" ref="L16" si="16">L15/L4</f>
        <v>-1.9586891843138008E-3</v>
      </c>
    </row>
    <row r="17" spans="2:17" ht="14.4" customHeight="1" thickBot="1" x14ac:dyDescent="0.35">
      <c r="B17" s="29" t="s">
        <v>563</v>
      </c>
      <c r="C17" s="202">
        <f>(C12+C8)-(C13+C15)</f>
        <v>196.0749999999997</v>
      </c>
      <c r="D17" s="202">
        <f t="shared" ref="D17:L17" si="17">(D12+D8)-(D13+D15)</f>
        <v>1031.4349999999999</v>
      </c>
      <c r="E17" s="202">
        <f t="shared" si="17"/>
        <v>1106.2075000000002</v>
      </c>
      <c r="F17" s="202">
        <f t="shared" si="17"/>
        <v>1058.5375000000008</v>
      </c>
      <c r="G17" s="202">
        <f t="shared" si="17"/>
        <v>1462.139999999999</v>
      </c>
      <c r="H17" s="202">
        <f t="shared" si="17"/>
        <v>1919.2430624602805</v>
      </c>
      <c r="I17" s="202">
        <f t="shared" si="17"/>
        <v>2111.1673687063085</v>
      </c>
      <c r="J17" s="202">
        <f t="shared" si="17"/>
        <v>2322.2841055769395</v>
      </c>
      <c r="K17" s="202">
        <f t="shared" si="17"/>
        <v>2554.5125161346332</v>
      </c>
      <c r="L17" s="202">
        <f t="shared" si="17"/>
        <v>2809.9637677480978</v>
      </c>
    </row>
    <row r="18" spans="2:17" ht="14.4" customHeight="1" x14ac:dyDescent="0.3">
      <c r="B18" s="2"/>
      <c r="C18" s="203"/>
      <c r="D18" s="203"/>
      <c r="E18" s="203"/>
      <c r="F18" s="203"/>
      <c r="G18" s="203"/>
      <c r="H18" s="203"/>
      <c r="I18" s="203"/>
      <c r="J18" s="203"/>
      <c r="K18" s="203"/>
      <c r="L18" s="203"/>
    </row>
    <row r="19" spans="2:17" ht="14.4" customHeight="1" x14ac:dyDescent="0.3">
      <c r="B19" s="213" t="s">
        <v>576</v>
      </c>
      <c r="C19" s="213"/>
      <c r="D19" s="213"/>
      <c r="E19" s="213"/>
      <c r="F19" s="213"/>
      <c r="G19" s="213"/>
      <c r="H19" s="213"/>
    </row>
    <row r="20" spans="2:17" ht="14.4" customHeight="1" x14ac:dyDescent="0.3">
      <c r="B20" t="s">
        <v>10</v>
      </c>
      <c r="C20" s="31">
        <v>0.1</v>
      </c>
      <c r="D20" t="s">
        <v>570</v>
      </c>
    </row>
    <row r="21" spans="2:17" ht="14.4" customHeight="1" x14ac:dyDescent="0.3">
      <c r="B21" t="s">
        <v>67</v>
      </c>
      <c r="C21" s="31">
        <v>0.35</v>
      </c>
      <c r="D21" t="s">
        <v>571</v>
      </c>
    </row>
    <row r="22" spans="2:17" ht="14.4" customHeight="1" x14ac:dyDescent="0.3">
      <c r="B22" t="s">
        <v>559</v>
      </c>
      <c r="C22" s="30">
        <v>6.25E-2</v>
      </c>
      <c r="D22" t="s">
        <v>572</v>
      </c>
      <c r="O22" s="148"/>
      <c r="P22" s="148"/>
      <c r="Q22" s="148"/>
    </row>
    <row r="23" spans="2:17" ht="14.4" customHeight="1" x14ac:dyDescent="0.3">
      <c r="B23" t="s">
        <v>164</v>
      </c>
      <c r="C23" s="30">
        <v>0.25</v>
      </c>
      <c r="D23" t="s">
        <v>573</v>
      </c>
      <c r="O23" s="148"/>
      <c r="P23" s="148"/>
      <c r="Q23" s="148"/>
    </row>
    <row r="24" spans="2:17" ht="14.4" customHeight="1" x14ac:dyDescent="0.3">
      <c r="B24" t="s">
        <v>574</v>
      </c>
      <c r="C24" s="30">
        <f>AVERAGE(C14:G14)</f>
        <v>9.8791305944166255E-2</v>
      </c>
      <c r="D24" t="s">
        <v>575</v>
      </c>
      <c r="O24" s="148"/>
      <c r="P24" s="148"/>
      <c r="Q24" s="148"/>
    </row>
    <row r="25" spans="2:17" ht="14.4" customHeight="1" x14ac:dyDescent="0.3">
      <c r="B25" t="s">
        <v>247</v>
      </c>
      <c r="C25">
        <f>'Data for IG'!E36</f>
        <v>255</v>
      </c>
      <c r="D25">
        <f>'Data for IG'!F36</f>
        <v>446</v>
      </c>
      <c r="E25">
        <f>'Data for IG'!G36</f>
        <v>476</v>
      </c>
      <c r="F25">
        <f>'Data for IG'!H36</f>
        <v>651</v>
      </c>
      <c r="G25">
        <f>'Data for IG'!I36</f>
        <v>727</v>
      </c>
    </row>
    <row r="26" spans="2:17" ht="14.4" customHeight="1" x14ac:dyDescent="0.3">
      <c r="B26" t="s">
        <v>246</v>
      </c>
      <c r="C26">
        <f>'Data for IG'!E35</f>
        <v>101</v>
      </c>
      <c r="D26">
        <f>'Data for IG'!F35</f>
        <v>109</v>
      </c>
      <c r="E26">
        <f>'Data for IG'!G35</f>
        <v>116</v>
      </c>
      <c r="F26">
        <f>'Data for IG'!H35</f>
        <v>135</v>
      </c>
      <c r="G26">
        <f>'Data for IG'!I35</f>
        <v>150</v>
      </c>
    </row>
    <row r="27" spans="2:17" x14ac:dyDescent="0.3">
      <c r="B27" t="s">
        <v>566</v>
      </c>
      <c r="C27">
        <f>'Data for IG'!E38</f>
        <v>138</v>
      </c>
      <c r="D27">
        <f>'Data for IG'!F38</f>
        <v>144</v>
      </c>
      <c r="E27">
        <f>'Data for IG'!G38</f>
        <v>173</v>
      </c>
      <c r="F27">
        <f>'Data for IG'!H38</f>
        <v>176</v>
      </c>
      <c r="G27">
        <f>'Data for IG'!I38</f>
        <v>218</v>
      </c>
    </row>
    <row r="28" spans="2:17" x14ac:dyDescent="0.3">
      <c r="B28" t="s">
        <v>567</v>
      </c>
      <c r="C28">
        <f>'Data for IG'!E13</f>
        <v>387</v>
      </c>
      <c r="D28">
        <f>'Data for IG'!F13</f>
        <v>477</v>
      </c>
      <c r="E28">
        <f>'Data for IG'!G13</f>
        <v>519</v>
      </c>
      <c r="F28">
        <f>'Data for IG'!H13</f>
        <v>578</v>
      </c>
      <c r="G28">
        <f>'Data for IG'!I13</f>
        <v>720</v>
      </c>
    </row>
    <row r="29" spans="2:17" x14ac:dyDescent="0.3">
      <c r="B29" t="s">
        <v>568</v>
      </c>
      <c r="C29">
        <f>'Data for IG'!E14</f>
        <v>183</v>
      </c>
      <c r="D29">
        <f>'Data for IG'!F14</f>
        <v>224</v>
      </c>
      <c r="E29">
        <f>'Data for IG'!G14</f>
        <v>252</v>
      </c>
      <c r="F29">
        <f>'Data for IG'!H14</f>
        <v>298</v>
      </c>
      <c r="G29">
        <f>'Data for IG'!I14</f>
        <v>317</v>
      </c>
    </row>
    <row r="30" spans="2:17" s="2" customFormat="1" x14ac:dyDescent="0.3">
      <c r="B30" s="2" t="s">
        <v>256</v>
      </c>
      <c r="C30" s="2">
        <f>(SUM(C25:C27))-(SUM(C28:C29))</f>
        <v>-76</v>
      </c>
      <c r="D30" s="2">
        <f t="shared" ref="D30:G30" si="18">(SUM(D25:D27))-(SUM(D28:D29))</f>
        <v>-2</v>
      </c>
      <c r="E30" s="2">
        <f t="shared" si="18"/>
        <v>-6</v>
      </c>
      <c r="F30" s="2">
        <f t="shared" si="18"/>
        <v>86</v>
      </c>
      <c r="G30" s="2">
        <f t="shared" si="18"/>
        <v>58</v>
      </c>
    </row>
    <row r="31" spans="2:17" x14ac:dyDescent="0.3">
      <c r="B31" t="s">
        <v>569</v>
      </c>
      <c r="C31" s="30">
        <f>AVERAGE(C16:G16)</f>
        <v>-1.9586891843138008E-3</v>
      </c>
    </row>
  </sheetData>
  <mergeCells count="2">
    <mergeCell ref="B19:H19"/>
    <mergeCell ref="B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2C34-3BDB-4433-8E1E-5247AC4055DC}">
  <dimension ref="B2:AY214"/>
  <sheetViews>
    <sheetView showGridLines="0" topLeftCell="H3" zoomScale="80" workbookViewId="0">
      <selection activeCell="W10" sqref="W10"/>
    </sheetView>
  </sheetViews>
  <sheetFormatPr defaultRowHeight="14.4" x14ac:dyDescent="0.3"/>
  <cols>
    <col min="1" max="1" width="2.33203125" customWidth="1"/>
    <col min="2" max="2" width="20" customWidth="1"/>
    <col min="3" max="3" width="13.88671875" bestFit="1" customWidth="1"/>
    <col min="4" max="4" width="12.6640625" customWidth="1"/>
    <col min="6" max="6" width="20" bestFit="1" customWidth="1"/>
    <col min="7" max="7" width="15.77734375" bestFit="1" customWidth="1"/>
    <col min="8" max="8" width="12" customWidth="1"/>
    <col min="9" max="9" width="13.44140625" customWidth="1"/>
    <col min="10" max="10" width="29.21875" bestFit="1" customWidth="1"/>
    <col min="11" max="11" width="13.44140625" customWidth="1"/>
    <col min="12" max="13" width="11.21875" bestFit="1" customWidth="1"/>
    <col min="14" max="14" width="20.44140625" bestFit="1" customWidth="1"/>
    <col min="15" max="15" width="9.6640625" customWidth="1"/>
    <col min="16" max="16" width="13.109375" customWidth="1"/>
    <col min="17" max="17" width="11.88671875" bestFit="1" customWidth="1"/>
    <col min="18" max="18" width="13" bestFit="1" customWidth="1"/>
    <col min="19" max="19" width="8.5546875" bestFit="1" customWidth="1"/>
    <col min="20" max="20" width="14.5546875" bestFit="1" customWidth="1"/>
    <col min="22" max="22" width="20.44140625" customWidth="1"/>
    <col min="23" max="23" width="11.88671875" bestFit="1" customWidth="1"/>
    <col min="25" max="25" width="24.109375" customWidth="1"/>
    <col min="26" max="26" width="13" bestFit="1" customWidth="1"/>
    <col min="27" max="27" width="14" customWidth="1"/>
    <col min="28" max="28" width="8.6640625" customWidth="1"/>
    <col min="29" max="29" width="11.88671875" bestFit="1" customWidth="1"/>
    <col min="32" max="32" width="11.44140625" bestFit="1" customWidth="1"/>
    <col min="34" max="34" width="8.44140625" bestFit="1" customWidth="1"/>
    <col min="39" max="39" width="11.44140625" bestFit="1" customWidth="1"/>
    <col min="43" max="43" width="18.33203125" bestFit="1" customWidth="1"/>
    <col min="46" max="46" width="11.44140625" bestFit="1" customWidth="1"/>
  </cols>
  <sheetData>
    <row r="2" spans="2:51" ht="18" x14ac:dyDescent="0.35">
      <c r="B2" s="214" t="str">
        <f>"Beta Calculation-"&amp;'Data Sheet'!B1</f>
        <v>Beta Calculation-INDIAN HOTELS CO LTD</v>
      </c>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row>
    <row r="4" spans="2:51" x14ac:dyDescent="0.3">
      <c r="B4" s="209" t="s">
        <v>421</v>
      </c>
      <c r="C4" s="209"/>
      <c r="D4" s="209"/>
      <c r="F4" s="209" t="s">
        <v>185</v>
      </c>
      <c r="G4" s="209"/>
      <c r="H4" s="209"/>
      <c r="I4" s="76"/>
      <c r="J4" s="76"/>
      <c r="K4" s="76"/>
      <c r="S4" s="209" t="s">
        <v>224</v>
      </c>
      <c r="T4" s="209"/>
      <c r="Y4" s="209" t="s">
        <v>423</v>
      </c>
      <c r="Z4" s="209"/>
      <c r="AA4" s="209"/>
      <c r="AF4" s="209" t="s">
        <v>424</v>
      </c>
      <c r="AG4" s="209"/>
      <c r="AH4" s="209"/>
      <c r="AM4" s="209" t="s">
        <v>425</v>
      </c>
      <c r="AN4" s="209"/>
      <c r="AO4" s="209"/>
      <c r="AT4" s="209" t="s">
        <v>425</v>
      </c>
      <c r="AU4" s="209"/>
      <c r="AV4" s="209"/>
    </row>
    <row r="5" spans="2:51" x14ac:dyDescent="0.3">
      <c r="C5" s="77"/>
    </row>
    <row r="6" spans="2:51" ht="28.8" x14ac:dyDescent="0.3">
      <c r="B6" s="78" t="s">
        <v>183</v>
      </c>
      <c r="C6" s="78" t="s">
        <v>292</v>
      </c>
      <c r="D6" s="79" t="s">
        <v>184</v>
      </c>
      <c r="F6" s="78" t="s">
        <v>183</v>
      </c>
      <c r="G6" s="78" t="s">
        <v>292</v>
      </c>
      <c r="H6" s="79" t="s">
        <v>184</v>
      </c>
      <c r="I6" s="80"/>
      <c r="J6" s="42" t="s">
        <v>212</v>
      </c>
      <c r="K6" s="42"/>
      <c r="S6" s="78" t="s">
        <v>147</v>
      </c>
      <c r="T6" s="78" t="s">
        <v>220</v>
      </c>
      <c r="Y6" s="78" t="s">
        <v>183</v>
      </c>
      <c r="Z6" s="78" t="s">
        <v>292</v>
      </c>
      <c r="AA6" s="79" t="s">
        <v>184</v>
      </c>
      <c r="AC6" s="42" t="s">
        <v>212</v>
      </c>
      <c r="AD6" s="42"/>
      <c r="AF6" s="78" t="s">
        <v>183</v>
      </c>
      <c r="AG6" s="78" t="s">
        <v>292</v>
      </c>
      <c r="AH6" s="79" t="s">
        <v>184</v>
      </c>
      <c r="AJ6" s="42" t="s">
        <v>212</v>
      </c>
      <c r="AK6" s="42"/>
      <c r="AM6" s="78" t="s">
        <v>183</v>
      </c>
      <c r="AN6" s="78" t="s">
        <v>292</v>
      </c>
      <c r="AO6" s="79" t="s">
        <v>184</v>
      </c>
      <c r="AQ6" s="42" t="s">
        <v>212</v>
      </c>
      <c r="AR6" s="42"/>
      <c r="AT6" s="78" t="s">
        <v>183</v>
      </c>
      <c r="AU6" s="78" t="s">
        <v>292</v>
      </c>
      <c r="AV6" s="79" t="s">
        <v>184</v>
      </c>
      <c r="AX6" s="42" t="s">
        <v>212</v>
      </c>
      <c r="AY6" s="42"/>
    </row>
    <row r="7" spans="2:51" x14ac:dyDescent="0.3">
      <c r="B7" s="81">
        <v>46292</v>
      </c>
      <c r="C7" s="54">
        <v>718</v>
      </c>
      <c r="D7" s="82">
        <f>C7/C8-1</f>
        <v>-1.2107870115575015E-2</v>
      </c>
      <c r="F7" s="175" t="s">
        <v>422</v>
      </c>
      <c r="G7" s="54">
        <v>22421.95</v>
      </c>
      <c r="H7" s="82">
        <f>G7/G8-1</f>
        <v>-3.1051619455067958E-2</v>
      </c>
      <c r="K7" s="34"/>
      <c r="M7" t="s">
        <v>186</v>
      </c>
      <c r="N7" s="34">
        <f>SLOPE(D7:D188,H7:H188)</f>
        <v>1.3202787407931695</v>
      </c>
      <c r="S7" s="64">
        <v>2000</v>
      </c>
      <c r="T7" s="82">
        <v>-0.14649999999999999</v>
      </c>
      <c r="V7" t="s">
        <v>221</v>
      </c>
      <c r="W7" s="30">
        <f>AVERAGE(T7:T32)</f>
        <v>0.1514923076923077</v>
      </c>
      <c r="Y7" s="81">
        <v>46292</v>
      </c>
      <c r="Z7" s="54">
        <v>158.51</v>
      </c>
      <c r="AA7" s="82">
        <f>Z7/Z8-1</f>
        <v>-2.0938851142680792E-2</v>
      </c>
      <c r="AD7" s="34"/>
      <c r="AF7" s="81">
        <v>46292</v>
      </c>
      <c r="AG7" s="54">
        <v>568.95000000000005</v>
      </c>
      <c r="AH7" s="82">
        <f>AG7/AG8-1</f>
        <v>4.1746772864597714E-2</v>
      </c>
      <c r="AK7" s="34"/>
      <c r="AM7" s="81">
        <v>46292</v>
      </c>
      <c r="AN7" s="54">
        <v>297.85000000000002</v>
      </c>
      <c r="AO7" s="82">
        <f>AN7/AN8-1</f>
        <v>1.0688836104513211E-2</v>
      </c>
      <c r="AR7" s="34"/>
      <c r="AT7" s="81">
        <v>46292</v>
      </c>
      <c r="AU7" s="54">
        <v>830.25</v>
      </c>
      <c r="AV7" s="82">
        <f>AU7/AU8-1</f>
        <v>-5.7979236398706502E-2</v>
      </c>
      <c r="AY7" s="34"/>
    </row>
    <row r="8" spans="2:51" ht="16.2" x14ac:dyDescent="0.3">
      <c r="B8" s="81">
        <v>46285</v>
      </c>
      <c r="C8" s="54">
        <v>726.8</v>
      </c>
      <c r="D8" s="82">
        <f t="shared" ref="D8:D58" si="0">C8/C9-1</f>
        <v>-8.1200955305357203E-3</v>
      </c>
      <c r="F8" s="81">
        <v>46285</v>
      </c>
      <c r="G8" s="54">
        <v>23140.5</v>
      </c>
      <c r="H8" s="82">
        <f>G8/G9-1</f>
        <v>-8.8193468800329411E-3</v>
      </c>
      <c r="I8" s="83"/>
      <c r="J8" s="83" t="s">
        <v>213</v>
      </c>
      <c r="K8" s="84">
        <f>N10</f>
        <v>1.3202787407931698</v>
      </c>
      <c r="M8" t="s">
        <v>187</v>
      </c>
      <c r="N8" s="34">
        <f>_xlfn.COVARIANCE.S(D7:D188,H7:H188)/_xlfn.VAR.S(H7:H188)</f>
        <v>1.3202787407931695</v>
      </c>
      <c r="S8" s="64">
        <v>2001</v>
      </c>
      <c r="T8" s="82">
        <v>-0.1618</v>
      </c>
      <c r="V8" t="s">
        <v>222</v>
      </c>
      <c r="W8" t="s">
        <v>362</v>
      </c>
      <c r="Y8" s="81">
        <v>46285</v>
      </c>
      <c r="Z8" s="54">
        <v>161.9</v>
      </c>
      <c r="AA8" s="82">
        <f t="shared" ref="AA8:AA71" si="1">Z8/Z9-1</f>
        <v>1.9521410579345089E-2</v>
      </c>
      <c r="AC8" s="83" t="s">
        <v>213</v>
      </c>
      <c r="AD8" s="84">
        <f>SLOPE(AA7:AA92,H7:H92)</f>
        <v>0.2183862448861828</v>
      </c>
      <c r="AF8" s="81">
        <v>46285</v>
      </c>
      <c r="AG8" s="54">
        <v>546.15</v>
      </c>
      <c r="AH8" s="82">
        <f t="shared" ref="AH8:AH71" si="2">AG8/AG9-1</f>
        <v>1.0359818703172818E-2</v>
      </c>
      <c r="AJ8" s="83" t="s">
        <v>213</v>
      </c>
      <c r="AK8" s="84">
        <f>SLOPE(AH7:AH75,H7:H75)</f>
        <v>0.27759895308918853</v>
      </c>
      <c r="AM8" s="81">
        <v>46285</v>
      </c>
      <c r="AN8" s="54">
        <v>294.7</v>
      </c>
      <c r="AO8" s="82">
        <f t="shared" ref="AO8:AO71" si="3">AN8/AN9-1</f>
        <v>-7.2978924189996852E-2</v>
      </c>
      <c r="AQ8" s="83" t="s">
        <v>213</v>
      </c>
      <c r="AR8" s="84">
        <f>SLOPE(AO7:AO213,H7:H213)</f>
        <v>0.12666542089171523</v>
      </c>
      <c r="AT8" s="81">
        <v>46285</v>
      </c>
      <c r="AU8" s="54">
        <v>881.35</v>
      </c>
      <c r="AV8" s="82">
        <f t="shared" ref="AV8:AV71" si="4">AU8/AU9-1</f>
        <v>1.8136660313059494E-2</v>
      </c>
      <c r="AX8" s="83" t="s">
        <v>213</v>
      </c>
      <c r="AY8" s="84">
        <f>SLOPE(AV7:AV213,H7:H213)</f>
        <v>0.56239526557849662</v>
      </c>
    </row>
    <row r="9" spans="2:51" x14ac:dyDescent="0.3">
      <c r="B9" s="81">
        <v>46278</v>
      </c>
      <c r="C9" s="54">
        <v>732.75</v>
      </c>
      <c r="D9" s="82">
        <f t="shared" si="0"/>
        <v>1.9832985386221358E-2</v>
      </c>
      <c r="F9" s="81">
        <v>46278</v>
      </c>
      <c r="G9" s="54">
        <v>23346.400000000001</v>
      </c>
      <c r="H9" s="82">
        <f t="shared" ref="H9:H59" si="5">G9/G10-1</f>
        <v>-2.2095811198343807E-3</v>
      </c>
      <c r="I9" s="83"/>
      <c r="J9" s="83" t="s">
        <v>214</v>
      </c>
      <c r="K9" s="84">
        <v>0.75</v>
      </c>
      <c r="S9" s="64">
        <v>2002</v>
      </c>
      <c r="T9" s="82">
        <v>3.2500000000000001E-2</v>
      </c>
      <c r="V9" s="2" t="s">
        <v>223</v>
      </c>
      <c r="W9" s="85">
        <f>SUM(W7:W8)</f>
        <v>0.1514923076923077</v>
      </c>
      <c r="Y9" s="81">
        <v>46278</v>
      </c>
      <c r="Z9" s="54">
        <v>158.80000000000001</v>
      </c>
      <c r="AA9" s="82">
        <f t="shared" si="1"/>
        <v>3.3248747478690888E-2</v>
      </c>
      <c r="AC9" s="83" t="s">
        <v>214</v>
      </c>
      <c r="AD9" s="84">
        <v>0.75</v>
      </c>
      <c r="AF9" s="81">
        <v>46278</v>
      </c>
      <c r="AG9" s="54">
        <v>540.54999999999995</v>
      </c>
      <c r="AH9" s="82">
        <f t="shared" si="2"/>
        <v>-3.2269961276046866E-3</v>
      </c>
      <c r="AJ9" s="83" t="s">
        <v>214</v>
      </c>
      <c r="AK9" s="84">
        <v>0.75</v>
      </c>
      <c r="AM9" s="81">
        <v>46278</v>
      </c>
      <c r="AN9" s="54">
        <v>317.89999999999998</v>
      </c>
      <c r="AO9" s="82">
        <f t="shared" si="3"/>
        <v>0.10979228486646875</v>
      </c>
      <c r="AQ9" s="83" t="s">
        <v>214</v>
      </c>
      <c r="AR9" s="84">
        <v>0.75</v>
      </c>
      <c r="AT9" s="81">
        <v>46278</v>
      </c>
      <c r="AU9" s="54">
        <v>865.65</v>
      </c>
      <c r="AV9" s="82">
        <f t="shared" si="4"/>
        <v>-1.3223140495867813E-2</v>
      </c>
      <c r="AX9" s="83" t="s">
        <v>214</v>
      </c>
      <c r="AY9" s="84">
        <v>0.75</v>
      </c>
    </row>
    <row r="10" spans="2:51" x14ac:dyDescent="0.3">
      <c r="B10" s="81">
        <v>46271</v>
      </c>
      <c r="C10" s="54">
        <v>718.5</v>
      </c>
      <c r="D10" s="82">
        <f t="shared" si="0"/>
        <v>-2.0833333333333259E-3</v>
      </c>
      <c r="F10" s="81">
        <v>46271</v>
      </c>
      <c r="G10" s="54">
        <v>23398.1</v>
      </c>
      <c r="H10" s="82">
        <f t="shared" si="5"/>
        <v>-2.0905777543445692E-2</v>
      </c>
      <c r="I10" s="83"/>
      <c r="J10" s="83" t="s">
        <v>215</v>
      </c>
      <c r="K10" s="84">
        <v>1</v>
      </c>
      <c r="M10" t="s">
        <v>188</v>
      </c>
      <c r="N10" s="34">
        <f>K34</f>
        <v>1.3202787407931698</v>
      </c>
      <c r="S10" s="64">
        <v>2003</v>
      </c>
      <c r="T10" s="82">
        <v>0.71900000000000008</v>
      </c>
      <c r="Y10" s="81">
        <v>46271</v>
      </c>
      <c r="Z10" s="54">
        <v>153.69</v>
      </c>
      <c r="AA10" s="82">
        <f t="shared" si="1"/>
        <v>-4.6765490293369627E-2</v>
      </c>
      <c r="AC10" s="83" t="s">
        <v>215</v>
      </c>
      <c r="AD10" s="84">
        <v>1</v>
      </c>
      <c r="AF10" s="81">
        <v>46271</v>
      </c>
      <c r="AG10" s="54">
        <v>542.29999999999995</v>
      </c>
      <c r="AH10" s="82">
        <f t="shared" si="2"/>
        <v>-2.120747224979691E-2</v>
      </c>
      <c r="AJ10" s="83" t="s">
        <v>215</v>
      </c>
      <c r="AK10" s="84">
        <v>1</v>
      </c>
      <c r="AM10" s="81">
        <v>46271</v>
      </c>
      <c r="AN10" s="54">
        <v>286.45</v>
      </c>
      <c r="AO10" s="82">
        <f t="shared" si="3"/>
        <v>-1.8670777663583382E-2</v>
      </c>
      <c r="AQ10" s="83" t="s">
        <v>215</v>
      </c>
      <c r="AR10" s="84">
        <v>1</v>
      </c>
      <c r="AT10" s="81">
        <v>46271</v>
      </c>
      <c r="AU10" s="54">
        <v>877.25</v>
      </c>
      <c r="AV10" s="82">
        <f t="shared" si="4"/>
        <v>-2.1745190967382255E-2</v>
      </c>
      <c r="AX10" s="83" t="s">
        <v>215</v>
      </c>
      <c r="AY10" s="84">
        <v>1</v>
      </c>
    </row>
    <row r="11" spans="2:51" x14ac:dyDescent="0.3">
      <c r="B11" s="81">
        <v>46264</v>
      </c>
      <c r="C11" s="54">
        <v>720</v>
      </c>
      <c r="D11" s="82">
        <f t="shared" si="0"/>
        <v>1.9252548131370339E-2</v>
      </c>
      <c r="F11" s="81">
        <v>46264</v>
      </c>
      <c r="G11" s="54">
        <v>23897.7</v>
      </c>
      <c r="H11" s="82">
        <f t="shared" si="5"/>
        <v>-1.1497105558692322E-2</v>
      </c>
      <c r="I11" s="83"/>
      <c r="J11" s="83" t="s">
        <v>216</v>
      </c>
      <c r="K11" s="84">
        <f>1-K9</f>
        <v>0.25</v>
      </c>
      <c r="S11" s="64">
        <v>2004</v>
      </c>
      <c r="T11" s="82">
        <v>0.10679999999999999</v>
      </c>
      <c r="Y11" s="81">
        <v>46264</v>
      </c>
      <c r="Z11" s="54">
        <v>161.22999999999999</v>
      </c>
      <c r="AA11" s="82">
        <f t="shared" si="1"/>
        <v>-9.2177226080010222E-3</v>
      </c>
      <c r="AC11" s="83" t="s">
        <v>216</v>
      </c>
      <c r="AD11" s="84">
        <f>1-AD9</f>
        <v>0.25</v>
      </c>
      <c r="AF11" s="81">
        <v>46264</v>
      </c>
      <c r="AG11" s="54">
        <v>554.04999999999995</v>
      </c>
      <c r="AH11" s="82">
        <f t="shared" si="2"/>
        <v>-2.1611886537596936E-3</v>
      </c>
      <c r="AJ11" s="83" t="s">
        <v>216</v>
      </c>
      <c r="AK11" s="84">
        <f>1-AK9</f>
        <v>0.25</v>
      </c>
      <c r="AM11" s="81">
        <v>46264</v>
      </c>
      <c r="AN11" s="54">
        <v>291.89999999999998</v>
      </c>
      <c r="AO11" s="82">
        <f t="shared" si="3"/>
        <v>-1.9811954331766413E-2</v>
      </c>
      <c r="AQ11" s="83" t="s">
        <v>216</v>
      </c>
      <c r="AR11" s="84">
        <f>1-AR9</f>
        <v>0.25</v>
      </c>
      <c r="AT11" s="81">
        <v>46264</v>
      </c>
      <c r="AU11" s="54">
        <v>896.75</v>
      </c>
      <c r="AV11" s="82">
        <f t="shared" si="4"/>
        <v>-4.9378606302707961E-3</v>
      </c>
      <c r="AX11" s="83" t="s">
        <v>216</v>
      </c>
      <c r="AY11" s="84">
        <f>1-AY9</f>
        <v>0.25</v>
      </c>
    </row>
    <row r="12" spans="2:51" x14ac:dyDescent="0.3">
      <c r="B12" s="81">
        <v>46257</v>
      </c>
      <c r="C12" s="54">
        <v>706.4</v>
      </c>
      <c r="D12" s="82">
        <f t="shared" si="0"/>
        <v>-3.2328767123287694E-2</v>
      </c>
      <c r="F12" s="81">
        <v>46257</v>
      </c>
      <c r="G12" s="54">
        <v>24175.65</v>
      </c>
      <c r="H12" s="82">
        <f t="shared" si="5"/>
        <v>-3.1481939633843936E-3</v>
      </c>
      <c r="I12" s="83"/>
      <c r="K12" s="83"/>
      <c r="S12" s="64">
        <v>2005</v>
      </c>
      <c r="T12" s="82">
        <v>0.36340000000000006</v>
      </c>
      <c r="Y12" s="81">
        <v>46257</v>
      </c>
      <c r="Z12" s="54">
        <v>162.72999999999999</v>
      </c>
      <c r="AA12" s="82">
        <f t="shared" si="1"/>
        <v>-1.3638016729300539E-2</v>
      </c>
      <c r="AD12" s="83"/>
      <c r="AF12" s="81">
        <v>46257</v>
      </c>
      <c r="AG12" s="54">
        <v>555.25</v>
      </c>
      <c r="AH12" s="82">
        <f t="shared" si="2"/>
        <v>-1.1482998041659309E-2</v>
      </c>
      <c r="AK12" s="83"/>
      <c r="AM12" s="81">
        <v>46257</v>
      </c>
      <c r="AN12" s="54">
        <v>297.8</v>
      </c>
      <c r="AO12" s="82">
        <f t="shared" si="3"/>
        <v>-1.6350123864574684E-2</v>
      </c>
      <c r="AR12" s="83"/>
      <c r="AT12" s="81">
        <v>46257</v>
      </c>
      <c r="AU12" s="54">
        <v>901.2</v>
      </c>
      <c r="AV12" s="82">
        <f t="shared" si="4"/>
        <v>4.5536284007192895E-2</v>
      </c>
      <c r="AY12" s="83"/>
    </row>
    <row r="13" spans="2:51" x14ac:dyDescent="0.3">
      <c r="B13" s="81">
        <v>46250</v>
      </c>
      <c r="C13" s="54">
        <v>730</v>
      </c>
      <c r="D13" s="82">
        <f t="shared" si="0"/>
        <v>1.388888888888884E-2</v>
      </c>
      <c r="F13" s="81">
        <v>46250</v>
      </c>
      <c r="G13" s="54">
        <v>24252</v>
      </c>
      <c r="H13" s="82">
        <f t="shared" si="5"/>
        <v>-4.6786505786752253E-3</v>
      </c>
      <c r="I13" s="83"/>
      <c r="J13" s="86" t="s">
        <v>217</v>
      </c>
      <c r="K13" s="87">
        <f>(K8*K9)+(K10*K11)</f>
        <v>1.2402090555948773</v>
      </c>
      <c r="S13" s="64">
        <v>2006</v>
      </c>
      <c r="T13" s="82">
        <v>0.39829999999999999</v>
      </c>
      <c r="Y13" s="81">
        <v>46250</v>
      </c>
      <c r="Z13" s="54">
        <v>164.98</v>
      </c>
      <c r="AA13" s="82">
        <f t="shared" si="1"/>
        <v>3.031589159037118E-4</v>
      </c>
      <c r="AC13" s="86" t="s">
        <v>217</v>
      </c>
      <c r="AD13" s="87">
        <f>(AD8*AD9)+(AD10*AD11)</f>
        <v>0.41378968366463709</v>
      </c>
      <c r="AF13" s="81">
        <v>46250</v>
      </c>
      <c r="AG13" s="54">
        <v>561.70000000000005</v>
      </c>
      <c r="AH13" s="82">
        <f t="shared" si="2"/>
        <v>0.101264581903735</v>
      </c>
      <c r="AJ13" s="86" t="s">
        <v>217</v>
      </c>
      <c r="AK13" s="87">
        <f>(AK8*AK9)+(AK10*AK11)</f>
        <v>0.45819921481689141</v>
      </c>
      <c r="AM13" s="81">
        <v>46250</v>
      </c>
      <c r="AN13" s="54">
        <v>302.75</v>
      </c>
      <c r="AO13" s="82">
        <f t="shared" si="3"/>
        <v>7.9906775428666421E-3</v>
      </c>
      <c r="AQ13" s="86" t="s">
        <v>217</v>
      </c>
      <c r="AR13" s="87">
        <f>(AR8*AR9)+(AR10*AR11)</f>
        <v>0.34499906566878641</v>
      </c>
      <c r="AT13" s="81">
        <v>46250</v>
      </c>
      <c r="AU13" s="54">
        <v>861.95</v>
      </c>
      <c r="AV13" s="82">
        <f t="shared" si="4"/>
        <v>4.4661253181432548E-2</v>
      </c>
      <c r="AX13" s="86" t="s">
        <v>217</v>
      </c>
      <c r="AY13" s="87">
        <f>(AY8*AY9)+(AY10*AY11)</f>
        <v>0.67179644918387249</v>
      </c>
    </row>
    <row r="14" spans="2:51" x14ac:dyDescent="0.3">
      <c r="B14" s="81">
        <v>46243</v>
      </c>
      <c r="C14" s="54">
        <v>720</v>
      </c>
      <c r="D14" s="82">
        <f t="shared" si="0"/>
        <v>-1.5047879616963078E-2</v>
      </c>
      <c r="F14" s="81">
        <v>46243</v>
      </c>
      <c r="G14" s="54">
        <v>24366</v>
      </c>
      <c r="H14" s="82">
        <f t="shared" si="5"/>
        <v>-8.3290429842108882E-3</v>
      </c>
      <c r="I14" s="83"/>
      <c r="J14" s="83"/>
      <c r="K14" s="83"/>
      <c r="S14" s="64">
        <v>2007</v>
      </c>
      <c r="T14" s="82">
        <v>0.54770000000000008</v>
      </c>
      <c r="Y14" s="81">
        <v>46243</v>
      </c>
      <c r="Z14" s="54">
        <v>164.93</v>
      </c>
      <c r="AA14" s="82">
        <f t="shared" si="1"/>
        <v>-3.3518898329915059E-2</v>
      </c>
      <c r="AC14" s="83"/>
      <c r="AD14" s="83"/>
      <c r="AF14" s="81">
        <v>46243</v>
      </c>
      <c r="AG14" s="54">
        <v>510.05</v>
      </c>
      <c r="AH14" s="82">
        <f t="shared" si="2"/>
        <v>-1.5347490347490278E-2</v>
      </c>
      <c r="AM14" s="81">
        <v>46243</v>
      </c>
      <c r="AN14" s="54">
        <v>300.35000000000002</v>
      </c>
      <c r="AO14" s="82">
        <f t="shared" si="3"/>
        <v>-2.0225085630402817E-2</v>
      </c>
      <c r="AT14" s="81">
        <v>46243</v>
      </c>
      <c r="AU14" s="54">
        <v>825.1</v>
      </c>
      <c r="AV14" s="82">
        <f t="shared" si="4"/>
        <v>-4.0246597650343219E-2</v>
      </c>
    </row>
    <row r="15" spans="2:51" x14ac:dyDescent="0.3">
      <c r="B15" s="81">
        <v>46236</v>
      </c>
      <c r="C15" s="54">
        <v>731</v>
      </c>
      <c r="D15" s="82">
        <f t="shared" si="0"/>
        <v>-1.022273373502125E-2</v>
      </c>
      <c r="F15" s="81">
        <v>46236</v>
      </c>
      <c r="G15" s="54">
        <v>24570.65</v>
      </c>
      <c r="H15" s="82">
        <f t="shared" si="5"/>
        <v>7.6711396184321323E-3</v>
      </c>
      <c r="I15" s="83"/>
      <c r="J15" s="83"/>
      <c r="K15" s="83"/>
      <c r="S15" s="64">
        <v>2008</v>
      </c>
      <c r="T15" s="82">
        <v>-0.51790000000000003</v>
      </c>
      <c r="Y15" s="81">
        <v>46236</v>
      </c>
      <c r="Z15" s="54">
        <v>170.65</v>
      </c>
      <c r="AA15" s="82">
        <f t="shared" si="1"/>
        <v>5.0994641867339929E-2</v>
      </c>
      <c r="AF15" s="81">
        <v>46236</v>
      </c>
      <c r="AG15" s="54">
        <v>518</v>
      </c>
      <c r="AH15" s="82">
        <f t="shared" si="2"/>
        <v>4.7310958350181842E-2</v>
      </c>
      <c r="AM15" s="81">
        <v>46236</v>
      </c>
      <c r="AN15" s="54">
        <v>306.55</v>
      </c>
      <c r="AO15" s="82">
        <f t="shared" si="3"/>
        <v>-6.2538226299694188E-2</v>
      </c>
      <c r="AT15" s="81">
        <v>46236</v>
      </c>
      <c r="AU15" s="54">
        <v>859.7</v>
      </c>
      <c r="AV15" s="82">
        <f t="shared" si="4"/>
        <v>5.9526743899433132E-2</v>
      </c>
    </row>
    <row r="16" spans="2:51" x14ac:dyDescent="0.3">
      <c r="B16" s="81">
        <v>46229</v>
      </c>
      <c r="C16" s="54">
        <v>738.55</v>
      </c>
      <c r="D16" s="82">
        <f t="shared" si="0"/>
        <v>1.5258780672211092E-2</v>
      </c>
      <c r="F16" s="81">
        <v>46229</v>
      </c>
      <c r="G16" s="54">
        <v>24383.599999999999</v>
      </c>
      <c r="H16" s="82">
        <f t="shared" si="5"/>
        <v>2.5924110495656683E-2</v>
      </c>
      <c r="I16" s="83"/>
      <c r="J16" s="83"/>
      <c r="K16" s="83"/>
      <c r="S16" s="64">
        <v>2009</v>
      </c>
      <c r="T16" s="82">
        <v>0.75760000000000005</v>
      </c>
      <c r="Y16" s="81">
        <v>46229</v>
      </c>
      <c r="Z16" s="54">
        <v>162.37</v>
      </c>
      <c r="AA16" s="82">
        <f t="shared" si="1"/>
        <v>1.5320160080040113E-2</v>
      </c>
      <c r="AF16" s="81">
        <v>46229</v>
      </c>
      <c r="AG16" s="54">
        <v>494.6</v>
      </c>
      <c r="AH16" s="82">
        <f t="shared" si="2"/>
        <v>4.1921213397935642E-2</v>
      </c>
      <c r="AM16" s="81">
        <v>46229</v>
      </c>
      <c r="AN16" s="54">
        <v>327</v>
      </c>
      <c r="AO16" s="82">
        <f t="shared" si="3"/>
        <v>1.8382352941177516E-3</v>
      </c>
      <c r="AT16" s="81">
        <v>46229</v>
      </c>
      <c r="AU16" s="54">
        <v>811.4</v>
      </c>
      <c r="AV16" s="82">
        <f t="shared" si="4"/>
        <v>-3.6836935166993934E-3</v>
      </c>
    </row>
    <row r="17" spans="2:48" x14ac:dyDescent="0.3">
      <c r="B17" s="81">
        <v>46222</v>
      </c>
      <c r="C17" s="54">
        <v>727.45</v>
      </c>
      <c r="D17" s="82">
        <f t="shared" si="0"/>
        <v>-6.1821678802020941E-4</v>
      </c>
      <c r="F17" s="81">
        <v>46222</v>
      </c>
      <c r="G17" s="54">
        <v>23767.45</v>
      </c>
      <c r="H17" s="82">
        <f t="shared" si="5"/>
        <v>-2.3294280090242925E-2</v>
      </c>
      <c r="I17" s="83"/>
      <c r="J17" t="s">
        <v>189</v>
      </c>
      <c r="S17" s="64">
        <v>2010</v>
      </c>
      <c r="T17" s="82">
        <v>0.17949999999999999</v>
      </c>
      <c r="Y17" s="81">
        <v>46222</v>
      </c>
      <c r="Z17" s="54">
        <v>159.91999999999999</v>
      </c>
      <c r="AA17" s="82">
        <f t="shared" si="1"/>
        <v>-7.244359375906273E-2</v>
      </c>
      <c r="AF17" s="81">
        <v>46222</v>
      </c>
      <c r="AG17" s="54">
        <v>474.7</v>
      </c>
      <c r="AH17" s="82">
        <f t="shared" si="2"/>
        <v>-2.254710182230002E-2</v>
      </c>
      <c r="AM17" s="81">
        <v>46222</v>
      </c>
      <c r="AN17" s="54">
        <v>326.39999999999998</v>
      </c>
      <c r="AO17" s="82">
        <f t="shared" si="3"/>
        <v>-3.6457564575645862E-2</v>
      </c>
      <c r="AT17" s="81">
        <v>46222</v>
      </c>
      <c r="AU17" s="54">
        <v>814.4</v>
      </c>
      <c r="AV17" s="82">
        <f t="shared" si="4"/>
        <v>-5.5877579411082845E-2</v>
      </c>
    </row>
    <row r="18" spans="2:48" ht="15" thickBot="1" x14ac:dyDescent="0.35">
      <c r="B18" s="81">
        <v>46215</v>
      </c>
      <c r="C18" s="54">
        <v>727.9</v>
      </c>
      <c r="D18" s="82">
        <f t="shared" si="0"/>
        <v>-3.2433869466967913E-2</v>
      </c>
      <c r="F18" s="81">
        <v>46215</v>
      </c>
      <c r="G18" s="54">
        <v>24334.3</v>
      </c>
      <c r="H18" s="82">
        <f t="shared" si="5"/>
        <v>5.262962213253175E-3</v>
      </c>
      <c r="I18" s="83"/>
      <c r="S18" s="64">
        <v>2011</v>
      </c>
      <c r="T18" s="82">
        <v>-0.2462</v>
      </c>
      <c r="Y18" s="81">
        <v>46215</v>
      </c>
      <c r="Z18" s="54">
        <v>172.41</v>
      </c>
      <c r="AA18" s="82">
        <f t="shared" si="1"/>
        <v>-7.8957209252631055E-2</v>
      </c>
      <c r="AF18" s="81">
        <v>46215</v>
      </c>
      <c r="AG18" s="54">
        <v>485.65</v>
      </c>
      <c r="AH18" s="82">
        <f t="shared" si="2"/>
        <v>-3.0638722554890307E-2</v>
      </c>
      <c r="AM18" s="81">
        <v>46215</v>
      </c>
      <c r="AN18" s="54">
        <v>338.75</v>
      </c>
      <c r="AO18" s="82">
        <f t="shared" si="3"/>
        <v>2.7293404094010709E-2</v>
      </c>
      <c r="AT18" s="81">
        <v>46215</v>
      </c>
      <c r="AU18" s="54">
        <v>862.6</v>
      </c>
      <c r="AV18" s="82">
        <f t="shared" si="4"/>
        <v>2.7210479309318192E-2</v>
      </c>
    </row>
    <row r="19" spans="2:48" x14ac:dyDescent="0.3">
      <c r="B19" s="81">
        <v>46208</v>
      </c>
      <c r="C19" s="54">
        <v>752.3</v>
      </c>
      <c r="D19" s="82">
        <f t="shared" si="0"/>
        <v>3.2528136151523279E-2</v>
      </c>
      <c r="F19" s="81">
        <v>46208</v>
      </c>
      <c r="G19" s="54">
        <v>24206.9</v>
      </c>
      <c r="H19" s="82">
        <f t="shared" si="5"/>
        <v>-2.6348479760699428E-3</v>
      </c>
      <c r="I19" s="83"/>
      <c r="J19" s="177" t="s">
        <v>190</v>
      </c>
      <c r="K19" s="177"/>
      <c r="S19" s="64">
        <v>2012</v>
      </c>
      <c r="T19" s="82">
        <v>0.27699999999999997</v>
      </c>
      <c r="Y19" s="81">
        <v>46208</v>
      </c>
      <c r="Z19" s="54">
        <v>187.19</v>
      </c>
      <c r="AA19" s="82">
        <f t="shared" si="1"/>
        <v>4.7978949725674624E-2</v>
      </c>
      <c r="AF19" s="81">
        <v>46208</v>
      </c>
      <c r="AG19" s="54">
        <v>501</v>
      </c>
      <c r="AH19" s="82">
        <f t="shared" si="2"/>
        <v>5.3184780323733527E-2</v>
      </c>
      <c r="AM19" s="81">
        <v>46208</v>
      </c>
      <c r="AN19" s="54">
        <v>329.75</v>
      </c>
      <c r="AO19" s="82">
        <f t="shared" si="3"/>
        <v>1.0625379477839925E-3</v>
      </c>
      <c r="AT19" s="81">
        <v>46208</v>
      </c>
      <c r="AU19" s="54">
        <v>839.75</v>
      </c>
      <c r="AV19" s="82">
        <f t="shared" si="4"/>
        <v>6.0500778722893944E-3</v>
      </c>
    </row>
    <row r="20" spans="2:48" x14ac:dyDescent="0.3">
      <c r="B20" s="81">
        <v>46201</v>
      </c>
      <c r="C20" s="54">
        <v>728.6</v>
      </c>
      <c r="D20" s="82">
        <f t="shared" si="0"/>
        <v>1.1031707486297115E-2</v>
      </c>
      <c r="F20" s="81">
        <v>46201</v>
      </c>
      <c r="G20" s="54">
        <v>24270.85</v>
      </c>
      <c r="H20" s="82">
        <f t="shared" si="5"/>
        <v>8.9312437645492349E-3</v>
      </c>
      <c r="I20" s="83"/>
      <c r="J20" t="s">
        <v>191</v>
      </c>
      <c r="K20">
        <v>0.56909170580374302</v>
      </c>
      <c r="S20" s="64">
        <v>2013</v>
      </c>
      <c r="T20" s="82">
        <v>6.7599999999999993E-2</v>
      </c>
      <c r="Y20" s="81">
        <v>46201</v>
      </c>
      <c r="Z20" s="54">
        <v>178.62</v>
      </c>
      <c r="AA20" s="82">
        <f t="shared" si="1"/>
        <v>2.8443113772455009E-2</v>
      </c>
      <c r="AF20" s="81">
        <v>46201</v>
      </c>
      <c r="AG20" s="54">
        <v>475.7</v>
      </c>
      <c r="AH20" s="82">
        <f t="shared" si="2"/>
        <v>-1.6945649927671003E-2</v>
      </c>
      <c r="AM20" s="81">
        <v>46201</v>
      </c>
      <c r="AN20" s="54">
        <v>329.4</v>
      </c>
      <c r="AO20" s="82">
        <f t="shared" si="3"/>
        <v>9.0366059120845499E-3</v>
      </c>
      <c r="AT20" s="81">
        <v>46201</v>
      </c>
      <c r="AU20" s="54">
        <v>834.7</v>
      </c>
      <c r="AV20" s="82">
        <f t="shared" si="4"/>
        <v>1.9231943342084445E-2</v>
      </c>
    </row>
    <row r="21" spans="2:48" x14ac:dyDescent="0.3">
      <c r="B21" s="81">
        <v>46194</v>
      </c>
      <c r="C21" s="54">
        <v>720.65</v>
      </c>
      <c r="D21" s="82">
        <f t="shared" si="0"/>
        <v>-5.6571231459123794E-3</v>
      </c>
      <c r="F21" s="81">
        <v>46194</v>
      </c>
      <c r="G21" s="54">
        <v>24056</v>
      </c>
      <c r="H21" s="82">
        <f t="shared" si="5"/>
        <v>1.7865248551833801E-3</v>
      </c>
      <c r="I21" s="83"/>
      <c r="J21" t="s">
        <v>192</v>
      </c>
      <c r="K21">
        <v>0.32386536961461398</v>
      </c>
      <c r="S21" s="64">
        <v>2014</v>
      </c>
      <c r="T21" s="82">
        <v>0.31390000000000001</v>
      </c>
      <c r="Y21" s="81">
        <v>46194</v>
      </c>
      <c r="Z21" s="54">
        <v>173.68</v>
      </c>
      <c r="AA21" s="82">
        <f t="shared" si="1"/>
        <v>1.6147905452843503E-2</v>
      </c>
      <c r="AF21" s="81">
        <v>46194</v>
      </c>
      <c r="AG21" s="54">
        <v>483.9</v>
      </c>
      <c r="AH21" s="82">
        <f t="shared" si="2"/>
        <v>-2.0841764467826818E-2</v>
      </c>
      <c r="AM21" s="81">
        <v>46194</v>
      </c>
      <c r="AN21" s="54">
        <v>326.45</v>
      </c>
      <c r="AO21" s="82">
        <f t="shared" si="3"/>
        <v>1.4292372223085215E-2</v>
      </c>
      <c r="AT21" s="81">
        <v>46194</v>
      </c>
      <c r="AU21" s="54">
        <v>818.95</v>
      </c>
      <c r="AV21" s="82">
        <f t="shared" si="4"/>
        <v>2.0689225400386313E-2</v>
      </c>
    </row>
    <row r="22" spans="2:48" x14ac:dyDescent="0.3">
      <c r="B22" s="81">
        <v>46187</v>
      </c>
      <c r="C22" s="54">
        <v>724.75</v>
      </c>
      <c r="D22" s="82">
        <f t="shared" si="0"/>
        <v>6.6671572595481621E-2</v>
      </c>
      <c r="F22" s="81">
        <v>46187</v>
      </c>
      <c r="G22" s="54">
        <v>24013.1</v>
      </c>
      <c r="H22" s="82">
        <f t="shared" si="5"/>
        <v>1.6517870371546062E-2</v>
      </c>
      <c r="I22" s="83"/>
      <c r="J22" t="s">
        <v>193</v>
      </c>
      <c r="K22">
        <v>0.32010906611247297</v>
      </c>
      <c r="S22" s="64">
        <v>2015</v>
      </c>
      <c r="T22" s="82">
        <v>-4.0599999999999997E-2</v>
      </c>
      <c r="Y22" s="81">
        <v>46187</v>
      </c>
      <c r="Z22" s="54">
        <v>170.92</v>
      </c>
      <c r="AA22" s="82">
        <f t="shared" si="1"/>
        <v>0.10950989938331701</v>
      </c>
      <c r="AF22" s="81">
        <v>46187</v>
      </c>
      <c r="AG22" s="54">
        <v>494.2</v>
      </c>
      <c r="AH22" s="82">
        <f t="shared" si="2"/>
        <v>0.14983713355048844</v>
      </c>
      <c r="AM22" s="81">
        <v>46187</v>
      </c>
      <c r="AN22" s="54">
        <v>321.85000000000002</v>
      </c>
      <c r="AO22" s="82">
        <f t="shared" si="3"/>
        <v>8.9355220849551609E-2</v>
      </c>
      <c r="AT22" s="81">
        <v>46187</v>
      </c>
      <c r="AU22" s="54">
        <v>802.35</v>
      </c>
      <c r="AV22" s="82">
        <f t="shared" si="4"/>
        <v>9.8056657999178842E-2</v>
      </c>
    </row>
    <row r="23" spans="2:48" x14ac:dyDescent="0.3">
      <c r="B23" s="81">
        <v>46180</v>
      </c>
      <c r="C23" s="54">
        <v>679.45</v>
      </c>
      <c r="D23" s="82">
        <f t="shared" si="0"/>
        <v>3.3226885644768833E-2</v>
      </c>
      <c r="F23" s="81">
        <v>46180</v>
      </c>
      <c r="G23" s="54">
        <v>23622.9</v>
      </c>
      <c r="H23" s="82">
        <f t="shared" si="5"/>
        <v>1.0964321020940027E-2</v>
      </c>
      <c r="I23" s="83"/>
      <c r="J23" t="s">
        <v>194</v>
      </c>
      <c r="K23">
        <v>3.3317348600813187E-2</v>
      </c>
      <c r="S23" s="64">
        <v>2016</v>
      </c>
      <c r="T23" s="82">
        <v>3.0099999999999998E-2</v>
      </c>
      <c r="Y23" s="81">
        <v>46180</v>
      </c>
      <c r="Z23" s="54">
        <v>154.05000000000001</v>
      </c>
      <c r="AA23" s="82">
        <f t="shared" si="1"/>
        <v>5.6795926361143945E-3</v>
      </c>
      <c r="AF23" s="81">
        <v>46180</v>
      </c>
      <c r="AG23" s="54">
        <v>429.8</v>
      </c>
      <c r="AH23" s="82">
        <f t="shared" si="2"/>
        <v>2.4919518302134236E-2</v>
      </c>
      <c r="AM23" s="81">
        <v>46180</v>
      </c>
      <c r="AN23" s="54">
        <v>295.45</v>
      </c>
      <c r="AO23" s="82">
        <f t="shared" si="3"/>
        <v>1.1988354170234583E-2</v>
      </c>
      <c r="AT23" s="81">
        <v>46180</v>
      </c>
      <c r="AU23" s="54">
        <v>730.7</v>
      </c>
      <c r="AV23" s="82">
        <f t="shared" si="4"/>
        <v>-6.0132484404141762E-2</v>
      </c>
    </row>
    <row r="24" spans="2:48" ht="15" thickBot="1" x14ac:dyDescent="0.35">
      <c r="B24" s="81">
        <v>46173</v>
      </c>
      <c r="C24" s="54">
        <v>657.6</v>
      </c>
      <c r="D24" s="82">
        <f t="shared" si="0"/>
        <v>5.1203668322508111E-3</v>
      </c>
      <c r="F24" s="81">
        <v>46173</v>
      </c>
      <c r="G24" s="54">
        <v>23366.7</v>
      </c>
      <c r="H24" s="82">
        <f t="shared" si="5"/>
        <v>-7.6886326719113329E-3</v>
      </c>
      <c r="I24" s="83"/>
      <c r="J24" s="88" t="s">
        <v>195</v>
      </c>
      <c r="K24" s="88">
        <v>182</v>
      </c>
      <c r="S24" s="64">
        <v>2017</v>
      </c>
      <c r="T24" s="82">
        <v>0.28649999999999998</v>
      </c>
      <c r="Y24" s="81">
        <v>46173</v>
      </c>
      <c r="Z24" s="54">
        <v>153.18</v>
      </c>
      <c r="AA24" s="82">
        <f t="shared" si="1"/>
        <v>-1.0784630287374752E-2</v>
      </c>
      <c r="AF24" s="81">
        <v>46173</v>
      </c>
      <c r="AG24" s="54">
        <v>419.35</v>
      </c>
      <c r="AH24" s="82">
        <f t="shared" si="2"/>
        <v>1.4392839864538098E-2</v>
      </c>
      <c r="AM24" s="81">
        <v>46173</v>
      </c>
      <c r="AN24" s="54">
        <v>291.95</v>
      </c>
      <c r="AO24" s="82">
        <f t="shared" si="3"/>
        <v>-1.4348413234301138E-2</v>
      </c>
      <c r="AT24" s="81">
        <v>46173</v>
      </c>
      <c r="AU24" s="54">
        <v>777.45</v>
      </c>
      <c r="AV24" s="82">
        <f t="shared" si="4"/>
        <v>-9.1129237828192489E-3</v>
      </c>
    </row>
    <row r="25" spans="2:48" x14ac:dyDescent="0.3">
      <c r="B25" s="81">
        <v>46166</v>
      </c>
      <c r="C25" s="54">
        <v>654.25</v>
      </c>
      <c r="D25" s="82">
        <f t="shared" si="0"/>
        <v>6.1514801999231761E-3</v>
      </c>
      <c r="F25" s="81">
        <v>46166</v>
      </c>
      <c r="G25" s="54">
        <v>23547.75</v>
      </c>
      <c r="H25" s="82">
        <f t="shared" si="5"/>
        <v>-7.2325068615008981E-3</v>
      </c>
      <c r="I25" s="83"/>
      <c r="S25" s="64">
        <v>2018</v>
      </c>
      <c r="T25" s="82">
        <v>3.15E-2</v>
      </c>
      <c r="Y25" s="81">
        <v>46166</v>
      </c>
      <c r="Z25" s="54">
        <v>154.85</v>
      </c>
      <c r="AA25" s="82">
        <f t="shared" si="1"/>
        <v>3.6295288093848299E-3</v>
      </c>
      <c r="AF25" s="81">
        <v>46166</v>
      </c>
      <c r="AG25" s="54">
        <v>413.4</v>
      </c>
      <c r="AH25" s="82">
        <f t="shared" si="2"/>
        <v>-5.6524353577871445E-3</v>
      </c>
      <c r="AM25" s="81">
        <v>46166</v>
      </c>
      <c r="AN25" s="54">
        <v>296.2</v>
      </c>
      <c r="AO25" s="82">
        <f t="shared" si="3"/>
        <v>-7.0890840652446774E-2</v>
      </c>
      <c r="AT25" s="81">
        <v>46166</v>
      </c>
      <c r="AU25" s="54">
        <v>784.6</v>
      </c>
      <c r="AV25" s="82">
        <f t="shared" si="4"/>
        <v>-1.3143827432236854E-2</v>
      </c>
    </row>
    <row r="26" spans="2:48" ht="15" thickBot="1" x14ac:dyDescent="0.35">
      <c r="B26" s="81">
        <v>46159</v>
      </c>
      <c r="C26" s="54">
        <v>650.25</v>
      </c>
      <c r="D26" s="82">
        <f t="shared" si="0"/>
        <v>-9.1428571428571193E-3</v>
      </c>
      <c r="F26" s="81">
        <v>46159</v>
      </c>
      <c r="G26" s="54">
        <v>23719.3</v>
      </c>
      <c r="H26" s="82">
        <f t="shared" si="5"/>
        <v>3.2059551250871454E-3</v>
      </c>
      <c r="I26" s="83"/>
      <c r="J26" t="s">
        <v>196</v>
      </c>
      <c r="S26" s="64">
        <v>2019</v>
      </c>
      <c r="T26" s="82">
        <v>0.1202</v>
      </c>
      <c r="Y26" s="81">
        <v>46159</v>
      </c>
      <c r="Z26" s="54">
        <v>154.29</v>
      </c>
      <c r="AA26" s="82">
        <f t="shared" si="1"/>
        <v>-7.6537175199382634E-3</v>
      </c>
      <c r="AF26" s="81">
        <v>46159</v>
      </c>
      <c r="AG26" s="54">
        <v>415.75</v>
      </c>
      <c r="AH26" s="82">
        <f t="shared" si="2"/>
        <v>3.8633345406253738E-3</v>
      </c>
      <c r="AM26" s="81">
        <v>46159</v>
      </c>
      <c r="AN26" s="54">
        <v>318.8</v>
      </c>
      <c r="AO26" s="82">
        <f t="shared" si="3"/>
        <v>8.5416007592533649E-3</v>
      </c>
      <c r="AT26" s="81">
        <v>46159</v>
      </c>
      <c r="AU26" s="54">
        <v>795.05</v>
      </c>
      <c r="AV26" s="82">
        <f t="shared" si="4"/>
        <v>1.3254317211495614E-2</v>
      </c>
    </row>
    <row r="27" spans="2:48" x14ac:dyDescent="0.3">
      <c r="B27" s="81">
        <v>46152</v>
      </c>
      <c r="C27" s="54">
        <v>656.25</v>
      </c>
      <c r="D27" s="82">
        <f t="shared" si="0"/>
        <v>-2.4960998439937487E-2</v>
      </c>
      <c r="F27" s="81">
        <v>46152</v>
      </c>
      <c r="G27" s="54">
        <v>23643.5</v>
      </c>
      <c r="H27" s="82">
        <f t="shared" si="5"/>
        <v>-2.2032043977225579E-2</v>
      </c>
      <c r="I27" s="83"/>
      <c r="J27" s="176"/>
      <c r="K27" s="176" t="s">
        <v>200</v>
      </c>
      <c r="L27" s="176" t="s">
        <v>201</v>
      </c>
      <c r="M27" s="176" t="s">
        <v>202</v>
      </c>
      <c r="N27" s="176" t="s">
        <v>203</v>
      </c>
      <c r="O27" s="176" t="s">
        <v>204</v>
      </c>
      <c r="S27" s="64">
        <v>2020</v>
      </c>
      <c r="T27" s="82">
        <v>0.14899999999999999</v>
      </c>
      <c r="Y27" s="81">
        <v>46152</v>
      </c>
      <c r="Z27" s="54">
        <v>155.47999999999999</v>
      </c>
      <c r="AA27" s="82">
        <f t="shared" si="1"/>
        <v>-5.4832826747720387E-2</v>
      </c>
      <c r="AF27" s="81">
        <v>46152</v>
      </c>
      <c r="AG27" s="54">
        <v>414.15</v>
      </c>
      <c r="AH27" s="82">
        <f t="shared" si="2"/>
        <v>-2.1962451292950824E-2</v>
      </c>
      <c r="AM27" s="81">
        <v>46152</v>
      </c>
      <c r="AN27" s="54">
        <v>316.10000000000002</v>
      </c>
      <c r="AO27" s="82">
        <f t="shared" si="3"/>
        <v>-5.7543231961836527E-2</v>
      </c>
      <c r="AT27" s="81">
        <v>46152</v>
      </c>
      <c r="AU27" s="54">
        <v>784.65</v>
      </c>
      <c r="AV27" s="82">
        <f t="shared" si="4"/>
        <v>-5.765331981753774E-3</v>
      </c>
    </row>
    <row r="28" spans="2:48" x14ac:dyDescent="0.3">
      <c r="B28" s="81">
        <v>46145</v>
      </c>
      <c r="C28" s="54">
        <v>673.05</v>
      </c>
      <c r="D28" s="82">
        <f t="shared" si="0"/>
        <v>5.8504364236848128E-2</v>
      </c>
      <c r="F28" s="81">
        <v>46145</v>
      </c>
      <c r="G28" s="54">
        <v>24176.15</v>
      </c>
      <c r="H28" s="82">
        <f t="shared" si="5"/>
        <v>7.4424264143633234E-3</v>
      </c>
      <c r="I28" s="83"/>
      <c r="J28" t="s">
        <v>197</v>
      </c>
      <c r="K28">
        <v>1</v>
      </c>
      <c r="L28">
        <v>9.570722027004816E-2</v>
      </c>
      <c r="M28">
        <v>9.570722027004816E-2</v>
      </c>
      <c r="N28">
        <v>86.219169838117679</v>
      </c>
      <c r="O28">
        <v>5.2078278467064025E-17</v>
      </c>
      <c r="S28" s="64">
        <v>2021</v>
      </c>
      <c r="T28" s="82">
        <v>0.2412</v>
      </c>
      <c r="Y28" s="81">
        <v>46145</v>
      </c>
      <c r="Z28" s="54">
        <v>164.5</v>
      </c>
      <c r="AA28" s="82">
        <f t="shared" si="1"/>
        <v>2.4475306719810686E-2</v>
      </c>
      <c r="AF28" s="81">
        <v>46145</v>
      </c>
      <c r="AG28" s="54">
        <v>423.45</v>
      </c>
      <c r="AH28" s="82">
        <f t="shared" si="2"/>
        <v>-1.1208406304728524E-2</v>
      </c>
      <c r="AM28" s="81">
        <v>46145</v>
      </c>
      <c r="AN28" s="54">
        <v>335.4</v>
      </c>
      <c r="AO28" s="82">
        <f t="shared" si="3"/>
        <v>5.1575482050478128E-2</v>
      </c>
      <c r="AT28" s="81">
        <v>46145</v>
      </c>
      <c r="AU28" s="54">
        <v>789.2</v>
      </c>
      <c r="AV28" s="82">
        <f t="shared" si="4"/>
        <v>4.1573181998152409E-2</v>
      </c>
    </row>
    <row r="29" spans="2:48" x14ac:dyDescent="0.3">
      <c r="B29" s="81">
        <v>46138</v>
      </c>
      <c r="C29" s="54">
        <v>635.85</v>
      </c>
      <c r="D29" s="82">
        <f t="shared" si="0"/>
        <v>7.8696781301634822E-4</v>
      </c>
      <c r="F29" s="81">
        <v>46138</v>
      </c>
      <c r="G29" s="54">
        <v>23997.55</v>
      </c>
      <c r="H29" s="82">
        <f t="shared" si="5"/>
        <v>4.167721499124255E-3</v>
      </c>
      <c r="I29" s="83"/>
      <c r="J29" t="s">
        <v>198</v>
      </c>
      <c r="K29">
        <v>180</v>
      </c>
      <c r="L29">
        <v>0.19980822920185951</v>
      </c>
      <c r="M29">
        <v>1.1100457177881083E-3</v>
      </c>
      <c r="S29" s="64">
        <v>2022</v>
      </c>
      <c r="T29" s="82">
        <v>4.3200000000000002E-2</v>
      </c>
      <c r="Y29" s="81">
        <v>46138</v>
      </c>
      <c r="Z29" s="54">
        <v>160.57</v>
      </c>
      <c r="AA29" s="82">
        <f t="shared" si="1"/>
        <v>1.4147666266658199E-2</v>
      </c>
      <c r="AF29" s="81">
        <v>46138</v>
      </c>
      <c r="AG29" s="54">
        <v>428.25</v>
      </c>
      <c r="AH29" s="82">
        <f t="shared" si="2"/>
        <v>-1.8645845472555767E-3</v>
      </c>
      <c r="AM29" s="81">
        <v>46138</v>
      </c>
      <c r="AN29" s="54">
        <v>318.95</v>
      </c>
      <c r="AO29" s="82">
        <f t="shared" si="3"/>
        <v>-2.2824754901960786E-2</v>
      </c>
      <c r="AT29" s="81">
        <v>46138</v>
      </c>
      <c r="AU29" s="54">
        <v>757.7</v>
      </c>
      <c r="AV29" s="82">
        <f t="shared" si="4"/>
        <v>-5.0025075225677007E-2</v>
      </c>
    </row>
    <row r="30" spans="2:48" ht="15" thickBot="1" x14ac:dyDescent="0.35">
      <c r="B30" s="81">
        <v>46131</v>
      </c>
      <c r="C30" s="54">
        <v>635.35</v>
      </c>
      <c r="D30" s="82">
        <f t="shared" si="0"/>
        <v>-3.6326406795085586E-2</v>
      </c>
      <c r="F30" s="81">
        <v>46131</v>
      </c>
      <c r="G30" s="54">
        <v>23897.95</v>
      </c>
      <c r="H30" s="82">
        <f t="shared" si="5"/>
        <v>-1.8707744866764742E-2</v>
      </c>
      <c r="I30" s="83"/>
      <c r="J30" s="88" t="s">
        <v>13</v>
      </c>
      <c r="K30" s="88">
        <v>181</v>
      </c>
      <c r="L30" s="88">
        <v>0.29551544947190767</v>
      </c>
      <c r="M30" s="88"/>
      <c r="N30" s="88"/>
      <c r="O30" s="88"/>
      <c r="S30" s="64">
        <v>2023</v>
      </c>
      <c r="T30" s="82">
        <v>0.19420000000000001</v>
      </c>
      <c r="Y30" s="81">
        <v>46131</v>
      </c>
      <c r="Z30" s="54">
        <v>158.33000000000001</v>
      </c>
      <c r="AA30" s="82">
        <f t="shared" si="1"/>
        <v>-2.5781442284026568E-2</v>
      </c>
      <c r="AF30" s="81">
        <v>46131</v>
      </c>
      <c r="AG30" s="54">
        <v>429.05</v>
      </c>
      <c r="AH30" s="82">
        <f t="shared" si="2"/>
        <v>5.0363082689155458E-3</v>
      </c>
      <c r="AM30" s="81">
        <v>46131</v>
      </c>
      <c r="AN30" s="54">
        <v>326.39999999999998</v>
      </c>
      <c r="AO30" s="82">
        <f t="shared" si="3"/>
        <v>1.3979496738117492E-2</v>
      </c>
      <c r="AT30" s="81">
        <v>46131</v>
      </c>
      <c r="AU30" s="54">
        <v>797.6</v>
      </c>
      <c r="AV30" s="82">
        <f t="shared" si="4"/>
        <v>2.2629655747163246E-2</v>
      </c>
    </row>
    <row r="31" spans="2:48" ht="15" thickBot="1" x14ac:dyDescent="0.35">
      <c r="B31" s="81">
        <v>46124</v>
      </c>
      <c r="C31" s="54">
        <v>659.3</v>
      </c>
      <c r="D31" s="82">
        <f t="shared" si="0"/>
        <v>2.7747466874512794E-2</v>
      </c>
      <c r="F31" s="81">
        <v>46124</v>
      </c>
      <c r="G31" s="54">
        <v>24353.55</v>
      </c>
      <c r="H31" s="82">
        <f t="shared" si="5"/>
        <v>1.2596359342386565E-2</v>
      </c>
      <c r="I31" s="83"/>
      <c r="S31" s="64">
        <v>2024</v>
      </c>
      <c r="T31" s="82">
        <v>8.7499999999999994E-2</v>
      </c>
      <c r="Y31" s="81">
        <v>46124</v>
      </c>
      <c r="Z31" s="54">
        <v>162.52000000000001</v>
      </c>
      <c r="AA31" s="82">
        <f t="shared" si="1"/>
        <v>4.8583779598683874E-2</v>
      </c>
      <c r="AF31" s="81">
        <v>46124</v>
      </c>
      <c r="AG31" s="54">
        <v>426.9</v>
      </c>
      <c r="AH31" s="82">
        <f t="shared" si="2"/>
        <v>-6.2849162011173743E-3</v>
      </c>
      <c r="AM31" s="81">
        <v>46124</v>
      </c>
      <c r="AN31" s="54">
        <v>321.89999999999998</v>
      </c>
      <c r="AO31" s="82">
        <f t="shared" si="3"/>
        <v>3.1069827033952668E-2</v>
      </c>
      <c r="AT31" s="81">
        <v>46124</v>
      </c>
      <c r="AU31" s="54">
        <v>779.95</v>
      </c>
      <c r="AV31" s="82">
        <f t="shared" si="4"/>
        <v>1.2659049597507188E-2</v>
      </c>
    </row>
    <row r="32" spans="2:48" x14ac:dyDescent="0.3">
      <c r="B32" s="81">
        <v>46117</v>
      </c>
      <c r="C32" s="54">
        <v>641.5</v>
      </c>
      <c r="D32" s="82">
        <f t="shared" si="0"/>
        <v>0.10081510081510081</v>
      </c>
      <c r="F32" s="81">
        <v>46117</v>
      </c>
      <c r="G32" s="54">
        <v>24050.6</v>
      </c>
      <c r="H32" s="82">
        <f t="shared" si="5"/>
        <v>5.8886721759689342E-2</v>
      </c>
      <c r="I32" s="83"/>
      <c r="J32" s="176"/>
      <c r="K32" s="176" t="s">
        <v>205</v>
      </c>
      <c r="L32" s="176" t="s">
        <v>194</v>
      </c>
      <c r="M32" s="176" t="s">
        <v>206</v>
      </c>
      <c r="N32" s="176" t="s">
        <v>207</v>
      </c>
      <c r="O32" s="176" t="s">
        <v>208</v>
      </c>
      <c r="P32" s="176" t="s">
        <v>209</v>
      </c>
      <c r="Q32" s="176" t="s">
        <v>210</v>
      </c>
      <c r="S32" s="64">
        <v>2025</v>
      </c>
      <c r="T32" s="82">
        <v>0.1051</v>
      </c>
      <c r="Y32" s="81">
        <v>46117</v>
      </c>
      <c r="Z32" s="54">
        <v>154.99</v>
      </c>
      <c r="AA32" s="82">
        <f t="shared" si="1"/>
        <v>4.6593287865487332E-2</v>
      </c>
      <c r="AF32" s="81">
        <v>46117</v>
      </c>
      <c r="AG32" s="54">
        <v>429.6</v>
      </c>
      <c r="AH32" s="82">
        <f t="shared" si="2"/>
        <v>3.2940610723731778E-2</v>
      </c>
      <c r="AM32" s="81">
        <v>46117</v>
      </c>
      <c r="AN32" s="54">
        <v>312.2</v>
      </c>
      <c r="AO32" s="82">
        <f t="shared" si="3"/>
        <v>8.3275503122831385E-2</v>
      </c>
      <c r="AT32" s="81">
        <v>46117</v>
      </c>
      <c r="AU32" s="54">
        <v>770.2</v>
      </c>
      <c r="AV32" s="82">
        <f t="shared" si="4"/>
        <v>5.7240905971173817E-2</v>
      </c>
    </row>
    <row r="33" spans="2:48" x14ac:dyDescent="0.3">
      <c r="B33" s="81">
        <v>46110</v>
      </c>
      <c r="C33" s="54">
        <v>582.75</v>
      </c>
      <c r="D33" s="82">
        <f t="shared" si="0"/>
        <v>-1.379251988492125E-2</v>
      </c>
      <c r="F33" s="81">
        <v>46110</v>
      </c>
      <c r="G33" s="54">
        <v>22713.1</v>
      </c>
      <c r="H33" s="82">
        <f t="shared" si="5"/>
        <v>-4.6670406142088616E-3</v>
      </c>
      <c r="I33" s="83"/>
      <c r="J33" t="s">
        <v>199</v>
      </c>
      <c r="K33">
        <v>3.5842921354813989E-3</v>
      </c>
      <c r="L33">
        <v>2.4776816860667089E-3</v>
      </c>
      <c r="M33">
        <v>1.4466314037181351</v>
      </c>
      <c r="N33">
        <v>0.14973932191737191</v>
      </c>
      <c r="O33">
        <v>-1.3047457372253116E-3</v>
      </c>
      <c r="P33">
        <v>8.4733300081881093E-3</v>
      </c>
      <c r="Q33">
        <v>-1.3047457372253116E-3</v>
      </c>
      <c r="Y33" s="81">
        <v>46110</v>
      </c>
      <c r="Z33" s="54">
        <v>148.09</v>
      </c>
      <c r="AA33" s="82">
        <f t="shared" si="1"/>
        <v>4.4579248077872613E-2</v>
      </c>
      <c r="AF33" s="81">
        <v>46110</v>
      </c>
      <c r="AG33" s="54">
        <v>415.9</v>
      </c>
      <c r="AH33" s="82">
        <f t="shared" si="2"/>
        <v>2.3879862136878316E-2</v>
      </c>
      <c r="AM33" s="81">
        <v>46110</v>
      </c>
      <c r="AN33" s="54">
        <v>288.2</v>
      </c>
      <c r="AO33" s="82">
        <f t="shared" si="3"/>
        <v>1.3717903622933347E-2</v>
      </c>
      <c r="AT33" s="81">
        <v>46110</v>
      </c>
      <c r="AU33" s="54">
        <v>728.5</v>
      </c>
      <c r="AV33" s="82">
        <f t="shared" si="4"/>
        <v>4.89688944065092E-3</v>
      </c>
    </row>
    <row r="34" spans="2:48" ht="15" thickBot="1" x14ac:dyDescent="0.35">
      <c r="B34" s="81">
        <v>46103</v>
      </c>
      <c r="C34" s="54">
        <v>590.9</v>
      </c>
      <c r="D34" s="82">
        <f t="shared" si="0"/>
        <v>-4.0045487775160371E-2</v>
      </c>
      <c r="F34" s="81">
        <v>46103</v>
      </c>
      <c r="G34" s="54">
        <v>22819.599999999999</v>
      </c>
      <c r="H34" s="82">
        <f t="shared" si="5"/>
        <v>-1.275822535637805E-2</v>
      </c>
      <c r="I34" s="83"/>
      <c r="J34" s="88" t="s">
        <v>211</v>
      </c>
      <c r="K34" s="88">
        <v>1.3202787407931698</v>
      </c>
      <c r="L34" s="88">
        <v>0.1421882508914501</v>
      </c>
      <c r="M34" s="88">
        <v>9.2854278220294173</v>
      </c>
      <c r="N34" s="88">
        <v>5.2078278467058805E-17</v>
      </c>
      <c r="O34" s="88">
        <v>1.0397085014555301</v>
      </c>
      <c r="P34" s="88">
        <v>1.6008489801308095</v>
      </c>
      <c r="Q34" s="88">
        <v>1.0397085014555301</v>
      </c>
      <c r="Y34" s="81">
        <v>46103</v>
      </c>
      <c r="Z34" s="54">
        <v>141.77000000000001</v>
      </c>
      <c r="AA34" s="82">
        <f t="shared" si="1"/>
        <v>-4.8587343131333394E-2</v>
      </c>
      <c r="AF34" s="81">
        <v>46103</v>
      </c>
      <c r="AG34" s="54">
        <v>406.2</v>
      </c>
      <c r="AH34" s="82">
        <f t="shared" si="2"/>
        <v>1.728024042073617E-2</v>
      </c>
      <c r="AM34" s="81">
        <v>46103</v>
      </c>
      <c r="AN34" s="54">
        <v>284.3</v>
      </c>
      <c r="AO34" s="82">
        <f t="shared" si="3"/>
        <v>-8.1421647819062914E-2</v>
      </c>
      <c r="AT34" s="81">
        <v>46103</v>
      </c>
      <c r="AU34" s="54">
        <v>724.95</v>
      </c>
      <c r="AV34" s="82">
        <f t="shared" si="4"/>
        <v>2.0041465100208988E-3</v>
      </c>
    </row>
    <row r="35" spans="2:48" x14ac:dyDescent="0.3">
      <c r="B35" s="81">
        <v>46096</v>
      </c>
      <c r="C35" s="54">
        <v>615.54999999999995</v>
      </c>
      <c r="D35" s="82">
        <f t="shared" si="0"/>
        <v>9.3465606296629922E-3</v>
      </c>
      <c r="F35" s="81">
        <v>46096</v>
      </c>
      <c r="G35" s="54">
        <v>23114.5</v>
      </c>
      <c r="H35" s="82">
        <f t="shared" si="5"/>
        <v>-1.5809184012853805E-3</v>
      </c>
      <c r="I35" s="83"/>
      <c r="Y35" s="81">
        <v>46096</v>
      </c>
      <c r="Z35" s="54">
        <v>149.01</v>
      </c>
      <c r="AA35" s="82">
        <f t="shared" si="1"/>
        <v>-2.684169278996873E-2</v>
      </c>
      <c r="AF35" s="81">
        <v>46096</v>
      </c>
      <c r="AG35" s="54">
        <v>399.3</v>
      </c>
      <c r="AH35" s="82">
        <f t="shared" si="2"/>
        <v>-7.6122165664044394E-2</v>
      </c>
      <c r="AM35" s="81">
        <v>46096</v>
      </c>
      <c r="AN35" s="54">
        <v>309.5</v>
      </c>
      <c r="AO35" s="82">
        <f t="shared" si="3"/>
        <v>-2.6117054751416013E-2</v>
      </c>
      <c r="AT35" s="81">
        <v>46096</v>
      </c>
      <c r="AU35" s="54">
        <v>723.5</v>
      </c>
      <c r="AV35" s="82">
        <f t="shared" si="4"/>
        <v>-1.3498772838832829E-2</v>
      </c>
    </row>
    <row r="36" spans="2:48" x14ac:dyDescent="0.3">
      <c r="B36" s="81">
        <v>46089</v>
      </c>
      <c r="C36" s="54">
        <v>609.85</v>
      </c>
      <c r="D36" s="82">
        <f t="shared" si="0"/>
        <v>-2.2441291977238098E-2</v>
      </c>
      <c r="F36" s="81">
        <v>46089</v>
      </c>
      <c r="G36" s="54">
        <v>23151.1</v>
      </c>
      <c r="H36" s="82">
        <f t="shared" si="5"/>
        <v>-5.3142171207482991E-2</v>
      </c>
      <c r="I36" s="83"/>
      <c r="Y36" s="81">
        <v>46089</v>
      </c>
      <c r="Z36" s="54">
        <v>153.12</v>
      </c>
      <c r="AA36" s="82">
        <f t="shared" si="1"/>
        <v>-8.4922010398613579E-2</v>
      </c>
      <c r="AF36" s="81">
        <v>46089</v>
      </c>
      <c r="AG36" s="54">
        <v>432.2</v>
      </c>
      <c r="AH36" s="82">
        <f t="shared" si="2"/>
        <v>-3.803157773424104E-3</v>
      </c>
      <c r="AM36" s="81">
        <v>46089</v>
      </c>
      <c r="AN36" s="54">
        <v>317.8</v>
      </c>
      <c r="AO36" s="82">
        <f t="shared" si="3"/>
        <v>-3.5069075451647169E-2</v>
      </c>
      <c r="AT36" s="81">
        <v>46089</v>
      </c>
      <c r="AU36" s="54">
        <v>733.4</v>
      </c>
      <c r="AV36" s="82">
        <f t="shared" si="4"/>
        <v>-3.9863847614060366E-2</v>
      </c>
    </row>
    <row r="37" spans="2:48" x14ac:dyDescent="0.3">
      <c r="B37" s="81">
        <v>46082</v>
      </c>
      <c r="C37" s="54">
        <v>623.85</v>
      </c>
      <c r="D37" s="82">
        <f t="shared" si="0"/>
        <v>-0.16182990729544533</v>
      </c>
      <c r="F37" s="81">
        <v>46082</v>
      </c>
      <c r="G37" s="54">
        <v>24450.45</v>
      </c>
      <c r="H37" s="82">
        <f t="shared" si="5"/>
        <v>-6.6881782394730416E-2</v>
      </c>
      <c r="I37" s="83"/>
      <c r="Y37" s="81">
        <v>46082</v>
      </c>
      <c r="Z37" s="54">
        <v>167.33</v>
      </c>
      <c r="AA37" s="82">
        <f t="shared" si="1"/>
        <v>-4.9585368624332604E-2</v>
      </c>
      <c r="AF37" s="81">
        <v>46082</v>
      </c>
      <c r="AG37" s="54">
        <v>433.85</v>
      </c>
      <c r="AH37" s="82">
        <f t="shared" si="2"/>
        <v>-4.3435122919193048E-2</v>
      </c>
      <c r="AM37" s="81">
        <v>46082</v>
      </c>
      <c r="AN37" s="54">
        <v>329.35</v>
      </c>
      <c r="AO37" s="82">
        <f t="shared" si="3"/>
        <v>5.0390687290703173E-2</v>
      </c>
      <c r="AT37" s="81">
        <v>46082</v>
      </c>
      <c r="AU37" s="54">
        <v>763.85</v>
      </c>
      <c r="AV37" s="82">
        <f t="shared" si="4"/>
        <v>-5.475807449573078E-2</v>
      </c>
    </row>
    <row r="38" spans="2:48" x14ac:dyDescent="0.3">
      <c r="B38" s="81">
        <v>45984</v>
      </c>
      <c r="C38" s="54">
        <v>744.3</v>
      </c>
      <c r="D38" s="82">
        <f t="shared" si="0"/>
        <v>1.5139116202945946E-2</v>
      </c>
      <c r="F38" s="81">
        <v>45984</v>
      </c>
      <c r="G38" s="54">
        <v>26202.95</v>
      </c>
      <c r="H38" s="82">
        <f t="shared" si="5"/>
        <v>5.1710612375637233E-3</v>
      </c>
      <c r="I38" s="83"/>
      <c r="Y38" s="81">
        <v>46075</v>
      </c>
      <c r="Z38" s="54">
        <v>176.06</v>
      </c>
      <c r="AA38" s="82">
        <f t="shared" si="1"/>
        <v>-3.5091691193117613E-3</v>
      </c>
      <c r="AF38" s="81">
        <v>46075</v>
      </c>
      <c r="AG38" s="54">
        <v>453.55</v>
      </c>
      <c r="AH38" s="82">
        <f t="shared" si="2"/>
        <v>4.1566195889309876E-2</v>
      </c>
      <c r="AM38" s="81">
        <v>46075</v>
      </c>
      <c r="AN38" s="54">
        <v>313.55</v>
      </c>
      <c r="AO38" s="82">
        <f t="shared" si="3"/>
        <v>-3.9957134109001924E-2</v>
      </c>
      <c r="AT38" s="81">
        <v>46075</v>
      </c>
      <c r="AU38" s="54">
        <v>808.1</v>
      </c>
      <c r="AV38" s="82">
        <f t="shared" si="4"/>
        <v>-6.4536667245470802E-2</v>
      </c>
    </row>
    <row r="39" spans="2:48" x14ac:dyDescent="0.3">
      <c r="B39" s="81">
        <v>45977</v>
      </c>
      <c r="C39" s="54">
        <v>733.2</v>
      </c>
      <c r="D39" s="82">
        <f t="shared" si="0"/>
        <v>1.7203107658157801E-2</v>
      </c>
      <c r="F39" s="81">
        <v>45977</v>
      </c>
      <c r="G39" s="54">
        <v>26068.15</v>
      </c>
      <c r="H39" s="82">
        <f t="shared" si="5"/>
        <v>6.1018793865701415E-3</v>
      </c>
      <c r="I39" s="83"/>
      <c r="Y39" s="81">
        <v>46068</v>
      </c>
      <c r="Z39" s="54">
        <v>176.68</v>
      </c>
      <c r="AA39" s="82">
        <f t="shared" si="1"/>
        <v>-1.9152834064286806E-2</v>
      </c>
      <c r="AF39" s="81">
        <v>46068</v>
      </c>
      <c r="AG39" s="54">
        <v>435.45</v>
      </c>
      <c r="AH39" s="82">
        <f t="shared" si="2"/>
        <v>-2.2010106681639607E-2</v>
      </c>
      <c r="AM39" s="81">
        <v>46068</v>
      </c>
      <c r="AN39" s="54">
        <v>326.60000000000002</v>
      </c>
      <c r="AO39" s="82">
        <f t="shared" si="3"/>
        <v>-1.1052233156699454E-2</v>
      </c>
      <c r="AT39" s="81">
        <v>46068</v>
      </c>
      <c r="AU39" s="54">
        <v>863.85</v>
      </c>
      <c r="AV39" s="82">
        <f t="shared" si="4"/>
        <v>6.3490214352284191E-3</v>
      </c>
    </row>
    <row r="40" spans="2:48" x14ac:dyDescent="0.3">
      <c r="B40" s="81">
        <v>45970</v>
      </c>
      <c r="C40" s="54">
        <v>720.8</v>
      </c>
      <c r="D40" s="82">
        <f t="shared" si="0"/>
        <v>4.2673224359901729E-2</v>
      </c>
      <c r="F40" s="81">
        <v>45970</v>
      </c>
      <c r="G40" s="54">
        <v>25910.05</v>
      </c>
      <c r="H40" s="82">
        <f t="shared" si="5"/>
        <v>1.6387301263518728E-2</v>
      </c>
      <c r="I40" s="83"/>
      <c r="Y40" s="81">
        <v>46061</v>
      </c>
      <c r="Z40" s="54">
        <v>180.13</v>
      </c>
      <c r="AA40" s="82">
        <f t="shared" si="1"/>
        <v>-3.705752212389446E-3</v>
      </c>
      <c r="AF40" s="81">
        <v>46061</v>
      </c>
      <c r="AG40" s="54">
        <v>445.25</v>
      </c>
      <c r="AH40" s="82">
        <f t="shared" si="2"/>
        <v>2.6631311966797355E-2</v>
      </c>
      <c r="AM40" s="81">
        <v>46061</v>
      </c>
      <c r="AN40" s="54">
        <v>330.25</v>
      </c>
      <c r="AO40" s="82">
        <f t="shared" si="3"/>
        <v>-5.1142077287746002E-2</v>
      </c>
      <c r="AT40" s="81">
        <v>46061</v>
      </c>
      <c r="AU40" s="54">
        <v>858.4</v>
      </c>
      <c r="AV40" s="82">
        <f t="shared" si="4"/>
        <v>1.10123078735056E-2</v>
      </c>
    </row>
    <row r="41" spans="2:48" x14ac:dyDescent="0.3">
      <c r="B41" s="81">
        <v>45963</v>
      </c>
      <c r="C41" s="54">
        <v>691.3</v>
      </c>
      <c r="D41" s="82">
        <f t="shared" si="0"/>
        <v>-6.8077648961984316E-2</v>
      </c>
      <c r="F41" s="81">
        <v>45963</v>
      </c>
      <c r="G41" s="54">
        <v>25492.3</v>
      </c>
      <c r="H41" s="82">
        <f t="shared" si="5"/>
        <v>-8.9339517379996014E-3</v>
      </c>
      <c r="I41" s="83"/>
      <c r="Y41" s="81">
        <v>46054</v>
      </c>
      <c r="Z41" s="54">
        <v>180.8</v>
      </c>
      <c r="AA41" s="82">
        <f t="shared" si="1"/>
        <v>2.2128789555231343E-4</v>
      </c>
      <c r="AF41" s="81">
        <v>46054</v>
      </c>
      <c r="AG41" s="54">
        <v>433.7</v>
      </c>
      <c r="AH41" s="82">
        <f t="shared" si="2"/>
        <v>3.0166270783847926E-2</v>
      </c>
      <c r="AM41" s="81">
        <v>46054</v>
      </c>
      <c r="AN41" s="54">
        <v>348.05</v>
      </c>
      <c r="AO41" s="82">
        <f t="shared" si="3"/>
        <v>0.10650135113654424</v>
      </c>
      <c r="AT41" s="81">
        <v>46054</v>
      </c>
      <c r="AU41" s="54">
        <v>849.05</v>
      </c>
      <c r="AV41" s="82">
        <f t="shared" si="4"/>
        <v>-2.5424701561065355E-2</v>
      </c>
    </row>
    <row r="42" spans="2:48" x14ac:dyDescent="0.3">
      <c r="B42" s="81">
        <v>45956</v>
      </c>
      <c r="C42" s="54">
        <v>741.8</v>
      </c>
      <c r="D42" s="82">
        <f t="shared" si="0"/>
        <v>8.0173936676177782E-3</v>
      </c>
      <c r="F42" s="81">
        <v>45956</v>
      </c>
      <c r="G42" s="54">
        <v>25722.1</v>
      </c>
      <c r="H42" s="82">
        <f t="shared" si="5"/>
        <v>-2.8319277073404203E-3</v>
      </c>
      <c r="I42" s="83"/>
      <c r="Y42" s="81">
        <v>46047</v>
      </c>
      <c r="Z42" s="54">
        <v>180.76</v>
      </c>
      <c r="AA42" s="82">
        <f t="shared" si="1"/>
        <v>-7.9578508314582797E-3</v>
      </c>
      <c r="AF42" s="81">
        <v>46047</v>
      </c>
      <c r="AG42" s="54">
        <v>421</v>
      </c>
      <c r="AH42" s="82">
        <f t="shared" si="2"/>
        <v>3.1736306825143945E-2</v>
      </c>
      <c r="AM42" s="81">
        <v>46047</v>
      </c>
      <c r="AN42" s="54">
        <v>314.55</v>
      </c>
      <c r="AO42" s="82">
        <f t="shared" si="3"/>
        <v>-2.4348635235731941E-2</v>
      </c>
      <c r="AT42" s="81">
        <v>46047</v>
      </c>
      <c r="AU42" s="54">
        <v>871.2</v>
      </c>
      <c r="AV42" s="82">
        <f t="shared" si="4"/>
        <v>6.2374245472837098E-2</v>
      </c>
    </row>
    <row r="43" spans="2:48" x14ac:dyDescent="0.3">
      <c r="B43" s="81">
        <v>45949</v>
      </c>
      <c r="C43" s="54">
        <v>735.9</v>
      </c>
      <c r="D43" s="82">
        <f t="shared" si="0"/>
        <v>6.7990209409840574E-4</v>
      </c>
      <c r="F43" s="81">
        <v>45949</v>
      </c>
      <c r="G43" s="54">
        <v>25795.15</v>
      </c>
      <c r="H43" s="82">
        <f t="shared" si="5"/>
        <v>3.3177945417808274E-3</v>
      </c>
      <c r="I43" s="83"/>
      <c r="Y43" s="81">
        <v>46040</v>
      </c>
      <c r="Z43" s="54">
        <v>182.21</v>
      </c>
      <c r="AA43" s="82">
        <f t="shared" si="1"/>
        <v>-2.5093632958801515E-2</v>
      </c>
      <c r="AF43" s="81">
        <v>46040</v>
      </c>
      <c r="AG43" s="54">
        <v>408.05</v>
      </c>
      <c r="AH43" s="82">
        <f t="shared" si="2"/>
        <v>-7.4926320562230808E-2</v>
      </c>
      <c r="AM43" s="81">
        <v>46040</v>
      </c>
      <c r="AN43" s="54">
        <v>322.39999999999998</v>
      </c>
      <c r="AO43" s="82">
        <f t="shared" si="3"/>
        <v>-5.4129382426287398E-2</v>
      </c>
      <c r="AT43" s="81">
        <v>46040</v>
      </c>
      <c r="AU43" s="54">
        <v>820.05</v>
      </c>
      <c r="AV43" s="82">
        <f t="shared" si="4"/>
        <v>-6.5257038641285736E-2</v>
      </c>
    </row>
    <row r="44" spans="2:48" x14ac:dyDescent="0.3">
      <c r="B44" s="81">
        <v>45942</v>
      </c>
      <c r="C44" s="54">
        <v>735.4</v>
      </c>
      <c r="D44" s="82">
        <f t="shared" si="0"/>
        <v>-2.0392903269661478E-4</v>
      </c>
      <c r="F44" s="81">
        <v>45942</v>
      </c>
      <c r="G44" s="54">
        <v>25709.85</v>
      </c>
      <c r="H44" s="82">
        <f t="shared" si="5"/>
        <v>1.6788377459675319E-2</v>
      </c>
      <c r="I44" s="83"/>
      <c r="Y44" s="81">
        <v>46033</v>
      </c>
      <c r="Z44" s="54">
        <v>186.9</v>
      </c>
      <c r="AA44" s="82">
        <f t="shared" si="1"/>
        <v>-3.9074550128534669E-2</v>
      </c>
      <c r="AF44" s="81">
        <v>46033</v>
      </c>
      <c r="AG44" s="54">
        <v>441.1</v>
      </c>
      <c r="AH44" s="82">
        <f t="shared" si="2"/>
        <v>2.8444858941478302E-2</v>
      </c>
      <c r="AM44" s="81">
        <v>46033</v>
      </c>
      <c r="AN44" s="54">
        <v>340.85</v>
      </c>
      <c r="AO44" s="82">
        <f t="shared" si="3"/>
        <v>-1.6589728793998892E-2</v>
      </c>
      <c r="AT44" s="81">
        <v>46033</v>
      </c>
      <c r="AU44" s="54">
        <v>877.3</v>
      </c>
      <c r="AV44" s="82">
        <f t="shared" si="4"/>
        <v>7.2908892588552376E-3</v>
      </c>
    </row>
    <row r="45" spans="2:48" x14ac:dyDescent="0.3">
      <c r="B45" s="81">
        <v>45935</v>
      </c>
      <c r="C45" s="54">
        <v>735.55</v>
      </c>
      <c r="D45" s="82">
        <f t="shared" si="0"/>
        <v>1.5321968389812923E-2</v>
      </c>
      <c r="F45" s="81">
        <v>45935</v>
      </c>
      <c r="G45" s="54">
        <v>25285.35</v>
      </c>
      <c r="H45" s="82">
        <f t="shared" si="5"/>
        <v>1.5710455225604214E-2</v>
      </c>
      <c r="I45" s="83"/>
      <c r="Y45" s="81">
        <v>46026</v>
      </c>
      <c r="Z45" s="54">
        <v>194.5</v>
      </c>
      <c r="AA45" s="82">
        <f t="shared" si="1"/>
        <v>-2.1088127233378606E-2</v>
      </c>
      <c r="AF45" s="81">
        <v>46026</v>
      </c>
      <c r="AG45" s="54">
        <v>428.9</v>
      </c>
      <c r="AH45" s="82">
        <f t="shared" si="2"/>
        <v>-3.6504549028417377E-2</v>
      </c>
      <c r="AM45" s="81">
        <v>46026</v>
      </c>
      <c r="AN45" s="54">
        <v>346.6</v>
      </c>
      <c r="AO45" s="82">
        <f t="shared" si="3"/>
        <v>-5.6357201197930862E-2</v>
      </c>
      <c r="AT45" s="81">
        <v>46026</v>
      </c>
      <c r="AU45" s="54">
        <v>870.95</v>
      </c>
      <c r="AV45" s="82">
        <f t="shared" si="4"/>
        <v>-3.4958448753462545E-2</v>
      </c>
    </row>
    <row r="46" spans="2:48" x14ac:dyDescent="0.3">
      <c r="B46" s="81">
        <v>45928</v>
      </c>
      <c r="C46" s="54">
        <v>724.45</v>
      </c>
      <c r="D46" s="82">
        <f t="shared" si="0"/>
        <v>2.0639616793463045E-2</v>
      </c>
      <c r="F46" s="81">
        <v>45928</v>
      </c>
      <c r="G46" s="54">
        <v>24894.25</v>
      </c>
      <c r="H46" s="82">
        <f t="shared" si="5"/>
        <v>9.7162001565624934E-3</v>
      </c>
      <c r="I46" s="83"/>
      <c r="Y46" s="81">
        <v>46019</v>
      </c>
      <c r="Z46" s="54">
        <v>198.69</v>
      </c>
      <c r="AA46" s="82">
        <f t="shared" si="1"/>
        <v>1.007607436142921E-3</v>
      </c>
      <c r="AF46" s="81">
        <v>46019</v>
      </c>
      <c r="AG46" s="54">
        <v>445.15</v>
      </c>
      <c r="AH46" s="82">
        <f t="shared" si="2"/>
        <v>2.4039567517828431E-2</v>
      </c>
      <c r="AM46" s="81">
        <v>46019</v>
      </c>
      <c r="AN46" s="54">
        <v>367.3</v>
      </c>
      <c r="AO46" s="82">
        <f t="shared" si="3"/>
        <v>5.4481067828926477E-4</v>
      </c>
      <c r="AT46" s="81">
        <v>46019</v>
      </c>
      <c r="AU46" s="54">
        <v>902.5</v>
      </c>
      <c r="AV46" s="82">
        <f t="shared" si="4"/>
        <v>4.1486353932260078E-2</v>
      </c>
    </row>
    <row r="47" spans="2:48" x14ac:dyDescent="0.3">
      <c r="B47" s="81">
        <v>45921</v>
      </c>
      <c r="C47" s="54">
        <v>709.8</v>
      </c>
      <c r="D47" s="82">
        <f t="shared" si="0"/>
        <v>-8.4778544258913069E-2</v>
      </c>
      <c r="F47" s="81">
        <v>45921</v>
      </c>
      <c r="G47" s="54">
        <v>24654.7</v>
      </c>
      <c r="H47" s="82">
        <f t="shared" si="5"/>
        <v>-2.6546715863079107E-2</v>
      </c>
      <c r="I47" s="83"/>
      <c r="Y47" s="81">
        <v>46012</v>
      </c>
      <c r="Z47" s="54">
        <v>198.49</v>
      </c>
      <c r="AA47" s="82">
        <f t="shared" si="1"/>
        <v>2.4041686013517083E-2</v>
      </c>
      <c r="AF47" s="81">
        <v>46012</v>
      </c>
      <c r="AG47" s="54">
        <v>434.7</v>
      </c>
      <c r="AH47" s="82">
        <f t="shared" si="2"/>
        <v>5.5609519184069978E-2</v>
      </c>
      <c r="AM47" s="81">
        <v>46012</v>
      </c>
      <c r="AN47" s="54">
        <v>367.1</v>
      </c>
      <c r="AO47" s="82">
        <f t="shared" si="3"/>
        <v>6.8147744309654534E-4</v>
      </c>
      <c r="AT47" s="81">
        <v>46012</v>
      </c>
      <c r="AU47" s="54">
        <v>866.55</v>
      </c>
      <c r="AV47" s="82">
        <f t="shared" si="4"/>
        <v>-5.2232809091953269E-3</v>
      </c>
    </row>
    <row r="48" spans="2:48" x14ac:dyDescent="0.3">
      <c r="B48" s="81">
        <v>45914</v>
      </c>
      <c r="C48" s="54">
        <v>775.55</v>
      </c>
      <c r="D48" s="82">
        <f t="shared" si="0"/>
        <v>-2.7645621705029155E-3</v>
      </c>
      <c r="F48" s="81">
        <v>45914</v>
      </c>
      <c r="G48" s="54">
        <v>25327.05</v>
      </c>
      <c r="H48" s="82">
        <f t="shared" si="5"/>
        <v>8.4833160786812467E-3</v>
      </c>
      <c r="I48" s="83"/>
      <c r="Y48" s="81">
        <v>46005</v>
      </c>
      <c r="Z48" s="54">
        <v>193.83</v>
      </c>
      <c r="AA48" s="82">
        <f t="shared" si="1"/>
        <v>1.0328977947633433E-3</v>
      </c>
      <c r="AF48" s="81">
        <v>46005</v>
      </c>
      <c r="AG48" s="54">
        <v>411.8</v>
      </c>
      <c r="AH48" s="82">
        <f t="shared" si="2"/>
        <v>3.5584056330944414E-2</v>
      </c>
      <c r="AM48" s="81">
        <v>46005</v>
      </c>
      <c r="AN48" s="54">
        <v>366.85</v>
      </c>
      <c r="AO48" s="82">
        <f t="shared" si="3"/>
        <v>-2.9882321829961533E-2</v>
      </c>
      <c r="AT48" s="81">
        <v>46005</v>
      </c>
      <c r="AU48" s="54">
        <v>871.1</v>
      </c>
      <c r="AV48" s="82">
        <f t="shared" si="4"/>
        <v>-3.2326149744501209E-2</v>
      </c>
    </row>
    <row r="49" spans="2:48" x14ac:dyDescent="0.3">
      <c r="B49" s="81">
        <v>45907</v>
      </c>
      <c r="C49" s="54">
        <v>777.7</v>
      </c>
      <c r="D49" s="82">
        <f t="shared" si="0"/>
        <v>3.807679896741023E-3</v>
      </c>
      <c r="F49" s="81">
        <v>45907</v>
      </c>
      <c r="G49" s="54">
        <v>25114</v>
      </c>
      <c r="H49" s="82">
        <f t="shared" si="5"/>
        <v>1.5076189321369338E-2</v>
      </c>
      <c r="I49" s="83"/>
      <c r="Y49" s="81">
        <v>45998</v>
      </c>
      <c r="Z49" s="54">
        <v>193.63</v>
      </c>
      <c r="AA49" s="82">
        <f t="shared" si="1"/>
        <v>-5.9637705793793461E-2</v>
      </c>
      <c r="AF49" s="81">
        <v>45998</v>
      </c>
      <c r="AG49" s="54">
        <v>397.65</v>
      </c>
      <c r="AH49" s="82">
        <f t="shared" si="2"/>
        <v>-2.5141420490260025E-4</v>
      </c>
      <c r="AM49" s="81">
        <v>45998</v>
      </c>
      <c r="AN49" s="54">
        <v>378.15</v>
      </c>
      <c r="AO49" s="82">
        <f t="shared" si="3"/>
        <v>9.2073658927140922E-3</v>
      </c>
      <c r="AT49" s="81">
        <v>45998</v>
      </c>
      <c r="AU49" s="54">
        <v>900.2</v>
      </c>
      <c r="AV49" s="82">
        <f t="shared" si="4"/>
        <v>1.9477989871445889E-3</v>
      </c>
    </row>
    <row r="50" spans="2:48" x14ac:dyDescent="0.3">
      <c r="B50" s="81">
        <v>45900</v>
      </c>
      <c r="C50" s="54">
        <v>774.75</v>
      </c>
      <c r="D50" s="82">
        <f t="shared" si="0"/>
        <v>2.1491199156173701E-2</v>
      </c>
      <c r="F50" s="81">
        <v>45900</v>
      </c>
      <c r="G50" s="54">
        <v>24741</v>
      </c>
      <c r="H50" s="82">
        <f t="shared" si="5"/>
        <v>1.2860847796584585E-2</v>
      </c>
      <c r="I50" s="83"/>
      <c r="Y50" s="81">
        <v>45991</v>
      </c>
      <c r="Z50" s="54">
        <v>205.91</v>
      </c>
      <c r="AA50" s="82">
        <f t="shared" si="1"/>
        <v>-1.3368471490177281E-2</v>
      </c>
      <c r="AF50" s="81">
        <v>45991</v>
      </c>
      <c r="AG50" s="54">
        <v>397.75</v>
      </c>
      <c r="AH50" s="82">
        <f t="shared" si="2"/>
        <v>-3.4001214329083207E-2</v>
      </c>
      <c r="AM50" s="81">
        <v>45991</v>
      </c>
      <c r="AN50" s="54">
        <v>374.7</v>
      </c>
      <c r="AO50" s="82">
        <f t="shared" si="3"/>
        <v>2.0056157240273542E-3</v>
      </c>
      <c r="AT50" s="81">
        <v>45991</v>
      </c>
      <c r="AU50" s="54">
        <v>898.45</v>
      </c>
      <c r="AV50" s="82">
        <f t="shared" si="4"/>
        <v>1.3594314079422354E-2</v>
      </c>
    </row>
    <row r="51" spans="2:48" x14ac:dyDescent="0.3">
      <c r="B51" s="81">
        <v>45893</v>
      </c>
      <c r="C51" s="54">
        <v>758.45</v>
      </c>
      <c r="D51" s="82">
        <f t="shared" si="0"/>
        <v>-3.8537110984344314E-2</v>
      </c>
      <c r="F51" s="81">
        <v>45893</v>
      </c>
      <c r="G51" s="54">
        <v>24426.85</v>
      </c>
      <c r="H51" s="82">
        <f t="shared" si="5"/>
        <v>-1.7822606262138052E-2</v>
      </c>
      <c r="I51" s="83"/>
      <c r="Y51" s="81">
        <v>45984</v>
      </c>
      <c r="Z51" s="54">
        <v>208.7</v>
      </c>
      <c r="AA51" s="82">
        <f t="shared" si="1"/>
        <v>1.9169941531682611E-4</v>
      </c>
      <c r="AF51" s="81">
        <v>45984</v>
      </c>
      <c r="AG51" s="54">
        <v>411.75</v>
      </c>
      <c r="AH51" s="82">
        <f t="shared" si="2"/>
        <v>-1.258992805755399E-2</v>
      </c>
      <c r="AM51" s="81">
        <v>45984</v>
      </c>
      <c r="AN51" s="54">
        <v>373.95</v>
      </c>
      <c r="AO51" s="82">
        <f t="shared" si="3"/>
        <v>-1.468624833110832E-3</v>
      </c>
      <c r="AT51" s="81">
        <v>45984</v>
      </c>
      <c r="AU51" s="54">
        <v>886.4</v>
      </c>
      <c r="AV51" s="82">
        <f t="shared" si="4"/>
        <v>-1.1596788581623496E-2</v>
      </c>
    </row>
    <row r="52" spans="2:48" x14ac:dyDescent="0.3">
      <c r="B52" s="81">
        <v>45886</v>
      </c>
      <c r="C52" s="54">
        <v>788.85</v>
      </c>
      <c r="D52" s="82">
        <f t="shared" si="0"/>
        <v>1.8725382578937078E-2</v>
      </c>
      <c r="F52" s="81">
        <v>45886</v>
      </c>
      <c r="G52" s="54">
        <v>24870.1</v>
      </c>
      <c r="H52" s="82">
        <f t="shared" si="5"/>
        <v>9.6949815884666002E-3</v>
      </c>
      <c r="I52" s="83"/>
      <c r="Y52" s="81">
        <v>45977</v>
      </c>
      <c r="Z52" s="54">
        <v>208.66</v>
      </c>
      <c r="AA52" s="82">
        <f t="shared" si="1"/>
        <v>-2.485897313318719E-3</v>
      </c>
      <c r="AF52" s="81">
        <v>45977</v>
      </c>
      <c r="AG52" s="54">
        <v>417</v>
      </c>
      <c r="AH52" s="82">
        <f t="shared" si="2"/>
        <v>-2.6610644257702987E-2</v>
      </c>
      <c r="AM52" s="81">
        <v>45977</v>
      </c>
      <c r="AN52" s="54">
        <v>374.5</v>
      </c>
      <c r="AO52" s="82">
        <f t="shared" si="3"/>
        <v>-6.8947228851764519E-3</v>
      </c>
      <c r="AT52" s="81">
        <v>45977</v>
      </c>
      <c r="AU52" s="54">
        <v>896.8</v>
      </c>
      <c r="AV52" s="82">
        <f t="shared" si="4"/>
        <v>1.4422261184322105E-2</v>
      </c>
    </row>
    <row r="53" spans="2:48" x14ac:dyDescent="0.3">
      <c r="B53" s="81">
        <v>45879</v>
      </c>
      <c r="C53" s="54">
        <v>774.35</v>
      </c>
      <c r="D53" s="82">
        <f t="shared" si="0"/>
        <v>5.2463472646958831E-2</v>
      </c>
      <c r="F53" s="81">
        <v>45879</v>
      </c>
      <c r="G53" s="54">
        <v>24631.3</v>
      </c>
      <c r="H53" s="82">
        <f t="shared" si="5"/>
        <v>1.100015186776826E-2</v>
      </c>
      <c r="I53" s="83"/>
      <c r="Y53" s="81">
        <v>45970</v>
      </c>
      <c r="Z53" s="54">
        <v>209.18</v>
      </c>
      <c r="AA53" s="82">
        <f t="shared" si="1"/>
        <v>6.1084122937811181E-3</v>
      </c>
      <c r="AF53" s="81">
        <v>45970</v>
      </c>
      <c r="AG53" s="54">
        <v>428.4</v>
      </c>
      <c r="AH53" s="82">
        <f t="shared" si="2"/>
        <v>-1.8781493357764689E-2</v>
      </c>
      <c r="AM53" s="81">
        <v>45970</v>
      </c>
      <c r="AN53" s="54">
        <v>377.1</v>
      </c>
      <c r="AO53" s="82">
        <f t="shared" si="3"/>
        <v>-3.8623326959846938E-2</v>
      </c>
      <c r="AT53" s="81">
        <v>45970</v>
      </c>
      <c r="AU53" s="54">
        <v>884.05</v>
      </c>
      <c r="AV53" s="82">
        <f t="shared" si="4"/>
        <v>-3.4721843096576999E-2</v>
      </c>
    </row>
    <row r="54" spans="2:48" x14ac:dyDescent="0.3">
      <c r="B54" s="81">
        <v>45872</v>
      </c>
      <c r="C54" s="54">
        <v>735.75</v>
      </c>
      <c r="D54" s="82">
        <f t="shared" si="0"/>
        <v>-7.2859744990891873E-3</v>
      </c>
      <c r="F54" s="81">
        <v>45872</v>
      </c>
      <c r="G54" s="54">
        <v>24363.3</v>
      </c>
      <c r="H54" s="82">
        <f t="shared" si="5"/>
        <v>-8.2249998473459263E-3</v>
      </c>
      <c r="I54" s="83"/>
      <c r="Y54" s="81">
        <v>45963</v>
      </c>
      <c r="Z54" s="54">
        <v>207.91</v>
      </c>
      <c r="AA54" s="82">
        <f t="shared" si="1"/>
        <v>-4.135927701955E-2</v>
      </c>
      <c r="AF54" s="81">
        <v>45963</v>
      </c>
      <c r="AG54" s="54">
        <v>436.6</v>
      </c>
      <c r="AH54" s="82">
        <f t="shared" si="2"/>
        <v>6.6866497578972339E-3</v>
      </c>
      <c r="AM54" s="81">
        <v>45963</v>
      </c>
      <c r="AN54" s="54">
        <v>392.25</v>
      </c>
      <c r="AO54" s="82">
        <f t="shared" si="3"/>
        <v>6.2852744997434762E-3</v>
      </c>
      <c r="AT54" s="81">
        <v>45963</v>
      </c>
      <c r="AU54" s="54">
        <v>915.85</v>
      </c>
      <c r="AV54" s="82">
        <f t="shared" si="4"/>
        <v>-3.5693603579889377E-2</v>
      </c>
    </row>
    <row r="55" spans="2:48" x14ac:dyDescent="0.3">
      <c r="B55" s="81">
        <v>45865</v>
      </c>
      <c r="C55" s="54">
        <v>741.15</v>
      </c>
      <c r="D55" s="82">
        <f t="shared" si="0"/>
        <v>-6.7010654694096283E-3</v>
      </c>
      <c r="F55" s="81">
        <v>45865</v>
      </c>
      <c r="G55" s="54">
        <v>24565.35</v>
      </c>
      <c r="H55" s="82">
        <f t="shared" si="5"/>
        <v>-1.0937311269477057E-2</v>
      </c>
      <c r="I55" s="83"/>
      <c r="Y55" s="81">
        <v>45956</v>
      </c>
      <c r="Z55" s="54">
        <v>216.88</v>
      </c>
      <c r="AA55" s="82">
        <f t="shared" si="1"/>
        <v>-2.279895467243398E-2</v>
      </c>
      <c r="AF55" s="81">
        <v>45956</v>
      </c>
      <c r="AG55" s="54">
        <v>433.7</v>
      </c>
      <c r="AH55" s="82">
        <f t="shared" si="2"/>
        <v>1.1663167716351674E-2</v>
      </c>
      <c r="AM55" s="81">
        <v>45956</v>
      </c>
      <c r="AN55" s="54">
        <v>389.8</v>
      </c>
      <c r="AO55" s="82">
        <f t="shared" si="3"/>
        <v>1.0499027867790112E-2</v>
      </c>
      <c r="AT55" s="81">
        <v>45956</v>
      </c>
      <c r="AU55" s="54">
        <v>949.75</v>
      </c>
      <c r="AV55" s="82">
        <f t="shared" si="4"/>
        <v>9.030544488711767E-3</v>
      </c>
    </row>
    <row r="56" spans="2:48" x14ac:dyDescent="0.3">
      <c r="B56" s="81">
        <v>45858</v>
      </c>
      <c r="C56" s="54">
        <v>746.15</v>
      </c>
      <c r="D56" s="82">
        <f t="shared" si="0"/>
        <v>-2.6168102323153364E-2</v>
      </c>
      <c r="F56" s="81">
        <v>45858</v>
      </c>
      <c r="G56" s="54">
        <v>24837</v>
      </c>
      <c r="H56" s="82">
        <f t="shared" si="5"/>
        <v>-5.2626519921180615E-3</v>
      </c>
      <c r="I56" s="83"/>
      <c r="Y56" s="81">
        <v>45949</v>
      </c>
      <c r="Z56" s="54">
        <v>221.94</v>
      </c>
      <c r="AA56" s="82">
        <f t="shared" si="1"/>
        <v>2.2152627458204677E-2</v>
      </c>
      <c r="AF56" s="81">
        <v>45949</v>
      </c>
      <c r="AG56" s="54">
        <v>428.7</v>
      </c>
      <c r="AH56" s="82">
        <f t="shared" si="2"/>
        <v>-2.9321861202309507E-2</v>
      </c>
      <c r="AM56" s="81">
        <v>45949</v>
      </c>
      <c r="AN56" s="54">
        <v>385.75</v>
      </c>
      <c r="AO56" s="82">
        <f t="shared" si="3"/>
        <v>3.2509752925877766E-3</v>
      </c>
      <c r="AT56" s="81">
        <v>45949</v>
      </c>
      <c r="AU56" s="54">
        <v>941.25</v>
      </c>
      <c r="AV56" s="82">
        <f t="shared" si="4"/>
        <v>-3.5604508196721341E-2</v>
      </c>
    </row>
    <row r="57" spans="2:48" x14ac:dyDescent="0.3">
      <c r="B57" s="81">
        <v>45851</v>
      </c>
      <c r="C57" s="54">
        <v>766.2</v>
      </c>
      <c r="D57" s="82">
        <f t="shared" si="0"/>
        <v>4.2165397170837782E-2</v>
      </c>
      <c r="F57" s="81">
        <v>45851</v>
      </c>
      <c r="G57" s="54">
        <v>24968.400000000001</v>
      </c>
      <c r="H57" s="82">
        <f t="shared" si="5"/>
        <v>-7.214754759968578E-3</v>
      </c>
      <c r="I57" s="83"/>
      <c r="Y57" s="81">
        <v>45942</v>
      </c>
      <c r="Z57" s="54">
        <v>217.13</v>
      </c>
      <c r="AA57" s="82">
        <f t="shared" si="1"/>
        <v>8.5466115472154769E-3</v>
      </c>
      <c r="AF57" s="81">
        <v>45942</v>
      </c>
      <c r="AG57" s="54">
        <v>441.65</v>
      </c>
      <c r="AH57" s="82">
        <f t="shared" si="2"/>
        <v>-2.4732251297339136E-2</v>
      </c>
      <c r="AM57" s="81">
        <v>45942</v>
      </c>
      <c r="AN57" s="54">
        <v>384.5</v>
      </c>
      <c r="AO57" s="82">
        <f t="shared" si="3"/>
        <v>-2.981978477894387E-3</v>
      </c>
      <c r="AT57" s="81">
        <v>45942</v>
      </c>
      <c r="AU57" s="54">
        <v>976</v>
      </c>
      <c r="AV57" s="82">
        <f t="shared" si="4"/>
        <v>2.413431269674704E-2</v>
      </c>
    </row>
    <row r="58" spans="2:48" x14ac:dyDescent="0.3">
      <c r="B58" s="81">
        <v>45844</v>
      </c>
      <c r="C58" s="54">
        <v>735.2</v>
      </c>
      <c r="D58" s="82">
        <f t="shared" si="0"/>
        <v>-1.6520634071299445E-2</v>
      </c>
      <c r="F58" s="81">
        <v>45844</v>
      </c>
      <c r="G58" s="54">
        <v>25149.85</v>
      </c>
      <c r="H58" s="82">
        <f t="shared" si="5"/>
        <v>-1.2220651192019205E-2</v>
      </c>
      <c r="I58" s="83"/>
      <c r="Y58" s="81">
        <v>45935</v>
      </c>
      <c r="Z58" s="54">
        <v>215.29</v>
      </c>
      <c r="AA58" s="82">
        <f t="shared" si="1"/>
        <v>-1.4465552758068156E-2</v>
      </c>
      <c r="AF58" s="81">
        <v>45935</v>
      </c>
      <c r="AG58" s="54">
        <v>452.85</v>
      </c>
      <c r="AH58" s="82">
        <f t="shared" si="2"/>
        <v>4.9356969064998202E-2</v>
      </c>
      <c r="AM58" s="81">
        <v>45935</v>
      </c>
      <c r="AN58" s="54">
        <v>385.65</v>
      </c>
      <c r="AO58" s="82">
        <f t="shared" si="3"/>
        <v>-1.9326128417037514E-2</v>
      </c>
      <c r="AT58" s="81">
        <v>45935</v>
      </c>
      <c r="AU58" s="54">
        <v>953</v>
      </c>
      <c r="AV58" s="82">
        <f t="shared" si="4"/>
        <v>-1.9042717447246504E-2</v>
      </c>
    </row>
    <row r="59" spans="2:48" x14ac:dyDescent="0.3">
      <c r="B59" s="81">
        <v>45837</v>
      </c>
      <c r="C59" s="54">
        <v>747.55</v>
      </c>
      <c r="D59" s="82">
        <f t="shared" ref="D59:D122" si="6">C59/C60-1</f>
        <v>-2.5866562418556227E-2</v>
      </c>
      <c r="F59" s="81">
        <v>45837</v>
      </c>
      <c r="G59" s="54">
        <v>25461</v>
      </c>
      <c r="H59" s="82">
        <f t="shared" si="5"/>
        <v>-6.8960675252947023E-3</v>
      </c>
      <c r="I59" s="83"/>
      <c r="Y59" s="81">
        <v>45928</v>
      </c>
      <c r="Z59" s="54">
        <v>218.45</v>
      </c>
      <c r="AA59" s="82">
        <f t="shared" si="1"/>
        <v>-2.7901388394446447E-2</v>
      </c>
      <c r="AF59" s="81">
        <v>45928</v>
      </c>
      <c r="AG59" s="54">
        <v>431.55</v>
      </c>
      <c r="AH59" s="82">
        <f t="shared" si="2"/>
        <v>2.8847300035761192E-2</v>
      </c>
      <c r="AM59" s="81">
        <v>45928</v>
      </c>
      <c r="AN59" s="54">
        <v>393.25</v>
      </c>
      <c r="AO59" s="82">
        <f t="shared" si="3"/>
        <v>4.8247367719578937E-2</v>
      </c>
      <c r="AT59" s="81">
        <v>45928</v>
      </c>
      <c r="AU59" s="54">
        <v>971.5</v>
      </c>
      <c r="AV59" s="82">
        <f t="shared" si="4"/>
        <v>1.5788373065662942E-2</v>
      </c>
    </row>
    <row r="60" spans="2:48" x14ac:dyDescent="0.3">
      <c r="B60" s="81">
        <v>45830</v>
      </c>
      <c r="C60" s="54">
        <v>767.4</v>
      </c>
      <c r="D60" s="82">
        <f t="shared" si="6"/>
        <v>2.2856396525827716E-3</v>
      </c>
      <c r="F60" s="81">
        <v>45830</v>
      </c>
      <c r="G60" s="54">
        <v>25637.8</v>
      </c>
      <c r="H60" s="82">
        <f t="shared" ref="H60:H123" si="7">G60/G61-1</f>
        <v>2.092193498032846E-2</v>
      </c>
      <c r="I60" s="83"/>
      <c r="Y60" s="81">
        <v>45921</v>
      </c>
      <c r="Z60" s="54">
        <v>224.72</v>
      </c>
      <c r="AA60" s="82">
        <f t="shared" si="1"/>
        <v>-5.0772999915519201E-2</v>
      </c>
      <c r="AF60" s="81">
        <v>45921</v>
      </c>
      <c r="AG60" s="54">
        <v>419.45</v>
      </c>
      <c r="AH60" s="82">
        <f t="shared" si="2"/>
        <v>-7.1471113758192484E-4</v>
      </c>
      <c r="AM60" s="81">
        <v>45921</v>
      </c>
      <c r="AN60" s="54">
        <v>375.15</v>
      </c>
      <c r="AO60" s="82">
        <f t="shared" si="3"/>
        <v>-4.078240859115323E-2</v>
      </c>
      <c r="AT60" s="81">
        <v>45921</v>
      </c>
      <c r="AU60" s="54">
        <v>956.4</v>
      </c>
      <c r="AV60" s="82">
        <f t="shared" si="4"/>
        <v>-7.1366152053597531E-2</v>
      </c>
    </row>
    <row r="61" spans="2:48" x14ac:dyDescent="0.3">
      <c r="B61" s="81">
        <v>45823</v>
      </c>
      <c r="C61" s="54">
        <v>765.65</v>
      </c>
      <c r="D61" s="82">
        <f t="shared" si="6"/>
        <v>4.1488131673808049E-2</v>
      </c>
      <c r="F61" s="81">
        <v>45823</v>
      </c>
      <c r="G61" s="54">
        <v>25112.400000000001</v>
      </c>
      <c r="H61" s="82">
        <f t="shared" si="7"/>
        <v>1.5931322971365791E-2</v>
      </c>
      <c r="I61" s="83"/>
      <c r="Y61" s="81">
        <v>45914</v>
      </c>
      <c r="Z61" s="54">
        <v>236.74</v>
      </c>
      <c r="AA61" s="82">
        <f t="shared" si="1"/>
        <v>-4.3822448402601077E-2</v>
      </c>
      <c r="AF61" s="81">
        <v>45914</v>
      </c>
      <c r="AG61" s="54">
        <v>419.75</v>
      </c>
      <c r="AH61" s="82">
        <f t="shared" si="2"/>
        <v>3.5748331744511752E-4</v>
      </c>
      <c r="AM61" s="81">
        <v>45914</v>
      </c>
      <c r="AN61" s="54">
        <v>391.1</v>
      </c>
      <c r="AO61" s="82">
        <f t="shared" si="3"/>
        <v>-1.5233538965126359E-2</v>
      </c>
      <c r="AT61" s="81">
        <v>45914</v>
      </c>
      <c r="AU61" s="54">
        <v>1029.9000000000001</v>
      </c>
      <c r="AV61" s="82">
        <f t="shared" si="4"/>
        <v>7.9271873165003282E-3</v>
      </c>
    </row>
    <row r="62" spans="2:48" x14ac:dyDescent="0.3">
      <c r="B62" s="81">
        <v>45816</v>
      </c>
      <c r="C62" s="54">
        <v>735.15</v>
      </c>
      <c r="D62" s="82">
        <f t="shared" si="6"/>
        <v>-5.3678316277273708E-2</v>
      </c>
      <c r="F62" s="81">
        <v>45816</v>
      </c>
      <c r="G62" s="54">
        <v>24718.6</v>
      </c>
      <c r="H62" s="82">
        <f t="shared" si="7"/>
        <v>-1.1376612053329516E-2</v>
      </c>
      <c r="I62" s="83"/>
      <c r="Y62" s="81">
        <v>45907</v>
      </c>
      <c r="Z62" s="54">
        <v>247.59</v>
      </c>
      <c r="AA62" s="82">
        <f t="shared" si="1"/>
        <v>1.5587185692604422E-2</v>
      </c>
      <c r="AF62" s="81">
        <v>45907</v>
      </c>
      <c r="AG62" s="54">
        <v>419.6</v>
      </c>
      <c r="AH62" s="82">
        <f t="shared" si="2"/>
        <v>2.142161635832518E-2</v>
      </c>
      <c r="AM62" s="81">
        <v>45907</v>
      </c>
      <c r="AN62" s="54">
        <v>397.15</v>
      </c>
      <c r="AO62" s="82">
        <f t="shared" si="3"/>
        <v>-3.4050833029308003E-2</v>
      </c>
      <c r="AT62" s="81">
        <v>45907</v>
      </c>
      <c r="AU62" s="54">
        <v>1021.8</v>
      </c>
      <c r="AV62" s="82">
        <f t="shared" si="4"/>
        <v>8.8157508081110336E-4</v>
      </c>
    </row>
    <row r="63" spans="2:48" x14ac:dyDescent="0.3">
      <c r="B63" s="81">
        <v>45809</v>
      </c>
      <c r="C63" s="54">
        <v>776.85</v>
      </c>
      <c r="D63" s="82">
        <f t="shared" si="6"/>
        <v>9.0926803922841692E-3</v>
      </c>
      <c r="F63" s="81">
        <v>45809</v>
      </c>
      <c r="G63" s="54">
        <v>25003.05</v>
      </c>
      <c r="H63" s="82">
        <f t="shared" si="7"/>
        <v>1.0195671233540704E-2</v>
      </c>
      <c r="I63" s="83"/>
      <c r="Y63" s="81">
        <v>45900</v>
      </c>
      <c r="Z63" s="54">
        <v>243.79</v>
      </c>
      <c r="AA63" s="82">
        <f t="shared" si="1"/>
        <v>2.2523278248469003E-2</v>
      </c>
      <c r="AF63" s="81">
        <v>45900</v>
      </c>
      <c r="AG63" s="54">
        <v>410.8</v>
      </c>
      <c r="AH63" s="82">
        <f t="shared" si="2"/>
        <v>2.8414069345349846E-2</v>
      </c>
      <c r="AM63" s="81">
        <v>45900</v>
      </c>
      <c r="AN63" s="54">
        <v>411.15</v>
      </c>
      <c r="AO63" s="82">
        <f t="shared" si="3"/>
        <v>3.0451127819548729E-2</v>
      </c>
      <c r="AT63" s="81">
        <v>45900</v>
      </c>
      <c r="AU63" s="54">
        <v>1020.9</v>
      </c>
      <c r="AV63" s="82">
        <f t="shared" si="4"/>
        <v>1.0491933089181504E-2</v>
      </c>
    </row>
    <row r="64" spans="2:48" x14ac:dyDescent="0.3">
      <c r="B64" s="81">
        <v>45802</v>
      </c>
      <c r="C64" s="54">
        <v>769.85</v>
      </c>
      <c r="D64" s="82">
        <f t="shared" si="6"/>
        <v>-7.7876565643453244E-4</v>
      </c>
      <c r="F64" s="81">
        <v>45802</v>
      </c>
      <c r="G64" s="54">
        <v>24750.7</v>
      </c>
      <c r="H64" s="82">
        <f t="shared" si="7"/>
        <v>-4.1222138843567402E-3</v>
      </c>
      <c r="I64" s="83"/>
      <c r="Y64" s="81">
        <v>45893</v>
      </c>
      <c r="Z64" s="54">
        <v>238.42</v>
      </c>
      <c r="AA64" s="82">
        <f t="shared" si="1"/>
        <v>-2.6062091503268103E-2</v>
      </c>
      <c r="AF64" s="81">
        <v>45893</v>
      </c>
      <c r="AG64" s="54">
        <v>399.45</v>
      </c>
      <c r="AH64" s="82">
        <f t="shared" si="2"/>
        <v>-5.0398193272316649E-2</v>
      </c>
      <c r="AM64" s="81">
        <v>45893</v>
      </c>
      <c r="AN64" s="54">
        <v>399</v>
      </c>
      <c r="AO64" s="82">
        <f t="shared" si="3"/>
        <v>-1.7725258493353047E-2</v>
      </c>
      <c r="AT64" s="81">
        <v>45893</v>
      </c>
      <c r="AU64" s="54">
        <v>1010.3</v>
      </c>
      <c r="AV64" s="82">
        <f t="shared" si="4"/>
        <v>-8.9754279268233761E-3</v>
      </c>
    </row>
    <row r="65" spans="2:48" x14ac:dyDescent="0.3">
      <c r="B65" s="81">
        <v>45795</v>
      </c>
      <c r="C65" s="54">
        <v>770.45</v>
      </c>
      <c r="D65" s="82">
        <f t="shared" si="6"/>
        <v>5.3500358843869833E-3</v>
      </c>
      <c r="F65" s="81">
        <v>45795</v>
      </c>
      <c r="G65" s="54">
        <v>24853.15</v>
      </c>
      <c r="H65" s="82">
        <f t="shared" si="7"/>
        <v>-6.660724706032739E-3</v>
      </c>
      <c r="I65" s="83"/>
      <c r="Y65" s="81">
        <v>45886</v>
      </c>
      <c r="Z65" s="54">
        <v>244.8</v>
      </c>
      <c r="AA65" s="82">
        <f t="shared" si="1"/>
        <v>6.9883309295922347E-2</v>
      </c>
      <c r="AF65" s="81">
        <v>45886</v>
      </c>
      <c r="AG65" s="54">
        <v>420.65</v>
      </c>
      <c r="AH65" s="82">
        <f t="shared" si="2"/>
        <v>-4.2235883424408094E-2</v>
      </c>
      <c r="AM65" s="81">
        <v>45886</v>
      </c>
      <c r="AN65" s="54">
        <v>406.2</v>
      </c>
      <c r="AO65" s="82">
        <f t="shared" si="3"/>
        <v>3.5960214231063325E-2</v>
      </c>
      <c r="AT65" s="81">
        <v>45886</v>
      </c>
      <c r="AU65" s="54">
        <v>1019.45</v>
      </c>
      <c r="AV65" s="82">
        <f t="shared" si="4"/>
        <v>9.265809217577714E-2</v>
      </c>
    </row>
    <row r="66" spans="2:48" x14ac:dyDescent="0.3">
      <c r="B66" s="81">
        <v>45788</v>
      </c>
      <c r="C66" s="54">
        <v>766.35</v>
      </c>
      <c r="D66" s="82">
        <f t="shared" si="6"/>
        <v>6.6226086956521879E-2</v>
      </c>
      <c r="F66" s="81">
        <v>45788</v>
      </c>
      <c r="G66" s="54">
        <v>25019.8</v>
      </c>
      <c r="H66" s="82">
        <f t="shared" si="7"/>
        <v>4.2144285238253865E-2</v>
      </c>
      <c r="I66" s="83"/>
      <c r="Y66" s="81">
        <v>45879</v>
      </c>
      <c r="Z66" s="54">
        <v>228.81</v>
      </c>
      <c r="AA66" s="82">
        <f t="shared" si="1"/>
        <v>-1.9665809768637521E-2</v>
      </c>
      <c r="AF66" s="81">
        <v>45879</v>
      </c>
      <c r="AG66" s="54">
        <v>439.2</v>
      </c>
      <c r="AH66" s="82">
        <f t="shared" si="2"/>
        <v>1.0468192798803733E-2</v>
      </c>
      <c r="AM66" s="81">
        <v>45879</v>
      </c>
      <c r="AN66" s="54">
        <v>392.1</v>
      </c>
      <c r="AO66" s="82">
        <f t="shared" si="3"/>
        <v>0.10233342704526294</v>
      </c>
      <c r="AT66" s="81">
        <v>45879</v>
      </c>
      <c r="AU66" s="54">
        <v>933</v>
      </c>
      <c r="AV66" s="82">
        <f t="shared" si="4"/>
        <v>7.4575295133890052E-2</v>
      </c>
    </row>
    <row r="67" spans="2:48" x14ac:dyDescent="0.3">
      <c r="B67" s="81">
        <v>45781</v>
      </c>
      <c r="C67" s="54">
        <v>718.75</v>
      </c>
      <c r="D67" s="82">
        <f t="shared" si="6"/>
        <v>-0.10212367270455969</v>
      </c>
      <c r="F67" s="81">
        <v>45781</v>
      </c>
      <c r="G67" s="54">
        <v>24008</v>
      </c>
      <c r="H67" s="82">
        <f t="shared" si="7"/>
        <v>-1.391153626569519E-2</v>
      </c>
      <c r="I67" s="83"/>
      <c r="Y67" s="81">
        <v>45872</v>
      </c>
      <c r="Z67" s="54">
        <v>233.4</v>
      </c>
      <c r="AA67" s="82">
        <f t="shared" si="1"/>
        <v>4.0941932031040906E-2</v>
      </c>
      <c r="AF67" s="81">
        <v>45872</v>
      </c>
      <c r="AG67" s="54">
        <v>434.65</v>
      </c>
      <c r="AH67" s="82">
        <f t="shared" si="2"/>
        <v>5.1275849558592324E-2</v>
      </c>
      <c r="AM67" s="81">
        <v>45872</v>
      </c>
      <c r="AN67" s="54">
        <v>355.7</v>
      </c>
      <c r="AO67" s="82">
        <f t="shared" si="3"/>
        <v>-5.4869137770692245E-2</v>
      </c>
      <c r="AT67" s="81">
        <v>45872</v>
      </c>
      <c r="AU67" s="54">
        <v>868.25</v>
      </c>
      <c r="AV67" s="82">
        <f t="shared" si="4"/>
        <v>-2.4821699331723512E-2</v>
      </c>
    </row>
    <row r="68" spans="2:48" x14ac:dyDescent="0.3">
      <c r="B68" s="81">
        <v>45774</v>
      </c>
      <c r="C68" s="54">
        <v>800.5</v>
      </c>
      <c r="D68" s="82">
        <f t="shared" si="6"/>
        <v>1.7994531697081317E-2</v>
      </c>
      <c r="F68" s="81">
        <v>45774</v>
      </c>
      <c r="G68" s="54">
        <v>24346.7</v>
      </c>
      <c r="H68" s="82">
        <f t="shared" si="7"/>
        <v>1.2785287455775673E-2</v>
      </c>
      <c r="I68" s="83"/>
      <c r="Y68" s="81">
        <v>45865</v>
      </c>
      <c r="Z68" s="54">
        <v>224.22</v>
      </c>
      <c r="AA68" s="82">
        <f t="shared" si="1"/>
        <v>-6.838956290510223E-2</v>
      </c>
      <c r="AF68" s="81">
        <v>45865</v>
      </c>
      <c r="AG68" s="54">
        <v>413.45</v>
      </c>
      <c r="AH68" s="82">
        <f t="shared" si="2"/>
        <v>-7.1003258060892138E-2</v>
      </c>
      <c r="AM68" s="81">
        <v>45865</v>
      </c>
      <c r="AN68" s="54">
        <v>376.35</v>
      </c>
      <c r="AO68" s="82">
        <f t="shared" si="3"/>
        <v>3.065031982942612E-3</v>
      </c>
      <c r="AT68" s="81">
        <v>45865</v>
      </c>
      <c r="AU68" s="54">
        <v>890.35</v>
      </c>
      <c r="AV68" s="82">
        <f t="shared" si="4"/>
        <v>-3.1649355593017625E-2</v>
      </c>
    </row>
    <row r="69" spans="2:48" x14ac:dyDescent="0.3">
      <c r="B69" s="81">
        <v>45767</v>
      </c>
      <c r="C69" s="54">
        <v>786.35</v>
      </c>
      <c r="D69" s="82">
        <f t="shared" si="6"/>
        <v>-6.5204469805040466E-2</v>
      </c>
      <c r="F69" s="81">
        <v>45767</v>
      </c>
      <c r="G69" s="54">
        <v>24039.35</v>
      </c>
      <c r="H69" s="82">
        <f t="shared" si="7"/>
        <v>7.86947653516612E-3</v>
      </c>
      <c r="I69" s="83"/>
      <c r="Y69" s="81">
        <v>45858</v>
      </c>
      <c r="Z69" s="54">
        <v>240.68</v>
      </c>
      <c r="AA69" s="82">
        <f t="shared" si="1"/>
        <v>-5.5230618253189423E-2</v>
      </c>
      <c r="AF69" s="81">
        <v>45858</v>
      </c>
      <c r="AG69" s="54">
        <v>445.05</v>
      </c>
      <c r="AH69" s="82">
        <f t="shared" si="2"/>
        <v>-3.4598698481561829E-2</v>
      </c>
      <c r="AM69" s="81">
        <v>45858</v>
      </c>
      <c r="AN69" s="54">
        <v>375.2</v>
      </c>
      <c r="AO69" s="82">
        <f t="shared" si="3"/>
        <v>-1.3929040735873865E-2</v>
      </c>
      <c r="AT69" s="81">
        <v>45858</v>
      </c>
      <c r="AU69" s="54">
        <v>919.45</v>
      </c>
      <c r="AV69" s="82">
        <f t="shared" si="4"/>
        <v>-1.1981517300666211E-2</v>
      </c>
    </row>
    <row r="70" spans="2:48" x14ac:dyDescent="0.3">
      <c r="B70" s="81">
        <v>45760</v>
      </c>
      <c r="C70" s="54">
        <v>841.2</v>
      </c>
      <c r="D70" s="82">
        <f t="shared" si="6"/>
        <v>6.6700481866599048E-2</v>
      </c>
      <c r="F70" s="81">
        <v>45760</v>
      </c>
      <c r="G70" s="54">
        <v>23851.65</v>
      </c>
      <c r="H70" s="82">
        <f t="shared" si="7"/>
        <v>4.4816687875489425E-2</v>
      </c>
      <c r="I70" s="83"/>
      <c r="Y70" s="81">
        <v>45851</v>
      </c>
      <c r="Z70" s="54">
        <v>254.75</v>
      </c>
      <c r="AA70" s="82">
        <f t="shared" si="1"/>
        <v>9.6311916340319215E-2</v>
      </c>
      <c r="AF70" s="81">
        <v>45851</v>
      </c>
      <c r="AG70" s="54">
        <v>461</v>
      </c>
      <c r="AH70" s="82">
        <f t="shared" si="2"/>
        <v>6.0135678969759576E-2</v>
      </c>
      <c r="AM70" s="81">
        <v>45851</v>
      </c>
      <c r="AN70" s="54">
        <v>380.5</v>
      </c>
      <c r="AO70" s="82">
        <f t="shared" si="3"/>
        <v>8.0805404689363591E-3</v>
      </c>
      <c r="AT70" s="81">
        <v>45851</v>
      </c>
      <c r="AU70" s="54">
        <v>930.6</v>
      </c>
      <c r="AV70" s="82">
        <f t="shared" si="4"/>
        <v>8.4488987297517859E-2</v>
      </c>
    </row>
    <row r="71" spans="2:48" x14ac:dyDescent="0.3">
      <c r="B71" s="81">
        <v>45753</v>
      </c>
      <c r="C71" s="54">
        <v>788.6</v>
      </c>
      <c r="D71" s="82">
        <f t="shared" si="6"/>
        <v>-1.3448426846813022E-2</v>
      </c>
      <c r="F71" s="81">
        <v>45753</v>
      </c>
      <c r="G71" s="54">
        <v>22828.55</v>
      </c>
      <c r="H71" s="82">
        <f t="shared" si="7"/>
        <v>-3.3137665388167648E-3</v>
      </c>
      <c r="I71" s="83"/>
      <c r="Y71" s="81">
        <v>45844</v>
      </c>
      <c r="Z71" s="54">
        <v>232.37</v>
      </c>
      <c r="AA71" s="82">
        <f t="shared" si="1"/>
        <v>5.3163524292966002E-2</v>
      </c>
      <c r="AF71" s="81">
        <v>45844</v>
      </c>
      <c r="AG71" s="54">
        <v>434.85</v>
      </c>
      <c r="AH71" s="82">
        <f t="shared" si="2"/>
        <v>8.2793824701195229E-2</v>
      </c>
      <c r="AM71" s="81">
        <v>45844</v>
      </c>
      <c r="AN71" s="54">
        <v>377.45</v>
      </c>
      <c r="AO71" s="82">
        <f t="shared" si="3"/>
        <v>3.0017737754127527E-2</v>
      </c>
      <c r="AT71" s="81">
        <v>45844</v>
      </c>
      <c r="AU71" s="54">
        <v>858.1</v>
      </c>
      <c r="AV71" s="82">
        <f t="shared" si="4"/>
        <v>-3.2963317743843978E-2</v>
      </c>
    </row>
    <row r="72" spans="2:48" x14ac:dyDescent="0.3">
      <c r="B72" s="81">
        <v>45746</v>
      </c>
      <c r="C72" s="54">
        <v>799.35</v>
      </c>
      <c r="D72" s="82">
        <f t="shared" si="6"/>
        <v>1.4983175671386073E-2</v>
      </c>
      <c r="F72" s="81">
        <v>45746</v>
      </c>
      <c r="G72" s="54">
        <v>22904.45</v>
      </c>
      <c r="H72" s="82">
        <f t="shared" si="7"/>
        <v>-2.6144430011883713E-2</v>
      </c>
      <c r="I72" s="83"/>
      <c r="Y72" s="81">
        <v>45837</v>
      </c>
      <c r="Z72" s="54">
        <v>220.64</v>
      </c>
      <c r="AA72" s="82">
        <f t="shared" ref="AA72:AA92" si="8">Z72/Z73-1</f>
        <v>-2.3630409770776239E-2</v>
      </c>
      <c r="AF72" s="81">
        <v>45837</v>
      </c>
      <c r="AG72" s="54">
        <v>401.6</v>
      </c>
      <c r="AH72" s="82">
        <f t="shared" ref="AH72:AH76" si="9">AG72/AG73-1</f>
        <v>-2.084603193953416E-2</v>
      </c>
      <c r="AM72" s="81">
        <v>45837</v>
      </c>
      <c r="AN72" s="54">
        <v>366.45</v>
      </c>
      <c r="AO72" s="82">
        <f t="shared" ref="AO72:AO135" si="10">AN72/AN73-1</f>
        <v>2.2603599832565768E-2</v>
      </c>
      <c r="AT72" s="81">
        <v>45837</v>
      </c>
      <c r="AU72" s="54">
        <v>887.35</v>
      </c>
      <c r="AV72" s="82">
        <f t="shared" ref="AV72:AV135" si="11">AU72/AU73-1</f>
        <v>-3.1594455964203738E-2</v>
      </c>
    </row>
    <row r="73" spans="2:48" x14ac:dyDescent="0.3">
      <c r="B73" s="81">
        <v>45739</v>
      </c>
      <c r="C73" s="54">
        <v>787.55</v>
      </c>
      <c r="D73" s="82">
        <f t="shared" si="6"/>
        <v>-4.5046683642536833E-2</v>
      </c>
      <c r="F73" s="81">
        <v>45739</v>
      </c>
      <c r="G73" s="54">
        <v>23519.35</v>
      </c>
      <c r="H73" s="82">
        <f t="shared" si="7"/>
        <v>7.2354220912702605E-3</v>
      </c>
      <c r="I73" s="83"/>
      <c r="Y73" s="81">
        <v>45830</v>
      </c>
      <c r="Z73" s="54">
        <v>225.98</v>
      </c>
      <c r="AA73" s="82">
        <f t="shared" si="8"/>
        <v>6.4086264538305793E-2</v>
      </c>
      <c r="AF73" s="81">
        <v>45830</v>
      </c>
      <c r="AG73" s="54">
        <v>410.15</v>
      </c>
      <c r="AH73" s="82">
        <f t="shared" si="9"/>
        <v>4.2312579415501927E-2</v>
      </c>
      <c r="AM73" s="81">
        <v>45830</v>
      </c>
      <c r="AN73" s="54">
        <v>358.35</v>
      </c>
      <c r="AO73" s="82">
        <f t="shared" si="10"/>
        <v>4.0052242054854137E-2</v>
      </c>
      <c r="AT73" s="81">
        <v>45830</v>
      </c>
      <c r="AU73" s="54">
        <v>916.3</v>
      </c>
      <c r="AV73" s="82">
        <f t="shared" si="11"/>
        <v>2.0890201103002548E-2</v>
      </c>
    </row>
    <row r="74" spans="2:48" x14ac:dyDescent="0.3">
      <c r="B74" s="81">
        <v>45732</v>
      </c>
      <c r="C74" s="54">
        <v>824.7</v>
      </c>
      <c r="D74" s="82">
        <f t="shared" si="6"/>
        <v>9.8940635618628869E-2</v>
      </c>
      <c r="F74" s="81">
        <v>45732</v>
      </c>
      <c r="G74" s="54">
        <v>23350.400000000001</v>
      </c>
      <c r="H74" s="82">
        <f t="shared" si="7"/>
        <v>4.2558891289982803E-2</v>
      </c>
      <c r="I74" s="83"/>
      <c r="Y74" s="81">
        <v>45823</v>
      </c>
      <c r="Z74" s="54">
        <v>212.37</v>
      </c>
      <c r="AA74" s="82">
        <f t="shared" si="8"/>
        <v>-6.2236780533457825E-3</v>
      </c>
      <c r="AF74" s="81">
        <v>45823</v>
      </c>
      <c r="AG74" s="54">
        <v>393.5</v>
      </c>
      <c r="AH74" s="82">
        <f t="shared" si="9"/>
        <v>-2.1995774822915481E-2</v>
      </c>
      <c r="AM74" s="81">
        <v>45823</v>
      </c>
      <c r="AN74" s="54">
        <v>344.55</v>
      </c>
      <c r="AO74" s="82">
        <f t="shared" si="10"/>
        <v>-4.0117007939824423E-2</v>
      </c>
      <c r="AT74" s="81">
        <v>45823</v>
      </c>
      <c r="AU74" s="54">
        <v>897.55</v>
      </c>
      <c r="AV74" s="82">
        <f t="shared" si="11"/>
        <v>2.3257139599840437E-2</v>
      </c>
    </row>
    <row r="75" spans="2:48" x14ac:dyDescent="0.3">
      <c r="B75" s="81">
        <v>45725</v>
      </c>
      <c r="C75" s="54">
        <v>750.45</v>
      </c>
      <c r="D75" s="82">
        <f t="shared" si="6"/>
        <v>8.2627972591697851E-3</v>
      </c>
      <c r="F75" s="81">
        <v>45725</v>
      </c>
      <c r="G75" s="54">
        <v>22397.200000000001</v>
      </c>
      <c r="H75" s="82">
        <f t="shared" si="7"/>
        <v>-6.8861545283227521E-3</v>
      </c>
      <c r="I75" s="83"/>
      <c r="Y75" s="81">
        <v>45816</v>
      </c>
      <c r="Z75" s="54">
        <v>213.7</v>
      </c>
      <c r="AA75" s="82">
        <f t="shared" si="8"/>
        <v>-2.0847651775486864E-2</v>
      </c>
      <c r="AF75" s="81">
        <v>45816</v>
      </c>
      <c r="AG75" s="54">
        <v>402.35</v>
      </c>
      <c r="AH75" s="82">
        <f t="shared" si="9"/>
        <v>-6.9603422360966505E-2</v>
      </c>
      <c r="AM75" s="81">
        <v>45816</v>
      </c>
      <c r="AN75" s="54">
        <v>358.95</v>
      </c>
      <c r="AO75" s="82">
        <f t="shared" si="10"/>
        <v>-4.1777896422851124E-2</v>
      </c>
      <c r="AT75" s="81">
        <v>45816</v>
      </c>
      <c r="AU75" s="54">
        <v>877.15</v>
      </c>
      <c r="AV75" s="82">
        <f t="shared" si="11"/>
        <v>-4.7456154639735071E-2</v>
      </c>
    </row>
    <row r="76" spans="2:48" x14ac:dyDescent="0.3">
      <c r="B76" s="81">
        <v>45718</v>
      </c>
      <c r="C76" s="54">
        <v>744.3</v>
      </c>
      <c r="D76" s="82">
        <f t="shared" si="6"/>
        <v>3.9379974863845701E-2</v>
      </c>
      <c r="F76" s="81">
        <v>45718</v>
      </c>
      <c r="G76" s="54">
        <v>22552.5</v>
      </c>
      <c r="H76" s="82">
        <f t="shared" si="7"/>
        <v>1.9335855401429125E-2</v>
      </c>
      <c r="I76" s="83"/>
      <c r="Y76" s="81">
        <v>45809</v>
      </c>
      <c r="Z76" s="54">
        <v>218.25</v>
      </c>
      <c r="AA76" s="82">
        <f t="shared" si="8"/>
        <v>8.222848431653329E-3</v>
      </c>
      <c r="AF76" s="81">
        <v>45809</v>
      </c>
      <c r="AG76" s="54">
        <v>432.45</v>
      </c>
      <c r="AH76" s="82" t="e">
        <f t="shared" si="9"/>
        <v>#DIV/0!</v>
      </c>
      <c r="AM76" s="81">
        <v>45809</v>
      </c>
      <c r="AN76" s="54">
        <v>374.6</v>
      </c>
      <c r="AO76" s="82">
        <f t="shared" si="10"/>
        <v>1.35281385281385E-2</v>
      </c>
      <c r="AT76" s="81">
        <v>45809</v>
      </c>
      <c r="AU76" s="54">
        <v>920.85</v>
      </c>
      <c r="AV76" s="82">
        <f t="shared" si="11"/>
        <v>3.4324942791761348E-3</v>
      </c>
    </row>
    <row r="77" spans="2:48" x14ac:dyDescent="0.3">
      <c r="B77" s="81">
        <v>45711</v>
      </c>
      <c r="C77" s="54">
        <v>716.1</v>
      </c>
      <c r="D77" s="82">
        <f t="shared" si="6"/>
        <v>-5.4715860339251465E-2</v>
      </c>
      <c r="F77" s="81">
        <v>45711</v>
      </c>
      <c r="G77" s="54">
        <v>22124.7</v>
      </c>
      <c r="H77" s="82">
        <f t="shared" si="7"/>
        <v>-2.9443891226053842E-2</v>
      </c>
      <c r="I77" s="83"/>
      <c r="Y77" s="81">
        <v>45802</v>
      </c>
      <c r="Z77" s="54">
        <v>216.47</v>
      </c>
      <c r="AA77" s="82">
        <f t="shared" si="8"/>
        <v>6.6499255952381375E-3</v>
      </c>
      <c r="AM77" s="81">
        <v>45802</v>
      </c>
      <c r="AN77" s="54">
        <v>369.6</v>
      </c>
      <c r="AO77" s="82">
        <f t="shared" si="10"/>
        <v>-1.0839020473705219E-2</v>
      </c>
      <c r="AT77" s="81">
        <v>45802</v>
      </c>
      <c r="AU77" s="54">
        <v>917.7</v>
      </c>
      <c r="AV77" s="82">
        <f t="shared" si="11"/>
        <v>3.3096926713948038E-2</v>
      </c>
    </row>
    <row r="78" spans="2:48" x14ac:dyDescent="0.3">
      <c r="B78" s="81">
        <v>45704</v>
      </c>
      <c r="C78" s="54">
        <v>757.55</v>
      </c>
      <c r="D78" s="82">
        <f t="shared" si="6"/>
        <v>6.6671360180230899E-2</v>
      </c>
      <c r="F78" s="81">
        <v>45704</v>
      </c>
      <c r="G78" s="54">
        <v>22795.9</v>
      </c>
      <c r="H78" s="82">
        <f t="shared" si="7"/>
        <v>-5.8157157342695331E-3</v>
      </c>
      <c r="I78" s="83"/>
      <c r="Y78" s="81">
        <v>45795</v>
      </c>
      <c r="Z78" s="54">
        <v>215.04</v>
      </c>
      <c r="AA78" s="82">
        <f t="shared" si="8"/>
        <v>6.0511910045864648E-2</v>
      </c>
      <c r="AM78" s="81">
        <v>45795</v>
      </c>
      <c r="AN78" s="54">
        <v>373.65</v>
      </c>
      <c r="AO78" s="82">
        <f t="shared" si="10"/>
        <v>-4.1311300639659265E-3</v>
      </c>
      <c r="AT78" s="81">
        <v>45795</v>
      </c>
      <c r="AU78" s="54">
        <v>888.3</v>
      </c>
      <c r="AV78" s="82">
        <f t="shared" si="11"/>
        <v>-1.6170118507032871E-2</v>
      </c>
    </row>
    <row r="79" spans="2:48" x14ac:dyDescent="0.3">
      <c r="B79" s="81">
        <v>45697</v>
      </c>
      <c r="C79" s="54">
        <v>710.2</v>
      </c>
      <c r="D79" s="82">
        <f t="shared" si="6"/>
        <v>-0.10305632735539272</v>
      </c>
      <c r="F79" s="81">
        <v>45697</v>
      </c>
      <c r="G79" s="54">
        <v>22929.25</v>
      </c>
      <c r="H79" s="82">
        <f t="shared" si="7"/>
        <v>-2.6770005878620329E-2</v>
      </c>
      <c r="I79" s="83"/>
      <c r="Y79" s="81">
        <v>45788</v>
      </c>
      <c r="Z79" s="54">
        <v>202.77</v>
      </c>
      <c r="AA79" s="82">
        <f t="shared" si="8"/>
        <v>0.10833561082262921</v>
      </c>
      <c r="AM79" s="81">
        <v>45788</v>
      </c>
      <c r="AN79" s="54">
        <v>375.2</v>
      </c>
      <c r="AO79" s="82">
        <f t="shared" si="10"/>
        <v>7.8160919540229745E-2</v>
      </c>
      <c r="AT79" s="81">
        <v>45788</v>
      </c>
      <c r="AU79" s="54">
        <v>902.9</v>
      </c>
      <c r="AV79" s="82">
        <f t="shared" si="11"/>
        <v>0.13088677354709422</v>
      </c>
    </row>
    <row r="80" spans="2:48" x14ac:dyDescent="0.3">
      <c r="B80" s="81">
        <v>45690</v>
      </c>
      <c r="C80" s="54">
        <v>791.8</v>
      </c>
      <c r="D80" s="82">
        <f t="shared" si="6"/>
        <v>3.5438734144108697E-2</v>
      </c>
      <c r="F80" s="81">
        <v>45690</v>
      </c>
      <c r="G80" s="54">
        <v>23559.95</v>
      </c>
      <c r="H80" s="82">
        <f t="shared" si="7"/>
        <v>2.1928332000475947E-3</v>
      </c>
      <c r="I80" s="83"/>
      <c r="Y80" s="81">
        <v>45781</v>
      </c>
      <c r="Z80" s="54">
        <v>182.95</v>
      </c>
      <c r="AA80" s="82">
        <f t="shared" si="8"/>
        <v>-5.3200848729493377E-2</v>
      </c>
      <c r="AM80" s="81">
        <v>45781</v>
      </c>
      <c r="AN80" s="54">
        <v>348</v>
      </c>
      <c r="AO80" s="82">
        <f t="shared" si="10"/>
        <v>-4.5267489711934172E-2</v>
      </c>
      <c r="AT80" s="81">
        <v>45781</v>
      </c>
      <c r="AU80" s="54">
        <v>798.4</v>
      </c>
      <c r="AV80" s="82">
        <f t="shared" si="11"/>
        <v>-2.9970029970030065E-3</v>
      </c>
    </row>
    <row r="81" spans="2:48" x14ac:dyDescent="0.3">
      <c r="B81" s="81">
        <v>45683</v>
      </c>
      <c r="C81" s="54">
        <v>764.7</v>
      </c>
      <c r="D81" s="82">
        <f t="shared" si="6"/>
        <v>-2.1121351766513086E-2</v>
      </c>
      <c r="F81" s="81">
        <v>45683</v>
      </c>
      <c r="G81" s="54">
        <v>23508.400000000001</v>
      </c>
      <c r="H81" s="82">
        <f t="shared" si="7"/>
        <v>1.8023401841314346E-2</v>
      </c>
      <c r="I81" s="83"/>
      <c r="Y81" s="81">
        <v>45774</v>
      </c>
      <c r="Z81" s="54">
        <v>193.23</v>
      </c>
      <c r="AA81" s="82">
        <f t="shared" si="8"/>
        <v>-9.9907777436213374E-3</v>
      </c>
      <c r="AM81" s="81">
        <v>45774</v>
      </c>
      <c r="AN81" s="54">
        <v>364.5</v>
      </c>
      <c r="AO81" s="82">
        <f t="shared" si="10"/>
        <v>-5.0286607608129308E-2</v>
      </c>
      <c r="AT81" s="81">
        <v>45774</v>
      </c>
      <c r="AU81" s="54">
        <v>800.8</v>
      </c>
      <c r="AV81" s="82">
        <f t="shared" si="11"/>
        <v>-2.9980013324450328E-2</v>
      </c>
    </row>
    <row r="82" spans="2:48" x14ac:dyDescent="0.3">
      <c r="B82" s="81">
        <v>45676</v>
      </c>
      <c r="C82" s="54">
        <v>781.2</v>
      </c>
      <c r="D82" s="82">
        <f t="shared" si="6"/>
        <v>-3.9527878527079285E-2</v>
      </c>
      <c r="F82" s="81">
        <v>45676</v>
      </c>
      <c r="G82" s="54">
        <v>23092.2</v>
      </c>
      <c r="H82" s="82">
        <f t="shared" si="7"/>
        <v>-4.7838229209764549E-3</v>
      </c>
      <c r="I82" s="83"/>
      <c r="Y82" s="81">
        <v>45767</v>
      </c>
      <c r="Z82" s="54">
        <v>195.18</v>
      </c>
      <c r="AA82" s="82">
        <f t="shared" si="8"/>
        <v>-2.7503736920777233E-2</v>
      </c>
      <c r="AM82" s="81">
        <v>45767</v>
      </c>
      <c r="AN82" s="54">
        <v>383.8</v>
      </c>
      <c r="AO82" s="82">
        <f t="shared" si="10"/>
        <v>2.8954423592493228E-2</v>
      </c>
      <c r="AT82" s="81">
        <v>45767</v>
      </c>
      <c r="AU82" s="54">
        <v>825.55</v>
      </c>
      <c r="AV82" s="82">
        <f t="shared" si="11"/>
        <v>1.7438994330786217E-2</v>
      </c>
    </row>
    <row r="83" spans="2:48" x14ac:dyDescent="0.3">
      <c r="B83" s="81">
        <v>45669</v>
      </c>
      <c r="C83" s="54">
        <v>813.35</v>
      </c>
      <c r="D83" s="82">
        <f t="shared" si="6"/>
        <v>9.2443231170120654E-3</v>
      </c>
      <c r="F83" s="81">
        <v>45669</v>
      </c>
      <c r="G83" s="54">
        <v>23203.200000000001</v>
      </c>
      <c r="H83" s="82">
        <f t="shared" si="7"/>
        <v>-9.7432942833365344E-3</v>
      </c>
      <c r="Y83" s="81">
        <v>45760</v>
      </c>
      <c r="Z83" s="54">
        <v>200.7</v>
      </c>
      <c r="AA83" s="82">
        <f t="shared" si="8"/>
        <v>2.8982610433738731E-3</v>
      </c>
      <c r="AM83" s="81">
        <v>45760</v>
      </c>
      <c r="AN83" s="54">
        <v>373</v>
      </c>
      <c r="AO83" s="82">
        <f t="shared" si="10"/>
        <v>3.2240210322401985E-2</v>
      </c>
      <c r="AT83" s="81">
        <v>45760</v>
      </c>
      <c r="AU83" s="54">
        <v>811.4</v>
      </c>
      <c r="AV83" s="82">
        <f t="shared" si="11"/>
        <v>-1.0246401561356366E-2</v>
      </c>
    </row>
    <row r="84" spans="2:48" x14ac:dyDescent="0.3">
      <c r="B84" s="81">
        <v>45662</v>
      </c>
      <c r="C84" s="54">
        <v>805.9</v>
      </c>
      <c r="D84" s="82">
        <f t="shared" si="6"/>
        <v>-7.6279442948020026E-2</v>
      </c>
      <c r="F84" s="81">
        <v>45662</v>
      </c>
      <c r="G84" s="54">
        <v>23431.5</v>
      </c>
      <c r="H84" s="82">
        <f t="shared" si="7"/>
        <v>-2.3880690280048689E-2</v>
      </c>
      <c r="Y84" s="81">
        <v>45753</v>
      </c>
      <c r="Z84" s="54">
        <v>200.12</v>
      </c>
      <c r="AA84" s="82">
        <f t="shared" si="8"/>
        <v>-1.4968566011375195E-3</v>
      </c>
      <c r="AM84" s="81">
        <v>45753</v>
      </c>
      <c r="AN84" s="54">
        <v>361.35</v>
      </c>
      <c r="AO84" s="82">
        <f t="shared" si="10"/>
        <v>-1.2704918032786838E-2</v>
      </c>
      <c r="AT84" s="81">
        <v>45753</v>
      </c>
      <c r="AU84" s="54">
        <v>819.8</v>
      </c>
      <c r="AV84" s="82">
        <f t="shared" si="11"/>
        <v>-8.7660963666041924E-3</v>
      </c>
    </row>
    <row r="85" spans="2:48" x14ac:dyDescent="0.3">
      <c r="B85" s="81">
        <v>45655</v>
      </c>
      <c r="C85" s="54">
        <v>872.45</v>
      </c>
      <c r="D85" s="82">
        <f t="shared" si="6"/>
        <v>1.3769463165233642E-2</v>
      </c>
      <c r="F85" s="81">
        <v>45655</v>
      </c>
      <c r="G85" s="54">
        <v>24004.75</v>
      </c>
      <c r="H85" s="82">
        <f t="shared" si="7"/>
        <v>8.035391838208783E-3</v>
      </c>
      <c r="Y85" s="81">
        <v>45746</v>
      </c>
      <c r="Z85" s="54">
        <v>200.42</v>
      </c>
      <c r="AA85" s="82">
        <f t="shared" si="8"/>
        <v>1.4733431218672433E-2</v>
      </c>
      <c r="AM85" s="81">
        <v>45746</v>
      </c>
      <c r="AN85" s="54">
        <v>366</v>
      </c>
      <c r="AO85" s="82">
        <f t="shared" si="10"/>
        <v>3.536067892503536E-2</v>
      </c>
      <c r="AT85" s="81">
        <v>45746</v>
      </c>
      <c r="AU85" s="54">
        <v>827.05</v>
      </c>
      <c r="AV85" s="82">
        <f t="shared" si="11"/>
        <v>9.2745133931293466E-3</v>
      </c>
    </row>
    <row r="86" spans="2:48" x14ac:dyDescent="0.3">
      <c r="B86" s="81">
        <v>45648</v>
      </c>
      <c r="C86" s="54">
        <v>860.6</v>
      </c>
      <c r="D86" s="82">
        <f t="shared" si="6"/>
        <v>7.6103500761035558E-3</v>
      </c>
      <c r="F86" s="81">
        <v>45648</v>
      </c>
      <c r="G86" s="54">
        <v>23813.4</v>
      </c>
      <c r="H86" s="82">
        <f t="shared" si="7"/>
        <v>9.5771065182830295E-3</v>
      </c>
      <c r="Y86" s="81">
        <v>45739</v>
      </c>
      <c r="Z86" s="54">
        <v>197.51</v>
      </c>
      <c r="AA86" s="82">
        <f t="shared" si="8"/>
        <v>-6.938508723414949E-3</v>
      </c>
      <c r="AM86" s="81">
        <v>45739</v>
      </c>
      <c r="AN86" s="54">
        <v>353.5</v>
      </c>
      <c r="AO86" s="82">
        <f t="shared" si="10"/>
        <v>-8.2175775671816109E-2</v>
      </c>
      <c r="AT86" s="81">
        <v>45739</v>
      </c>
      <c r="AU86" s="54">
        <v>819.45</v>
      </c>
      <c r="AV86" s="82">
        <f t="shared" si="11"/>
        <v>4.4125758411472926E-3</v>
      </c>
    </row>
    <row r="87" spans="2:48" x14ac:dyDescent="0.3">
      <c r="B87" s="81">
        <v>45641</v>
      </c>
      <c r="C87" s="54">
        <v>854.1</v>
      </c>
      <c r="D87" s="82">
        <f t="shared" si="6"/>
        <v>-1.7531556802243831E-3</v>
      </c>
      <c r="F87" s="81">
        <v>45641</v>
      </c>
      <c r="G87" s="54">
        <v>23587.5</v>
      </c>
      <c r="H87" s="82">
        <f t="shared" si="7"/>
        <v>-4.7673841159869612E-2</v>
      </c>
      <c r="Y87" s="81">
        <v>45732</v>
      </c>
      <c r="Z87" s="54">
        <v>198.89</v>
      </c>
      <c r="AA87" s="82">
        <f t="shared" si="8"/>
        <v>0.19288670305283984</v>
      </c>
      <c r="AM87" s="81">
        <v>45732</v>
      </c>
      <c r="AN87" s="54">
        <v>385.15</v>
      </c>
      <c r="AO87" s="82">
        <f t="shared" si="10"/>
        <v>7.2542467279309353E-2</v>
      </c>
      <c r="AT87" s="81">
        <v>45732</v>
      </c>
      <c r="AU87" s="54">
        <v>815.85</v>
      </c>
      <c r="AV87" s="82">
        <f t="shared" si="11"/>
        <v>6.3273817281376266E-2</v>
      </c>
    </row>
    <row r="88" spans="2:48" x14ac:dyDescent="0.3">
      <c r="B88" s="81">
        <v>45634</v>
      </c>
      <c r="C88" s="54">
        <v>855.6</v>
      </c>
      <c r="D88" s="82">
        <f t="shared" si="6"/>
        <v>3.5020867356196694E-2</v>
      </c>
      <c r="F88" s="81">
        <v>45634</v>
      </c>
      <c r="G88" s="54">
        <v>24768.3</v>
      </c>
      <c r="H88" s="82">
        <f t="shared" si="7"/>
        <v>3.6672636944945491E-3</v>
      </c>
      <c r="Y88" s="81">
        <v>45725</v>
      </c>
      <c r="Z88" s="54">
        <v>166.73</v>
      </c>
      <c r="AA88" s="82">
        <f t="shared" si="8"/>
        <v>-3.7355658198614305E-2</v>
      </c>
      <c r="AM88" s="81">
        <v>45725</v>
      </c>
      <c r="AN88" s="54">
        <v>359.1</v>
      </c>
      <c r="AO88" s="82">
        <f t="shared" si="10"/>
        <v>5.695364238410594E-2</v>
      </c>
      <c r="AT88" s="81">
        <v>45725</v>
      </c>
      <c r="AU88" s="54">
        <v>767.3</v>
      </c>
      <c r="AV88" s="82">
        <f t="shared" si="11"/>
        <v>-2.9102872326964402E-2</v>
      </c>
    </row>
    <row r="89" spans="2:48" x14ac:dyDescent="0.3">
      <c r="B89" s="81">
        <v>45627</v>
      </c>
      <c r="C89" s="54">
        <v>826.65</v>
      </c>
      <c r="D89" s="82">
        <f t="shared" si="6"/>
        <v>4.1973908111174074E-2</v>
      </c>
      <c r="F89" s="81">
        <v>45627</v>
      </c>
      <c r="G89" s="54">
        <v>24677.8</v>
      </c>
      <c r="H89" s="82">
        <f t="shared" si="7"/>
        <v>2.2655411481449228E-2</v>
      </c>
      <c r="Y89" s="81">
        <v>45718</v>
      </c>
      <c r="Z89" s="54">
        <v>173.2</v>
      </c>
      <c r="AA89" s="82">
        <f t="shared" si="8"/>
        <v>5.7322507783407417E-2</v>
      </c>
      <c r="AM89" s="81">
        <v>45718</v>
      </c>
      <c r="AN89" s="54">
        <v>339.75</v>
      </c>
      <c r="AO89" s="82">
        <f t="shared" si="10"/>
        <v>6.4212999216914701E-2</v>
      </c>
      <c r="AT89" s="81">
        <v>45718</v>
      </c>
      <c r="AU89" s="54">
        <v>790.3</v>
      </c>
      <c r="AV89" s="82">
        <f t="shared" si="11"/>
        <v>7.2247473034393828E-2</v>
      </c>
    </row>
    <row r="90" spans="2:48" x14ac:dyDescent="0.3">
      <c r="B90" s="81">
        <v>45620</v>
      </c>
      <c r="C90" s="54">
        <v>793.35</v>
      </c>
      <c r="D90" s="82">
        <f t="shared" si="6"/>
        <v>-7.1334709968086107E-3</v>
      </c>
      <c r="F90" s="81">
        <v>45620</v>
      </c>
      <c r="G90" s="54">
        <v>24131.1</v>
      </c>
      <c r="H90" s="82">
        <f t="shared" si="7"/>
        <v>9.3632684645870157E-3</v>
      </c>
      <c r="Y90" s="81">
        <v>45711</v>
      </c>
      <c r="Z90" s="54">
        <v>163.81</v>
      </c>
      <c r="AA90" s="82">
        <f t="shared" si="8"/>
        <v>6.7604941306618205E-3</v>
      </c>
      <c r="AM90" s="81">
        <v>45711</v>
      </c>
      <c r="AN90" s="54">
        <v>319.25</v>
      </c>
      <c r="AO90" s="82">
        <f t="shared" si="10"/>
        <v>-3.433744342125844E-3</v>
      </c>
      <c r="AT90" s="81">
        <v>45711</v>
      </c>
      <c r="AU90" s="54">
        <v>737.05</v>
      </c>
      <c r="AV90" s="82">
        <f t="shared" si="11"/>
        <v>2.6246170983012851E-2</v>
      </c>
    </row>
    <row r="91" spans="2:48" x14ac:dyDescent="0.3">
      <c r="B91" s="81">
        <v>45613</v>
      </c>
      <c r="C91" s="54">
        <v>799.05</v>
      </c>
      <c r="D91" s="82">
        <f t="shared" si="6"/>
        <v>7.7830984015647031E-2</v>
      </c>
      <c r="F91" s="81">
        <v>45613</v>
      </c>
      <c r="G91" s="54">
        <v>23907.25</v>
      </c>
      <c r="H91" s="82">
        <f t="shared" si="7"/>
        <v>1.5916150717937061E-2</v>
      </c>
      <c r="Y91" s="81">
        <v>45704</v>
      </c>
      <c r="Z91" s="54">
        <v>162.71</v>
      </c>
      <c r="AA91" s="82">
        <f t="shared" si="8"/>
        <v>-1.1902593064917588E-2</v>
      </c>
      <c r="AM91" s="81">
        <v>45704</v>
      </c>
      <c r="AN91" s="54">
        <v>320.35000000000002</v>
      </c>
      <c r="AO91" s="82">
        <f t="shared" si="10"/>
        <v>-4.4871794871794712E-2</v>
      </c>
      <c r="AT91" s="81">
        <v>45704</v>
      </c>
      <c r="AU91" s="54">
        <v>718.2</v>
      </c>
      <c r="AV91" s="82">
        <f t="shared" si="11"/>
        <v>3.5392489007424643E-2</v>
      </c>
    </row>
    <row r="92" spans="2:48" x14ac:dyDescent="0.3">
      <c r="B92" s="81">
        <v>45606</v>
      </c>
      <c r="C92" s="54">
        <v>741.35</v>
      </c>
      <c r="D92" s="82">
        <f t="shared" si="6"/>
        <v>1.1529540182835474E-2</v>
      </c>
      <c r="F92" s="81">
        <v>45606</v>
      </c>
      <c r="G92" s="54">
        <v>23532.7</v>
      </c>
      <c r="H92" s="82">
        <f t="shared" si="7"/>
        <v>-2.5488442202731498E-2</v>
      </c>
      <c r="Y92" s="81">
        <v>45697</v>
      </c>
      <c r="Z92" s="54">
        <v>164.67</v>
      </c>
      <c r="AA92" s="82">
        <f t="shared" si="8"/>
        <v>-4.6220677671589994E-2</v>
      </c>
      <c r="AM92" s="81">
        <v>45697</v>
      </c>
      <c r="AN92" s="54">
        <v>335.4</v>
      </c>
      <c r="AO92" s="82">
        <f t="shared" si="10"/>
        <v>-0.12735787693508527</v>
      </c>
      <c r="AT92" s="81">
        <v>45697</v>
      </c>
      <c r="AU92" s="54">
        <v>693.65</v>
      </c>
      <c r="AV92" s="82">
        <f t="shared" si="11"/>
        <v>-6.0413139180494402E-2</v>
      </c>
    </row>
    <row r="93" spans="2:48" x14ac:dyDescent="0.3">
      <c r="B93" s="81">
        <v>45599</v>
      </c>
      <c r="C93" s="54">
        <v>732.9</v>
      </c>
      <c r="D93" s="82">
        <f t="shared" si="6"/>
        <v>6.5881326352530412E-2</v>
      </c>
      <c r="F93" s="81">
        <v>45599</v>
      </c>
      <c r="G93" s="54">
        <v>24148.2</v>
      </c>
      <c r="H93" s="82">
        <f t="shared" si="7"/>
        <v>-6.4247758117372822E-3</v>
      </c>
      <c r="Y93" s="81">
        <v>45690</v>
      </c>
      <c r="Z93" s="54">
        <v>172.65</v>
      </c>
      <c r="AA93" s="82"/>
      <c r="AM93" s="81">
        <v>45690</v>
      </c>
      <c r="AN93" s="54">
        <v>384.35</v>
      </c>
      <c r="AO93" s="82">
        <f t="shared" si="10"/>
        <v>3.7381916329284781E-2</v>
      </c>
      <c r="AT93" s="81">
        <v>45690</v>
      </c>
      <c r="AU93" s="54">
        <v>738.25</v>
      </c>
      <c r="AV93" s="82">
        <f t="shared" si="11"/>
        <v>-4.2415202023477594E-2</v>
      </c>
    </row>
    <row r="94" spans="2:48" x14ac:dyDescent="0.3">
      <c r="B94" s="81">
        <v>45592</v>
      </c>
      <c r="C94" s="54">
        <v>687.6</v>
      </c>
      <c r="D94" s="82">
        <f t="shared" si="6"/>
        <v>-5.2802893309221721E-3</v>
      </c>
      <c r="F94" s="81">
        <v>45592</v>
      </c>
      <c r="G94" s="54">
        <v>24304.35</v>
      </c>
      <c r="H94" s="82">
        <f t="shared" si="7"/>
        <v>5.1094256600276999E-3</v>
      </c>
      <c r="AM94" s="81">
        <v>45683</v>
      </c>
      <c r="AN94" s="54">
        <v>370.5</v>
      </c>
      <c r="AO94" s="82">
        <f t="shared" si="10"/>
        <v>-2.3329379201265432E-2</v>
      </c>
      <c r="AT94" s="81">
        <v>45683</v>
      </c>
      <c r="AU94" s="54">
        <v>770.95</v>
      </c>
      <c r="AV94" s="82">
        <f t="shared" si="11"/>
        <v>9.4932565143381886E-3</v>
      </c>
    </row>
    <row r="95" spans="2:48" x14ac:dyDescent="0.3">
      <c r="B95" s="81">
        <v>45585</v>
      </c>
      <c r="C95" s="54">
        <v>691.25</v>
      </c>
      <c r="D95" s="82">
        <f t="shared" si="6"/>
        <v>6.6258919469928124E-3</v>
      </c>
      <c r="F95" s="81">
        <v>45585</v>
      </c>
      <c r="G95" s="54">
        <v>24180.799999999999</v>
      </c>
      <c r="H95" s="82">
        <f t="shared" si="7"/>
        <v>-2.7088140564616281E-2</v>
      </c>
      <c r="AM95" s="81">
        <v>45676</v>
      </c>
      <c r="AN95" s="54">
        <v>379.35</v>
      </c>
      <c r="AO95" s="82">
        <f t="shared" si="10"/>
        <v>-4.9843456480901605E-2</v>
      </c>
      <c r="AT95" s="81">
        <v>45676</v>
      </c>
      <c r="AU95" s="54">
        <v>763.7</v>
      </c>
      <c r="AV95" s="82">
        <f t="shared" si="11"/>
        <v>-6.3921063921063892E-2</v>
      </c>
    </row>
    <row r="96" spans="2:48" x14ac:dyDescent="0.3">
      <c r="B96" s="81">
        <v>45578</v>
      </c>
      <c r="C96" s="54">
        <v>686.7</v>
      </c>
      <c r="D96" s="82">
        <f t="shared" si="6"/>
        <v>-3.0837626137887097E-2</v>
      </c>
      <c r="F96" s="81">
        <v>45578</v>
      </c>
      <c r="G96" s="54">
        <v>24854.05</v>
      </c>
      <c r="H96" s="82">
        <f t="shared" si="7"/>
        <v>-4.4143124668275524E-3</v>
      </c>
      <c r="AM96" s="81">
        <v>45669</v>
      </c>
      <c r="AN96" s="54">
        <v>399.25</v>
      </c>
      <c r="AO96" s="82">
        <f t="shared" si="10"/>
        <v>-2.8943208074911797E-2</v>
      </c>
      <c r="AT96" s="81">
        <v>45669</v>
      </c>
      <c r="AU96" s="54">
        <v>815.85</v>
      </c>
      <c r="AV96" s="82">
        <f t="shared" si="11"/>
        <v>-8.593356114503381E-2</v>
      </c>
    </row>
    <row r="97" spans="2:48" x14ac:dyDescent="0.3">
      <c r="B97" s="81">
        <v>45571</v>
      </c>
      <c r="C97" s="54">
        <v>708.55</v>
      </c>
      <c r="D97" s="82">
        <f t="shared" si="6"/>
        <v>7.120719631113448E-2</v>
      </c>
      <c r="F97" s="81">
        <v>45571</v>
      </c>
      <c r="G97" s="54">
        <v>24964.25</v>
      </c>
      <c r="H97" s="82">
        <f t="shared" si="7"/>
        <v>-2.0128245104857889E-3</v>
      </c>
      <c r="AM97" s="81">
        <v>45662</v>
      </c>
      <c r="AN97" s="54">
        <v>411.15</v>
      </c>
      <c r="AO97" s="82">
        <f t="shared" si="10"/>
        <v>-4.0154079607797488E-2</v>
      </c>
      <c r="AT97" s="81">
        <v>45662</v>
      </c>
      <c r="AU97" s="54">
        <v>892.55</v>
      </c>
      <c r="AV97" s="82">
        <f t="shared" si="11"/>
        <v>-0.10093175522538411</v>
      </c>
    </row>
    <row r="98" spans="2:48" x14ac:dyDescent="0.3">
      <c r="B98" s="81">
        <v>45564</v>
      </c>
      <c r="C98" s="54">
        <v>661.45</v>
      </c>
      <c r="D98" s="82">
        <f t="shared" si="6"/>
        <v>-6.8773757567225036E-2</v>
      </c>
      <c r="F98" s="81">
        <v>45564</v>
      </c>
      <c r="G98" s="54">
        <v>25014.6</v>
      </c>
      <c r="H98" s="82">
        <f t="shared" si="7"/>
        <v>-4.4476573735768743E-2</v>
      </c>
      <c r="AM98" s="81">
        <v>45655</v>
      </c>
      <c r="AN98" s="54">
        <v>428.35</v>
      </c>
      <c r="AO98" s="82">
        <f t="shared" si="10"/>
        <v>4.1580547112461952E-2</v>
      </c>
      <c r="AT98" s="81">
        <v>45655</v>
      </c>
      <c r="AU98" s="54">
        <v>992.75</v>
      </c>
      <c r="AV98" s="82">
        <f t="shared" si="11"/>
        <v>3.6902234354463381E-3</v>
      </c>
    </row>
    <row r="99" spans="2:48" x14ac:dyDescent="0.3">
      <c r="B99" s="81">
        <v>45557</v>
      </c>
      <c r="C99" s="54">
        <v>710.3</v>
      </c>
      <c r="D99" s="82">
        <f t="shared" si="6"/>
        <v>1.0743507648523609E-2</v>
      </c>
      <c r="F99" s="81">
        <v>45557</v>
      </c>
      <c r="G99" s="54">
        <v>26178.95</v>
      </c>
      <c r="H99" s="82">
        <f t="shared" si="7"/>
        <v>1.5044036764834123E-2</v>
      </c>
      <c r="AM99" s="81">
        <v>45648</v>
      </c>
      <c r="AN99" s="54">
        <v>411.25</v>
      </c>
      <c r="AO99" s="82">
        <f t="shared" si="10"/>
        <v>-2.4257125530624535E-3</v>
      </c>
      <c r="AT99" s="81">
        <v>45648</v>
      </c>
      <c r="AU99" s="54">
        <v>989.1</v>
      </c>
      <c r="AV99" s="82">
        <f t="shared" si="11"/>
        <v>1.2695812429609932E-2</v>
      </c>
    </row>
    <row r="100" spans="2:48" x14ac:dyDescent="0.3">
      <c r="B100" s="81">
        <v>45550</v>
      </c>
      <c r="C100" s="54">
        <v>702.75</v>
      </c>
      <c r="D100" s="82">
        <f t="shared" si="6"/>
        <v>1.9882446847108382E-2</v>
      </c>
      <c r="F100" s="81">
        <v>45550</v>
      </c>
      <c r="G100" s="54">
        <v>25790.95</v>
      </c>
      <c r="H100" s="82">
        <f t="shared" si="7"/>
        <v>1.7133673811448702E-2</v>
      </c>
      <c r="AM100" s="81">
        <v>45641</v>
      </c>
      <c r="AN100" s="54">
        <v>412.25</v>
      </c>
      <c r="AO100" s="82">
        <f t="shared" si="10"/>
        <v>-4.0944515528672842E-2</v>
      </c>
      <c r="AT100" s="81">
        <v>45641</v>
      </c>
      <c r="AU100" s="54">
        <v>976.7</v>
      </c>
      <c r="AV100" s="82">
        <f t="shared" si="11"/>
        <v>-3.0618827849734465E-2</v>
      </c>
    </row>
    <row r="101" spans="2:48" x14ac:dyDescent="0.3">
      <c r="B101" s="81">
        <v>45543</v>
      </c>
      <c r="C101" s="54">
        <v>689.05</v>
      </c>
      <c r="D101" s="82">
        <f t="shared" si="6"/>
        <v>4.8383415747432323E-2</v>
      </c>
      <c r="F101" s="81">
        <v>45543</v>
      </c>
      <c r="G101" s="54">
        <v>25356.5</v>
      </c>
      <c r="H101" s="82">
        <f t="shared" si="7"/>
        <v>2.0294018827344829E-2</v>
      </c>
      <c r="AM101" s="81">
        <v>45634</v>
      </c>
      <c r="AN101" s="54">
        <v>429.85</v>
      </c>
      <c r="AO101" s="82">
        <f t="shared" si="10"/>
        <v>4.4719893061125449E-2</v>
      </c>
      <c r="AT101" s="81">
        <v>45634</v>
      </c>
      <c r="AU101" s="54">
        <v>1007.55</v>
      </c>
      <c r="AV101" s="82">
        <f t="shared" si="11"/>
        <v>0.12199331848552331</v>
      </c>
    </row>
    <row r="102" spans="2:48" x14ac:dyDescent="0.3">
      <c r="B102" s="81">
        <v>45536</v>
      </c>
      <c r="C102" s="54">
        <v>657.25</v>
      </c>
      <c r="D102" s="82">
        <f t="shared" si="6"/>
        <v>1.5057915057915094E-2</v>
      </c>
      <c r="F102" s="81">
        <v>45536</v>
      </c>
      <c r="G102" s="54">
        <v>24852.15</v>
      </c>
      <c r="H102" s="82">
        <f t="shared" si="7"/>
        <v>-1.5206511358818231E-2</v>
      </c>
      <c r="AM102" s="81">
        <v>45627</v>
      </c>
      <c r="AN102" s="54">
        <v>411.45</v>
      </c>
      <c r="AO102" s="82">
        <f t="shared" si="10"/>
        <v>8.4475487612019062E-2</v>
      </c>
      <c r="AT102" s="81">
        <v>45627</v>
      </c>
      <c r="AU102" s="54">
        <v>898</v>
      </c>
      <c r="AV102" s="82">
        <f t="shared" si="11"/>
        <v>8.8754072576113785E-3</v>
      </c>
    </row>
    <row r="103" spans="2:48" x14ac:dyDescent="0.3">
      <c r="B103" s="81">
        <v>45529</v>
      </c>
      <c r="C103" s="54">
        <v>647.5</v>
      </c>
      <c r="D103" s="82">
        <f t="shared" si="6"/>
        <v>8.724100327153872E-3</v>
      </c>
      <c r="F103" s="81">
        <v>45529</v>
      </c>
      <c r="G103" s="54">
        <v>25235.9</v>
      </c>
      <c r="H103" s="82">
        <f t="shared" si="7"/>
        <v>1.6627623810837822E-2</v>
      </c>
      <c r="AM103" s="81">
        <v>45620</v>
      </c>
      <c r="AN103" s="54">
        <v>379.4</v>
      </c>
      <c r="AO103" s="82">
        <f t="shared" si="10"/>
        <v>3.4351145038167941E-2</v>
      </c>
      <c r="AT103" s="81">
        <v>45620</v>
      </c>
      <c r="AU103" s="54">
        <v>890.1</v>
      </c>
      <c r="AV103" s="82">
        <f t="shared" si="11"/>
        <v>5.7000356252226547E-2</v>
      </c>
    </row>
    <row r="104" spans="2:48" x14ac:dyDescent="0.3">
      <c r="B104" s="81">
        <v>45522</v>
      </c>
      <c r="C104" s="54">
        <v>641.9</v>
      </c>
      <c r="D104" s="82">
        <f t="shared" si="6"/>
        <v>3.0006418485237329E-2</v>
      </c>
      <c r="F104" s="81">
        <v>45522</v>
      </c>
      <c r="G104" s="54">
        <v>24823.15</v>
      </c>
      <c r="H104" s="82">
        <f t="shared" si="7"/>
        <v>1.1490904052988471E-2</v>
      </c>
      <c r="AM104" s="81">
        <v>45613</v>
      </c>
      <c r="AN104" s="54">
        <v>366.8</v>
      </c>
      <c r="AO104" s="82">
        <f t="shared" si="10"/>
        <v>2.5583671186914625E-2</v>
      </c>
      <c r="AT104" s="81">
        <v>45613</v>
      </c>
      <c r="AU104" s="54">
        <v>842.1</v>
      </c>
      <c r="AV104" s="82">
        <f t="shared" si="11"/>
        <v>-2.4284783510039043E-3</v>
      </c>
    </row>
    <row r="105" spans="2:48" x14ac:dyDescent="0.3">
      <c r="B105" s="81">
        <v>45515</v>
      </c>
      <c r="C105" s="54">
        <v>623.20000000000005</v>
      </c>
      <c r="D105" s="82">
        <f t="shared" si="6"/>
        <v>7.6804915514592231E-3</v>
      </c>
      <c r="F105" s="81">
        <v>45515</v>
      </c>
      <c r="G105" s="54">
        <v>24541.15</v>
      </c>
      <c r="H105" s="82">
        <f t="shared" si="7"/>
        <v>7.1262952703396998E-3</v>
      </c>
      <c r="AM105" s="81">
        <v>45606</v>
      </c>
      <c r="AN105" s="54">
        <v>357.65</v>
      </c>
      <c r="AO105" s="82">
        <f t="shared" si="10"/>
        <v>-4.3151447661470277E-3</v>
      </c>
      <c r="AT105" s="81">
        <v>45606</v>
      </c>
      <c r="AU105" s="54">
        <v>844.15</v>
      </c>
      <c r="AV105" s="82">
        <f t="shared" si="11"/>
        <v>-5.3696541673672993E-2</v>
      </c>
    </row>
    <row r="106" spans="2:48" x14ac:dyDescent="0.3">
      <c r="B106" s="81">
        <v>45508</v>
      </c>
      <c r="C106" s="54">
        <v>618.45000000000005</v>
      </c>
      <c r="D106" s="82">
        <f t="shared" si="6"/>
        <v>-1.6459923664121967E-2</v>
      </c>
      <c r="F106" s="81">
        <v>45508</v>
      </c>
      <c r="G106" s="54">
        <v>24367.5</v>
      </c>
      <c r="H106" s="82">
        <f t="shared" si="7"/>
        <v>-1.4167984885325113E-2</v>
      </c>
      <c r="AM106" s="81">
        <v>45599</v>
      </c>
      <c r="AN106" s="54">
        <v>359.2</v>
      </c>
      <c r="AO106" s="82">
        <f t="shared" si="10"/>
        <v>-5.0363516192994062E-2</v>
      </c>
      <c r="AT106" s="81">
        <v>45599</v>
      </c>
      <c r="AU106" s="54">
        <v>892.05</v>
      </c>
      <c r="AV106" s="82">
        <f t="shared" si="11"/>
        <v>-3.7413446504356296E-3</v>
      </c>
    </row>
    <row r="107" spans="2:48" x14ac:dyDescent="0.3">
      <c r="B107" s="81">
        <v>45501</v>
      </c>
      <c r="C107" s="54">
        <v>628.79999999999995</v>
      </c>
      <c r="D107" s="82">
        <f t="shared" si="6"/>
        <v>-2.8129829984544164E-2</v>
      </c>
      <c r="F107" s="81">
        <v>45501</v>
      </c>
      <c r="G107" s="54">
        <v>24717.7</v>
      </c>
      <c r="H107" s="82">
        <f t="shared" si="7"/>
        <v>-4.7171615693268887E-3</v>
      </c>
      <c r="AM107" s="81">
        <v>45592</v>
      </c>
      <c r="AN107" s="54">
        <v>378.25</v>
      </c>
      <c r="AO107" s="82">
        <f t="shared" si="10"/>
        <v>4.2298153761366919E-2</v>
      </c>
      <c r="AT107" s="81">
        <v>45592</v>
      </c>
      <c r="AU107" s="54">
        <v>895.4</v>
      </c>
      <c r="AV107" s="82">
        <f t="shared" si="11"/>
        <v>6.008405848576337E-2</v>
      </c>
    </row>
    <row r="108" spans="2:48" x14ac:dyDescent="0.3">
      <c r="B108" s="81">
        <v>45494</v>
      </c>
      <c r="C108" s="54">
        <v>647</v>
      </c>
      <c r="D108" s="82">
        <f t="shared" si="6"/>
        <v>0.11957086001038242</v>
      </c>
      <c r="F108" s="81">
        <v>45494</v>
      </c>
      <c r="G108" s="54">
        <v>24834.85</v>
      </c>
      <c r="H108" s="82">
        <f t="shared" si="7"/>
        <v>1.2390495252925682E-2</v>
      </c>
      <c r="AM108" s="81">
        <v>45585</v>
      </c>
      <c r="AN108" s="54">
        <v>362.9</v>
      </c>
      <c r="AO108" s="82">
        <f t="shared" si="10"/>
        <v>-8.9905956112852681E-2</v>
      </c>
      <c r="AT108" s="81">
        <v>45585</v>
      </c>
      <c r="AU108" s="54">
        <v>844.65</v>
      </c>
      <c r="AV108" s="82">
        <f t="shared" si="11"/>
        <v>-3.2751216719152598E-2</v>
      </c>
    </row>
    <row r="109" spans="2:48" x14ac:dyDescent="0.3">
      <c r="B109" s="81">
        <v>45487</v>
      </c>
      <c r="C109" s="54">
        <v>577.9</v>
      </c>
      <c r="D109" s="82">
        <f t="shared" si="6"/>
        <v>-2.7186263782509879E-2</v>
      </c>
      <c r="F109" s="81">
        <v>45487</v>
      </c>
      <c r="G109" s="54">
        <v>24530.9</v>
      </c>
      <c r="H109" s="82">
        <f t="shared" si="7"/>
        <v>1.1733664188653403E-3</v>
      </c>
      <c r="AM109" s="81">
        <v>45578</v>
      </c>
      <c r="AN109" s="54">
        <v>398.75</v>
      </c>
      <c r="AO109" s="82">
        <f t="shared" si="10"/>
        <v>-7.3105532310553167E-2</v>
      </c>
      <c r="AT109" s="81">
        <v>45578</v>
      </c>
      <c r="AU109" s="54">
        <v>873.25</v>
      </c>
      <c r="AV109" s="82">
        <f t="shared" si="11"/>
        <v>-1.8820224719101164E-2</v>
      </c>
    </row>
    <row r="110" spans="2:48" x14ac:dyDescent="0.3">
      <c r="B110" s="81">
        <v>45480</v>
      </c>
      <c r="C110" s="54">
        <v>594.04999999999995</v>
      </c>
      <c r="D110" s="82">
        <f t="shared" si="6"/>
        <v>-3.3279088689991965E-2</v>
      </c>
      <c r="F110" s="81">
        <v>45480</v>
      </c>
      <c r="G110" s="54">
        <v>24502.15</v>
      </c>
      <c r="H110" s="82">
        <f t="shared" si="7"/>
        <v>7.3302540510651326E-3</v>
      </c>
      <c r="AM110" s="81">
        <v>45571</v>
      </c>
      <c r="AN110" s="54">
        <v>430.2</v>
      </c>
      <c r="AO110" s="82">
        <f t="shared" si="10"/>
        <v>9.9833823341429095E-2</v>
      </c>
      <c r="AT110" s="81">
        <v>45571</v>
      </c>
      <c r="AU110" s="54">
        <v>890</v>
      </c>
      <c r="AV110" s="82">
        <f t="shared" si="11"/>
        <v>3.236283493794212E-2</v>
      </c>
    </row>
    <row r="111" spans="2:48" x14ac:dyDescent="0.3">
      <c r="B111" s="81">
        <v>45473</v>
      </c>
      <c r="C111" s="54">
        <v>614.5</v>
      </c>
      <c r="D111" s="82">
        <f t="shared" si="6"/>
        <v>-1.687864970802333E-2</v>
      </c>
      <c r="F111" s="81">
        <v>45473</v>
      </c>
      <c r="G111" s="54">
        <v>24323.85</v>
      </c>
      <c r="H111" s="82">
        <f t="shared" si="7"/>
        <v>1.3046321208133094E-2</v>
      </c>
      <c r="AM111" s="81">
        <v>45564</v>
      </c>
      <c r="AN111" s="54">
        <v>391.15</v>
      </c>
      <c r="AO111" s="82">
        <f t="shared" si="10"/>
        <v>2.9884149552395822E-2</v>
      </c>
      <c r="AT111" s="81">
        <v>45564</v>
      </c>
      <c r="AU111" s="54">
        <v>862.1</v>
      </c>
      <c r="AV111" s="82">
        <f t="shared" si="11"/>
        <v>-3.1729095299601329E-2</v>
      </c>
    </row>
    <row r="112" spans="2:48" x14ac:dyDescent="0.3">
      <c r="B112" s="81">
        <v>45466</v>
      </c>
      <c r="C112" s="54">
        <v>625.04999999999995</v>
      </c>
      <c r="D112" s="82">
        <f t="shared" si="6"/>
        <v>-1.9529411764705906E-2</v>
      </c>
      <c r="F112" s="81">
        <v>45466</v>
      </c>
      <c r="G112" s="54">
        <v>24010.6</v>
      </c>
      <c r="H112" s="82">
        <f t="shared" si="7"/>
        <v>2.1679836262983532E-2</v>
      </c>
      <c r="AM112" s="81">
        <v>45557</v>
      </c>
      <c r="AN112" s="54">
        <v>379.8</v>
      </c>
      <c r="AO112" s="82">
        <f t="shared" si="10"/>
        <v>3.5018394876686232E-2</v>
      </c>
      <c r="AT112" s="81">
        <v>45557</v>
      </c>
      <c r="AU112" s="54">
        <v>890.35</v>
      </c>
      <c r="AV112" s="82">
        <f t="shared" si="11"/>
        <v>3.7201961557973284E-3</v>
      </c>
    </row>
    <row r="113" spans="2:48" x14ac:dyDescent="0.3">
      <c r="B113" s="81">
        <v>45459</v>
      </c>
      <c r="C113" s="54">
        <v>637.5</v>
      </c>
      <c r="D113" s="82">
        <f t="shared" si="6"/>
        <v>3.8527327523010468E-2</v>
      </c>
      <c r="F113" s="81">
        <v>45459</v>
      </c>
      <c r="G113" s="54">
        <v>23501.1</v>
      </c>
      <c r="H113" s="82">
        <f t="shared" si="7"/>
        <v>1.5128528569481325E-3</v>
      </c>
      <c r="AM113" s="81">
        <v>45550</v>
      </c>
      <c r="AN113" s="54">
        <v>366.95</v>
      </c>
      <c r="AO113" s="82">
        <f t="shared" si="10"/>
        <v>-3.4596158905551233E-2</v>
      </c>
      <c r="AT113" s="81">
        <v>45550</v>
      </c>
      <c r="AU113" s="54">
        <v>887.05</v>
      </c>
      <c r="AV113" s="82">
        <f t="shared" si="11"/>
        <v>-1.069819819819906E-3</v>
      </c>
    </row>
    <row r="114" spans="2:48" x14ac:dyDescent="0.3">
      <c r="B114" s="81">
        <v>45452</v>
      </c>
      <c r="C114" s="54">
        <v>613.85</v>
      </c>
      <c r="D114" s="82">
        <f t="shared" si="6"/>
        <v>4.9136899675269241E-2</v>
      </c>
      <c r="F114" s="81">
        <v>45452</v>
      </c>
      <c r="G114" s="54">
        <v>23465.599999999999</v>
      </c>
      <c r="H114" s="82">
        <f t="shared" si="7"/>
        <v>7.5332275661599279E-3</v>
      </c>
      <c r="AM114" s="81">
        <v>45543</v>
      </c>
      <c r="AN114" s="54">
        <v>380.1</v>
      </c>
      <c r="AO114" s="82">
        <f t="shared" si="10"/>
        <v>-1.4391287436794853E-2</v>
      </c>
      <c r="AT114" s="81">
        <v>45543</v>
      </c>
      <c r="AU114" s="54">
        <v>888</v>
      </c>
      <c r="AV114" s="82">
        <f t="shared" si="11"/>
        <v>2.9365258640163816E-3</v>
      </c>
    </row>
    <row r="115" spans="2:48" x14ac:dyDescent="0.3">
      <c r="B115" s="81">
        <v>45445</v>
      </c>
      <c r="C115" s="54">
        <v>585.1</v>
      </c>
      <c r="D115" s="82">
        <f t="shared" si="6"/>
        <v>4.9695012558306439E-2</v>
      </c>
      <c r="F115" s="81">
        <v>45445</v>
      </c>
      <c r="G115" s="54">
        <v>23290.15</v>
      </c>
      <c r="H115" s="82">
        <f t="shared" si="7"/>
        <v>3.3707341538434354E-2</v>
      </c>
      <c r="AM115" s="81">
        <v>45536</v>
      </c>
      <c r="AN115" s="54">
        <v>385.65</v>
      </c>
      <c r="AO115" s="82">
        <f t="shared" si="10"/>
        <v>7.9717720857290786E-3</v>
      </c>
      <c r="AT115" s="81">
        <v>45536</v>
      </c>
      <c r="AU115" s="54">
        <v>885.4</v>
      </c>
      <c r="AV115" s="82">
        <f t="shared" si="11"/>
        <v>6.0168831946356915E-2</v>
      </c>
    </row>
    <row r="116" spans="2:48" x14ac:dyDescent="0.3">
      <c r="B116" s="81">
        <v>45438</v>
      </c>
      <c r="C116" s="54">
        <v>557.4</v>
      </c>
      <c r="D116" s="82">
        <f t="shared" si="6"/>
        <v>-2.1847854698604952E-2</v>
      </c>
      <c r="F116" s="81">
        <v>45438</v>
      </c>
      <c r="G116" s="54">
        <v>22530.7</v>
      </c>
      <c r="H116" s="82">
        <f t="shared" si="7"/>
        <v>-1.8573774562117951E-2</v>
      </c>
      <c r="AM116" s="81">
        <v>45529</v>
      </c>
      <c r="AN116" s="54">
        <v>382.6</v>
      </c>
      <c r="AO116" s="82">
        <f t="shared" si="10"/>
        <v>6.1801446416831496E-3</v>
      </c>
      <c r="AT116" s="81">
        <v>45529</v>
      </c>
      <c r="AU116" s="54">
        <v>835.15</v>
      </c>
      <c r="AV116" s="82">
        <f t="shared" si="11"/>
        <v>4.8064252996172341E-2</v>
      </c>
    </row>
    <row r="117" spans="2:48" x14ac:dyDescent="0.3">
      <c r="B117" s="81">
        <v>45431</v>
      </c>
      <c r="C117" s="54">
        <v>569.85</v>
      </c>
      <c r="D117" s="82">
        <f t="shared" si="6"/>
        <v>-2.1887585361582973E-3</v>
      </c>
      <c r="F117" s="81">
        <v>45431</v>
      </c>
      <c r="G117" s="54">
        <v>22957.1</v>
      </c>
      <c r="H117" s="82">
        <f t="shared" si="7"/>
        <v>2.1855150649200406E-2</v>
      </c>
      <c r="AM117" s="81">
        <v>45522</v>
      </c>
      <c r="AN117" s="54">
        <v>380.25</v>
      </c>
      <c r="AO117" s="82">
        <f t="shared" si="10"/>
        <v>1.1976047904191711E-2</v>
      </c>
      <c r="AT117" s="81">
        <v>45522</v>
      </c>
      <c r="AU117" s="54">
        <v>796.85</v>
      </c>
      <c r="AV117" s="82">
        <f t="shared" si="11"/>
        <v>2.1144358300762445E-2</v>
      </c>
    </row>
    <row r="118" spans="2:48" x14ac:dyDescent="0.3">
      <c r="B118" s="81">
        <v>45424</v>
      </c>
      <c r="C118" s="54">
        <v>571.1</v>
      </c>
      <c r="D118" s="82">
        <f t="shared" si="6"/>
        <v>5.0685309539140855E-2</v>
      </c>
      <c r="F118" s="81">
        <v>45424</v>
      </c>
      <c r="G118" s="54">
        <v>22466.1</v>
      </c>
      <c r="H118" s="82">
        <f t="shared" si="7"/>
        <v>1.8630527041241907E-2</v>
      </c>
      <c r="AM118" s="81">
        <v>45515</v>
      </c>
      <c r="AN118" s="54">
        <v>375.75</v>
      </c>
      <c r="AO118" s="82">
        <f t="shared" si="10"/>
        <v>-3.6167756829549869E-2</v>
      </c>
      <c r="AT118" s="81">
        <v>45515</v>
      </c>
      <c r="AU118" s="54">
        <v>780.35</v>
      </c>
      <c r="AV118" s="82">
        <f t="shared" si="11"/>
        <v>-7.1882951653943206E-3</v>
      </c>
    </row>
    <row r="119" spans="2:48" x14ac:dyDescent="0.3">
      <c r="B119" s="81">
        <v>45417</v>
      </c>
      <c r="C119" s="54">
        <v>543.54999999999995</v>
      </c>
      <c r="D119" s="82">
        <f t="shared" si="6"/>
        <v>-4.7406239046617671E-2</v>
      </c>
      <c r="F119" s="81">
        <v>45417</v>
      </c>
      <c r="G119" s="54">
        <v>22055.200000000001</v>
      </c>
      <c r="H119" s="82">
        <f t="shared" si="7"/>
        <v>-1.8715643679771743E-2</v>
      </c>
      <c r="AM119" s="81">
        <v>45508</v>
      </c>
      <c r="AN119" s="54">
        <v>389.85</v>
      </c>
      <c r="AO119" s="82">
        <f t="shared" si="10"/>
        <v>-6.6451149425287404E-2</v>
      </c>
      <c r="AT119" s="81">
        <v>45508</v>
      </c>
      <c r="AU119" s="54">
        <v>786</v>
      </c>
      <c r="AV119" s="82">
        <f t="shared" si="11"/>
        <v>-4.4609213565090622E-2</v>
      </c>
    </row>
    <row r="120" spans="2:48" x14ac:dyDescent="0.3">
      <c r="B120" s="81">
        <v>45410</v>
      </c>
      <c r="C120" s="54">
        <v>570.6</v>
      </c>
      <c r="D120" s="82">
        <f t="shared" si="6"/>
        <v>2.9000790930662212E-3</v>
      </c>
      <c r="F120" s="81">
        <v>45410</v>
      </c>
      <c r="G120" s="54">
        <v>22475.85</v>
      </c>
      <c r="H120" s="82">
        <f t="shared" si="7"/>
        <v>2.4933151055197555E-3</v>
      </c>
      <c r="AM120" s="81">
        <v>45501</v>
      </c>
      <c r="AN120" s="54">
        <v>417.6</v>
      </c>
      <c r="AO120" s="82">
        <f t="shared" si="10"/>
        <v>-1.1480648597467114E-2</v>
      </c>
      <c r="AT120" s="81">
        <v>45501</v>
      </c>
      <c r="AU120" s="54">
        <v>822.7</v>
      </c>
      <c r="AV120" s="82">
        <f t="shared" si="11"/>
        <v>-1.4907501646410748E-2</v>
      </c>
    </row>
    <row r="121" spans="2:48" x14ac:dyDescent="0.3">
      <c r="B121" s="81">
        <v>45403</v>
      </c>
      <c r="C121" s="54">
        <v>568.95000000000005</v>
      </c>
      <c r="D121" s="82">
        <f t="shared" si="6"/>
        <v>-4.7064734946821729E-2</v>
      </c>
      <c r="F121" s="81">
        <v>45403</v>
      </c>
      <c r="G121" s="54">
        <v>22419.95</v>
      </c>
      <c r="H121" s="82">
        <f t="shared" si="7"/>
        <v>1.2324468325281002E-2</v>
      </c>
      <c r="AM121" s="81">
        <v>45494</v>
      </c>
      <c r="AN121" s="54">
        <v>422.45</v>
      </c>
      <c r="AO121" s="82">
        <f t="shared" si="10"/>
        <v>6.2099308610936488E-2</v>
      </c>
      <c r="AT121" s="81">
        <v>45494</v>
      </c>
      <c r="AU121" s="54">
        <v>835.15</v>
      </c>
      <c r="AV121" s="82">
        <f t="shared" si="11"/>
        <v>9.1057547847671172E-2</v>
      </c>
    </row>
    <row r="122" spans="2:48" x14ac:dyDescent="0.3">
      <c r="B122" s="81">
        <v>45396</v>
      </c>
      <c r="C122" s="54">
        <v>597.04999999999995</v>
      </c>
      <c r="D122" s="82">
        <f t="shared" si="6"/>
        <v>-1.7120750679068375E-2</v>
      </c>
      <c r="F122" s="81">
        <v>45396</v>
      </c>
      <c r="G122" s="54">
        <v>22147</v>
      </c>
      <c r="H122" s="82">
        <f t="shared" si="7"/>
        <v>-1.6536852669254087E-2</v>
      </c>
      <c r="AM122" s="81">
        <v>45487</v>
      </c>
      <c r="AN122" s="54">
        <v>397.75</v>
      </c>
      <c r="AO122" s="82">
        <f t="shared" si="10"/>
        <v>-6.1135371179039222E-2</v>
      </c>
      <c r="AT122" s="81">
        <v>45487</v>
      </c>
      <c r="AU122" s="54">
        <v>765.45</v>
      </c>
      <c r="AV122" s="82">
        <f t="shared" si="11"/>
        <v>-6.9022135733398216E-2</v>
      </c>
    </row>
    <row r="123" spans="2:48" x14ac:dyDescent="0.3">
      <c r="B123" s="81">
        <v>45389</v>
      </c>
      <c r="C123" s="54">
        <v>607.45000000000005</v>
      </c>
      <c r="D123" s="82">
        <f t="shared" ref="D123:D186" si="12">C123/C124-1</f>
        <v>-9.5385618783627724E-3</v>
      </c>
      <c r="F123" s="81">
        <v>45389</v>
      </c>
      <c r="G123" s="54">
        <v>22519.4</v>
      </c>
      <c r="H123" s="82">
        <f t="shared" si="7"/>
        <v>2.5317917534661838E-4</v>
      </c>
      <c r="AM123" s="81">
        <v>45480</v>
      </c>
      <c r="AN123" s="54">
        <v>423.65</v>
      </c>
      <c r="AO123" s="82">
        <f t="shared" si="10"/>
        <v>-1.327588214743225E-2</v>
      </c>
      <c r="AT123" s="81">
        <v>45480</v>
      </c>
      <c r="AU123" s="54">
        <v>822.2</v>
      </c>
      <c r="AV123" s="82">
        <f t="shared" si="11"/>
        <v>-3.2421300382465379E-2</v>
      </c>
    </row>
    <row r="124" spans="2:48" x14ac:dyDescent="0.3">
      <c r="B124" s="81">
        <v>45382</v>
      </c>
      <c r="C124" s="54">
        <v>613.29999999999995</v>
      </c>
      <c r="D124" s="82">
        <f t="shared" si="12"/>
        <v>3.7469339423158221E-2</v>
      </c>
      <c r="F124" s="81">
        <v>45382</v>
      </c>
      <c r="G124" s="54">
        <v>22513.7</v>
      </c>
      <c r="H124" s="82">
        <f t="shared" ref="H124:H187" si="13">G124/G125-1</f>
        <v>8.3665891816597782E-3</v>
      </c>
      <c r="AM124" s="81">
        <v>45473</v>
      </c>
      <c r="AN124" s="54">
        <v>429.35</v>
      </c>
      <c r="AO124" s="82">
        <f t="shared" si="10"/>
        <v>1.1646866992776062E-4</v>
      </c>
      <c r="AT124" s="81">
        <v>45473</v>
      </c>
      <c r="AU124" s="54">
        <v>849.75</v>
      </c>
      <c r="AV124" s="82">
        <f t="shared" si="11"/>
        <v>5.775813779797101E-2</v>
      </c>
    </row>
    <row r="125" spans="2:48" x14ac:dyDescent="0.3">
      <c r="B125" s="81">
        <v>45375</v>
      </c>
      <c r="C125" s="54">
        <v>591.15</v>
      </c>
      <c r="D125" s="82">
        <f t="shared" si="12"/>
        <v>6.1215330760254982E-2</v>
      </c>
      <c r="F125" s="81">
        <v>45375</v>
      </c>
      <c r="G125" s="54">
        <v>22326.9</v>
      </c>
      <c r="H125" s="82">
        <f t="shared" si="13"/>
        <v>1.0415558849152129E-2</v>
      </c>
      <c r="AM125" s="81">
        <v>45466</v>
      </c>
      <c r="AN125" s="54">
        <v>429.3</v>
      </c>
      <c r="AO125" s="82">
        <f t="shared" si="10"/>
        <v>-3.7336024217961561E-2</v>
      </c>
      <c r="AT125" s="81">
        <v>45466</v>
      </c>
      <c r="AU125" s="54">
        <v>803.35</v>
      </c>
      <c r="AV125" s="82">
        <f t="shared" si="11"/>
        <v>-3.830729634285035E-2</v>
      </c>
    </row>
    <row r="126" spans="2:48" x14ac:dyDescent="0.3">
      <c r="B126" s="81">
        <v>45368</v>
      </c>
      <c r="C126" s="54">
        <v>557.04999999999995</v>
      </c>
      <c r="D126" s="82">
        <f t="shared" si="12"/>
        <v>-9.3366530321892238E-3</v>
      </c>
      <c r="F126" s="81">
        <v>45368</v>
      </c>
      <c r="G126" s="54">
        <v>22096.75</v>
      </c>
      <c r="H126" s="82">
        <f t="shared" si="13"/>
        <v>3.3328262957270649E-3</v>
      </c>
      <c r="AM126" s="81">
        <v>45459</v>
      </c>
      <c r="AN126" s="54">
        <v>445.95</v>
      </c>
      <c r="AO126" s="82">
        <f t="shared" si="10"/>
        <v>7.9104983613966784E-3</v>
      </c>
      <c r="AT126" s="81">
        <v>45459</v>
      </c>
      <c r="AU126" s="54">
        <v>835.35</v>
      </c>
      <c r="AV126" s="82">
        <f t="shared" si="11"/>
        <v>1.0830106485963276E-2</v>
      </c>
    </row>
    <row r="127" spans="2:48" x14ac:dyDescent="0.3">
      <c r="B127" s="81">
        <v>45361</v>
      </c>
      <c r="C127" s="54">
        <v>562.29999999999995</v>
      </c>
      <c r="D127" s="82">
        <f t="shared" si="12"/>
        <v>-4.3219329589927025E-2</v>
      </c>
      <c r="F127" s="81">
        <v>45361</v>
      </c>
      <c r="G127" s="54">
        <v>22023.35</v>
      </c>
      <c r="H127" s="82">
        <f t="shared" si="13"/>
        <v>-2.0903770191899484E-2</v>
      </c>
      <c r="AM127" s="81">
        <v>45452</v>
      </c>
      <c r="AN127" s="54">
        <v>442.45</v>
      </c>
      <c r="AO127" s="82">
        <f t="shared" si="10"/>
        <v>8.5479826760883615E-3</v>
      </c>
      <c r="AT127" s="81">
        <v>45452</v>
      </c>
      <c r="AU127" s="54">
        <v>826.4</v>
      </c>
      <c r="AV127" s="82">
        <f t="shared" si="11"/>
        <v>6.1484141961405392E-3</v>
      </c>
    </row>
    <row r="128" spans="2:48" x14ac:dyDescent="0.3">
      <c r="B128" s="81">
        <v>45354</v>
      </c>
      <c r="C128" s="54">
        <v>587.70000000000005</v>
      </c>
      <c r="D128" s="82">
        <f t="shared" si="12"/>
        <v>-2.6304624522697218E-3</v>
      </c>
      <c r="F128" s="81">
        <v>45354</v>
      </c>
      <c r="G128" s="54">
        <v>22493.55</v>
      </c>
      <c r="H128" s="82">
        <f t="shared" si="13"/>
        <v>6.929662581836471E-3</v>
      </c>
      <c r="AM128" s="81">
        <v>45445</v>
      </c>
      <c r="AN128" s="54">
        <v>438.7</v>
      </c>
      <c r="AO128" s="82">
        <f t="shared" si="10"/>
        <v>1.6450417052826571E-2</v>
      </c>
      <c r="AT128" s="81">
        <v>45445</v>
      </c>
      <c r="AU128" s="54">
        <v>821.35</v>
      </c>
      <c r="AV128" s="82">
        <f t="shared" si="11"/>
        <v>4.7106068332483542E-2</v>
      </c>
    </row>
    <row r="129" spans="2:48" x14ac:dyDescent="0.3">
      <c r="B129" s="81">
        <v>45347</v>
      </c>
      <c r="C129" s="54">
        <v>589.25</v>
      </c>
      <c r="D129" s="82">
        <f t="shared" si="12"/>
        <v>-8.83095037846926E-3</v>
      </c>
      <c r="F129" s="81">
        <v>45347</v>
      </c>
      <c r="G129" s="54">
        <v>22338.75</v>
      </c>
      <c r="H129" s="82">
        <f t="shared" si="13"/>
        <v>5.6746816010659895E-3</v>
      </c>
      <c r="AM129" s="81">
        <v>45438</v>
      </c>
      <c r="AN129" s="54">
        <v>431.6</v>
      </c>
      <c r="AO129" s="82">
        <f t="shared" si="10"/>
        <v>-8.54963449517957E-2</v>
      </c>
      <c r="AT129" s="81">
        <v>45438</v>
      </c>
      <c r="AU129" s="54">
        <v>784.4</v>
      </c>
      <c r="AV129" s="82">
        <f t="shared" si="11"/>
        <v>1.7511998962251862E-2</v>
      </c>
    </row>
    <row r="130" spans="2:48" x14ac:dyDescent="0.3">
      <c r="B130" s="81">
        <v>45340</v>
      </c>
      <c r="C130" s="54">
        <v>594.5</v>
      </c>
      <c r="D130" s="82">
        <f t="shared" si="12"/>
        <v>0.10594363315040467</v>
      </c>
      <c r="F130" s="81">
        <v>45340</v>
      </c>
      <c r="G130" s="54">
        <v>22212.7</v>
      </c>
      <c r="H130" s="82">
        <f t="shared" si="13"/>
        <v>7.8037448901351336E-3</v>
      </c>
      <c r="AM130" s="81">
        <v>45431</v>
      </c>
      <c r="AN130" s="54">
        <v>471.95</v>
      </c>
      <c r="AO130" s="82">
        <f t="shared" si="10"/>
        <v>-2.2371828068358357E-2</v>
      </c>
      <c r="AT130" s="81">
        <v>45431</v>
      </c>
      <c r="AU130" s="54">
        <v>770.9</v>
      </c>
      <c r="AV130" s="82">
        <f t="shared" si="11"/>
        <v>-1.8149398204164835E-2</v>
      </c>
    </row>
    <row r="131" spans="2:48" x14ac:dyDescent="0.3">
      <c r="B131" s="81">
        <v>45333</v>
      </c>
      <c r="C131" s="54">
        <v>537.54999999999995</v>
      </c>
      <c r="D131" s="82">
        <f t="shared" si="12"/>
        <v>8.631203677643029E-3</v>
      </c>
      <c r="F131" s="81">
        <v>45333</v>
      </c>
      <c r="G131" s="54">
        <v>22040.7</v>
      </c>
      <c r="H131" s="82">
        <f t="shared" si="13"/>
        <v>1.1853552163433978E-2</v>
      </c>
      <c r="AM131" s="81">
        <v>45424</v>
      </c>
      <c r="AN131" s="54">
        <v>482.75</v>
      </c>
      <c r="AO131" s="82">
        <f t="shared" si="10"/>
        <v>-6.2783038287361759E-3</v>
      </c>
      <c r="AT131" s="81">
        <v>45424</v>
      </c>
      <c r="AU131" s="54">
        <v>785.15</v>
      </c>
      <c r="AV131" s="82">
        <f t="shared" si="11"/>
        <v>-5.6480201886679127E-2</v>
      </c>
    </row>
    <row r="132" spans="2:48" x14ac:dyDescent="0.3">
      <c r="B132" s="81">
        <v>45326</v>
      </c>
      <c r="C132" s="54">
        <v>532.95000000000005</v>
      </c>
      <c r="D132" s="82">
        <f t="shared" si="12"/>
        <v>6.590000000000007E-2</v>
      </c>
      <c r="F132" s="81">
        <v>45326</v>
      </c>
      <c r="G132" s="54">
        <v>21782.5</v>
      </c>
      <c r="H132" s="82">
        <f t="shared" si="13"/>
        <v>-3.2625904876955047E-3</v>
      </c>
      <c r="AM132" s="81">
        <v>45417</v>
      </c>
      <c r="AN132" s="54">
        <v>485.8</v>
      </c>
      <c r="AO132" s="82">
        <f t="shared" si="10"/>
        <v>1.8021793797150076E-2</v>
      </c>
      <c r="AT132" s="81">
        <v>45417</v>
      </c>
      <c r="AU132" s="54">
        <v>832.15</v>
      </c>
      <c r="AV132" s="82">
        <f t="shared" si="11"/>
        <v>-4.1412279691279807E-2</v>
      </c>
    </row>
    <row r="133" spans="2:48" x14ac:dyDescent="0.3">
      <c r="B133" s="81">
        <v>45319</v>
      </c>
      <c r="C133" s="54">
        <v>500</v>
      </c>
      <c r="D133" s="82">
        <f t="shared" si="12"/>
        <v>5.5743243243243201E-2</v>
      </c>
      <c r="F133" s="81">
        <v>45319</v>
      </c>
      <c r="G133" s="54">
        <v>21853.8</v>
      </c>
      <c r="H133" s="82">
        <f t="shared" si="13"/>
        <v>2.3472551352060167E-2</v>
      </c>
      <c r="AM133" s="81">
        <v>45410</v>
      </c>
      <c r="AN133" s="54">
        <v>477.2</v>
      </c>
      <c r="AO133" s="82">
        <f t="shared" si="10"/>
        <v>4.8431248683933337E-3</v>
      </c>
      <c r="AT133" s="81">
        <v>45410</v>
      </c>
      <c r="AU133" s="54">
        <v>868.1</v>
      </c>
      <c r="AV133" s="82">
        <f t="shared" si="11"/>
        <v>-1.7764200045259027E-2</v>
      </c>
    </row>
    <row r="134" spans="2:48" x14ac:dyDescent="0.3">
      <c r="B134" s="81">
        <v>45312</v>
      </c>
      <c r="C134" s="54">
        <v>473.6</v>
      </c>
      <c r="D134" s="82">
        <f t="shared" si="12"/>
        <v>-1.7834923268353342E-2</v>
      </c>
      <c r="F134" s="81">
        <v>45312</v>
      </c>
      <c r="G134" s="54">
        <v>21352.6</v>
      </c>
      <c r="H134" s="82">
        <f t="shared" si="13"/>
        <v>-1.2477800799171379E-2</v>
      </c>
      <c r="AM134" s="81">
        <v>45403</v>
      </c>
      <c r="AN134" s="54">
        <v>474.9</v>
      </c>
      <c r="AO134" s="82">
        <f t="shared" si="10"/>
        <v>4.7535017094959553E-2</v>
      </c>
      <c r="AT134" s="81">
        <v>45403</v>
      </c>
      <c r="AU134" s="54">
        <v>883.8</v>
      </c>
      <c r="AV134" s="82">
        <f t="shared" si="11"/>
        <v>4.7177854828623911E-3</v>
      </c>
    </row>
    <row r="135" spans="2:48" x14ac:dyDescent="0.3">
      <c r="B135" s="81">
        <v>45305</v>
      </c>
      <c r="C135" s="54">
        <v>482.2</v>
      </c>
      <c r="D135" s="82">
        <f t="shared" si="12"/>
        <v>4.47405481529628E-2</v>
      </c>
      <c r="F135" s="81">
        <v>45305</v>
      </c>
      <c r="G135" s="54">
        <v>21622.400000000001</v>
      </c>
      <c r="H135" s="82">
        <f t="shared" si="13"/>
        <v>-1.2430033958222397E-2</v>
      </c>
      <c r="AM135" s="81">
        <v>45396</v>
      </c>
      <c r="AN135" s="54">
        <v>453.35</v>
      </c>
      <c r="AO135" s="82">
        <f t="shared" si="10"/>
        <v>-4.6281687177868958E-2</v>
      </c>
      <c r="AT135" s="81">
        <v>45396</v>
      </c>
      <c r="AU135" s="54">
        <v>879.65</v>
      </c>
      <c r="AV135" s="82">
        <f t="shared" si="11"/>
        <v>4.4533257208108079E-3</v>
      </c>
    </row>
    <row r="136" spans="2:48" x14ac:dyDescent="0.3">
      <c r="B136" s="81">
        <v>45298</v>
      </c>
      <c r="C136" s="54">
        <v>461.55</v>
      </c>
      <c r="D136" s="82">
        <f t="shared" si="12"/>
        <v>1.2060081131454847E-2</v>
      </c>
      <c r="F136" s="81">
        <v>45298</v>
      </c>
      <c r="G136" s="54">
        <v>21894.55</v>
      </c>
      <c r="H136" s="82">
        <f t="shared" si="13"/>
        <v>8.4635296718684749E-3</v>
      </c>
      <c r="AM136" s="81">
        <v>45389</v>
      </c>
      <c r="AN136" s="54">
        <v>475.35</v>
      </c>
      <c r="AO136" s="82">
        <f t="shared" ref="AO136:AO199" si="14">AN136/AN137-1</f>
        <v>-8.1377151799686409E-3</v>
      </c>
      <c r="AT136" s="81">
        <v>45389</v>
      </c>
      <c r="AU136" s="54">
        <v>875.75</v>
      </c>
      <c r="AV136" s="82">
        <f t="shared" ref="AV136:AV199" si="15">AU136/AU137-1</f>
        <v>2.9204371841579535E-2</v>
      </c>
    </row>
    <row r="137" spans="2:48" x14ac:dyDescent="0.3">
      <c r="B137" s="81">
        <v>45291</v>
      </c>
      <c r="C137" s="54">
        <v>456.05</v>
      </c>
      <c r="D137" s="82">
        <f t="shared" si="12"/>
        <v>4.0378692825367768E-2</v>
      </c>
      <c r="F137" s="81">
        <v>45291</v>
      </c>
      <c r="G137" s="54">
        <v>21710.799999999999</v>
      </c>
      <c r="H137" s="82">
        <f t="shared" si="13"/>
        <v>-9.479370864280412E-4</v>
      </c>
      <c r="AM137" s="81">
        <v>45382</v>
      </c>
      <c r="AN137" s="54">
        <v>479.25</v>
      </c>
      <c r="AO137" s="82">
        <f t="shared" si="14"/>
        <v>6.6184649610678603E-2</v>
      </c>
      <c r="AT137" s="81">
        <v>45382</v>
      </c>
      <c r="AU137" s="54">
        <v>850.9</v>
      </c>
      <c r="AV137" s="82">
        <f t="shared" si="15"/>
        <v>-3.668062945771533E-2</v>
      </c>
    </row>
    <row r="138" spans="2:48" x14ac:dyDescent="0.3">
      <c r="B138" s="81">
        <v>45284</v>
      </c>
      <c r="C138" s="54">
        <v>438.35</v>
      </c>
      <c r="D138" s="82">
        <f t="shared" si="12"/>
        <v>-1.9353369763205341E-3</v>
      </c>
      <c r="F138" s="81">
        <v>45284</v>
      </c>
      <c r="G138" s="54">
        <v>21731.4</v>
      </c>
      <c r="H138" s="82">
        <f t="shared" si="13"/>
        <v>1.7892774504201459E-2</v>
      </c>
      <c r="AM138" s="81">
        <v>45375</v>
      </c>
      <c r="AN138" s="54">
        <v>449.5</v>
      </c>
      <c r="AO138" s="82">
        <f t="shared" si="14"/>
        <v>6.5797273266152922E-2</v>
      </c>
      <c r="AT138" s="81">
        <v>45375</v>
      </c>
      <c r="AU138" s="54">
        <v>883.3</v>
      </c>
      <c r="AV138" s="82">
        <f t="shared" si="15"/>
        <v>7.83787083384202E-2</v>
      </c>
    </row>
    <row r="139" spans="2:48" x14ac:dyDescent="0.3">
      <c r="B139" s="81">
        <v>45277</v>
      </c>
      <c r="C139" s="54">
        <v>439.2</v>
      </c>
      <c r="D139" s="82">
        <f t="shared" si="12"/>
        <v>-1.0235414534288667E-3</v>
      </c>
      <c r="F139" s="81">
        <v>45277</v>
      </c>
      <c r="G139" s="54">
        <v>21349.4</v>
      </c>
      <c r="H139" s="82">
        <f t="shared" si="13"/>
        <v>-4.9984503638732525E-3</v>
      </c>
      <c r="AM139" s="81">
        <v>45368</v>
      </c>
      <c r="AN139" s="54">
        <v>421.75</v>
      </c>
      <c r="AO139" s="82">
        <f t="shared" si="14"/>
        <v>1.126963193861652E-2</v>
      </c>
      <c r="AT139" s="81">
        <v>45368</v>
      </c>
      <c r="AU139" s="54">
        <v>819.1</v>
      </c>
      <c r="AV139" s="82">
        <f t="shared" si="15"/>
        <v>0.11404284257055419</v>
      </c>
    </row>
    <row r="140" spans="2:48" x14ac:dyDescent="0.3">
      <c r="B140" s="81">
        <v>45270</v>
      </c>
      <c r="C140" s="54">
        <v>439.65</v>
      </c>
      <c r="D140" s="82">
        <f t="shared" si="12"/>
        <v>9.5292766934558237E-3</v>
      </c>
      <c r="F140" s="81">
        <v>45270</v>
      </c>
      <c r="G140" s="54">
        <v>21456.65</v>
      </c>
      <c r="H140" s="82">
        <f t="shared" si="13"/>
        <v>2.3236239472755438E-2</v>
      </c>
      <c r="AM140" s="81">
        <v>45361</v>
      </c>
      <c r="AN140" s="54">
        <v>417.05</v>
      </c>
      <c r="AO140" s="82">
        <f t="shared" si="14"/>
        <v>-1.8359420972107854E-2</v>
      </c>
      <c r="AT140" s="81">
        <v>45361</v>
      </c>
      <c r="AU140" s="54">
        <v>735.25</v>
      </c>
      <c r="AV140" s="82">
        <f t="shared" si="15"/>
        <v>-2.4220305242203088E-2</v>
      </c>
    </row>
    <row r="141" spans="2:48" x14ac:dyDescent="0.3">
      <c r="B141" s="81">
        <v>45263</v>
      </c>
      <c r="C141" s="54">
        <v>435.5</v>
      </c>
      <c r="D141" s="82">
        <f t="shared" si="12"/>
        <v>2.1341463414634276E-2</v>
      </c>
      <c r="F141" s="81">
        <v>45263</v>
      </c>
      <c r="G141" s="54">
        <v>20969.400000000001</v>
      </c>
      <c r="H141" s="82">
        <f t="shared" si="13"/>
        <v>3.4611380557433069E-2</v>
      </c>
      <c r="AM141" s="81">
        <v>45354</v>
      </c>
      <c r="AN141" s="54">
        <v>424.85</v>
      </c>
      <c r="AO141" s="82">
        <f t="shared" si="14"/>
        <v>4.6170893868505258E-2</v>
      </c>
      <c r="AT141" s="81">
        <v>45354</v>
      </c>
      <c r="AU141" s="54">
        <v>753.5</v>
      </c>
      <c r="AV141" s="82">
        <f t="shared" si="15"/>
        <v>-5.5350090891995163E-2</v>
      </c>
    </row>
    <row r="142" spans="2:48" x14ac:dyDescent="0.3">
      <c r="B142" s="81">
        <v>45256</v>
      </c>
      <c r="C142" s="54">
        <v>426.4</v>
      </c>
      <c r="D142" s="82">
        <f t="shared" si="12"/>
        <v>1.4030915576694447E-2</v>
      </c>
      <c r="F142" s="81">
        <v>45256</v>
      </c>
      <c r="G142" s="54">
        <v>20267.900000000001</v>
      </c>
      <c r="H142" s="82">
        <f t="shared" si="13"/>
        <v>2.3905388816198414E-2</v>
      </c>
      <c r="AM142" s="81">
        <v>45347</v>
      </c>
      <c r="AN142" s="54">
        <v>406.1</v>
      </c>
      <c r="AO142" s="82">
        <f t="shared" si="14"/>
        <v>-3.068614213820986E-3</v>
      </c>
      <c r="AT142" s="81">
        <v>45347</v>
      </c>
      <c r="AU142" s="54">
        <v>797.65</v>
      </c>
      <c r="AV142" s="82">
        <f t="shared" si="15"/>
        <v>-7.5509967547519707E-2</v>
      </c>
    </row>
    <row r="143" spans="2:48" x14ac:dyDescent="0.3">
      <c r="B143" s="81">
        <v>45249</v>
      </c>
      <c r="C143" s="54">
        <v>420.5</v>
      </c>
      <c r="D143" s="82">
        <f t="shared" si="12"/>
        <v>2.2616731517509647E-2</v>
      </c>
      <c r="F143" s="81">
        <v>45249</v>
      </c>
      <c r="G143" s="54">
        <v>19794.7</v>
      </c>
      <c r="H143" s="82">
        <f t="shared" si="13"/>
        <v>3.1877476966115648E-3</v>
      </c>
      <c r="AM143" s="81">
        <v>45340</v>
      </c>
      <c r="AN143" s="54">
        <v>407.35</v>
      </c>
      <c r="AO143" s="82">
        <f t="shared" si="14"/>
        <v>3.2049657968077128E-2</v>
      </c>
      <c r="AT143" s="81">
        <v>45340</v>
      </c>
      <c r="AU143" s="54">
        <v>862.8</v>
      </c>
      <c r="AV143" s="82">
        <f t="shared" si="15"/>
        <v>5.1843653521290722E-3</v>
      </c>
    </row>
    <row r="144" spans="2:48" x14ac:dyDescent="0.3">
      <c r="B144" s="81">
        <v>45242</v>
      </c>
      <c r="C144" s="54">
        <v>411.2</v>
      </c>
      <c r="D144" s="82">
        <f t="shared" si="12"/>
        <v>4.2740261326168483E-3</v>
      </c>
      <c r="F144" s="81">
        <v>45242</v>
      </c>
      <c r="G144" s="54">
        <v>19731.8</v>
      </c>
      <c r="H144" s="82">
        <f t="shared" si="13"/>
        <v>1.5775777527818002E-2</v>
      </c>
      <c r="AM144" s="81">
        <v>45333</v>
      </c>
      <c r="AN144" s="54">
        <v>394.7</v>
      </c>
      <c r="AO144" s="82">
        <f t="shared" si="14"/>
        <v>-3.141104294478525E-2</v>
      </c>
      <c r="AT144" s="81">
        <v>45333</v>
      </c>
      <c r="AU144" s="54">
        <v>858.35</v>
      </c>
      <c r="AV144" s="82">
        <f t="shared" si="15"/>
        <v>4.7854483305865836E-2</v>
      </c>
    </row>
    <row r="145" spans="2:48" x14ac:dyDescent="0.3">
      <c r="B145" s="81">
        <v>45235</v>
      </c>
      <c r="C145" s="54">
        <v>409.45</v>
      </c>
      <c r="D145" s="82">
        <f t="shared" si="12"/>
        <v>4.2122677526088115E-2</v>
      </c>
      <c r="F145" s="81">
        <v>45235</v>
      </c>
      <c r="G145" s="54">
        <v>19425.349999999999</v>
      </c>
      <c r="H145" s="82">
        <f t="shared" si="13"/>
        <v>1.0127089118384225E-2</v>
      </c>
      <c r="AM145" s="81">
        <v>45326</v>
      </c>
      <c r="AN145" s="54">
        <v>407.5</v>
      </c>
      <c r="AO145" s="82">
        <f t="shared" si="14"/>
        <v>0.20206489675516215</v>
      </c>
      <c r="AT145" s="81">
        <v>45326</v>
      </c>
      <c r="AU145" s="54">
        <v>819.15</v>
      </c>
      <c r="AV145" s="82">
        <f t="shared" si="15"/>
        <v>4.1380625476735267E-2</v>
      </c>
    </row>
    <row r="146" spans="2:48" x14ac:dyDescent="0.3">
      <c r="B146" s="81">
        <v>45228</v>
      </c>
      <c r="C146" s="54">
        <v>392.9</v>
      </c>
      <c r="D146" s="82">
        <f t="shared" si="12"/>
        <v>4.89921238819917E-2</v>
      </c>
      <c r="F146" s="81">
        <v>45228</v>
      </c>
      <c r="G146" s="54">
        <v>19230.599999999999</v>
      </c>
      <c r="H146" s="82">
        <f t="shared" si="13"/>
        <v>9.6260615049414966E-3</v>
      </c>
      <c r="AM146" s="81">
        <v>45319</v>
      </c>
      <c r="AN146" s="54">
        <v>339</v>
      </c>
      <c r="AO146" s="82">
        <f t="shared" si="14"/>
        <v>9.196327911096791E-2</v>
      </c>
      <c r="AT146" s="81">
        <v>45319</v>
      </c>
      <c r="AU146" s="54">
        <v>786.6</v>
      </c>
      <c r="AV146" s="82">
        <f t="shared" si="15"/>
        <v>3.2418952618453956E-2</v>
      </c>
    </row>
    <row r="147" spans="2:48" x14ac:dyDescent="0.3">
      <c r="B147" s="81">
        <v>45221</v>
      </c>
      <c r="C147" s="54">
        <v>374.55</v>
      </c>
      <c r="D147" s="82">
        <f t="shared" si="12"/>
        <v>-7.507099641931092E-2</v>
      </c>
      <c r="F147" s="81">
        <v>45221</v>
      </c>
      <c r="G147" s="54">
        <v>19047.25</v>
      </c>
      <c r="H147" s="82">
        <f t="shared" si="13"/>
        <v>-2.5349683896503383E-2</v>
      </c>
      <c r="AM147" s="81">
        <v>45312</v>
      </c>
      <c r="AN147" s="54">
        <v>310.45</v>
      </c>
      <c r="AO147" s="82">
        <f t="shared" si="14"/>
        <v>7.6269717455364816E-2</v>
      </c>
      <c r="AT147" s="81">
        <v>45312</v>
      </c>
      <c r="AU147" s="54">
        <v>761.9</v>
      </c>
      <c r="AV147" s="82">
        <f t="shared" si="15"/>
        <v>6.2325711098717207E-2</v>
      </c>
    </row>
    <row r="148" spans="2:48" x14ac:dyDescent="0.3">
      <c r="B148" s="81">
        <v>45214</v>
      </c>
      <c r="C148" s="54">
        <v>404.95</v>
      </c>
      <c r="D148" s="82">
        <f t="shared" si="12"/>
        <v>-2.3628691983122341E-2</v>
      </c>
      <c r="F148" s="81">
        <v>45214</v>
      </c>
      <c r="G148" s="54">
        <v>19542.650000000001</v>
      </c>
      <c r="H148" s="82">
        <f t="shared" si="13"/>
        <v>-1.0551337776978809E-2</v>
      </c>
      <c r="AM148" s="81">
        <v>45305</v>
      </c>
      <c r="AN148" s="54">
        <v>288.45</v>
      </c>
      <c r="AO148" s="82">
        <f t="shared" si="14"/>
        <v>3.1283518055059023E-2</v>
      </c>
      <c r="AT148" s="81">
        <v>45305</v>
      </c>
      <c r="AU148" s="54">
        <v>717.2</v>
      </c>
      <c r="AV148" s="82">
        <f t="shared" si="15"/>
        <v>-4.2584434654919234E-2</v>
      </c>
    </row>
    <row r="149" spans="2:48" x14ac:dyDescent="0.3">
      <c r="B149" s="81">
        <v>45207</v>
      </c>
      <c r="C149" s="54">
        <v>414.75</v>
      </c>
      <c r="D149" s="82">
        <f t="shared" si="12"/>
        <v>-1.9387634472159854E-2</v>
      </c>
      <c r="F149" s="81">
        <v>45207</v>
      </c>
      <c r="G149" s="54">
        <v>19751.05</v>
      </c>
      <c r="H149" s="82">
        <f t="shared" si="13"/>
        <v>4.9634925076957881E-3</v>
      </c>
      <c r="AM149" s="81">
        <v>45298</v>
      </c>
      <c r="AN149" s="54">
        <v>279.7</v>
      </c>
      <c r="AO149" s="82">
        <f t="shared" si="14"/>
        <v>1.7908309455587634E-3</v>
      </c>
      <c r="AT149" s="81">
        <v>45298</v>
      </c>
      <c r="AU149" s="54">
        <v>749.1</v>
      </c>
      <c r="AV149" s="82">
        <f t="shared" si="15"/>
        <v>9.3496825049266485E-2</v>
      </c>
    </row>
    <row r="150" spans="2:48" x14ac:dyDescent="0.3">
      <c r="B150" s="81">
        <v>45200</v>
      </c>
      <c r="C150" s="54">
        <v>422.95</v>
      </c>
      <c r="D150" s="82">
        <f t="shared" si="12"/>
        <v>2.882510338117239E-2</v>
      </c>
      <c r="F150" s="81">
        <v>45200</v>
      </c>
      <c r="G150" s="54">
        <v>19653.5</v>
      </c>
      <c r="H150" s="82">
        <f t="shared" si="13"/>
        <v>7.7399774929598486E-4</v>
      </c>
      <c r="AM150" s="81">
        <v>45291</v>
      </c>
      <c r="AN150" s="54">
        <v>279.2</v>
      </c>
      <c r="AO150" s="82">
        <f t="shared" si="14"/>
        <v>0.11903807615230466</v>
      </c>
      <c r="AT150" s="81">
        <v>45291</v>
      </c>
      <c r="AU150" s="54">
        <v>685.05</v>
      </c>
      <c r="AV150" s="82">
        <f t="shared" si="15"/>
        <v>-1.6368727116088833E-2</v>
      </c>
    </row>
    <row r="151" spans="2:48" x14ac:dyDescent="0.3">
      <c r="B151" s="81">
        <v>45193</v>
      </c>
      <c r="C151" s="54">
        <v>411.1</v>
      </c>
      <c r="D151" s="82">
        <f t="shared" si="12"/>
        <v>1.1938461538461675E-2</v>
      </c>
      <c r="F151" s="81">
        <v>45193</v>
      </c>
      <c r="G151" s="54">
        <v>19638.3</v>
      </c>
      <c r="H151" s="82">
        <f t="shared" si="13"/>
        <v>-1.8272615220402688E-3</v>
      </c>
      <c r="AM151" s="81">
        <v>45284</v>
      </c>
      <c r="AN151" s="54">
        <v>249.5</v>
      </c>
      <c r="AO151" s="82">
        <f t="shared" si="14"/>
        <v>5.0305198905493453E-2</v>
      </c>
      <c r="AT151" s="81">
        <v>45284</v>
      </c>
      <c r="AU151" s="54">
        <v>696.45</v>
      </c>
      <c r="AV151" s="82">
        <f t="shared" si="15"/>
        <v>6.6130884041331939E-2</v>
      </c>
    </row>
    <row r="152" spans="2:48" x14ac:dyDescent="0.3">
      <c r="B152" s="81">
        <v>45186</v>
      </c>
      <c r="C152" s="54">
        <v>406.25</v>
      </c>
      <c r="D152" s="82">
        <f t="shared" si="12"/>
        <v>-2.4960998439937598E-2</v>
      </c>
      <c r="F152" s="81">
        <v>45186</v>
      </c>
      <c r="G152" s="54">
        <v>19674.25</v>
      </c>
      <c r="H152" s="82">
        <f t="shared" si="13"/>
        <v>-2.5658231954180599E-2</v>
      </c>
      <c r="AM152" s="81">
        <v>45277</v>
      </c>
      <c r="AN152" s="54">
        <v>237.55</v>
      </c>
      <c r="AO152" s="82">
        <f t="shared" si="14"/>
        <v>-2.5435897435897359E-2</v>
      </c>
      <c r="AT152" s="81">
        <v>45277</v>
      </c>
      <c r="AU152" s="54">
        <v>653.25</v>
      </c>
      <c r="AV152" s="82">
        <f t="shared" si="15"/>
        <v>-3.5437430786268043E-2</v>
      </c>
    </row>
    <row r="153" spans="2:48" x14ac:dyDescent="0.3">
      <c r="B153" s="81">
        <v>45179</v>
      </c>
      <c r="C153" s="54">
        <v>416.65</v>
      </c>
      <c r="D153" s="82">
        <f t="shared" si="12"/>
        <v>-3.003142823885474E-2</v>
      </c>
      <c r="F153" s="81">
        <v>45179</v>
      </c>
      <c r="G153" s="54">
        <v>20192.349999999999</v>
      </c>
      <c r="H153" s="82">
        <f t="shared" si="13"/>
        <v>1.8789149316723597E-2</v>
      </c>
      <c r="AM153" s="81">
        <v>45270</v>
      </c>
      <c r="AN153" s="54">
        <v>243.75</v>
      </c>
      <c r="AO153" s="82">
        <f t="shared" si="14"/>
        <v>-1.4554275318374721E-2</v>
      </c>
      <c r="AT153" s="81">
        <v>45270</v>
      </c>
      <c r="AU153" s="54">
        <v>677.25</v>
      </c>
      <c r="AV153" s="82">
        <f t="shared" si="15"/>
        <v>0.16166380789022305</v>
      </c>
    </row>
    <row r="154" spans="2:48" x14ac:dyDescent="0.3">
      <c r="B154" s="81">
        <v>45172</v>
      </c>
      <c r="C154" s="54">
        <v>429.55</v>
      </c>
      <c r="D154" s="82">
        <f t="shared" si="12"/>
        <v>1.2492634060106145E-2</v>
      </c>
      <c r="F154" s="81">
        <v>45172</v>
      </c>
      <c r="G154" s="54">
        <v>19819.95</v>
      </c>
      <c r="H154" s="82">
        <f t="shared" si="13"/>
        <v>1.9791307569216876E-2</v>
      </c>
      <c r="AM154" s="81">
        <v>45263</v>
      </c>
      <c r="AN154" s="54">
        <v>247.35</v>
      </c>
      <c r="AO154" s="82">
        <f t="shared" si="14"/>
        <v>4.7205757832345485E-2</v>
      </c>
      <c r="AT154" s="81">
        <v>45263</v>
      </c>
      <c r="AU154" s="54">
        <v>583</v>
      </c>
      <c r="AV154" s="82">
        <f t="shared" si="15"/>
        <v>-2.7369141293192012E-3</v>
      </c>
    </row>
    <row r="155" spans="2:48" x14ac:dyDescent="0.3">
      <c r="B155" s="81">
        <v>45165</v>
      </c>
      <c r="C155" s="54">
        <v>424.25</v>
      </c>
      <c r="D155" s="82">
        <f t="shared" si="12"/>
        <v>8.2270408163265252E-2</v>
      </c>
      <c r="F155" s="81">
        <v>45165</v>
      </c>
      <c r="G155" s="54">
        <v>19435.3</v>
      </c>
      <c r="H155" s="82">
        <f t="shared" si="13"/>
        <v>8.7979736112697715E-3</v>
      </c>
      <c r="AM155" s="81">
        <v>45256</v>
      </c>
      <c r="AN155" s="54">
        <v>236.2</v>
      </c>
      <c r="AO155" s="82">
        <f t="shared" si="14"/>
        <v>6.8201193520887049E-3</v>
      </c>
      <c r="AT155" s="81">
        <v>45256</v>
      </c>
      <c r="AU155" s="54">
        <v>584.6</v>
      </c>
      <c r="AV155" s="82">
        <f t="shared" si="15"/>
        <v>-5.6131995237284071E-3</v>
      </c>
    </row>
    <row r="156" spans="2:48" x14ac:dyDescent="0.3">
      <c r="B156" s="81">
        <v>45158</v>
      </c>
      <c r="C156" s="54">
        <v>392</v>
      </c>
      <c r="D156" s="82">
        <f t="shared" si="12"/>
        <v>2.7119088169789141E-2</v>
      </c>
      <c r="F156" s="81">
        <v>45158</v>
      </c>
      <c r="G156" s="54">
        <v>19265.8</v>
      </c>
      <c r="H156" s="82">
        <f t="shared" si="13"/>
        <v>-2.2967196008317758E-3</v>
      </c>
      <c r="AM156" s="81">
        <v>45249</v>
      </c>
      <c r="AN156" s="54">
        <v>234.6</v>
      </c>
      <c r="AO156" s="82">
        <f t="shared" si="14"/>
        <v>9.0322580645161299E-3</v>
      </c>
      <c r="AT156" s="81">
        <v>45249</v>
      </c>
      <c r="AU156" s="54">
        <v>587.9</v>
      </c>
      <c r="AV156" s="82">
        <f t="shared" si="15"/>
        <v>1.9599488708990087E-3</v>
      </c>
    </row>
    <row r="157" spans="2:48" x14ac:dyDescent="0.3">
      <c r="B157" s="81">
        <v>45151</v>
      </c>
      <c r="C157" s="54">
        <v>381.65</v>
      </c>
      <c r="D157" s="82">
        <f t="shared" si="12"/>
        <v>-1.395168582870443E-2</v>
      </c>
      <c r="F157" s="81">
        <v>45151</v>
      </c>
      <c r="G157" s="54">
        <v>19310.150000000001</v>
      </c>
      <c r="H157" s="82">
        <f t="shared" si="13"/>
        <v>-6.0813349598265454E-3</v>
      </c>
      <c r="AM157" s="81">
        <v>45242</v>
      </c>
      <c r="AN157" s="54">
        <v>232.5</v>
      </c>
      <c r="AO157" s="82">
        <f t="shared" si="14"/>
        <v>7.1474983755686061E-3</v>
      </c>
      <c r="AT157" s="81">
        <v>45242</v>
      </c>
      <c r="AU157" s="54">
        <v>586.75</v>
      </c>
      <c r="AV157" s="82">
        <f t="shared" si="15"/>
        <v>4.193051514632895E-3</v>
      </c>
    </row>
    <row r="158" spans="2:48" x14ac:dyDescent="0.3">
      <c r="B158" s="81">
        <v>45144</v>
      </c>
      <c r="C158" s="54">
        <v>387.05</v>
      </c>
      <c r="D158" s="82">
        <f t="shared" si="12"/>
        <v>-2.2230642920298083E-2</v>
      </c>
      <c r="F158" s="81">
        <v>45144</v>
      </c>
      <c r="G158" s="54">
        <v>19428.3</v>
      </c>
      <c r="H158" s="82">
        <f t="shared" si="13"/>
        <v>-4.5447558538710409E-3</v>
      </c>
      <c r="AM158" s="81">
        <v>45235</v>
      </c>
      <c r="AN158" s="54">
        <v>230.85</v>
      </c>
      <c r="AO158" s="82">
        <f t="shared" si="14"/>
        <v>3.7061994609164373E-2</v>
      </c>
      <c r="AT158" s="81">
        <v>45235</v>
      </c>
      <c r="AU158" s="54">
        <v>584.29999999999995</v>
      </c>
      <c r="AV158" s="82">
        <f t="shared" si="15"/>
        <v>5.5067974531060049E-3</v>
      </c>
    </row>
    <row r="159" spans="2:48" x14ac:dyDescent="0.3">
      <c r="B159" s="81">
        <v>45137</v>
      </c>
      <c r="C159" s="54">
        <v>395.85</v>
      </c>
      <c r="D159" s="82">
        <f t="shared" si="12"/>
        <v>1.072386058981234E-2</v>
      </c>
      <c r="F159" s="81">
        <v>45137</v>
      </c>
      <c r="G159" s="54">
        <v>19517</v>
      </c>
      <c r="H159" s="82">
        <f t="shared" si="13"/>
        <v>-6.568750461288575E-3</v>
      </c>
      <c r="AM159" s="81">
        <v>45228</v>
      </c>
      <c r="AN159" s="54">
        <v>222.6</v>
      </c>
      <c r="AO159" s="82">
        <f t="shared" si="14"/>
        <v>5.3229240596167404E-2</v>
      </c>
      <c r="AT159" s="81">
        <v>45228</v>
      </c>
      <c r="AU159" s="54">
        <v>581.1</v>
      </c>
      <c r="AV159" s="82">
        <f t="shared" si="15"/>
        <v>3.30666666666668E-2</v>
      </c>
    </row>
    <row r="160" spans="2:48" x14ac:dyDescent="0.3">
      <c r="B160" s="81">
        <v>45130</v>
      </c>
      <c r="C160" s="54">
        <v>391.65</v>
      </c>
      <c r="D160" s="82">
        <f t="shared" si="12"/>
        <v>-5.3333333333334121E-3</v>
      </c>
      <c r="F160" s="81">
        <v>45130</v>
      </c>
      <c r="G160" s="54">
        <v>19646.05</v>
      </c>
      <c r="H160" s="82">
        <f t="shared" si="13"/>
        <v>-5.0113952899468739E-3</v>
      </c>
      <c r="AM160" s="81">
        <v>45221</v>
      </c>
      <c r="AN160" s="54">
        <v>211.35</v>
      </c>
      <c r="AO160" s="82">
        <f t="shared" si="14"/>
        <v>-5.3091397849462374E-2</v>
      </c>
      <c r="AT160" s="81">
        <v>45221</v>
      </c>
      <c r="AU160" s="54">
        <v>562.5</v>
      </c>
      <c r="AV160" s="82">
        <f t="shared" si="15"/>
        <v>-3.37541870651894E-2</v>
      </c>
    </row>
    <row r="161" spans="2:48" x14ac:dyDescent="0.3">
      <c r="B161" s="81">
        <v>45123</v>
      </c>
      <c r="C161" s="54">
        <v>393.75</v>
      </c>
      <c r="D161" s="82">
        <f t="shared" si="12"/>
        <v>1.0522263569870516E-2</v>
      </c>
      <c r="F161" s="81">
        <v>45123</v>
      </c>
      <c r="G161" s="54">
        <v>19745</v>
      </c>
      <c r="H161" s="82">
        <f t="shared" si="13"/>
        <v>9.225893838329613E-3</v>
      </c>
      <c r="AM161" s="81">
        <v>45214</v>
      </c>
      <c r="AN161" s="54">
        <v>223.2</v>
      </c>
      <c r="AO161" s="82">
        <f t="shared" si="14"/>
        <v>-3.0408340573414461E-2</v>
      </c>
      <c r="AT161" s="81">
        <v>45214</v>
      </c>
      <c r="AU161" s="54">
        <v>582.15</v>
      </c>
      <c r="AV161" s="82">
        <f t="shared" si="15"/>
        <v>-2.2500209890017553E-2</v>
      </c>
    </row>
    <row r="162" spans="2:48" x14ac:dyDescent="0.3">
      <c r="B162" s="81">
        <v>45116</v>
      </c>
      <c r="C162" s="54">
        <v>389.65</v>
      </c>
      <c r="D162" s="82">
        <f t="shared" si="12"/>
        <v>1.8825990325532782E-2</v>
      </c>
      <c r="F162" s="81">
        <v>45116</v>
      </c>
      <c r="G162" s="54">
        <v>19564.5</v>
      </c>
      <c r="H162" s="82">
        <f t="shared" si="13"/>
        <v>1.2037161567986399E-2</v>
      </c>
      <c r="AM162" s="81">
        <v>45207</v>
      </c>
      <c r="AN162" s="54">
        <v>230.2</v>
      </c>
      <c r="AO162" s="82">
        <f t="shared" si="14"/>
        <v>-2.684421898118805E-2</v>
      </c>
      <c r="AT162" s="81">
        <v>45207</v>
      </c>
      <c r="AU162" s="54">
        <v>595.54999999999995</v>
      </c>
      <c r="AV162" s="82">
        <f t="shared" si="15"/>
        <v>-2.2165667843362602E-2</v>
      </c>
    </row>
    <row r="163" spans="2:48" x14ac:dyDescent="0.3">
      <c r="B163" s="81">
        <v>45109</v>
      </c>
      <c r="C163" s="54">
        <v>382.45</v>
      </c>
      <c r="D163" s="82">
        <f t="shared" si="12"/>
        <v>-2.5605095541401335E-2</v>
      </c>
      <c r="F163" s="81">
        <v>45109</v>
      </c>
      <c r="G163" s="54">
        <v>19331.8</v>
      </c>
      <c r="H163" s="82">
        <f t="shared" si="13"/>
        <v>7.4391384669902916E-3</v>
      </c>
      <c r="AM163" s="81">
        <v>45200</v>
      </c>
      <c r="AN163" s="54">
        <v>236.55</v>
      </c>
      <c r="AO163" s="82">
        <f t="shared" si="14"/>
        <v>6.0524546065904516E-2</v>
      </c>
      <c r="AT163" s="81">
        <v>45200</v>
      </c>
      <c r="AU163" s="54">
        <v>609.04999999999995</v>
      </c>
      <c r="AV163" s="82">
        <f t="shared" si="15"/>
        <v>9.2564355547582577E-2</v>
      </c>
    </row>
    <row r="164" spans="2:48" x14ac:dyDescent="0.3">
      <c r="B164" s="81">
        <v>45102</v>
      </c>
      <c r="C164" s="54">
        <v>392.5</v>
      </c>
      <c r="D164" s="82">
        <f t="shared" si="12"/>
        <v>3.1808622502628836E-2</v>
      </c>
      <c r="F164" s="81">
        <v>45102</v>
      </c>
      <c r="G164" s="54">
        <v>19189.05</v>
      </c>
      <c r="H164" s="82">
        <f t="shared" si="13"/>
        <v>2.8049074495727355E-2</v>
      </c>
      <c r="AM164" s="81">
        <v>45193</v>
      </c>
      <c r="AN164" s="54">
        <v>223.05</v>
      </c>
      <c r="AO164" s="82">
        <f t="shared" si="14"/>
        <v>-4.4139704306835115E-2</v>
      </c>
      <c r="AT164" s="81">
        <v>45193</v>
      </c>
      <c r="AU164" s="54">
        <v>557.45000000000005</v>
      </c>
      <c r="AV164" s="82">
        <f t="shared" si="15"/>
        <v>1.492944924897599E-2</v>
      </c>
    </row>
    <row r="165" spans="2:48" x14ac:dyDescent="0.3">
      <c r="B165" s="81">
        <v>45095</v>
      </c>
      <c r="C165" s="54">
        <v>380.4</v>
      </c>
      <c r="D165" s="82">
        <f t="shared" si="12"/>
        <v>-5.6664600123992659E-2</v>
      </c>
      <c r="F165" s="81">
        <v>45095</v>
      </c>
      <c r="G165" s="54">
        <v>18665.5</v>
      </c>
      <c r="H165" s="82">
        <f t="shared" si="13"/>
        <v>-8.5254435355359703E-3</v>
      </c>
      <c r="AM165" s="81">
        <v>45186</v>
      </c>
      <c r="AN165" s="54">
        <v>233.35</v>
      </c>
      <c r="AO165" s="82">
        <f t="shared" si="14"/>
        <v>-1.3944643989013406E-2</v>
      </c>
      <c r="AT165" s="81">
        <v>45186</v>
      </c>
      <c r="AU165" s="54">
        <v>549.25</v>
      </c>
      <c r="AV165" s="82">
        <f t="shared" si="15"/>
        <v>-1.9108849004375483E-2</v>
      </c>
    </row>
    <row r="166" spans="2:48" x14ac:dyDescent="0.3">
      <c r="B166" s="81">
        <v>45088</v>
      </c>
      <c r="C166" s="54">
        <v>403.25</v>
      </c>
      <c r="D166" s="82">
        <f t="shared" si="12"/>
        <v>5.5766461578740767E-2</v>
      </c>
      <c r="F166" s="81">
        <v>45088</v>
      </c>
      <c r="G166" s="54">
        <v>18826</v>
      </c>
      <c r="H166" s="82">
        <f t="shared" si="13"/>
        <v>1.4146115474535925E-2</v>
      </c>
      <c r="AM166" s="81">
        <v>45179</v>
      </c>
      <c r="AN166" s="54">
        <v>236.65</v>
      </c>
      <c r="AO166" s="82">
        <f t="shared" si="14"/>
        <v>-5.8296856346995662E-2</v>
      </c>
      <c r="AT166" s="81">
        <v>45179</v>
      </c>
      <c r="AU166" s="54">
        <v>559.95000000000005</v>
      </c>
      <c r="AV166" s="82">
        <f t="shared" si="15"/>
        <v>-9.4640014151776697E-3</v>
      </c>
    </row>
    <row r="167" spans="2:48" x14ac:dyDescent="0.3">
      <c r="B167" s="81">
        <v>45081</v>
      </c>
      <c r="C167" s="54">
        <v>381.95</v>
      </c>
      <c r="D167" s="82">
        <f t="shared" si="12"/>
        <v>-3.4626563882219075E-2</v>
      </c>
      <c r="F167" s="81">
        <v>45081</v>
      </c>
      <c r="G167" s="54">
        <v>18563.400000000001</v>
      </c>
      <c r="H167" s="82">
        <f t="shared" si="13"/>
        <v>1.5808698561032841E-3</v>
      </c>
      <c r="AM167" s="81">
        <v>45172</v>
      </c>
      <c r="AN167" s="54">
        <v>251.3</v>
      </c>
      <c r="AO167" s="82">
        <f t="shared" si="14"/>
        <v>-7.6951331496786013E-2</v>
      </c>
      <c r="AT167" s="81">
        <v>45172</v>
      </c>
      <c r="AU167" s="54">
        <v>565.29999999999995</v>
      </c>
      <c r="AV167" s="82">
        <f t="shared" si="15"/>
        <v>4.5399907535829787E-2</v>
      </c>
    </row>
    <row r="168" spans="2:48" x14ac:dyDescent="0.3">
      <c r="B168" s="81">
        <v>45074</v>
      </c>
      <c r="C168" s="54">
        <v>395.65</v>
      </c>
      <c r="D168" s="82">
        <f t="shared" si="12"/>
        <v>3.0472717801797167E-2</v>
      </c>
      <c r="F168" s="81">
        <v>45074</v>
      </c>
      <c r="G168" s="54">
        <v>18534.099999999999</v>
      </c>
      <c r="H168" s="82">
        <f t="shared" si="13"/>
        <v>1.8784443777755122E-3</v>
      </c>
      <c r="AM168" s="81">
        <v>45165</v>
      </c>
      <c r="AN168" s="54">
        <v>272.25</v>
      </c>
      <c r="AO168" s="82">
        <f t="shared" si="14"/>
        <v>0.15752551020408179</v>
      </c>
      <c r="AT168" s="81">
        <v>45165</v>
      </c>
      <c r="AU168" s="54">
        <v>540.75</v>
      </c>
      <c r="AV168" s="82">
        <f t="shared" si="15"/>
        <v>3.4829202947086468E-2</v>
      </c>
    </row>
    <row r="169" spans="2:48" x14ac:dyDescent="0.3">
      <c r="B169" s="81">
        <v>45067</v>
      </c>
      <c r="C169" s="54">
        <v>383.95</v>
      </c>
      <c r="D169" s="82">
        <f t="shared" si="12"/>
        <v>3.1153484624681038E-2</v>
      </c>
      <c r="F169" s="81">
        <v>45067</v>
      </c>
      <c r="G169" s="54">
        <v>18499.349999999999</v>
      </c>
      <c r="H169" s="82">
        <f t="shared" si="13"/>
        <v>1.6257951811200044E-2</v>
      </c>
      <c r="AM169" s="81">
        <v>45158</v>
      </c>
      <c r="AN169" s="54">
        <v>235.2</v>
      </c>
      <c r="AO169" s="82">
        <f t="shared" si="14"/>
        <v>4.9063336306868877E-2</v>
      </c>
      <c r="AT169" s="81">
        <v>45158</v>
      </c>
      <c r="AU169" s="54">
        <v>522.54999999999995</v>
      </c>
      <c r="AV169" s="82">
        <f t="shared" si="15"/>
        <v>6.5450096849831718E-2</v>
      </c>
    </row>
    <row r="170" spans="2:48" x14ac:dyDescent="0.3">
      <c r="B170" s="81">
        <v>45060</v>
      </c>
      <c r="C170" s="54">
        <v>372.35</v>
      </c>
      <c r="D170" s="82">
        <f t="shared" si="12"/>
        <v>4.1247203579418246E-2</v>
      </c>
      <c r="F170" s="81">
        <v>45060</v>
      </c>
      <c r="G170" s="54">
        <v>18203.400000000001</v>
      </c>
      <c r="H170" s="82">
        <f t="shared" si="13"/>
        <v>-6.0825125035489647E-3</v>
      </c>
      <c r="AM170" s="81">
        <v>45151</v>
      </c>
      <c r="AN170" s="54">
        <v>224.2</v>
      </c>
      <c r="AO170" s="82">
        <f t="shared" si="14"/>
        <v>6.7619047619047468E-2</v>
      </c>
      <c r="AT170" s="81">
        <v>45151</v>
      </c>
      <c r="AU170" s="54">
        <v>490.45</v>
      </c>
      <c r="AV170" s="82">
        <f t="shared" si="15"/>
        <v>-3.5554652580251922E-3</v>
      </c>
    </row>
    <row r="171" spans="2:48" x14ac:dyDescent="0.3">
      <c r="B171" s="81">
        <v>45053</v>
      </c>
      <c r="C171" s="54">
        <v>357.6</v>
      </c>
      <c r="D171" s="82">
        <f t="shared" si="12"/>
        <v>-3.0666294953999307E-3</v>
      </c>
      <c r="F171" s="81">
        <v>45053</v>
      </c>
      <c r="G171" s="54">
        <v>18314.8</v>
      </c>
      <c r="H171" s="82">
        <f t="shared" si="13"/>
        <v>1.3603409153799317E-2</v>
      </c>
      <c r="AM171" s="81">
        <v>45144</v>
      </c>
      <c r="AN171" s="54">
        <v>210</v>
      </c>
      <c r="AO171" s="82">
        <f t="shared" si="14"/>
        <v>3.1048483401003857E-3</v>
      </c>
      <c r="AT171" s="81">
        <v>45144</v>
      </c>
      <c r="AU171" s="54">
        <v>492.2</v>
      </c>
      <c r="AV171" s="82">
        <f t="shared" si="15"/>
        <v>1.088519203121785E-2</v>
      </c>
    </row>
    <row r="172" spans="2:48" x14ac:dyDescent="0.3">
      <c r="B172" s="81">
        <v>45046</v>
      </c>
      <c r="C172" s="54">
        <v>358.7</v>
      </c>
      <c r="D172" s="82">
        <f t="shared" si="12"/>
        <v>5.7800058979651903E-2</v>
      </c>
      <c r="F172" s="81">
        <v>45046</v>
      </c>
      <c r="G172" s="54">
        <v>18069</v>
      </c>
      <c r="H172" s="82">
        <f t="shared" si="13"/>
        <v>2.2142264046509652E-4</v>
      </c>
      <c r="AM172" s="81">
        <v>45137</v>
      </c>
      <c r="AN172" s="54">
        <v>209.35</v>
      </c>
      <c r="AO172" s="82">
        <f t="shared" si="14"/>
        <v>-2.4236774644605052E-2</v>
      </c>
      <c r="AT172" s="81">
        <v>45137</v>
      </c>
      <c r="AU172" s="54">
        <v>486.9</v>
      </c>
      <c r="AV172" s="82">
        <f t="shared" si="15"/>
        <v>2.4836876447063672E-2</v>
      </c>
    </row>
    <row r="173" spans="2:48" x14ac:dyDescent="0.3">
      <c r="B173" s="81">
        <v>45039</v>
      </c>
      <c r="C173" s="54">
        <v>339.1</v>
      </c>
      <c r="D173" s="82">
        <f t="shared" si="12"/>
        <v>6.9784706755753323E-3</v>
      </c>
      <c r="F173" s="81">
        <v>45039</v>
      </c>
      <c r="G173" s="54">
        <v>18065</v>
      </c>
      <c r="H173" s="82">
        <f t="shared" si="13"/>
        <v>2.5019788300645995E-2</v>
      </c>
      <c r="AM173" s="81">
        <v>45130</v>
      </c>
      <c r="AN173" s="54">
        <v>214.55</v>
      </c>
      <c r="AO173" s="82">
        <f t="shared" si="14"/>
        <v>-1.8077803203661258E-2</v>
      </c>
      <c r="AT173" s="81">
        <v>45130</v>
      </c>
      <c r="AU173" s="54">
        <v>475.1</v>
      </c>
      <c r="AV173" s="82">
        <f t="shared" si="15"/>
        <v>3.5527462946817856E-2</v>
      </c>
    </row>
    <row r="174" spans="2:48" x14ac:dyDescent="0.3">
      <c r="B174" s="81">
        <v>45032</v>
      </c>
      <c r="C174" s="54">
        <v>336.75</v>
      </c>
      <c r="D174" s="82">
        <f t="shared" si="12"/>
        <v>2.6520347508001807E-2</v>
      </c>
      <c r="F174" s="81">
        <v>45032</v>
      </c>
      <c r="G174" s="54">
        <v>17624.05</v>
      </c>
      <c r="H174" s="82">
        <f t="shared" si="13"/>
        <v>-1.143986986762402E-2</v>
      </c>
      <c r="AM174" s="81">
        <v>45123</v>
      </c>
      <c r="AN174" s="54">
        <v>218.5</v>
      </c>
      <c r="AO174" s="82">
        <f t="shared" si="14"/>
        <v>2.8961619967035501E-2</v>
      </c>
      <c r="AT174" s="81">
        <v>45123</v>
      </c>
      <c r="AU174" s="54">
        <v>458.8</v>
      </c>
      <c r="AV174" s="82">
        <f t="shared" si="15"/>
        <v>1.4370992703957475E-2</v>
      </c>
    </row>
    <row r="175" spans="2:48" x14ac:dyDescent="0.3">
      <c r="B175" s="81">
        <v>45025</v>
      </c>
      <c r="C175" s="54">
        <v>328.05</v>
      </c>
      <c r="D175" s="82">
        <f t="shared" si="12"/>
        <v>3.9785768936495547E-3</v>
      </c>
      <c r="F175" s="81">
        <v>45025</v>
      </c>
      <c r="G175" s="54">
        <v>17828</v>
      </c>
      <c r="H175" s="82">
        <f t="shared" si="13"/>
        <v>1.3003468917532901E-2</v>
      </c>
      <c r="AM175" s="81">
        <v>45116</v>
      </c>
      <c r="AN175" s="54">
        <v>212.35</v>
      </c>
      <c r="AO175" s="82">
        <f t="shared" si="14"/>
        <v>3.007518796992481E-2</v>
      </c>
      <c r="AT175" s="81">
        <v>45116</v>
      </c>
      <c r="AU175" s="54">
        <v>452.3</v>
      </c>
      <c r="AV175" s="82">
        <f t="shared" si="15"/>
        <v>5.4462598643991722E-3</v>
      </c>
    </row>
    <row r="176" spans="2:48" x14ac:dyDescent="0.3">
      <c r="B176" s="81">
        <v>45018</v>
      </c>
      <c r="C176" s="54">
        <v>326.75</v>
      </c>
      <c r="D176" s="82">
        <f t="shared" si="12"/>
        <v>7.3994142130413554E-3</v>
      </c>
      <c r="F176" s="81">
        <v>45018</v>
      </c>
      <c r="G176" s="54">
        <v>17599.150000000001</v>
      </c>
      <c r="H176" s="82">
        <f t="shared" si="13"/>
        <v>1.3790521176860304E-2</v>
      </c>
      <c r="AM176" s="81">
        <v>45109</v>
      </c>
      <c r="AN176" s="54">
        <v>206.15</v>
      </c>
      <c r="AO176" s="82">
        <f t="shared" si="14"/>
        <v>-2.7594339622641462E-2</v>
      </c>
      <c r="AT176" s="81">
        <v>45109</v>
      </c>
      <c r="AU176" s="54">
        <v>449.85</v>
      </c>
      <c r="AV176" s="82">
        <f t="shared" si="15"/>
        <v>4.8357026334187925E-2</v>
      </c>
    </row>
    <row r="177" spans="2:48" x14ac:dyDescent="0.3">
      <c r="B177" s="81">
        <v>45011</v>
      </c>
      <c r="C177" s="54">
        <v>324.35000000000002</v>
      </c>
      <c r="D177" s="82">
        <f t="shared" si="12"/>
        <v>4.4773715574166539E-2</v>
      </c>
      <c r="F177" s="81">
        <v>45011</v>
      </c>
      <c r="G177" s="54">
        <v>17359.75</v>
      </c>
      <c r="H177" s="82">
        <f t="shared" si="13"/>
        <v>2.4473223743807226E-2</v>
      </c>
      <c r="AM177" s="81">
        <v>45102</v>
      </c>
      <c r="AN177" s="54">
        <v>212</v>
      </c>
      <c r="AO177" s="82">
        <f t="shared" si="14"/>
        <v>2.168674698795181E-2</v>
      </c>
      <c r="AT177" s="81">
        <v>45102</v>
      </c>
      <c r="AU177" s="54">
        <v>429.1</v>
      </c>
      <c r="AV177" s="82">
        <f t="shared" si="15"/>
        <v>5.3393887320486E-2</v>
      </c>
    </row>
    <row r="178" spans="2:48" x14ac:dyDescent="0.3">
      <c r="B178" s="81">
        <v>45004</v>
      </c>
      <c r="C178" s="54">
        <v>310.45</v>
      </c>
      <c r="D178" s="82">
        <f t="shared" si="12"/>
        <v>-3.5420226813733247E-2</v>
      </c>
      <c r="F178" s="81">
        <v>45004</v>
      </c>
      <c r="G178" s="54">
        <v>16945.05</v>
      </c>
      <c r="H178" s="82">
        <f t="shared" si="13"/>
        <v>-9.0643009815760678E-3</v>
      </c>
      <c r="AM178" s="81">
        <v>45095</v>
      </c>
      <c r="AN178" s="54">
        <v>207.5</v>
      </c>
      <c r="AO178" s="82">
        <f t="shared" si="14"/>
        <v>-2.3759115502234862E-2</v>
      </c>
      <c r="AT178" s="81">
        <v>45095</v>
      </c>
      <c r="AU178" s="54">
        <v>407.35</v>
      </c>
      <c r="AV178" s="82">
        <f t="shared" si="15"/>
        <v>-4.8025239541948928E-2</v>
      </c>
    </row>
    <row r="179" spans="2:48" x14ac:dyDescent="0.3">
      <c r="B179" s="81">
        <v>44997</v>
      </c>
      <c r="C179" s="54">
        <v>321.85000000000002</v>
      </c>
      <c r="D179" s="82">
        <f t="shared" si="12"/>
        <v>1.4179927524814895E-2</v>
      </c>
      <c r="F179" s="81">
        <v>44997</v>
      </c>
      <c r="G179" s="54">
        <v>17100.05</v>
      </c>
      <c r="H179" s="82">
        <f t="shared" si="13"/>
        <v>-1.796656501788918E-2</v>
      </c>
      <c r="AM179" s="81">
        <v>45088</v>
      </c>
      <c r="AN179" s="54">
        <v>212.55</v>
      </c>
      <c r="AO179" s="82">
        <f t="shared" si="14"/>
        <v>2.4090580582992072E-2</v>
      </c>
      <c r="AT179" s="81">
        <v>45088</v>
      </c>
      <c r="AU179" s="54">
        <v>427.9</v>
      </c>
      <c r="AV179" s="82">
        <f t="shared" si="15"/>
        <v>-1.2120512524529614E-2</v>
      </c>
    </row>
    <row r="180" spans="2:48" x14ac:dyDescent="0.3">
      <c r="B180" s="81">
        <v>44990</v>
      </c>
      <c r="C180" s="54">
        <v>317.35000000000002</v>
      </c>
      <c r="D180" s="82">
        <f t="shared" si="12"/>
        <v>-2.2009118063197608E-3</v>
      </c>
      <c r="F180" s="81">
        <v>44990</v>
      </c>
      <c r="G180" s="54">
        <v>17412.900000000001</v>
      </c>
      <c r="H180" s="82">
        <f t="shared" si="13"/>
        <v>-1.0312969788596749E-2</v>
      </c>
      <c r="AM180" s="81">
        <v>45081</v>
      </c>
      <c r="AN180" s="54">
        <v>207.55</v>
      </c>
      <c r="AO180" s="82">
        <f t="shared" si="14"/>
        <v>-3.2175332245278465E-2</v>
      </c>
      <c r="AT180" s="81">
        <v>45081</v>
      </c>
      <c r="AU180" s="54">
        <v>433.15</v>
      </c>
      <c r="AV180" s="82">
        <f t="shared" si="15"/>
        <v>-6.5366972477064467E-3</v>
      </c>
    </row>
    <row r="181" spans="2:48" x14ac:dyDescent="0.3">
      <c r="B181" s="81">
        <v>44983</v>
      </c>
      <c r="C181" s="54">
        <v>318.05</v>
      </c>
      <c r="D181" s="82">
        <f t="shared" si="12"/>
        <v>2.7293281653746782E-2</v>
      </c>
      <c r="F181" s="81">
        <v>44983</v>
      </c>
      <c r="G181" s="54">
        <v>17594.349999999999</v>
      </c>
      <c r="H181" s="82">
        <f t="shared" si="13"/>
        <v>7.360098020130712E-3</v>
      </c>
      <c r="AM181" s="81">
        <v>45074</v>
      </c>
      <c r="AN181" s="54">
        <v>214.45</v>
      </c>
      <c r="AO181" s="82">
        <f t="shared" si="14"/>
        <v>4.6352768968040969E-2</v>
      </c>
      <c r="AT181" s="81">
        <v>45074</v>
      </c>
      <c r="AU181" s="54">
        <v>436</v>
      </c>
      <c r="AV181" s="82">
        <f t="shared" si="15"/>
        <v>1.24230813885986E-2</v>
      </c>
    </row>
    <row r="182" spans="2:48" x14ac:dyDescent="0.3">
      <c r="B182" s="81">
        <v>44976</v>
      </c>
      <c r="C182" s="54">
        <v>309.60000000000002</v>
      </c>
      <c r="D182" s="82">
        <f t="shared" si="12"/>
        <v>-2.6721156868909191E-2</v>
      </c>
      <c r="F182" s="81">
        <v>44976</v>
      </c>
      <c r="G182" s="54">
        <v>17465.8</v>
      </c>
      <c r="H182" s="82">
        <f t="shared" si="13"/>
        <v>-2.6660425095574092E-2</v>
      </c>
      <c r="AM182" s="81">
        <v>45067</v>
      </c>
      <c r="AN182" s="54">
        <v>204.95</v>
      </c>
      <c r="AO182" s="82">
        <f t="shared" si="14"/>
        <v>-1.4616321559074441E-3</v>
      </c>
      <c r="AT182" s="81">
        <v>45067</v>
      </c>
      <c r="AU182" s="54">
        <v>430.65</v>
      </c>
      <c r="AV182" s="82">
        <f t="shared" si="15"/>
        <v>1.9776640297812786E-3</v>
      </c>
    </row>
    <row r="183" spans="2:48" x14ac:dyDescent="0.3">
      <c r="B183" s="81">
        <v>44969</v>
      </c>
      <c r="C183" s="54">
        <v>318.10000000000002</v>
      </c>
      <c r="D183" s="82">
        <f t="shared" si="12"/>
        <v>-1.7451737451737337E-2</v>
      </c>
      <c r="F183" s="81">
        <v>44969</v>
      </c>
      <c r="G183" s="54">
        <v>17944.2</v>
      </c>
      <c r="H183" s="82">
        <f t="shared" si="13"/>
        <v>4.9113768095652155E-3</v>
      </c>
      <c r="AM183" s="81">
        <v>45060</v>
      </c>
      <c r="AN183" s="54">
        <v>205.25</v>
      </c>
      <c r="AO183" s="82">
        <f t="shared" si="14"/>
        <v>8.3685322069693813E-2</v>
      </c>
      <c r="AT183" s="81">
        <v>45060</v>
      </c>
      <c r="AU183" s="54">
        <v>429.8</v>
      </c>
      <c r="AV183" s="82">
        <f t="shared" si="15"/>
        <v>2.9584381363037648E-2</v>
      </c>
    </row>
    <row r="184" spans="2:48" x14ac:dyDescent="0.3">
      <c r="B184" s="81">
        <v>44962</v>
      </c>
      <c r="C184" s="54">
        <v>323.75</v>
      </c>
      <c r="D184" s="82">
        <f t="shared" si="12"/>
        <v>1.728201099764326E-2</v>
      </c>
      <c r="F184" s="81">
        <v>44962</v>
      </c>
      <c r="G184" s="54">
        <v>17856.5</v>
      </c>
      <c r="H184" s="82">
        <f t="shared" si="13"/>
        <v>1.372237671564136E-4</v>
      </c>
      <c r="AM184" s="81">
        <v>45053</v>
      </c>
      <c r="AN184" s="54">
        <v>189.4</v>
      </c>
      <c r="AO184" s="82">
        <f t="shared" si="14"/>
        <v>2.1299541655432908E-2</v>
      </c>
      <c r="AT184" s="81">
        <v>45053</v>
      </c>
      <c r="AU184" s="54">
        <v>417.45</v>
      </c>
      <c r="AV184" s="82">
        <f t="shared" si="15"/>
        <v>0.10451117872734494</v>
      </c>
    </row>
    <row r="185" spans="2:48" x14ac:dyDescent="0.3">
      <c r="B185" s="81">
        <v>44955</v>
      </c>
      <c r="C185" s="54">
        <v>318.25</v>
      </c>
      <c r="D185" s="82">
        <f t="shared" si="12"/>
        <v>0.1110141385931227</v>
      </c>
      <c r="F185" s="81">
        <v>44955</v>
      </c>
      <c r="G185" s="54">
        <v>17854.05</v>
      </c>
      <c r="H185" s="82">
        <f t="shared" si="13"/>
        <v>1.4183994296864233E-2</v>
      </c>
      <c r="AM185" s="81">
        <v>45046</v>
      </c>
      <c r="AN185" s="54">
        <v>185.45</v>
      </c>
      <c r="AO185" s="82">
        <f t="shared" si="14"/>
        <v>-1.7483443708609325E-2</v>
      </c>
      <c r="AT185" s="81">
        <v>45046</v>
      </c>
      <c r="AU185" s="54">
        <v>377.95</v>
      </c>
      <c r="AV185" s="82">
        <f t="shared" si="15"/>
        <v>-1.6011455350169346E-2</v>
      </c>
    </row>
    <row r="186" spans="2:48" x14ac:dyDescent="0.3">
      <c r="B186" s="81">
        <v>44948</v>
      </c>
      <c r="C186" s="54">
        <v>286.45</v>
      </c>
      <c r="D186" s="82">
        <f t="shared" si="12"/>
        <v>-3.0790052444594873E-2</v>
      </c>
      <c r="F186" s="81">
        <v>44948</v>
      </c>
      <c r="G186" s="54">
        <v>17604.349999999999</v>
      </c>
      <c r="H186" s="82">
        <f t="shared" si="13"/>
        <v>-2.3480597859399488E-2</v>
      </c>
      <c r="AM186" s="81">
        <v>45039</v>
      </c>
      <c r="AN186" s="54">
        <v>188.75</v>
      </c>
      <c r="AO186" s="82">
        <f t="shared" si="14"/>
        <v>0.10541727672035139</v>
      </c>
      <c r="AT186" s="81">
        <v>45039</v>
      </c>
      <c r="AU186" s="54">
        <v>384.1</v>
      </c>
      <c r="AV186" s="82">
        <f t="shared" si="15"/>
        <v>3.1972058033315598E-2</v>
      </c>
    </row>
    <row r="187" spans="2:48" x14ac:dyDescent="0.3">
      <c r="B187" s="81">
        <v>44941</v>
      </c>
      <c r="C187" s="54">
        <v>295.55</v>
      </c>
      <c r="D187" s="82">
        <f t="shared" ref="D187:D188" si="16">C187/C188-1</f>
        <v>-4.4609665427509326E-2</v>
      </c>
      <c r="F187" s="81">
        <v>44941</v>
      </c>
      <c r="G187" s="54">
        <v>18027.650000000001</v>
      </c>
      <c r="H187" s="82">
        <f t="shared" si="13"/>
        <v>3.9567624160476988E-3</v>
      </c>
      <c r="AM187" s="81">
        <v>45032</v>
      </c>
      <c r="AN187" s="54">
        <v>170.75</v>
      </c>
      <c r="AO187" s="82">
        <f t="shared" si="14"/>
        <v>-1.4619883040936088E-3</v>
      </c>
      <c r="AT187" s="81">
        <v>45032</v>
      </c>
      <c r="AU187" s="54">
        <v>372.2</v>
      </c>
      <c r="AV187" s="82">
        <f t="shared" si="15"/>
        <v>3.0596704970234034E-2</v>
      </c>
    </row>
    <row r="188" spans="2:48" x14ac:dyDescent="0.3">
      <c r="B188" s="81">
        <v>44934</v>
      </c>
      <c r="C188" s="54">
        <v>309.35000000000002</v>
      </c>
      <c r="D188" s="82">
        <f t="shared" si="16"/>
        <v>-3.0615533354817481E-3</v>
      </c>
      <c r="F188" s="81">
        <v>44934</v>
      </c>
      <c r="G188" s="54">
        <v>17956.599999999999</v>
      </c>
      <c r="H188" s="82">
        <f t="shared" ref="H188" si="17">G188/G189-1</f>
        <v>5.4396971911228054E-3</v>
      </c>
      <c r="AM188" s="81">
        <v>45025</v>
      </c>
      <c r="AN188" s="54">
        <v>171</v>
      </c>
      <c r="AO188" s="82">
        <f t="shared" si="14"/>
        <v>4.3637473298748786E-2</v>
      </c>
      <c r="AT188" s="81">
        <v>45025</v>
      </c>
      <c r="AU188" s="54">
        <v>361.15</v>
      </c>
      <c r="AV188" s="82">
        <f t="shared" si="15"/>
        <v>-3.311715192493625E-3</v>
      </c>
    </row>
    <row r="189" spans="2:48" x14ac:dyDescent="0.3">
      <c r="B189" s="81">
        <v>44927</v>
      </c>
      <c r="C189" s="54">
        <v>310.3</v>
      </c>
      <c r="D189" s="82"/>
      <c r="F189" s="81">
        <v>44927</v>
      </c>
      <c r="G189" s="54">
        <v>17859.45</v>
      </c>
      <c r="H189" s="82"/>
      <c r="AM189" s="81">
        <v>45018</v>
      </c>
      <c r="AN189" s="54">
        <v>163.85</v>
      </c>
      <c r="AO189" s="82">
        <f t="shared" si="14"/>
        <v>-1.0866284334440146E-2</v>
      </c>
      <c r="AT189" s="81">
        <v>45018</v>
      </c>
      <c r="AU189" s="54">
        <v>362.35</v>
      </c>
      <c r="AV189" s="82">
        <f t="shared" si="15"/>
        <v>-2.202946440864495E-3</v>
      </c>
    </row>
    <row r="190" spans="2:48" x14ac:dyDescent="0.3">
      <c r="AM190" s="81">
        <v>45011</v>
      </c>
      <c r="AN190" s="54">
        <v>165.65</v>
      </c>
      <c r="AO190" s="82">
        <f t="shared" si="14"/>
        <v>6.2880975296759845E-2</v>
      </c>
      <c r="AT190" s="81">
        <v>45011</v>
      </c>
      <c r="AU190" s="54">
        <v>363.15</v>
      </c>
      <c r="AV190" s="82">
        <f t="shared" si="15"/>
        <v>5.5378651529836009E-3</v>
      </c>
    </row>
    <row r="191" spans="2:48" x14ac:dyDescent="0.3">
      <c r="AM191" s="81">
        <v>45004</v>
      </c>
      <c r="AN191" s="54">
        <v>155.85</v>
      </c>
      <c r="AO191" s="82">
        <f t="shared" si="14"/>
        <v>-4.2690417690417815E-2</v>
      </c>
      <c r="AT191" s="81">
        <v>45004</v>
      </c>
      <c r="AU191" s="54">
        <v>361.15</v>
      </c>
      <c r="AV191" s="82">
        <f t="shared" si="15"/>
        <v>-1.4059514059514111E-2</v>
      </c>
    </row>
    <row r="192" spans="2:48" x14ac:dyDescent="0.3">
      <c r="AM192" s="81">
        <v>44997</v>
      </c>
      <c r="AN192" s="54">
        <v>162.80000000000001</v>
      </c>
      <c r="AO192" s="82">
        <f t="shared" si="14"/>
        <v>-1.8981620970171642E-2</v>
      </c>
      <c r="AT192" s="81">
        <v>44997</v>
      </c>
      <c r="AU192" s="54">
        <v>366.3</v>
      </c>
      <c r="AV192" s="82">
        <f t="shared" si="15"/>
        <v>-2.6186361823740456E-2</v>
      </c>
    </row>
    <row r="193" spans="39:48" x14ac:dyDescent="0.3">
      <c r="AM193" s="81">
        <v>44990</v>
      </c>
      <c r="AN193" s="54">
        <v>165.95</v>
      </c>
      <c r="AO193" s="82">
        <f t="shared" si="14"/>
        <v>3.3634381812519321E-2</v>
      </c>
      <c r="AT193" s="81">
        <v>44990</v>
      </c>
      <c r="AU193" s="54">
        <v>376.15</v>
      </c>
      <c r="AV193" s="82">
        <f t="shared" si="15"/>
        <v>4.2544345898004376E-2</v>
      </c>
    </row>
    <row r="194" spans="39:48" x14ac:dyDescent="0.3">
      <c r="AM194" s="81">
        <v>44983</v>
      </c>
      <c r="AN194" s="54">
        <v>160.55000000000001</v>
      </c>
      <c r="AO194" s="82">
        <f t="shared" si="14"/>
        <v>-1.19999999999999E-2</v>
      </c>
      <c r="AT194" s="81">
        <v>44983</v>
      </c>
      <c r="AU194" s="54">
        <v>360.8</v>
      </c>
      <c r="AV194" s="82">
        <f t="shared" si="15"/>
        <v>-6.6079295154184425E-3</v>
      </c>
    </row>
    <row r="195" spans="39:48" x14ac:dyDescent="0.3">
      <c r="AM195" s="81">
        <v>44976</v>
      </c>
      <c r="AN195" s="54">
        <v>162.5</v>
      </c>
      <c r="AO195" s="82">
        <f t="shared" si="14"/>
        <v>-8.2392432102532664E-3</v>
      </c>
      <c r="AT195" s="81">
        <v>44976</v>
      </c>
      <c r="AU195" s="54">
        <v>363.2</v>
      </c>
      <c r="AV195" s="82">
        <f t="shared" si="15"/>
        <v>1.2405237767056931E-3</v>
      </c>
    </row>
    <row r="196" spans="39:48" x14ac:dyDescent="0.3">
      <c r="AM196" s="81">
        <v>44969</v>
      </c>
      <c r="AN196" s="54">
        <v>163.85</v>
      </c>
      <c r="AO196" s="82">
        <f t="shared" si="14"/>
        <v>-4.6552225778294987E-2</v>
      </c>
      <c r="AT196" s="81">
        <v>44969</v>
      </c>
      <c r="AU196" s="54">
        <v>362.75</v>
      </c>
      <c r="AV196" s="82">
        <f t="shared" si="15"/>
        <v>7.0794003331482447E-3</v>
      </c>
    </row>
    <row r="197" spans="39:48" x14ac:dyDescent="0.3">
      <c r="AM197" s="81">
        <v>44962</v>
      </c>
      <c r="AN197" s="54">
        <v>171.85</v>
      </c>
      <c r="AO197" s="82">
        <f t="shared" si="14"/>
        <v>2.9350104821803003E-2</v>
      </c>
      <c r="AT197" s="81">
        <v>44962</v>
      </c>
      <c r="AU197" s="54">
        <v>360.2</v>
      </c>
      <c r="AV197" s="82">
        <f t="shared" si="15"/>
        <v>-4.2847270214236843E-3</v>
      </c>
    </row>
    <row r="198" spans="39:48" x14ac:dyDescent="0.3">
      <c r="AM198" s="81">
        <v>44955</v>
      </c>
      <c r="AN198" s="54">
        <v>166.95</v>
      </c>
      <c r="AO198" s="82">
        <f t="shared" si="14"/>
        <v>3.9215686274509665E-2</v>
      </c>
      <c r="AT198" s="81">
        <v>44955</v>
      </c>
      <c r="AU198" s="54">
        <v>361.75</v>
      </c>
      <c r="AV198" s="82">
        <f t="shared" si="15"/>
        <v>3.150841174793273E-2</v>
      </c>
    </row>
    <row r="199" spans="39:48" x14ac:dyDescent="0.3">
      <c r="AM199" s="81">
        <v>44948</v>
      </c>
      <c r="AN199" s="54">
        <v>160.65</v>
      </c>
      <c r="AO199" s="82">
        <f t="shared" si="14"/>
        <v>-4.4318857822724489E-2</v>
      </c>
      <c r="AT199" s="81">
        <v>44948</v>
      </c>
      <c r="AU199" s="54">
        <v>350.7</v>
      </c>
      <c r="AV199" s="82">
        <f t="shared" si="15"/>
        <v>3.1015728355137551E-2</v>
      </c>
    </row>
    <row r="200" spans="39:48" x14ac:dyDescent="0.3">
      <c r="AM200" s="81">
        <v>44941</v>
      </c>
      <c r="AN200" s="54">
        <v>168.1</v>
      </c>
      <c r="AO200" s="82">
        <f t="shared" ref="AO200:AO214" si="18">AN200/AN201-1</f>
        <v>-3.8604518158421475E-2</v>
      </c>
      <c r="AT200" s="81">
        <v>44941</v>
      </c>
      <c r="AU200" s="54">
        <v>340.15</v>
      </c>
      <c r="AV200" s="82">
        <f t="shared" ref="AV200:AV214" si="19">AU200/AU201-1</f>
        <v>9.0477603085137304E-3</v>
      </c>
    </row>
    <row r="201" spans="39:48" x14ac:dyDescent="0.3">
      <c r="AM201" s="81">
        <v>44934</v>
      </c>
      <c r="AN201" s="54">
        <v>174.85</v>
      </c>
      <c r="AO201" s="82">
        <f t="shared" si="18"/>
        <v>-1.18677592540265E-2</v>
      </c>
      <c r="AT201" s="81">
        <v>44934</v>
      </c>
      <c r="AU201" s="54">
        <v>337.1</v>
      </c>
      <c r="AV201" s="82">
        <f t="shared" si="19"/>
        <v>9.1303697051339228E-3</v>
      </c>
    </row>
    <row r="202" spans="39:48" x14ac:dyDescent="0.3">
      <c r="AM202" s="81">
        <v>44927</v>
      </c>
      <c r="AN202" s="54">
        <v>176.95</v>
      </c>
      <c r="AO202" s="82">
        <f t="shared" si="18"/>
        <v>-1.9740552735477701E-3</v>
      </c>
      <c r="AT202" s="81">
        <v>44927</v>
      </c>
      <c r="AU202" s="54">
        <v>334.05</v>
      </c>
      <c r="AV202" s="82">
        <f t="shared" si="19"/>
        <v>-3.8843331894691357E-2</v>
      </c>
    </row>
    <row r="203" spans="39:48" x14ac:dyDescent="0.3">
      <c r="AM203" s="81">
        <v>44920</v>
      </c>
      <c r="AN203" s="54">
        <v>177.3</v>
      </c>
      <c r="AO203" s="82">
        <f t="shared" si="18"/>
        <v>0.11861198738170353</v>
      </c>
      <c r="AT203" s="81">
        <v>44920</v>
      </c>
      <c r="AU203" s="54">
        <v>347.55</v>
      </c>
      <c r="AV203" s="82">
        <f t="shared" si="19"/>
        <v>9.1037513734107733E-2</v>
      </c>
    </row>
    <row r="204" spans="39:48" x14ac:dyDescent="0.3">
      <c r="AM204" s="81">
        <v>44913</v>
      </c>
      <c r="AN204" s="54">
        <v>158.5</v>
      </c>
      <c r="AO204" s="82">
        <f t="shared" si="18"/>
        <v>-0.11625313632562029</v>
      </c>
      <c r="AT204" s="81">
        <v>44913</v>
      </c>
      <c r="AU204" s="54">
        <v>318.55</v>
      </c>
      <c r="AV204" s="82">
        <f t="shared" si="19"/>
        <v>-0.10153715978000277</v>
      </c>
    </row>
    <row r="205" spans="39:48" x14ac:dyDescent="0.3">
      <c r="AM205" s="81">
        <v>44906</v>
      </c>
      <c r="AN205" s="54">
        <v>179.35</v>
      </c>
      <c r="AO205" s="82">
        <f t="shared" si="18"/>
        <v>-2.1816198527406572E-2</v>
      </c>
      <c r="AT205" s="81">
        <v>44906</v>
      </c>
      <c r="AU205" s="54">
        <v>354.55</v>
      </c>
      <c r="AV205" s="82">
        <f t="shared" si="19"/>
        <v>-1.5958923119622548E-2</v>
      </c>
    </row>
    <row r="206" spans="39:48" x14ac:dyDescent="0.3">
      <c r="AM206" s="81">
        <v>44899</v>
      </c>
      <c r="AN206" s="54">
        <v>183.35</v>
      </c>
      <c r="AO206" s="82">
        <f t="shared" si="18"/>
        <v>4.2057402671213495E-2</v>
      </c>
      <c r="AT206" s="81">
        <v>44899</v>
      </c>
      <c r="AU206" s="54">
        <v>360.3</v>
      </c>
      <c r="AV206" s="82">
        <f t="shared" si="19"/>
        <v>-2.105692161391115E-2</v>
      </c>
    </row>
    <row r="207" spans="39:48" x14ac:dyDescent="0.3">
      <c r="AM207" s="81">
        <v>44892</v>
      </c>
      <c r="AN207" s="54">
        <v>175.95</v>
      </c>
      <c r="AO207" s="82">
        <f t="shared" si="18"/>
        <v>-5.9322033898305815E-3</v>
      </c>
      <c r="AT207" s="81">
        <v>44892</v>
      </c>
      <c r="AU207" s="54">
        <v>368.05</v>
      </c>
      <c r="AV207" s="82">
        <f t="shared" si="19"/>
        <v>1.6431924882629012E-2</v>
      </c>
    </row>
    <row r="208" spans="39:48" x14ac:dyDescent="0.3">
      <c r="AM208" s="81">
        <v>44885</v>
      </c>
      <c r="AN208" s="54">
        <v>177</v>
      </c>
      <c r="AO208" s="82">
        <f t="shared" si="18"/>
        <v>6.6586321181078656E-2</v>
      </c>
      <c r="AT208" s="81">
        <v>44885</v>
      </c>
      <c r="AU208" s="54">
        <v>362.1</v>
      </c>
      <c r="AV208" s="82">
        <f t="shared" si="19"/>
        <v>0.13564371961737498</v>
      </c>
    </row>
    <row r="209" spans="39:48" x14ac:dyDescent="0.3">
      <c r="AM209" s="81">
        <v>44878</v>
      </c>
      <c r="AN209" s="54">
        <v>165.95</v>
      </c>
      <c r="AO209" s="82">
        <f t="shared" si="18"/>
        <v>-0.10127267803953433</v>
      </c>
      <c r="AT209" s="81">
        <v>44878</v>
      </c>
      <c r="AU209" s="54">
        <v>318.85000000000002</v>
      </c>
      <c r="AV209" s="82">
        <f t="shared" si="19"/>
        <v>-0.11467444120505332</v>
      </c>
    </row>
    <row r="210" spans="39:48" x14ac:dyDescent="0.3">
      <c r="AM210" s="81">
        <v>44871</v>
      </c>
      <c r="AN210" s="54">
        <v>184.65</v>
      </c>
      <c r="AO210" s="82">
        <f t="shared" si="18"/>
        <v>-1.15096359743041E-2</v>
      </c>
      <c r="AT210" s="81">
        <v>44871</v>
      </c>
      <c r="AU210" s="54">
        <v>360.15</v>
      </c>
      <c r="AV210" s="82">
        <f t="shared" si="19"/>
        <v>-2.2924579489962182E-2</v>
      </c>
    </row>
    <row r="211" spans="39:48" x14ac:dyDescent="0.3">
      <c r="AM211" s="81">
        <v>44864</v>
      </c>
      <c r="AN211" s="54">
        <v>186.8</v>
      </c>
      <c r="AO211" s="82">
        <f t="shared" si="18"/>
        <v>-1.1640211640211562E-2</v>
      </c>
      <c r="AT211" s="81">
        <v>44864</v>
      </c>
      <c r="AU211" s="54">
        <v>368.6</v>
      </c>
      <c r="AV211" s="82">
        <f t="shared" si="19"/>
        <v>1.6266887234629213E-2</v>
      </c>
    </row>
    <row r="212" spans="39:48" x14ac:dyDescent="0.3">
      <c r="AM212" s="81">
        <v>44857</v>
      </c>
      <c r="AN212" s="54">
        <v>189</v>
      </c>
      <c r="AO212" s="82">
        <f t="shared" si="18"/>
        <v>-6.3091482649841879E-3</v>
      </c>
      <c r="AT212" s="81">
        <v>44857</v>
      </c>
      <c r="AU212" s="54">
        <v>362.7</v>
      </c>
      <c r="AV212" s="82">
        <f t="shared" si="19"/>
        <v>-6.1821003621314152E-2</v>
      </c>
    </row>
    <row r="213" spans="39:48" x14ac:dyDescent="0.3">
      <c r="AM213" s="81">
        <v>44850</v>
      </c>
      <c r="AN213" s="54">
        <v>190.2</v>
      </c>
      <c r="AO213" s="82">
        <f t="shared" si="18"/>
        <v>4.3621399176954734E-2</v>
      </c>
      <c r="AT213" s="81">
        <v>44850</v>
      </c>
      <c r="AU213" s="54">
        <v>386.6</v>
      </c>
      <c r="AV213" s="82">
        <f t="shared" si="19"/>
        <v>-6.4624531472146085E-4</v>
      </c>
    </row>
    <row r="214" spans="39:48" x14ac:dyDescent="0.3">
      <c r="AM214" s="81">
        <v>44843</v>
      </c>
      <c r="AN214" s="54">
        <v>182.25</v>
      </c>
      <c r="AO214" s="82" t="e">
        <f t="shared" si="18"/>
        <v>#DIV/0!</v>
      </c>
      <c r="AT214" s="81">
        <v>44843</v>
      </c>
      <c r="AU214" s="54">
        <v>386.85</v>
      </c>
      <c r="AV214" s="82" t="e">
        <f t="shared" si="19"/>
        <v>#DIV/0!</v>
      </c>
    </row>
  </sheetData>
  <mergeCells count="8">
    <mergeCell ref="AF4:AH4"/>
    <mergeCell ref="AM4:AO4"/>
    <mergeCell ref="AT4:AV4"/>
    <mergeCell ref="B2:AY2"/>
    <mergeCell ref="B4:D4"/>
    <mergeCell ref="F4:H4"/>
    <mergeCell ref="S4:T4"/>
    <mergeCell ref="Y4:AA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6A23-0F92-4191-94DD-32C564F2DF99}">
  <dimension ref="B2:S134"/>
  <sheetViews>
    <sheetView showGridLines="0" zoomScale="95" workbookViewId="0">
      <selection activeCell="J23" sqref="J23"/>
    </sheetView>
  </sheetViews>
  <sheetFormatPr defaultRowHeight="14.4" x14ac:dyDescent="0.3"/>
  <cols>
    <col min="1" max="1" width="2.33203125" customWidth="1"/>
    <col min="2" max="2" width="37" bestFit="1" customWidth="1"/>
    <col min="3" max="3" width="13.77734375" bestFit="1" customWidth="1"/>
    <col min="4" max="4" width="15.88671875" bestFit="1" customWidth="1"/>
    <col min="5" max="5" width="18" bestFit="1" customWidth="1"/>
    <col min="6" max="6" width="14.88671875" bestFit="1" customWidth="1"/>
    <col min="7" max="7" width="24.109375" customWidth="1"/>
    <col min="8" max="8" width="11.77734375" bestFit="1" customWidth="1"/>
    <col min="9" max="9" width="15.33203125" bestFit="1" customWidth="1"/>
    <col min="10" max="10" width="19" customWidth="1"/>
    <col min="19" max="19" width="26.44140625" bestFit="1" customWidth="1"/>
  </cols>
  <sheetData>
    <row r="2" spans="2:16" ht="15.6" x14ac:dyDescent="0.3">
      <c r="B2" s="215" t="s">
        <v>148</v>
      </c>
      <c r="C2" s="215"/>
      <c r="D2" s="215"/>
      <c r="E2" s="215"/>
      <c r="F2" s="215"/>
      <c r="G2" s="215"/>
      <c r="H2" s="215"/>
      <c r="I2" s="215"/>
      <c r="J2" s="215"/>
      <c r="K2" s="215"/>
      <c r="L2" s="215"/>
      <c r="M2" s="215"/>
      <c r="N2" s="215"/>
      <c r="O2" s="215"/>
      <c r="P2" s="215"/>
    </row>
    <row r="4" spans="2:16" x14ac:dyDescent="0.3">
      <c r="B4" s="105" t="s">
        <v>162</v>
      </c>
      <c r="C4" s="77"/>
      <c r="G4" s="105" t="s">
        <v>166</v>
      </c>
      <c r="H4" s="105"/>
      <c r="I4" s="105"/>
    </row>
    <row r="6" spans="2:16" x14ac:dyDescent="0.3">
      <c r="B6" t="s">
        <v>163</v>
      </c>
      <c r="C6" s="107">
        <f>221/D35</f>
        <v>7.7911547478450929E-2</v>
      </c>
      <c r="G6" t="s">
        <v>167</v>
      </c>
      <c r="I6" s="108">
        <v>6.7699999999999996E-2</v>
      </c>
      <c r="J6" s="43" t="s">
        <v>219</v>
      </c>
    </row>
    <row r="7" spans="2:16" x14ac:dyDescent="0.3">
      <c r="B7" t="s">
        <v>164</v>
      </c>
      <c r="C7" s="204">
        <v>0.25</v>
      </c>
      <c r="G7" t="s">
        <v>168</v>
      </c>
      <c r="I7" s="109">
        <f>'Beta &amp; WACC Inputs'!W9-WACC!I6</f>
        <v>8.3792307692307708E-2</v>
      </c>
    </row>
    <row r="8" spans="2:16" ht="16.2" x14ac:dyDescent="0.3">
      <c r="B8" s="41" t="s">
        <v>165</v>
      </c>
      <c r="C8" s="110">
        <f>C6*(1-C7)</f>
        <v>5.84336606088382E-2</v>
      </c>
      <c r="G8" t="s">
        <v>217</v>
      </c>
      <c r="I8" s="34">
        <f>'Beta &amp; WACC Inputs'!K13</f>
        <v>1.2402090555948773</v>
      </c>
    </row>
    <row r="9" spans="2:16" x14ac:dyDescent="0.3">
      <c r="G9" s="41" t="s">
        <v>166</v>
      </c>
      <c r="H9" s="41"/>
      <c r="I9" s="110">
        <f>I6+(I7*I8)</f>
        <v>0.1716199787891923</v>
      </c>
    </row>
    <row r="12" spans="2:16" x14ac:dyDescent="0.3">
      <c r="B12" s="105" t="s">
        <v>169</v>
      </c>
      <c r="C12" s="105"/>
      <c r="D12" s="105"/>
    </row>
    <row r="14" spans="2:16" x14ac:dyDescent="0.3">
      <c r="D14" s="111" t="s">
        <v>170</v>
      </c>
    </row>
    <row r="15" spans="2:16" x14ac:dyDescent="0.3">
      <c r="B15" t="s">
        <v>577</v>
      </c>
      <c r="C15" s="89">
        <f>SUM('Data for IG'!I7:I10)</f>
        <v>2837</v>
      </c>
      <c r="D15" s="18">
        <f>C15/$C$17</f>
        <v>2.7008905132101347E-2</v>
      </c>
    </row>
    <row r="16" spans="2:16" x14ac:dyDescent="0.3">
      <c r="B16" t="s">
        <v>45</v>
      </c>
      <c r="C16" s="89">
        <f>'Data Sheet'!B6*'Data Sheet'!B8</f>
        <v>102202.43</v>
      </c>
      <c r="D16" s="18">
        <f>C16/$C$17</f>
        <v>0.9729910948678987</v>
      </c>
    </row>
    <row r="17" spans="2:11" x14ac:dyDescent="0.3">
      <c r="B17" s="41" t="s">
        <v>171</v>
      </c>
      <c r="C17" s="145">
        <f>SUM(C15:C16)</f>
        <v>105039.43</v>
      </c>
      <c r="D17" s="112">
        <f t="shared" ref="D17" si="0">SUM(D15:D16)</f>
        <v>1</v>
      </c>
    </row>
    <row r="18" spans="2:11" x14ac:dyDescent="0.3">
      <c r="D18" s="83"/>
      <c r="E18" s="83"/>
    </row>
    <row r="20" spans="2:11" x14ac:dyDescent="0.3">
      <c r="B20" t="s">
        <v>175</v>
      </c>
      <c r="D20" s="205">
        <f>D15/D16</f>
        <v>2.7758635484498754E-2</v>
      </c>
      <c r="E20" s="34"/>
      <c r="G20" s="105" t="s">
        <v>176</v>
      </c>
      <c r="H20" s="77"/>
      <c r="I20" s="77"/>
      <c r="J20" s="77"/>
    </row>
    <row r="21" spans="2:11" x14ac:dyDescent="0.3">
      <c r="I21" s="58" t="s">
        <v>178</v>
      </c>
      <c r="J21" s="58" t="s">
        <v>179</v>
      </c>
    </row>
    <row r="22" spans="2:11" x14ac:dyDescent="0.3">
      <c r="B22" s="43" t="s">
        <v>180</v>
      </c>
      <c r="G22" t="s">
        <v>177</v>
      </c>
      <c r="I22" s="30">
        <f>C8</f>
        <v>5.84336606088382E-2</v>
      </c>
      <c r="J22" s="30">
        <f>D15</f>
        <v>2.7008905132101347E-2</v>
      </c>
    </row>
    <row r="23" spans="2:11" x14ac:dyDescent="0.3">
      <c r="B23" s="43" t="s">
        <v>181</v>
      </c>
      <c r="G23" t="s">
        <v>156</v>
      </c>
      <c r="I23" s="30">
        <f>I9</f>
        <v>0.1716199787891923</v>
      </c>
      <c r="J23" s="30">
        <f>D16</f>
        <v>0.9729910948678987</v>
      </c>
    </row>
    <row r="24" spans="2:11" x14ac:dyDescent="0.3">
      <c r="B24" s="43" t="s">
        <v>182</v>
      </c>
      <c r="G24" s="114" t="s">
        <v>176</v>
      </c>
      <c r="H24" s="114"/>
      <c r="I24" s="114"/>
      <c r="J24" s="115">
        <f>SUMPRODUCT(I22:I23,J22:J23)</f>
        <v>0.16856294025920729</v>
      </c>
      <c r="K24" s="2"/>
    </row>
    <row r="27" spans="2:11" s="66" customFormat="1" x14ac:dyDescent="0.3"/>
    <row r="28" spans="2:11" x14ac:dyDescent="0.3">
      <c r="B28" s="43" t="s">
        <v>149</v>
      </c>
    </row>
    <row r="30" spans="2:11" x14ac:dyDescent="0.3">
      <c r="B30" t="s">
        <v>150</v>
      </c>
    </row>
    <row r="31" spans="2:11" ht="15" thickBot="1" x14ac:dyDescent="0.35"/>
    <row r="32" spans="2:11" x14ac:dyDescent="0.3">
      <c r="B32" s="98"/>
      <c r="C32" s="98"/>
      <c r="D32" s="98"/>
      <c r="E32" s="98"/>
      <c r="F32" s="98"/>
      <c r="G32" s="98" t="s">
        <v>155</v>
      </c>
      <c r="H32" s="98" t="s">
        <v>155</v>
      </c>
      <c r="I32" s="98" t="s">
        <v>158</v>
      </c>
      <c r="J32" s="98" t="s">
        <v>159</v>
      </c>
    </row>
    <row r="33" spans="2:10" ht="16.8" thickBot="1" x14ac:dyDescent="0.35">
      <c r="B33" s="88" t="s">
        <v>151</v>
      </c>
      <c r="C33" s="88" t="s">
        <v>152</v>
      </c>
      <c r="D33" s="88" t="s">
        <v>153</v>
      </c>
      <c r="E33" s="88" t="s">
        <v>154</v>
      </c>
      <c r="F33" s="88" t="s">
        <v>364</v>
      </c>
      <c r="G33" s="88" t="s">
        <v>156</v>
      </c>
      <c r="H33" s="88" t="s">
        <v>157</v>
      </c>
      <c r="I33" s="88" t="s">
        <v>365</v>
      </c>
      <c r="J33" s="88" t="s">
        <v>366</v>
      </c>
    </row>
    <row r="35" spans="2:10" x14ac:dyDescent="0.3">
      <c r="B35" s="99" t="s">
        <v>426</v>
      </c>
      <c r="C35" s="99" t="s">
        <v>160</v>
      </c>
      <c r="D35" s="100">
        <v>2836.55</v>
      </c>
      <c r="E35" s="100">
        <v>142.34</v>
      </c>
      <c r="F35" s="101">
        <v>0.3</v>
      </c>
      <c r="G35" s="100">
        <f>D35/E35</f>
        <v>19.927989321343265</v>
      </c>
      <c r="H35" s="178">
        <f>D35/(D35+E35)</f>
        <v>0.95221710100070822</v>
      </c>
      <c r="I35" s="102">
        <f>'Beta &amp; WACC Inputs'!K8</f>
        <v>1.3202787407931698</v>
      </c>
      <c r="J35" s="103">
        <f>I35/(1+(1  -F35)*G35)</f>
        <v>8.8315366361361322E-2</v>
      </c>
    </row>
    <row r="36" spans="2:10" x14ac:dyDescent="0.3">
      <c r="B36" s="99" t="s">
        <v>414</v>
      </c>
      <c r="C36" s="99" t="s">
        <v>160</v>
      </c>
      <c r="D36" s="100">
        <v>74.19</v>
      </c>
      <c r="E36" s="100">
        <v>208.3</v>
      </c>
      <c r="F36" s="101">
        <v>0.3</v>
      </c>
      <c r="G36" s="100">
        <f t="shared" ref="G36:G39" si="1">D36/E36</f>
        <v>0.35616898703792604</v>
      </c>
      <c r="H36" s="178">
        <f t="shared" ref="H36:H39" si="2">D36/(D36+E36)</f>
        <v>0.26262876562002191</v>
      </c>
      <c r="I36" s="102">
        <f>'Beta &amp; WACC Inputs'!AD8</f>
        <v>0.2183862448861828</v>
      </c>
      <c r="J36" s="103">
        <f>I36/(1+(1-F36)*G36)</f>
        <v>0.17480432846638155</v>
      </c>
    </row>
    <row r="37" spans="2:10" x14ac:dyDescent="0.3">
      <c r="B37" s="99" t="s">
        <v>427</v>
      </c>
      <c r="C37" s="99" t="s">
        <v>160</v>
      </c>
      <c r="D37" s="100">
        <v>1810.95</v>
      </c>
      <c r="E37" s="100">
        <v>333.96</v>
      </c>
      <c r="F37" s="101">
        <v>0.3</v>
      </c>
      <c r="G37" s="100">
        <f t="shared" si="1"/>
        <v>5.4226554078332736</v>
      </c>
      <c r="H37" s="178">
        <f t="shared" si="2"/>
        <v>0.84430115948920936</v>
      </c>
      <c r="I37" s="102">
        <f>'Beta &amp; WACC Inputs'!AK8</f>
        <v>0.27759895308918853</v>
      </c>
      <c r="J37" s="103">
        <f>I37/(1+(1-F37)*G37)</f>
        <v>5.7883054006815197E-2</v>
      </c>
    </row>
    <row r="38" spans="2:10" x14ac:dyDescent="0.3">
      <c r="B38" s="99" t="s">
        <v>416</v>
      </c>
      <c r="C38" s="99" t="s">
        <v>160</v>
      </c>
      <c r="D38" s="100">
        <v>252.42</v>
      </c>
      <c r="E38" s="100">
        <v>125.07</v>
      </c>
      <c r="F38" s="101">
        <v>0.3</v>
      </c>
      <c r="G38" s="100">
        <f t="shared" si="1"/>
        <v>2.0182297913168625</v>
      </c>
      <c r="H38" s="178">
        <f t="shared" si="2"/>
        <v>0.66867996503218619</v>
      </c>
      <c r="I38" s="102">
        <f>'Beta &amp; WACC Inputs'!AR8</f>
        <v>0.12666542089171523</v>
      </c>
      <c r="J38" s="103">
        <f t="shared" ref="J38:J39" si="3">I38/(1+(1-F38)*G38)</f>
        <v>5.2498124994786732E-2</v>
      </c>
    </row>
    <row r="39" spans="2:10" x14ac:dyDescent="0.3">
      <c r="B39" s="99" t="s">
        <v>417</v>
      </c>
      <c r="C39" s="99" t="s">
        <v>160</v>
      </c>
      <c r="D39" s="100">
        <v>2367.6799999999998</v>
      </c>
      <c r="E39" s="100">
        <v>218.99</v>
      </c>
      <c r="F39" s="101">
        <v>0.3</v>
      </c>
      <c r="G39" s="100">
        <f t="shared" si="1"/>
        <v>10.811817891227909</v>
      </c>
      <c r="H39" s="178">
        <f t="shared" si="2"/>
        <v>0.91533902662496558</v>
      </c>
      <c r="I39" s="102">
        <f>'Beta &amp; WACC Inputs'!AY8</f>
        <v>0.56239526557849662</v>
      </c>
      <c r="J39" s="103">
        <f t="shared" si="3"/>
        <v>6.5636948872999715E-2</v>
      </c>
    </row>
    <row r="41" spans="2:10" x14ac:dyDescent="0.3">
      <c r="E41" s="38" t="s">
        <v>161</v>
      </c>
      <c r="F41" s="104">
        <f>AVERAGE(F35:F39)</f>
        <v>0.3</v>
      </c>
      <c r="G41" s="179">
        <f t="shared" ref="G41:J41" si="4">AVERAGE(G35:G39)</f>
        <v>7.7073722797518469</v>
      </c>
      <c r="H41" s="179">
        <f t="shared" si="4"/>
        <v>0.72863320355341821</v>
      </c>
      <c r="I41" s="179">
        <f t="shared" si="4"/>
        <v>0.50106492504775058</v>
      </c>
      <c r="J41" s="179">
        <f t="shared" si="4"/>
        <v>8.7827564540468903E-2</v>
      </c>
    </row>
    <row r="42" spans="2:10" x14ac:dyDescent="0.3">
      <c r="E42" s="105" t="s">
        <v>145</v>
      </c>
      <c r="F42" s="106">
        <f>MEDIAN(F35:F39)</f>
        <v>0.3</v>
      </c>
      <c r="G42" s="180">
        <f t="shared" ref="G42:J42" si="5">MEDIAN(G35:G39)</f>
        <v>5.4226554078332736</v>
      </c>
      <c r="H42" s="180">
        <f t="shared" si="5"/>
        <v>0.84430115948920936</v>
      </c>
      <c r="I42" s="180">
        <f t="shared" si="5"/>
        <v>0.27759895308918853</v>
      </c>
      <c r="J42" s="180">
        <f t="shared" si="5"/>
        <v>6.5636948872999715E-2</v>
      </c>
    </row>
    <row r="45" spans="2:10" x14ac:dyDescent="0.3">
      <c r="B45" s="105" t="s">
        <v>172</v>
      </c>
      <c r="C45" s="105"/>
      <c r="D45" s="105"/>
      <c r="E45" s="105"/>
      <c r="G45" s="105" t="s">
        <v>166</v>
      </c>
      <c r="H45" s="105"/>
      <c r="I45" s="105"/>
    </row>
    <row r="47" spans="2:10" x14ac:dyDescent="0.3">
      <c r="B47" t="s">
        <v>173</v>
      </c>
      <c r="E47" s="34">
        <f>J42</f>
        <v>6.5636948872999715E-2</v>
      </c>
      <c r="G47" t="s">
        <v>167</v>
      </c>
      <c r="I47" s="108">
        <v>6.7699999999999996E-2</v>
      </c>
    </row>
    <row r="48" spans="2:10" x14ac:dyDescent="0.3">
      <c r="B48" t="s">
        <v>174</v>
      </c>
      <c r="E48" s="34">
        <f>E20</f>
        <v>0</v>
      </c>
      <c r="G48" t="s">
        <v>168</v>
      </c>
      <c r="I48" s="109">
        <f>'Beta &amp; WACC Inputs'!W9-WACC!I6</f>
        <v>8.3792307692307708E-2</v>
      </c>
    </row>
    <row r="49" spans="2:9" ht="16.2" x14ac:dyDescent="0.3">
      <c r="B49" t="s">
        <v>164</v>
      </c>
      <c r="E49" s="30">
        <f>F35</f>
        <v>0.3</v>
      </c>
      <c r="G49" t="s">
        <v>367</v>
      </c>
      <c r="I49" s="34">
        <f>E50</f>
        <v>6.5636948872999715E-2</v>
      </c>
    </row>
    <row r="50" spans="2:9" x14ac:dyDescent="0.3">
      <c r="B50" s="41" t="s">
        <v>172</v>
      </c>
      <c r="C50" s="41"/>
      <c r="D50" s="41"/>
      <c r="E50" s="113">
        <f>E47*(1+(1-E49)*E48)</f>
        <v>6.5636948872999715E-2</v>
      </c>
      <c r="G50" s="41" t="s">
        <v>166</v>
      </c>
      <c r="H50" s="41"/>
      <c r="I50" s="110">
        <f>I47+(I48*I49)</f>
        <v>7.3199871415950662E-2</v>
      </c>
    </row>
    <row r="99" spans="2:16" ht="23.4" x14ac:dyDescent="0.45">
      <c r="B99" s="21"/>
      <c r="C99" s="21"/>
      <c r="D99" s="21"/>
      <c r="E99" s="21"/>
      <c r="F99" s="21"/>
      <c r="G99" s="21"/>
      <c r="H99" s="21"/>
      <c r="I99" s="21"/>
      <c r="J99" s="21"/>
      <c r="K99" s="21"/>
      <c r="L99" s="21"/>
      <c r="M99" s="21"/>
      <c r="N99" s="21"/>
      <c r="O99" s="21"/>
      <c r="P99" s="21"/>
    </row>
    <row r="100" spans="2:16" ht="23.4" x14ac:dyDescent="0.45">
      <c r="B100" s="21"/>
      <c r="C100" s="21"/>
      <c r="D100" s="21"/>
      <c r="E100" s="21"/>
      <c r="F100" s="21"/>
      <c r="G100" s="21"/>
      <c r="H100" s="21"/>
      <c r="I100" s="21"/>
      <c r="J100" s="21"/>
      <c r="K100" s="21"/>
      <c r="L100" s="21"/>
      <c r="M100" s="21"/>
      <c r="N100" s="21"/>
      <c r="O100" s="21"/>
      <c r="P100" s="21"/>
    </row>
    <row r="101" spans="2:16" ht="23.4" x14ac:dyDescent="0.45">
      <c r="B101" s="21"/>
      <c r="C101" s="21"/>
      <c r="D101" s="21"/>
      <c r="E101" s="21"/>
      <c r="F101" s="21"/>
      <c r="G101" s="21"/>
      <c r="H101" s="21"/>
      <c r="I101" s="21"/>
      <c r="J101" s="21"/>
      <c r="K101" s="21"/>
      <c r="L101" s="21"/>
      <c r="M101" s="21"/>
      <c r="N101" s="21"/>
      <c r="O101" s="21"/>
      <c r="P101" s="21"/>
    </row>
    <row r="102" spans="2:16" ht="23.4" x14ac:dyDescent="0.45">
      <c r="B102" s="21"/>
      <c r="C102" s="21"/>
      <c r="D102" s="21"/>
      <c r="E102" s="21"/>
      <c r="F102" s="21"/>
      <c r="G102" s="21"/>
      <c r="H102" s="21"/>
      <c r="I102" s="21"/>
      <c r="J102" s="21"/>
      <c r="K102" s="21"/>
      <c r="L102" s="21"/>
      <c r="M102" s="21"/>
      <c r="N102" s="21"/>
      <c r="O102" s="21"/>
      <c r="P102" s="21"/>
    </row>
    <row r="103" spans="2:16" ht="23.4" x14ac:dyDescent="0.45">
      <c r="B103" s="21"/>
      <c r="C103" s="21"/>
      <c r="D103" s="21"/>
      <c r="E103" s="21"/>
      <c r="F103" s="21"/>
      <c r="G103" s="21"/>
      <c r="H103" s="21"/>
      <c r="I103" s="21"/>
      <c r="J103" s="21"/>
      <c r="K103" s="21"/>
      <c r="L103" s="21"/>
      <c r="M103" s="21"/>
      <c r="N103" s="21"/>
      <c r="O103" s="21"/>
      <c r="P103" s="21"/>
    </row>
    <row r="104" spans="2:16" ht="23.4" x14ac:dyDescent="0.45">
      <c r="B104" s="21"/>
      <c r="C104" s="21"/>
      <c r="D104" s="21"/>
      <c r="E104" s="21"/>
      <c r="F104" s="21"/>
      <c r="G104" s="21"/>
      <c r="H104" s="21"/>
      <c r="I104" s="21"/>
      <c r="J104" s="21"/>
      <c r="K104" s="21"/>
      <c r="L104" s="21"/>
      <c r="M104" s="21"/>
      <c r="N104" s="21"/>
      <c r="O104" s="21"/>
      <c r="P104" s="21"/>
    </row>
    <row r="105" spans="2:16" ht="23.4" x14ac:dyDescent="0.45">
      <c r="B105" s="21"/>
      <c r="C105" s="21"/>
      <c r="D105" s="21"/>
      <c r="E105" s="21"/>
      <c r="F105" s="21"/>
      <c r="G105" s="21"/>
      <c r="H105" s="21"/>
      <c r="I105" s="21"/>
      <c r="J105" s="21"/>
      <c r="K105" s="21"/>
      <c r="L105" s="21"/>
      <c r="M105" s="21"/>
      <c r="N105" s="21"/>
      <c r="O105" s="21"/>
      <c r="P105" s="21"/>
    </row>
    <row r="106" spans="2:16" ht="23.4" x14ac:dyDescent="0.45">
      <c r="B106" s="21"/>
      <c r="C106" s="21"/>
      <c r="D106" s="21"/>
      <c r="E106" s="21"/>
      <c r="F106" s="21"/>
      <c r="G106" s="21"/>
      <c r="H106" s="21"/>
      <c r="I106" s="21"/>
      <c r="J106" s="21"/>
      <c r="K106" s="21"/>
      <c r="L106" s="21"/>
      <c r="M106" s="21"/>
      <c r="N106" s="21"/>
      <c r="O106" s="21"/>
      <c r="P106" s="21"/>
    </row>
    <row r="107" spans="2:16" ht="23.4" x14ac:dyDescent="0.45">
      <c r="B107" s="21"/>
      <c r="C107" s="21"/>
      <c r="D107" s="21"/>
      <c r="E107" s="21"/>
      <c r="F107" s="21"/>
      <c r="G107" s="21"/>
      <c r="H107" s="21"/>
      <c r="I107" s="21"/>
      <c r="J107" s="21"/>
      <c r="K107" s="21"/>
      <c r="L107" s="21"/>
      <c r="M107" s="21"/>
      <c r="N107" s="21"/>
      <c r="O107" s="21"/>
      <c r="P107" s="21"/>
    </row>
    <row r="108" spans="2:16" ht="23.4" x14ac:dyDescent="0.45">
      <c r="B108" s="21"/>
      <c r="C108" s="21"/>
      <c r="D108" s="21"/>
      <c r="E108" s="21"/>
      <c r="F108" s="21"/>
      <c r="G108" s="21"/>
      <c r="H108" s="21"/>
      <c r="I108" s="21"/>
      <c r="J108" s="21"/>
      <c r="K108" s="21"/>
      <c r="L108" s="21"/>
      <c r="M108" s="21"/>
      <c r="N108" s="21"/>
      <c r="O108" s="21"/>
      <c r="P108" s="21"/>
    </row>
    <row r="109" spans="2:16" ht="23.4" x14ac:dyDescent="0.45">
      <c r="B109" s="21"/>
      <c r="C109" s="21"/>
      <c r="D109" s="21"/>
      <c r="E109" s="21"/>
      <c r="F109" s="21"/>
      <c r="G109" s="21"/>
      <c r="H109" s="21"/>
      <c r="I109" s="21"/>
      <c r="J109" s="21"/>
      <c r="K109" s="21"/>
      <c r="L109" s="21"/>
      <c r="M109" s="21"/>
      <c r="N109" s="21"/>
      <c r="O109" s="21"/>
      <c r="P109" s="21"/>
    </row>
    <row r="110" spans="2:16" ht="23.4" x14ac:dyDescent="0.45">
      <c r="B110" s="21"/>
      <c r="C110" s="21"/>
      <c r="D110" s="21"/>
      <c r="E110" s="21"/>
      <c r="F110" s="21"/>
      <c r="G110" s="21"/>
      <c r="H110" s="21"/>
      <c r="I110" s="21"/>
      <c r="J110" s="21"/>
      <c r="K110" s="21"/>
      <c r="L110" s="21"/>
      <c r="M110" s="21"/>
      <c r="N110" s="21"/>
      <c r="O110" s="21"/>
      <c r="P110" s="21"/>
    </row>
    <row r="111" spans="2:16" ht="23.4" x14ac:dyDescent="0.45">
      <c r="B111" s="21"/>
      <c r="C111" s="21"/>
      <c r="D111" s="21"/>
      <c r="E111" s="21"/>
      <c r="F111" s="21"/>
      <c r="G111" s="21"/>
      <c r="H111" s="21"/>
      <c r="I111" s="21"/>
      <c r="J111" s="21"/>
      <c r="K111" s="21"/>
      <c r="L111" s="21"/>
      <c r="M111" s="21"/>
      <c r="N111" s="21"/>
      <c r="O111" s="21"/>
      <c r="P111" s="21"/>
    </row>
    <row r="112" spans="2:16" ht="23.4" x14ac:dyDescent="0.45">
      <c r="B112" s="21"/>
      <c r="C112" s="21"/>
      <c r="D112" s="21"/>
      <c r="E112" s="21"/>
      <c r="F112" s="21"/>
      <c r="G112" s="21"/>
      <c r="H112" s="21"/>
      <c r="I112" s="21"/>
      <c r="J112" s="21"/>
      <c r="K112" s="21"/>
      <c r="L112" s="21"/>
      <c r="M112" s="21"/>
      <c r="N112" s="21"/>
      <c r="O112" s="21"/>
      <c r="P112" s="21"/>
    </row>
    <row r="113" spans="2:19" ht="23.4" x14ac:dyDescent="0.45">
      <c r="B113" s="21"/>
      <c r="C113" s="21"/>
      <c r="D113" s="21"/>
      <c r="E113" s="21"/>
      <c r="F113" s="21"/>
      <c r="G113" s="21"/>
      <c r="H113" s="21"/>
      <c r="I113" s="21"/>
      <c r="J113" s="21"/>
      <c r="K113" s="21"/>
      <c r="L113" s="21"/>
      <c r="M113" s="21"/>
      <c r="N113" s="21"/>
      <c r="O113" s="21"/>
      <c r="P113" s="21"/>
      <c r="Q113" s="21"/>
    </row>
    <row r="114" spans="2:19" ht="23.4" x14ac:dyDescent="0.45">
      <c r="B114" s="21"/>
      <c r="C114" s="21"/>
      <c r="D114" s="21"/>
      <c r="E114" s="21"/>
      <c r="F114" s="21"/>
      <c r="G114" s="21"/>
      <c r="H114" s="21"/>
      <c r="I114" s="21"/>
      <c r="J114" s="21"/>
      <c r="K114" s="21"/>
      <c r="L114" s="21"/>
      <c r="M114" s="21"/>
      <c r="N114" s="21"/>
      <c r="O114" s="21"/>
      <c r="P114" s="21"/>
      <c r="Q114" s="21"/>
    </row>
    <row r="115" spans="2:19" ht="23.4" x14ac:dyDescent="0.45">
      <c r="B115" s="21"/>
      <c r="C115" s="21"/>
      <c r="D115" s="21"/>
      <c r="E115" s="21"/>
      <c r="F115" s="21"/>
      <c r="G115" s="21"/>
      <c r="H115" s="21"/>
      <c r="I115" s="21"/>
      <c r="J115" s="21"/>
      <c r="K115" s="21"/>
      <c r="L115" s="21"/>
      <c r="M115" s="21"/>
      <c r="N115" s="21"/>
      <c r="O115" s="21"/>
      <c r="P115" s="21"/>
      <c r="Q115" s="21"/>
    </row>
    <row r="116" spans="2:19" ht="23.4" x14ac:dyDescent="0.45">
      <c r="B116" s="21"/>
      <c r="C116" s="21"/>
      <c r="D116" s="21"/>
      <c r="E116" s="21"/>
      <c r="F116" s="21"/>
      <c r="G116" s="21"/>
      <c r="H116" s="21"/>
      <c r="I116" s="21"/>
      <c r="J116" s="21"/>
      <c r="K116" s="21"/>
      <c r="L116" s="21"/>
      <c r="M116" s="21"/>
      <c r="N116" s="21"/>
      <c r="O116" s="21"/>
      <c r="P116" s="21"/>
      <c r="Q116" s="21"/>
    </row>
    <row r="117" spans="2:19" ht="23.4" x14ac:dyDescent="0.45">
      <c r="B117" s="21"/>
      <c r="C117" s="21"/>
      <c r="D117" s="21"/>
      <c r="E117" s="21"/>
      <c r="F117" s="21"/>
      <c r="G117" s="21"/>
      <c r="H117" s="21"/>
      <c r="I117" s="21"/>
      <c r="J117" s="21"/>
      <c r="K117" s="21"/>
      <c r="L117" s="21"/>
      <c r="M117" s="21"/>
      <c r="N117" s="21"/>
      <c r="O117" s="21"/>
      <c r="P117" s="21"/>
      <c r="Q117" s="21"/>
      <c r="R117" s="21"/>
      <c r="S117" s="21"/>
    </row>
    <row r="118" spans="2:19" ht="23.4" x14ac:dyDescent="0.45">
      <c r="B118" s="21"/>
      <c r="C118" s="21"/>
      <c r="D118" s="21"/>
      <c r="E118" s="21"/>
      <c r="F118" s="21"/>
      <c r="G118" s="21"/>
      <c r="H118" s="21"/>
      <c r="I118" s="21"/>
      <c r="J118" s="21"/>
      <c r="K118" s="21"/>
      <c r="L118" s="21"/>
      <c r="M118" s="21"/>
      <c r="N118" s="21"/>
      <c r="O118" s="21"/>
      <c r="P118" s="21"/>
      <c r="Q118" s="21"/>
      <c r="R118" s="21"/>
      <c r="S118" s="21"/>
    </row>
    <row r="119" spans="2:19" ht="23.4" x14ac:dyDescent="0.45">
      <c r="B119" s="21"/>
      <c r="C119" s="21"/>
      <c r="D119" s="21"/>
      <c r="E119" s="21"/>
      <c r="F119" s="21"/>
      <c r="G119" s="21"/>
      <c r="H119" s="21"/>
      <c r="I119" s="21"/>
      <c r="J119" s="21"/>
      <c r="K119" s="21"/>
      <c r="L119" s="21"/>
      <c r="M119" s="21"/>
      <c r="N119" s="21"/>
      <c r="O119" s="21"/>
      <c r="P119" s="21"/>
      <c r="Q119" s="21"/>
      <c r="R119" s="21"/>
      <c r="S119" s="21"/>
    </row>
    <row r="120" spans="2:19" ht="23.4" x14ac:dyDescent="0.45">
      <c r="B120" s="21"/>
      <c r="C120" s="21"/>
      <c r="D120" s="21"/>
      <c r="E120" s="21"/>
      <c r="F120" s="21"/>
      <c r="G120" s="21"/>
      <c r="H120" s="21"/>
      <c r="I120" s="21"/>
      <c r="J120" s="21"/>
      <c r="K120" s="21"/>
      <c r="L120" s="21"/>
      <c r="M120" s="21"/>
      <c r="N120" s="21"/>
      <c r="O120" s="21"/>
      <c r="P120" s="21"/>
      <c r="Q120" s="21"/>
      <c r="R120" s="21"/>
      <c r="S120" s="21"/>
    </row>
    <row r="121" spans="2:19" ht="23.4" x14ac:dyDescent="0.45">
      <c r="Q121" s="21"/>
      <c r="R121" s="21"/>
      <c r="S121" s="21"/>
    </row>
    <row r="122" spans="2:19" ht="23.4" x14ac:dyDescent="0.45">
      <c r="Q122" s="21"/>
      <c r="R122" s="21"/>
      <c r="S122" s="21"/>
    </row>
    <row r="123" spans="2:19" ht="23.4" x14ac:dyDescent="0.45">
      <c r="Q123" s="21"/>
      <c r="R123" s="21"/>
      <c r="S123" s="21"/>
    </row>
    <row r="124" spans="2:19" ht="23.4" x14ac:dyDescent="0.45">
      <c r="Q124" s="21"/>
      <c r="R124" s="21"/>
      <c r="S124" s="21"/>
    </row>
    <row r="125" spans="2:19" ht="23.4" x14ac:dyDescent="0.45">
      <c r="Q125" s="21"/>
      <c r="R125" s="21"/>
      <c r="S125" s="21"/>
    </row>
    <row r="126" spans="2:19" ht="23.4" x14ac:dyDescent="0.45">
      <c r="Q126" s="21"/>
      <c r="R126" s="21"/>
      <c r="S126" s="21"/>
    </row>
    <row r="127" spans="2:19" ht="23.4" x14ac:dyDescent="0.45">
      <c r="Q127" s="21"/>
      <c r="R127" s="21"/>
      <c r="S127" s="21"/>
    </row>
    <row r="128" spans="2:19" ht="23.4" x14ac:dyDescent="0.45">
      <c r="Q128" s="21"/>
      <c r="R128" s="21"/>
      <c r="S128" s="21"/>
    </row>
    <row r="129" spans="17:19" ht="23.4" x14ac:dyDescent="0.45">
      <c r="Q129" s="21"/>
      <c r="R129" s="21"/>
      <c r="S129" s="21"/>
    </row>
    <row r="130" spans="17:19" ht="23.4" x14ac:dyDescent="0.45">
      <c r="Q130" s="21"/>
      <c r="R130" s="21"/>
      <c r="S130" s="21"/>
    </row>
    <row r="131" spans="17:19" ht="23.4" x14ac:dyDescent="0.45">
      <c r="Q131" s="21"/>
      <c r="R131" s="21"/>
      <c r="S131" s="21"/>
    </row>
    <row r="132" spans="17:19" ht="23.4" x14ac:dyDescent="0.45">
      <c r="Q132" s="21"/>
      <c r="R132" s="21"/>
      <c r="S132" s="21"/>
    </row>
    <row r="133" spans="17:19" ht="23.4" x14ac:dyDescent="0.45">
      <c r="Q133" s="21"/>
      <c r="R133" s="21"/>
      <c r="S133" s="21"/>
    </row>
    <row r="134" spans="17:19" ht="23.4" x14ac:dyDescent="0.45">
      <c r="Q134" s="21"/>
    </row>
  </sheetData>
  <sortState xmlns:xlrd2="http://schemas.microsoft.com/office/spreadsheetml/2017/richdata2" ref="B12">
    <sortCondition ref="B12"/>
  </sortState>
  <mergeCells count="1">
    <mergeCell ref="B2:P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9AEC-72C1-4E87-8AAA-43E901FB5021}">
  <dimension ref="A2:K64"/>
  <sheetViews>
    <sheetView showGridLines="0" topLeftCell="A38" zoomScale="104" workbookViewId="0">
      <selection activeCell="B59" sqref="B59"/>
    </sheetView>
  </sheetViews>
  <sheetFormatPr defaultRowHeight="14.4" x14ac:dyDescent="0.3"/>
  <cols>
    <col min="1" max="1" width="2.33203125" customWidth="1"/>
    <col min="2" max="2" width="36.109375" customWidth="1"/>
    <col min="3" max="7" width="15.109375" bestFit="1" customWidth="1"/>
    <col min="8" max="8" width="22.33203125" bestFit="1" customWidth="1"/>
    <col min="9" max="9" width="15.5546875" bestFit="1" customWidth="1"/>
  </cols>
  <sheetData>
    <row r="2" spans="1:9" x14ac:dyDescent="0.3">
      <c r="B2" s="170" t="s">
        <v>252</v>
      </c>
      <c r="C2" s="171">
        <f>'Data Sheet'!E16</f>
        <v>43921</v>
      </c>
      <c r="D2" s="171">
        <f>'Data Sheet'!F16</f>
        <v>44286</v>
      </c>
      <c r="E2" s="171">
        <f>'Data Sheet'!G16</f>
        <v>44651</v>
      </c>
      <c r="F2" s="171">
        <f>'Data Sheet'!H16</f>
        <v>45016</v>
      </c>
      <c r="G2" s="171">
        <f>'Data Sheet'!I16</f>
        <v>45382</v>
      </c>
      <c r="H2" s="171">
        <f>'Data Sheet'!J16</f>
        <v>45747</v>
      </c>
      <c r="I2" s="171">
        <f>'Data Sheet'!K16</f>
        <v>46112</v>
      </c>
    </row>
    <row r="4" spans="1:9" x14ac:dyDescent="0.3">
      <c r="B4" s="2" t="s">
        <v>253</v>
      </c>
    </row>
    <row r="5" spans="1:9" x14ac:dyDescent="0.3">
      <c r="B5" s="40" t="str">
        <f>'Data for IG'!B35</f>
        <v>Inventories</v>
      </c>
      <c r="C5" s="28">
        <f>'Data for IG'!C35</f>
        <v>94</v>
      </c>
      <c r="D5" s="28">
        <f>'Data for IG'!D35</f>
        <v>93</v>
      </c>
      <c r="E5" s="28">
        <f>'Data for IG'!E35</f>
        <v>101</v>
      </c>
      <c r="F5" s="28">
        <f>'Data for IG'!F35</f>
        <v>109</v>
      </c>
      <c r="G5" s="28">
        <f>'Data for IG'!G35</f>
        <v>116</v>
      </c>
      <c r="H5" s="28">
        <f>'Data for IG'!H35</f>
        <v>135</v>
      </c>
      <c r="I5" s="28">
        <f>'Data for IG'!I35</f>
        <v>150</v>
      </c>
    </row>
    <row r="6" spans="1:9" x14ac:dyDescent="0.3">
      <c r="B6" s="40" t="str">
        <f>'Data for IG'!B36</f>
        <v>Trade receivables</v>
      </c>
      <c r="C6" s="28">
        <f>'Data for IG'!C36</f>
        <v>290</v>
      </c>
      <c r="D6" s="28">
        <f>'Data for IG'!D36</f>
        <v>220</v>
      </c>
      <c r="E6" s="28">
        <f>'Data for IG'!E36</f>
        <v>255</v>
      </c>
      <c r="F6" s="28">
        <f>'Data for IG'!F36</f>
        <v>446</v>
      </c>
      <c r="G6" s="28">
        <f>'Data for IG'!G36</f>
        <v>476</v>
      </c>
      <c r="H6" s="28">
        <f>'Data for IG'!H36</f>
        <v>651</v>
      </c>
      <c r="I6" s="28">
        <f>'Data for IG'!I36</f>
        <v>727</v>
      </c>
    </row>
    <row r="7" spans="1:9" x14ac:dyDescent="0.3">
      <c r="B7" s="40" t="str">
        <f>'Data for IG'!B38</f>
        <v>Loans n Advances</v>
      </c>
      <c r="C7" s="28">
        <f>'Data for IG'!C37</f>
        <v>316</v>
      </c>
      <c r="D7" s="28">
        <f>'Data for IG'!D37</f>
        <v>154</v>
      </c>
      <c r="E7" s="28">
        <f>'Data for IG'!E37</f>
        <v>1188</v>
      </c>
      <c r="F7" s="28">
        <f>'Data for IG'!F37</f>
        <v>1053</v>
      </c>
      <c r="G7" s="28">
        <f>'Data for IG'!G37</f>
        <v>1486</v>
      </c>
      <c r="H7" s="28">
        <f>'Data for IG'!H37</f>
        <v>2182</v>
      </c>
      <c r="I7" s="28">
        <f>'Data for IG'!I37</f>
        <v>1831</v>
      </c>
    </row>
    <row r="8" spans="1:9" ht="15" thickBot="1" x14ac:dyDescent="0.35">
      <c r="B8" s="41" t="str">
        <f>'Data for IG'!B39</f>
        <v>Other asset items</v>
      </c>
      <c r="C8" s="28">
        <f>'Data for IG'!C38</f>
        <v>134</v>
      </c>
      <c r="D8" s="28">
        <f>'Data for IG'!D38</f>
        <v>144</v>
      </c>
      <c r="E8" s="28">
        <f>'Data for IG'!E38</f>
        <v>138</v>
      </c>
      <c r="F8" s="28">
        <f>'Data for IG'!F38</f>
        <v>144</v>
      </c>
      <c r="G8" s="28">
        <f>'Data for IG'!G38</f>
        <v>173</v>
      </c>
      <c r="H8" s="28">
        <f>'Data for IG'!H38</f>
        <v>176</v>
      </c>
      <c r="I8" s="28">
        <f>'Data for IG'!I38</f>
        <v>218</v>
      </c>
    </row>
    <row r="9" spans="1:9" x14ac:dyDescent="0.3">
      <c r="B9" s="116" t="s">
        <v>84</v>
      </c>
      <c r="C9" s="117">
        <f>SUM(C5:C8)</f>
        <v>834</v>
      </c>
      <c r="D9" s="117">
        <f t="shared" ref="D9:I9" si="0">SUM(D5:D8)</f>
        <v>611</v>
      </c>
      <c r="E9" s="117">
        <f t="shared" si="0"/>
        <v>1682</v>
      </c>
      <c r="F9" s="117">
        <f t="shared" si="0"/>
        <v>1752</v>
      </c>
      <c r="G9" s="117">
        <f t="shared" si="0"/>
        <v>2251</v>
      </c>
      <c r="H9" s="117">
        <f t="shared" si="0"/>
        <v>3144</v>
      </c>
      <c r="I9" s="117">
        <f t="shared" si="0"/>
        <v>2926</v>
      </c>
    </row>
    <row r="11" spans="1:9" x14ac:dyDescent="0.3">
      <c r="B11" s="2" t="s">
        <v>254</v>
      </c>
    </row>
    <row r="12" spans="1:9" x14ac:dyDescent="0.3">
      <c r="B12" s="40" t="str">
        <f>'Data for IG'!B13</f>
        <v>Trade Payables</v>
      </c>
      <c r="C12" s="28">
        <f>'Data for IG'!C13</f>
        <v>389</v>
      </c>
      <c r="D12" s="28">
        <f>'Data for IG'!D13</f>
        <v>318</v>
      </c>
      <c r="E12" s="28">
        <f>'Data for IG'!E13</f>
        <v>387</v>
      </c>
      <c r="F12" s="28">
        <f>'Data for IG'!F13</f>
        <v>477</v>
      </c>
      <c r="G12" s="28">
        <f>'Data for IG'!G13</f>
        <v>519</v>
      </c>
      <c r="H12" s="28">
        <f>'Data for IG'!H13</f>
        <v>578</v>
      </c>
      <c r="I12" s="28">
        <f>'Data for IG'!I13</f>
        <v>720</v>
      </c>
    </row>
    <row r="13" spans="1:9" ht="15" thickBot="1" x14ac:dyDescent="0.35">
      <c r="B13" s="41" t="str">
        <f>'Data for IG'!B14</f>
        <v>Advance from Customers</v>
      </c>
      <c r="C13" s="28">
        <f>'Data for IG'!C14</f>
        <v>124</v>
      </c>
      <c r="D13" s="28">
        <f>'Data for IG'!D14</f>
        <v>144</v>
      </c>
      <c r="E13" s="28">
        <f>'Data for IG'!E14</f>
        <v>183</v>
      </c>
      <c r="F13" s="28">
        <f>'Data for IG'!F14</f>
        <v>224</v>
      </c>
      <c r="G13" s="28">
        <f>'Data for IG'!G14</f>
        <v>252</v>
      </c>
      <c r="H13" s="28">
        <f>'Data for IG'!H14</f>
        <v>298</v>
      </c>
      <c r="I13" s="28">
        <f>'Data for IG'!I14</f>
        <v>317</v>
      </c>
    </row>
    <row r="14" spans="1:9" x14ac:dyDescent="0.3">
      <c r="B14" s="116" t="s">
        <v>255</v>
      </c>
      <c r="C14" s="117">
        <f t="shared" ref="C14:I14" si="1">SUM(C12:C13)</f>
        <v>513</v>
      </c>
      <c r="D14" s="117">
        <f t="shared" si="1"/>
        <v>462</v>
      </c>
      <c r="E14" s="117">
        <f t="shared" si="1"/>
        <v>570</v>
      </c>
      <c r="F14" s="117">
        <f t="shared" si="1"/>
        <v>701</v>
      </c>
      <c r="G14" s="117">
        <f t="shared" si="1"/>
        <v>771</v>
      </c>
      <c r="H14" s="117">
        <f t="shared" si="1"/>
        <v>876</v>
      </c>
      <c r="I14" s="117">
        <f t="shared" si="1"/>
        <v>1037</v>
      </c>
    </row>
    <row r="16" spans="1:9" ht="15" thickBot="1" x14ac:dyDescent="0.35">
      <c r="A16" t="s">
        <v>58</v>
      </c>
      <c r="B16" s="29" t="s">
        <v>256</v>
      </c>
      <c r="C16" s="118">
        <f>C9-C14</f>
        <v>321</v>
      </c>
      <c r="D16" s="118">
        <f t="shared" ref="D16:I16" si="2">D9-D14</f>
        <v>149</v>
      </c>
      <c r="E16" s="118">
        <f t="shared" si="2"/>
        <v>1112</v>
      </c>
      <c r="F16" s="118">
        <f t="shared" si="2"/>
        <v>1051</v>
      </c>
      <c r="G16" s="118">
        <f t="shared" si="2"/>
        <v>1480</v>
      </c>
      <c r="H16" s="118">
        <f t="shared" si="2"/>
        <v>2268</v>
      </c>
      <c r="I16" s="118">
        <f t="shared" si="2"/>
        <v>1889</v>
      </c>
    </row>
    <row r="19" spans="1:9" x14ac:dyDescent="0.3">
      <c r="B19" s="2" t="s">
        <v>257</v>
      </c>
    </row>
    <row r="20" spans="1:9" x14ac:dyDescent="0.3">
      <c r="B20" t="s">
        <v>294</v>
      </c>
      <c r="C20" s="28">
        <f>'Data for IG'!C19</f>
        <v>460</v>
      </c>
      <c r="D20" s="28">
        <f>'Data for IG'!D19</f>
        <v>552</v>
      </c>
      <c r="E20" s="28">
        <f>'Data for IG'!E19</f>
        <v>569</v>
      </c>
      <c r="F20" s="28">
        <f>'Data for IG'!F19</f>
        <v>836</v>
      </c>
      <c r="G20" s="28">
        <f>'Data for IG'!G19</f>
        <v>871</v>
      </c>
      <c r="H20" s="28">
        <f>'Data for IG'!H19</f>
        <v>1482</v>
      </c>
      <c r="I20" s="28">
        <f>'Data for IG'!I19</f>
        <v>1410</v>
      </c>
    </row>
    <row r="21" spans="1:9" x14ac:dyDescent="0.3">
      <c r="B21" t="s">
        <v>236</v>
      </c>
      <c r="C21" s="28">
        <f>'Data for IG'!C20</f>
        <v>5634</v>
      </c>
      <c r="D21" s="28">
        <f>'Data for IG'!D20</f>
        <v>6218</v>
      </c>
      <c r="E21" s="28">
        <f>'Data for IG'!E20</f>
        <v>6464</v>
      </c>
      <c r="F21" s="28">
        <f>'Data for IG'!F20</f>
        <v>6779</v>
      </c>
      <c r="G21" s="28">
        <f>'Data for IG'!G20</f>
        <v>7276</v>
      </c>
      <c r="H21" s="28">
        <f>'Data for IG'!H20</f>
        <v>8298</v>
      </c>
      <c r="I21" s="28">
        <f>'Data for IG'!I20</f>
        <v>9247</v>
      </c>
    </row>
    <row r="22" spans="1:9" x14ac:dyDescent="0.3">
      <c r="B22" t="s">
        <v>237</v>
      </c>
      <c r="C22" s="28">
        <f>'Data for IG'!C21</f>
        <v>1402</v>
      </c>
      <c r="D22" s="28">
        <f>'Data for IG'!D21</f>
        <v>1527</v>
      </c>
      <c r="E22" s="28">
        <f>'Data for IG'!E21</f>
        <v>1574</v>
      </c>
      <c r="F22" s="28">
        <f>'Data for IG'!F21</f>
        <v>1683</v>
      </c>
      <c r="G22" s="28">
        <f>'Data for IG'!G21</f>
        <v>1947</v>
      </c>
      <c r="H22" s="28">
        <f>'Data for IG'!H21</f>
        <v>2249</v>
      </c>
      <c r="I22" s="28">
        <f>'Data for IG'!I21</f>
        <v>2620</v>
      </c>
    </row>
    <row r="23" spans="1:9" x14ac:dyDescent="0.3">
      <c r="B23" t="s">
        <v>238</v>
      </c>
      <c r="C23" s="28">
        <f>'Data for IG'!C22</f>
        <v>88</v>
      </c>
      <c r="D23" s="28">
        <f>'Data for IG'!D22</f>
        <v>93</v>
      </c>
      <c r="E23" s="28">
        <f>'Data for IG'!E22</f>
        <v>101</v>
      </c>
      <c r="F23" s="28">
        <f>'Data for IG'!F22</f>
        <v>106</v>
      </c>
      <c r="G23" s="28">
        <f>'Data for IG'!G22</f>
        <v>119</v>
      </c>
      <c r="H23" s="28">
        <f>'Data for IG'!H22</f>
        <v>139</v>
      </c>
      <c r="I23" s="28">
        <f>'Data for IG'!I22</f>
        <v>159</v>
      </c>
    </row>
    <row r="24" spans="1:9" x14ac:dyDescent="0.3">
      <c r="B24" t="s">
        <v>239</v>
      </c>
      <c r="C24" s="28">
        <f>'Data for IG'!C23</f>
        <v>671</v>
      </c>
      <c r="D24" s="28">
        <f>'Data for IG'!D23</f>
        <v>743</v>
      </c>
      <c r="E24" s="28">
        <f>'Data for IG'!E23</f>
        <v>792</v>
      </c>
      <c r="F24" s="28">
        <f>'Data for IG'!F23</f>
        <v>856</v>
      </c>
      <c r="G24" s="28">
        <f>'Data for IG'!G23</f>
        <v>970</v>
      </c>
      <c r="H24" s="28">
        <f>'Data for IG'!H23</f>
        <v>1111</v>
      </c>
      <c r="I24" s="28">
        <f>'Data for IG'!I23</f>
        <v>1272</v>
      </c>
    </row>
    <row r="25" spans="1:9" x14ac:dyDescent="0.3">
      <c r="B25" t="s">
        <v>295</v>
      </c>
      <c r="C25" s="28">
        <f>'Data for IG'!C24</f>
        <v>14</v>
      </c>
      <c r="D25" s="28">
        <f>'Data for IG'!D24</f>
        <v>14</v>
      </c>
      <c r="E25" s="28">
        <f>'Data for IG'!E24</f>
        <v>15</v>
      </c>
      <c r="F25" s="28">
        <f>'Data for IG'!F24</f>
        <v>16</v>
      </c>
      <c r="G25" s="28">
        <f>'Data for IG'!G24</f>
        <v>16</v>
      </c>
      <c r="H25" s="28">
        <f>'Data for IG'!H24</f>
        <v>89</v>
      </c>
      <c r="I25" s="28">
        <f>'Data for IG'!I24</f>
        <v>102</v>
      </c>
    </row>
    <row r="26" spans="1:9" x14ac:dyDescent="0.3">
      <c r="B26" s="2" t="s">
        <v>240</v>
      </c>
      <c r="C26" s="28">
        <f>'Data for IG'!C25</f>
        <v>1259</v>
      </c>
      <c r="D26" s="28">
        <f>'Data for IG'!D25</f>
        <v>1255</v>
      </c>
      <c r="E26" s="28">
        <f>'Data for IG'!E25</f>
        <v>1269</v>
      </c>
      <c r="F26" s="28">
        <f>'Data for IG'!F25</f>
        <v>1306</v>
      </c>
      <c r="G26" s="28">
        <f>'Data for IG'!G25</f>
        <v>1317</v>
      </c>
      <c r="H26" s="28">
        <f>'Data for IG'!H25</f>
        <v>1366</v>
      </c>
      <c r="I26" s="28">
        <f>'Data for IG'!I25</f>
        <v>1891</v>
      </c>
    </row>
    <row r="27" spans="1:9" x14ac:dyDescent="0.3">
      <c r="B27" t="s">
        <v>241</v>
      </c>
      <c r="C27" s="28">
        <f>'Data for IG'!C26</f>
        <v>80</v>
      </c>
      <c r="D27" s="28">
        <f>'Data for IG'!D26</f>
        <v>84</v>
      </c>
      <c r="E27" s="28">
        <f>'Data for IG'!E26</f>
        <v>86</v>
      </c>
      <c r="F27" s="28">
        <f>'Data for IG'!F26</f>
        <v>94</v>
      </c>
      <c r="G27" s="28">
        <f>'Data for IG'!G26</f>
        <v>97</v>
      </c>
      <c r="H27" s="28">
        <f>'Data for IG'!H26</f>
        <v>161</v>
      </c>
      <c r="I27" s="28">
        <f>'Data for IG'!I26</f>
        <v>226</v>
      </c>
    </row>
    <row r="28" spans="1:9" ht="15" thickBot="1" x14ac:dyDescent="0.35">
      <c r="A28" t="s">
        <v>58</v>
      </c>
      <c r="B28" s="29" t="str">
        <f>'Data for IG'!B27</f>
        <v>Gross Block</v>
      </c>
      <c r="C28" s="118">
        <f>'Data for IG'!C27</f>
        <v>9608</v>
      </c>
      <c r="D28" s="118">
        <f>'Data for IG'!D27</f>
        <v>10486</v>
      </c>
      <c r="E28" s="118">
        <f>'Data for IG'!E27</f>
        <v>10870</v>
      </c>
      <c r="F28" s="118">
        <f>'Data for IG'!F27</f>
        <v>11676</v>
      </c>
      <c r="G28" s="118">
        <f>'Data for IG'!G27</f>
        <v>12613</v>
      </c>
      <c r="H28" s="118">
        <f>'Data for IG'!H27</f>
        <v>14895</v>
      </c>
      <c r="I28" s="118">
        <f>'Data for IG'!I27</f>
        <v>16927</v>
      </c>
    </row>
    <row r="29" spans="1:9" x14ac:dyDescent="0.3">
      <c r="C29" s="26"/>
      <c r="D29" s="26"/>
      <c r="E29" s="26"/>
      <c r="F29" s="26"/>
      <c r="G29" s="26"/>
      <c r="H29" s="26"/>
      <c r="I29" s="26"/>
    </row>
    <row r="30" spans="1:9" x14ac:dyDescent="0.3">
      <c r="A30" t="s">
        <v>58</v>
      </c>
      <c r="B30" s="23" t="s">
        <v>258</v>
      </c>
      <c r="C30" s="25">
        <f t="shared" ref="C30:I30" si="3">C28+C16</f>
        <v>9929</v>
      </c>
      <c r="D30" s="25">
        <f t="shared" si="3"/>
        <v>10635</v>
      </c>
      <c r="E30" s="25">
        <f t="shared" si="3"/>
        <v>11982</v>
      </c>
      <c r="F30" s="25">
        <f t="shared" si="3"/>
        <v>12727</v>
      </c>
      <c r="G30" s="25">
        <f t="shared" si="3"/>
        <v>14093</v>
      </c>
      <c r="H30" s="25">
        <f t="shared" si="3"/>
        <v>17163</v>
      </c>
      <c r="I30" s="25">
        <f t="shared" si="3"/>
        <v>18816</v>
      </c>
    </row>
    <row r="31" spans="1:9" x14ac:dyDescent="0.3">
      <c r="B31" s="23" t="s">
        <v>259</v>
      </c>
      <c r="C31" s="25">
        <f>'Historicial Financials'!C19-'Historicial Financials'!C25</f>
        <v>563.2900000000003</v>
      </c>
      <c r="D31" s="25">
        <f>'Historicial Financials'!D19-'Historicial Financials'!D25</f>
        <v>-771.38999999999976</v>
      </c>
      <c r="E31" s="25">
        <f>'Historicial Financials'!E19-'Historicial Financials'!E25</f>
        <v>-1.3000000000004093</v>
      </c>
      <c r="F31" s="25">
        <f>'Historicial Financials'!F19-'Historicial Financials'!F25</f>
        <v>1388.5</v>
      </c>
      <c r="G31" s="25">
        <f>'Historicial Financials'!G19-'Historicial Financials'!G25</f>
        <v>1705.2100000000003</v>
      </c>
      <c r="H31" s="25">
        <f>'Historicial Financials'!H19-'Historicial Financials'!H25</f>
        <v>2251.170000000001</v>
      </c>
      <c r="I31" s="25">
        <f>'Historicial Financials'!I19-'Historicial Financials'!I25</f>
        <v>2590.639999999999</v>
      </c>
    </row>
    <row r="32" spans="1:9" x14ac:dyDescent="0.3">
      <c r="C32" s="24"/>
      <c r="D32" s="24"/>
      <c r="E32" s="24"/>
      <c r="F32" s="24"/>
      <c r="G32" s="24"/>
      <c r="H32" s="24"/>
      <c r="I32" s="24"/>
    </row>
    <row r="33" spans="1:11" ht="15" thickBot="1" x14ac:dyDescent="0.35">
      <c r="A33" t="s">
        <v>58</v>
      </c>
      <c r="B33" s="29" t="s">
        <v>260</v>
      </c>
      <c r="C33" s="119">
        <f>C31/C30</f>
        <v>5.6731795749823781E-2</v>
      </c>
      <c r="D33" s="119">
        <f t="shared" ref="D33:G33" si="4">D31/D30</f>
        <v>-7.2533145275035238E-2</v>
      </c>
      <c r="E33" s="119">
        <f t="shared" si="4"/>
        <v>-1.0849607744954175E-4</v>
      </c>
      <c r="F33" s="119">
        <f t="shared" si="4"/>
        <v>0.10909876640213718</v>
      </c>
      <c r="G33" s="119">
        <f t="shared" si="4"/>
        <v>0.12099694883984959</v>
      </c>
      <c r="H33" s="119">
        <f>H31/H30</f>
        <v>0.13116413214472999</v>
      </c>
      <c r="I33" s="119">
        <f>I31/I30</f>
        <v>0.13768282312925165</v>
      </c>
    </row>
    <row r="34" spans="1:11" x14ac:dyDescent="0.3">
      <c r="C34" s="24"/>
      <c r="D34" s="24"/>
      <c r="E34" s="24"/>
      <c r="F34" s="24"/>
      <c r="G34" s="24"/>
      <c r="H34" s="24"/>
      <c r="I34" s="24"/>
    </row>
    <row r="35" spans="1:11" x14ac:dyDescent="0.3">
      <c r="B35" s="170" t="s">
        <v>261</v>
      </c>
      <c r="C35" s="171">
        <f>'Data Sheet'!E16</f>
        <v>43921</v>
      </c>
      <c r="D35" s="171">
        <f>'Data Sheet'!F16</f>
        <v>44286</v>
      </c>
      <c r="E35" s="171">
        <f>'Data Sheet'!G16</f>
        <v>44651</v>
      </c>
      <c r="F35" s="171">
        <f>'Data Sheet'!H16</f>
        <v>45016</v>
      </c>
      <c r="G35" s="171">
        <f>'Data Sheet'!I16</f>
        <v>45382</v>
      </c>
      <c r="H35" s="171">
        <f>'Data Sheet'!J16</f>
        <v>45747</v>
      </c>
      <c r="I35" s="171">
        <f>'Data Sheet'!K16</f>
        <v>46112</v>
      </c>
    </row>
    <row r="37" spans="1:11" ht="18" x14ac:dyDescent="0.35">
      <c r="B37" s="40" t="s">
        <v>262</v>
      </c>
      <c r="C37" s="28"/>
      <c r="D37" s="28">
        <f>'Data Sheet'!F62-'Data Sheet'!E62+'Data Sheet'!E26</f>
        <v>783.09000000000037</v>
      </c>
      <c r="E37" s="28">
        <f>'Data Sheet'!G62-'Data Sheet'!F62+'Data Sheet'!F26</f>
        <v>387.26999999999941</v>
      </c>
      <c r="F37" s="28">
        <f>'Data Sheet'!H62-'Data Sheet'!G62+'Data Sheet'!G26</f>
        <v>809.24000000000046</v>
      </c>
      <c r="G37" s="28">
        <f>'Data Sheet'!I62-'Data Sheet'!H62+'Data Sheet'!H26</f>
        <v>908.86999999999944</v>
      </c>
      <c r="H37" s="28">
        <f>'Data Sheet'!J62-'Data Sheet'!I62+'Data Sheet'!I26</f>
        <v>2061.1400000000003</v>
      </c>
      <c r="I37" s="28">
        <f>'Data Sheet'!K62-'Data Sheet'!J62+'Data Sheet'!J26</f>
        <v>1810.0399999999991</v>
      </c>
      <c r="K37" s="39" t="s">
        <v>298</v>
      </c>
    </row>
    <row r="38" spans="1:11" x14ac:dyDescent="0.3">
      <c r="B38" s="40" t="s">
        <v>263</v>
      </c>
      <c r="C38" s="28"/>
      <c r="D38" s="28">
        <f t="shared" ref="D38:I38" si="5">D16-C16</f>
        <v>-172</v>
      </c>
      <c r="E38" s="28">
        <f t="shared" si="5"/>
        <v>963</v>
      </c>
      <c r="F38" s="28">
        <f t="shared" si="5"/>
        <v>-61</v>
      </c>
      <c r="G38" s="28">
        <f t="shared" si="5"/>
        <v>429</v>
      </c>
      <c r="H38" s="28">
        <f t="shared" si="5"/>
        <v>788</v>
      </c>
      <c r="I38" s="28">
        <f t="shared" si="5"/>
        <v>-379</v>
      </c>
    </row>
    <row r="39" spans="1:11" x14ac:dyDescent="0.3">
      <c r="C39" s="28"/>
      <c r="D39" s="28"/>
      <c r="E39" s="28"/>
      <c r="F39" s="28"/>
      <c r="G39" s="28"/>
      <c r="H39" s="28"/>
      <c r="I39" s="28"/>
    </row>
    <row r="40" spans="1:11" x14ac:dyDescent="0.3">
      <c r="B40" s="40" t="s">
        <v>259</v>
      </c>
      <c r="C40" s="28">
        <f>C31</f>
        <v>563.2900000000003</v>
      </c>
      <c r="D40" s="28">
        <f t="shared" ref="D40:I40" si="6">D31</f>
        <v>-771.38999999999976</v>
      </c>
      <c r="E40" s="28">
        <f t="shared" si="6"/>
        <v>-1.3000000000004093</v>
      </c>
      <c r="F40" s="28">
        <f t="shared" si="6"/>
        <v>1388.5</v>
      </c>
      <c r="G40" s="28">
        <f t="shared" si="6"/>
        <v>1705.2100000000003</v>
      </c>
      <c r="H40" s="28">
        <f t="shared" si="6"/>
        <v>2251.170000000001</v>
      </c>
      <c r="I40" s="28">
        <f t="shared" si="6"/>
        <v>2590.639999999999</v>
      </c>
    </row>
    <row r="41" spans="1:11" x14ac:dyDescent="0.3">
      <c r="B41" s="40" t="s">
        <v>264</v>
      </c>
      <c r="C41" s="120">
        <v>0.25</v>
      </c>
      <c r="D41" s="120">
        <v>0.25</v>
      </c>
      <c r="E41" s="120">
        <v>0.25</v>
      </c>
      <c r="F41" s="120">
        <v>0.25</v>
      </c>
      <c r="G41" s="120">
        <v>0.25</v>
      </c>
      <c r="H41" s="120">
        <v>0.25</v>
      </c>
      <c r="I41" s="120">
        <v>0.25</v>
      </c>
    </row>
    <row r="42" spans="1:11" x14ac:dyDescent="0.3">
      <c r="B42" s="40" t="s">
        <v>429</v>
      </c>
      <c r="C42" s="28">
        <f>C40*(1-C41)</f>
        <v>422.4675000000002</v>
      </c>
      <c r="D42" s="28">
        <f>D40*(1-D41)</f>
        <v>-578.54249999999979</v>
      </c>
      <c r="E42" s="28">
        <f t="shared" ref="E42:I42" si="7">E40*(1-E41)</f>
        <v>-0.97500000000030695</v>
      </c>
      <c r="F42" s="28">
        <f t="shared" si="7"/>
        <v>1041.375</v>
      </c>
      <c r="G42" s="28">
        <f t="shared" si="7"/>
        <v>1278.9075000000003</v>
      </c>
      <c r="H42" s="28">
        <f t="shared" si="7"/>
        <v>1688.3775000000007</v>
      </c>
      <c r="I42" s="28">
        <f t="shared" si="7"/>
        <v>1942.9799999999991</v>
      </c>
    </row>
    <row r="43" spans="1:11" x14ac:dyDescent="0.3">
      <c r="C43" s="28"/>
      <c r="D43" s="28"/>
      <c r="E43" s="28"/>
      <c r="F43" s="28"/>
      <c r="G43" s="28"/>
      <c r="H43" s="28"/>
      <c r="I43" s="28"/>
    </row>
    <row r="44" spans="1:11" x14ac:dyDescent="0.3">
      <c r="B44" s="121" t="s">
        <v>265</v>
      </c>
      <c r="C44" s="28"/>
      <c r="D44" s="28">
        <f>SUM(D37:D38)</f>
        <v>611.09000000000037</v>
      </c>
      <c r="E44" s="28">
        <f t="shared" ref="E44:H44" si="8">SUM(E37:E38)</f>
        <v>1350.2699999999995</v>
      </c>
      <c r="F44" s="28">
        <f t="shared" si="8"/>
        <v>748.24000000000046</v>
      </c>
      <c r="G44" s="28">
        <f t="shared" si="8"/>
        <v>1337.8699999999994</v>
      </c>
      <c r="H44" s="28">
        <f t="shared" si="8"/>
        <v>2849.1400000000003</v>
      </c>
      <c r="I44" s="28">
        <f>SUM(I37:I38)</f>
        <v>1431.0399999999991</v>
      </c>
    </row>
    <row r="45" spans="1:11" ht="15" thickBot="1" x14ac:dyDescent="0.35">
      <c r="B45" s="29" t="s">
        <v>266</v>
      </c>
      <c r="C45" s="119"/>
      <c r="D45" s="119">
        <f>D44/D42</f>
        <v>-1.056257751159164</v>
      </c>
      <c r="E45" s="119">
        <f t="shared" ref="E45:H45" si="9">E44/E42</f>
        <v>-1384.8923076918711</v>
      </c>
      <c r="F45" s="119">
        <f t="shared" si="9"/>
        <v>0.71851158324330855</v>
      </c>
      <c r="G45" s="119">
        <f t="shared" si="9"/>
        <v>1.0461038034416088</v>
      </c>
      <c r="H45" s="119">
        <f t="shared" si="9"/>
        <v>1.6875017583449194</v>
      </c>
      <c r="I45" s="119">
        <f>I44/I42</f>
        <v>0.7365181319416565</v>
      </c>
    </row>
    <row r="46" spans="1:11" x14ac:dyDescent="0.3">
      <c r="D46" s="122"/>
      <c r="E46" s="122"/>
      <c r="F46" s="122"/>
      <c r="G46" s="122"/>
      <c r="H46" s="122"/>
      <c r="I46" s="122"/>
    </row>
    <row r="47" spans="1:11" x14ac:dyDescent="0.3">
      <c r="H47" s="2" t="s">
        <v>269</v>
      </c>
      <c r="I47" s="123">
        <f>AVERAGE(D45:I45)</f>
        <v>-230.29332169434312</v>
      </c>
    </row>
    <row r="48" spans="1:11" x14ac:dyDescent="0.3">
      <c r="H48" s="2" t="s">
        <v>270</v>
      </c>
      <c r="I48" s="123">
        <f>MEDIAN(D45:I45)</f>
        <v>0.72751485759248258</v>
      </c>
    </row>
    <row r="50" spans="2:10" x14ac:dyDescent="0.3">
      <c r="B50" s="170" t="s">
        <v>267</v>
      </c>
      <c r="C50" s="171">
        <f>'Data Sheet'!E16</f>
        <v>43921</v>
      </c>
      <c r="D50" s="171">
        <f>'Data Sheet'!F16</f>
        <v>44286</v>
      </c>
      <c r="E50" s="171">
        <f>'Data Sheet'!G16</f>
        <v>44651</v>
      </c>
      <c r="F50" s="171">
        <f>'Data Sheet'!H16</f>
        <v>45016</v>
      </c>
      <c r="G50" s="171">
        <f>'Data Sheet'!I16</f>
        <v>45382</v>
      </c>
      <c r="H50" s="171">
        <f>'Data Sheet'!J16</f>
        <v>45747</v>
      </c>
      <c r="I50" s="171">
        <f>'Data Sheet'!K16</f>
        <v>46112</v>
      </c>
    </row>
    <row r="52" spans="2:10" x14ac:dyDescent="0.3">
      <c r="B52" s="28" t="s">
        <v>266</v>
      </c>
      <c r="C52" s="28"/>
      <c r="D52" s="28">
        <f t="shared" ref="D52:I52" si="10">D45</f>
        <v>-1.056257751159164</v>
      </c>
      <c r="E52" s="28">
        <f t="shared" si="10"/>
        <v>-1384.8923076918711</v>
      </c>
      <c r="F52" s="28">
        <f t="shared" si="10"/>
        <v>0.71851158324330855</v>
      </c>
      <c r="G52" s="28">
        <f t="shared" si="10"/>
        <v>1.0461038034416088</v>
      </c>
      <c r="H52" s="28">
        <f t="shared" si="10"/>
        <v>1.6875017583449194</v>
      </c>
      <c r="I52" s="28">
        <f t="shared" si="10"/>
        <v>0.7365181319416565</v>
      </c>
      <c r="J52" s="24">
        <f>I52*I53</f>
        <v>0.10140589569160992</v>
      </c>
    </row>
    <row r="53" spans="2:10" x14ac:dyDescent="0.3">
      <c r="B53" s="28" t="s">
        <v>260</v>
      </c>
      <c r="C53" s="28"/>
      <c r="D53" s="28">
        <f t="shared" ref="D53:I53" si="11">D33</f>
        <v>-7.2533145275035238E-2</v>
      </c>
      <c r="E53" s="28">
        <f t="shared" si="11"/>
        <v>-1.0849607744954175E-4</v>
      </c>
      <c r="F53" s="28">
        <f t="shared" si="11"/>
        <v>0.10909876640213718</v>
      </c>
      <c r="G53" s="28">
        <f t="shared" si="11"/>
        <v>0.12099694883984959</v>
      </c>
      <c r="H53" s="28">
        <f t="shared" si="11"/>
        <v>0.13116413214472999</v>
      </c>
      <c r="I53" s="28">
        <f t="shared" si="11"/>
        <v>0.13768282312925165</v>
      </c>
    </row>
    <row r="54" spans="2:10" x14ac:dyDescent="0.3">
      <c r="D54" s="28"/>
      <c r="E54" s="28"/>
      <c r="F54" s="28"/>
      <c r="G54" s="28"/>
      <c r="H54" s="28"/>
      <c r="I54" s="28"/>
    </row>
    <row r="55" spans="2:10" ht="15" thickBot="1" x14ac:dyDescent="0.35">
      <c r="B55" s="29" t="s">
        <v>268</v>
      </c>
      <c r="C55" s="119"/>
      <c r="D55" s="119">
        <f>D52*D53</f>
        <v>7.6613696912709667E-2</v>
      </c>
      <c r="E55" s="119">
        <f t="shared" ref="E55:I55" si="12">E52*E53</f>
        <v>0.15025538307461184</v>
      </c>
      <c r="F55" s="119">
        <f t="shared" si="12"/>
        <v>7.838872737749146E-2</v>
      </c>
      <c r="G55" s="119">
        <f t="shared" si="12"/>
        <v>0.1265753683861964</v>
      </c>
      <c r="H55" s="119">
        <f t="shared" si="12"/>
        <v>0.22133970362601724</v>
      </c>
      <c r="I55" s="119">
        <f t="shared" si="12"/>
        <v>0.10140589569160992</v>
      </c>
    </row>
    <row r="57" spans="2:10" x14ac:dyDescent="0.3">
      <c r="B57" s="170" t="s">
        <v>331</v>
      </c>
      <c r="E57" t="s">
        <v>370</v>
      </c>
      <c r="F57" s="74">
        <f>AVERAGE(D55:I55)</f>
        <v>0.12576312917810609</v>
      </c>
    </row>
    <row r="58" spans="2:10" x14ac:dyDescent="0.3">
      <c r="B58" t="s">
        <v>578</v>
      </c>
      <c r="C58" s="74">
        <f>AVERAGE(G33:I33)</f>
        <v>0.12994796803794373</v>
      </c>
    </row>
    <row r="59" spans="2:10" x14ac:dyDescent="0.3">
      <c r="B59" t="s">
        <v>332</v>
      </c>
      <c r="C59" s="74">
        <v>0.1</v>
      </c>
    </row>
    <row r="60" spans="2:10" x14ac:dyDescent="0.3">
      <c r="B60" t="s">
        <v>276</v>
      </c>
      <c r="C60" s="74">
        <f>DCF!D12</f>
        <v>0.12994796803794373</v>
      </c>
    </row>
    <row r="61" spans="2:10" x14ac:dyDescent="0.3">
      <c r="B61" t="s">
        <v>333</v>
      </c>
      <c r="C61" s="74">
        <f>C59/C58</f>
        <v>0.7695387739406655</v>
      </c>
    </row>
    <row r="62" spans="2:10" x14ac:dyDescent="0.3">
      <c r="B62" t="s">
        <v>334</v>
      </c>
      <c r="C62" s="74">
        <f>C60/C58</f>
        <v>1</v>
      </c>
    </row>
    <row r="63" spans="2:10" x14ac:dyDescent="0.3">
      <c r="C63" s="74"/>
    </row>
    <row r="64" spans="2:10" ht="23.4" x14ac:dyDescent="0.45">
      <c r="C64" s="49"/>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38ACC-0A1C-40F3-A687-4E983BE9F5A9}">
  <dimension ref="B2:P37"/>
  <sheetViews>
    <sheetView showGridLines="0" topLeftCell="A8" zoomScale="102" zoomScaleNormal="88" workbookViewId="0">
      <selection activeCell="C37" sqref="C37"/>
    </sheetView>
  </sheetViews>
  <sheetFormatPr defaultRowHeight="14.4" x14ac:dyDescent="0.3"/>
  <cols>
    <col min="1" max="1" width="2.33203125" customWidth="1"/>
    <col min="2" max="2" width="28.21875" bestFit="1" customWidth="1"/>
    <col min="3" max="3" width="13.88671875" bestFit="1" customWidth="1"/>
    <col min="4" max="4" width="11.6640625" customWidth="1"/>
    <col min="5" max="9" width="9.77734375" bestFit="1" customWidth="1"/>
    <col min="10" max="10" width="13.6640625" customWidth="1"/>
    <col min="11" max="11" width="9.77734375" bestFit="1" customWidth="1"/>
    <col min="12" max="12" width="12.44140625" bestFit="1" customWidth="1"/>
    <col min="13" max="13" width="12.44140625" customWidth="1"/>
    <col min="14" max="14" width="12.77734375" customWidth="1"/>
    <col min="15" max="15" width="12.44140625" bestFit="1" customWidth="1"/>
    <col min="16" max="16" width="10.77734375" customWidth="1"/>
  </cols>
  <sheetData>
    <row r="2" spans="2:16" x14ac:dyDescent="0.3">
      <c r="B2" s="170" t="s">
        <v>271</v>
      </c>
      <c r="C2" s="171"/>
      <c r="D2" s="182">
        <f>'Data Sheet'!K16</f>
        <v>46112</v>
      </c>
      <c r="E2" s="183">
        <f>D2+365</f>
        <v>46477</v>
      </c>
      <c r="F2" s="183">
        <f t="shared" ref="F2:I2" si="0">E2+365</f>
        <v>46842</v>
      </c>
      <c r="G2" s="183">
        <f t="shared" si="0"/>
        <v>47207</v>
      </c>
      <c r="H2" s="183">
        <f t="shared" si="0"/>
        <v>47572</v>
      </c>
      <c r="I2" s="183">
        <f t="shared" si="0"/>
        <v>47937</v>
      </c>
    </row>
    <row r="4" spans="2:16" x14ac:dyDescent="0.3">
      <c r="D4" s="66"/>
      <c r="E4" s="24"/>
      <c r="F4" s="24"/>
      <c r="G4" s="24"/>
      <c r="H4" s="24"/>
      <c r="I4" s="24"/>
    </row>
    <row r="5" spans="2:16" x14ac:dyDescent="0.3">
      <c r="B5" t="s">
        <v>272</v>
      </c>
      <c r="D5" s="65">
        <f>Forecasting!G17</f>
        <v>1462.139999999999</v>
      </c>
      <c r="E5" s="65">
        <f>Forecasting!H17</f>
        <v>1919.2430624602805</v>
      </c>
      <c r="F5" s="65">
        <f>Forecasting!I17</f>
        <v>2111.1673687063085</v>
      </c>
      <c r="G5" s="65">
        <f>Forecasting!J17</f>
        <v>2322.2841055769395</v>
      </c>
      <c r="H5" s="65">
        <f>Forecasting!K17</f>
        <v>2554.5125161346332</v>
      </c>
      <c r="I5" s="65">
        <f>Forecasting!L17</f>
        <v>2809.9637677480978</v>
      </c>
    </row>
    <row r="6" spans="2:16" x14ac:dyDescent="0.3">
      <c r="D6" s="66"/>
    </row>
    <row r="7" spans="2:16" x14ac:dyDescent="0.3">
      <c r="B7" t="s">
        <v>273</v>
      </c>
      <c r="D7" s="66"/>
      <c r="E7">
        <v>0.5</v>
      </c>
      <c r="F7">
        <f>E7+1</f>
        <v>1.5</v>
      </c>
      <c r="G7">
        <f t="shared" ref="G7:I7" si="1">F7+1</f>
        <v>2.5</v>
      </c>
      <c r="H7">
        <f t="shared" si="1"/>
        <v>3.5</v>
      </c>
      <c r="I7">
        <f t="shared" si="1"/>
        <v>4.5</v>
      </c>
    </row>
    <row r="8" spans="2:16" x14ac:dyDescent="0.3">
      <c r="B8" t="s">
        <v>274</v>
      </c>
      <c r="D8" s="66"/>
      <c r="E8" s="67">
        <f>1/(1+$D$13)^E7</f>
        <v>0.92506861221958159</v>
      </c>
      <c r="F8" s="67">
        <f t="shared" ref="F8:I8" si="2">1/(1+$D$13)^F7</f>
        <v>0.79162925705515319</v>
      </c>
      <c r="G8" s="67">
        <f t="shared" si="2"/>
        <v>0.67743827035928095</v>
      </c>
      <c r="H8" s="67">
        <f t="shared" si="2"/>
        <v>0.57971911227050676</v>
      </c>
      <c r="I8" s="67">
        <f t="shared" si="2"/>
        <v>0.49609575342335882</v>
      </c>
    </row>
    <row r="9" spans="2:16" x14ac:dyDescent="0.3">
      <c r="D9" s="66"/>
    </row>
    <row r="10" spans="2:16" ht="15" thickBot="1" x14ac:dyDescent="0.35">
      <c r="B10" s="29" t="s">
        <v>275</v>
      </c>
      <c r="C10" s="29"/>
      <c r="D10" s="33"/>
      <c r="E10" s="35">
        <f>E5*E8</f>
        <v>1775.4315163021913</v>
      </c>
      <c r="F10" s="35">
        <f t="shared" ref="F10:I10" si="3">F5*F8</f>
        <v>1671.2618556080577</v>
      </c>
      <c r="G10" s="35">
        <f t="shared" si="3"/>
        <v>1573.2041277648916</v>
      </c>
      <c r="H10" s="35">
        <f t="shared" si="3"/>
        <v>1480.8997281374682</v>
      </c>
      <c r="I10" s="35">
        <f t="shared" si="3"/>
        <v>1394.0110924533326</v>
      </c>
    </row>
    <row r="12" spans="2:16" x14ac:dyDescent="0.3">
      <c r="B12" s="68" t="s">
        <v>276</v>
      </c>
      <c r="C12" s="68"/>
      <c r="D12" s="32">
        <f>'Intrinsic Growth'!C58</f>
        <v>0.12994796803794373</v>
      </c>
    </row>
    <row r="13" spans="2:16" x14ac:dyDescent="0.3">
      <c r="B13" s="68" t="s">
        <v>277</v>
      </c>
      <c r="C13" s="68"/>
      <c r="D13" s="69">
        <f>WACC!J24</f>
        <v>0.16856294025920729</v>
      </c>
    </row>
    <row r="15" spans="2:16" x14ac:dyDescent="0.3">
      <c r="B15" s="170" t="s">
        <v>278</v>
      </c>
      <c r="C15" s="169"/>
      <c r="K15" s="209" t="s">
        <v>336</v>
      </c>
      <c r="L15" s="209"/>
      <c r="M15" s="209"/>
      <c r="N15" s="209"/>
      <c r="O15" s="209"/>
      <c r="P15" s="209"/>
    </row>
    <row r="16" spans="2:16" ht="15" thickBot="1" x14ac:dyDescent="0.35">
      <c r="E16" s="34"/>
      <c r="F16" s="31"/>
      <c r="K16" s="44">
        <f>C27</f>
        <v>48686.240004182211</v>
      </c>
      <c r="L16" s="46">
        <v>0.1</v>
      </c>
      <c r="M16" s="46">
        <f>L16+1%</f>
        <v>0.11</v>
      </c>
      <c r="N16" s="46">
        <f t="shared" ref="N16:O16" si="4">M16+1%</f>
        <v>0.12</v>
      </c>
      <c r="O16" s="46">
        <f t="shared" si="4"/>
        <v>0.13</v>
      </c>
      <c r="P16" s="46">
        <f>O16+1%</f>
        <v>0.14000000000000001</v>
      </c>
    </row>
    <row r="17" spans="2:16" x14ac:dyDescent="0.3">
      <c r="B17" t="s">
        <v>279</v>
      </c>
      <c r="C17" s="34">
        <f>I5*(1+D12)</f>
        <v>3175.1128496272072</v>
      </c>
      <c r="E17" s="30"/>
      <c r="K17" s="45">
        <v>0.1</v>
      </c>
      <c r="L17" s="47" t="e">
        <f t="dataTable" ref="L17:P22" dt2D="1" dtr="1" r1="D12" r2="D13"/>
        <v>#DIV/0!</v>
      </c>
      <c r="M17" s="70">
        <v>-193972.20473085213</v>
      </c>
      <c r="N17" s="70">
        <v>-93326.249445976035</v>
      </c>
      <c r="O17" s="70">
        <v>-59777.597684350629</v>
      </c>
      <c r="P17" s="71">
        <v>-43003.271803537951</v>
      </c>
    </row>
    <row r="18" spans="2:16" x14ac:dyDescent="0.3">
      <c r="B18" t="s">
        <v>277</v>
      </c>
      <c r="C18" s="30">
        <f>D13</f>
        <v>0.16856294025920729</v>
      </c>
      <c r="E18" s="30"/>
      <c r="K18" s="45">
        <f>K17+3%</f>
        <v>0.13</v>
      </c>
      <c r="L18" s="48">
        <v>68006.112013440652</v>
      </c>
      <c r="M18" s="72">
        <v>98539.4944577227</v>
      </c>
      <c r="N18" s="72">
        <v>190139.6417905688</v>
      </c>
      <c r="O18" s="72" t="e">
        <v>#DIV/0!</v>
      </c>
      <c r="P18" s="73">
        <v>-176260.94754081586</v>
      </c>
    </row>
    <row r="19" spans="2:16" x14ac:dyDescent="0.3">
      <c r="B19" t="s">
        <v>280</v>
      </c>
      <c r="C19" s="74">
        <f>D12</f>
        <v>0.12994796803794373</v>
      </c>
      <c r="E19" s="30"/>
      <c r="K19" s="45">
        <f t="shared" ref="K19:K22" si="5">K18+2%</f>
        <v>0.15</v>
      </c>
      <c r="L19" s="48">
        <v>41163.177830299799</v>
      </c>
      <c r="M19" s="72">
        <v>49777.642281376218</v>
      </c>
      <c r="N19" s="72">
        <v>64135.083033170253</v>
      </c>
      <c r="O19" s="72">
        <v>92849.964536758358</v>
      </c>
      <c r="P19" s="73">
        <v>178994.60904752288</v>
      </c>
    </row>
    <row r="20" spans="2:16" x14ac:dyDescent="0.3">
      <c r="E20" s="30"/>
      <c r="K20" s="45">
        <f t="shared" si="5"/>
        <v>0.16999999999999998</v>
      </c>
      <c r="L20" s="48">
        <v>29656.839736196067</v>
      </c>
      <c r="M20" s="72">
        <v>33518.738754277365</v>
      </c>
      <c r="N20" s="72">
        <v>38925.397379591188</v>
      </c>
      <c r="O20" s="72">
        <v>47035.38531756193</v>
      </c>
      <c r="P20" s="73">
        <v>60552.031880846524</v>
      </c>
    </row>
    <row r="21" spans="2:16" ht="15" thickBot="1" x14ac:dyDescent="0.35">
      <c r="B21" s="29" t="s">
        <v>281</v>
      </c>
      <c r="C21" s="35">
        <f>C17/(C18-C19)</f>
        <v>82224.916061931348</v>
      </c>
      <c r="E21" s="30"/>
      <c r="K21" s="45">
        <f t="shared" si="5"/>
        <v>0.18999999999999997</v>
      </c>
      <c r="L21" s="48">
        <v>23262.744495990024</v>
      </c>
      <c r="M21" s="72">
        <v>25385.763387677871</v>
      </c>
      <c r="N21" s="72">
        <v>28115.359105562238</v>
      </c>
      <c r="O21" s="72">
        <v>31754.820062741401</v>
      </c>
      <c r="P21" s="73">
        <v>36850.065402792243</v>
      </c>
    </row>
    <row r="22" spans="2:16" x14ac:dyDescent="0.3">
      <c r="K22" s="45">
        <f t="shared" si="5"/>
        <v>0.20999999999999996</v>
      </c>
      <c r="L22" s="48">
        <v>19192.430624602817</v>
      </c>
      <c r="M22" s="72">
        <v>20503.299460379254</v>
      </c>
      <c r="N22" s="72">
        <v>22105.472481883786</v>
      </c>
      <c r="O22" s="72">
        <v>24108.188758764456</v>
      </c>
      <c r="P22" s="73">
        <v>26683.10968618247</v>
      </c>
    </row>
    <row r="23" spans="2:16" x14ac:dyDescent="0.3">
      <c r="B23" s="170" t="s">
        <v>282</v>
      </c>
      <c r="C23" s="169"/>
    </row>
    <row r="25" spans="2:16" x14ac:dyDescent="0.3">
      <c r="B25" t="s">
        <v>275</v>
      </c>
      <c r="C25" s="34">
        <f>SUM(E10:I10)</f>
        <v>7894.8083202659418</v>
      </c>
    </row>
    <row r="26" spans="2:16" x14ac:dyDescent="0.3">
      <c r="B26" t="s">
        <v>283</v>
      </c>
      <c r="C26" s="34">
        <f>C21*I8</f>
        <v>40791.431683916271</v>
      </c>
      <c r="K26" s="209" t="s">
        <v>337</v>
      </c>
      <c r="L26" s="209"/>
      <c r="M26" s="209"/>
      <c r="N26" s="209"/>
      <c r="O26" s="209"/>
      <c r="P26" s="209"/>
    </row>
    <row r="27" spans="2:16" ht="15" thickBot="1" x14ac:dyDescent="0.35">
      <c r="B27" s="2" t="s">
        <v>284</v>
      </c>
      <c r="C27" s="36">
        <f>SUM(C25:C26)</f>
        <v>48686.240004182211</v>
      </c>
      <c r="K27" s="44">
        <f>C34</f>
        <v>337.42949559029887</v>
      </c>
      <c r="L27" s="46">
        <v>7.0000000000000007E-2</v>
      </c>
      <c r="M27" s="46">
        <v>0.09</v>
      </c>
      <c r="N27" s="46">
        <v>0.11</v>
      </c>
      <c r="O27" s="46">
        <v>0.13</v>
      </c>
      <c r="P27" s="46">
        <v>0.15</v>
      </c>
    </row>
    <row r="28" spans="2:16" x14ac:dyDescent="0.3">
      <c r="K28" s="45">
        <v>2.5000000000000001E-2</v>
      </c>
      <c r="L28" s="48">
        <f t="dataTable" ref="L28:P32" dt2D="1" dtr="1" r1="C18" r2="C19" ca="1"/>
        <v>296.76808432265483</v>
      </c>
      <c r="M28" s="48">
        <v>221.10360938639576</v>
      </c>
      <c r="N28" s="48">
        <v>181.04594618484683</v>
      </c>
      <c r="O28" s="48">
        <v>156.24834515531646</v>
      </c>
      <c r="P28" s="48">
        <v>139.38597645523589</v>
      </c>
    </row>
    <row r="29" spans="2:16" x14ac:dyDescent="0.3">
      <c r="B29" t="s">
        <v>285</v>
      </c>
      <c r="C29">
        <f>'Data Sheet'!J69</f>
        <v>2181.56</v>
      </c>
      <c r="K29" s="45">
        <v>4.4999999999999998E-2</v>
      </c>
      <c r="L29" s="48">
        <v>493.4957191569286</v>
      </c>
      <c r="M29" s="48">
        <v>296.76808432265489</v>
      </c>
      <c r="N29" s="48">
        <v>221.10360938639576</v>
      </c>
      <c r="O29" s="48">
        <v>181.04594618484677</v>
      </c>
      <c r="P29" s="48">
        <v>156.24834515531649</v>
      </c>
    </row>
    <row r="30" spans="2:16" x14ac:dyDescent="0.3">
      <c r="B30" t="s">
        <v>286</v>
      </c>
      <c r="C30">
        <f>WACC!C15</f>
        <v>2837</v>
      </c>
      <c r="K30" s="45">
        <v>6.5000000000000002E-2</v>
      </c>
      <c r="L30" s="48">
        <v>2264.044432665391</v>
      </c>
      <c r="M30" s="48">
        <v>493.49571915692883</v>
      </c>
      <c r="N30" s="48">
        <v>296.76808432265489</v>
      </c>
      <c r="O30" s="48">
        <v>221.10360938639576</v>
      </c>
      <c r="P30" s="48">
        <v>181.04594618484683</v>
      </c>
    </row>
    <row r="31" spans="2:16" x14ac:dyDescent="0.3">
      <c r="B31" t="s">
        <v>287</v>
      </c>
      <c r="C31" s="34">
        <f>C27+C29-C30</f>
        <v>48030.800004182209</v>
      </c>
      <c r="K31" s="45">
        <v>8.5000000000000006E-2</v>
      </c>
      <c r="L31" s="48">
        <v>-686.8700898487142</v>
      </c>
      <c r="M31" s="48">
        <v>2264.0444326653978</v>
      </c>
      <c r="N31" s="48">
        <v>493.49571915692883</v>
      </c>
      <c r="O31" s="48">
        <v>296.76808432265489</v>
      </c>
      <c r="P31" s="48">
        <v>221.10360938639576</v>
      </c>
    </row>
    <row r="32" spans="2:16" x14ac:dyDescent="0.3">
      <c r="B32" t="s">
        <v>288</v>
      </c>
      <c r="C32" s="34">
        <f>'Data Sheet'!B6</f>
        <v>142.34321727019497</v>
      </c>
      <c r="K32" s="45">
        <v>0.105</v>
      </c>
      <c r="L32" s="48">
        <v>-265.31087234669906</v>
      </c>
      <c r="M32" s="48">
        <v>-686.8700898487142</v>
      </c>
      <c r="N32" s="48">
        <v>2264.044432665391</v>
      </c>
      <c r="O32" s="48">
        <v>493.4957191569286</v>
      </c>
      <c r="P32" s="48">
        <v>296.76808432265489</v>
      </c>
    </row>
    <row r="33" spans="2:16" x14ac:dyDescent="0.3">
      <c r="K33" s="45">
        <v>0.125</v>
      </c>
      <c r="L33" s="48">
        <v>2.5000000000000001E-2</v>
      </c>
      <c r="M33" s="48">
        <v>2.5000000000000001E-2</v>
      </c>
      <c r="N33" s="48">
        <v>2.5000000000000001E-2</v>
      </c>
      <c r="O33" s="48">
        <v>2.5000000000000001E-2</v>
      </c>
      <c r="P33" s="48">
        <v>2.5000000000000001E-2</v>
      </c>
    </row>
    <row r="34" spans="2:16" ht="15" thickBot="1" x14ac:dyDescent="0.35">
      <c r="B34" s="29" t="s">
        <v>289</v>
      </c>
      <c r="C34" s="35">
        <f>C31/C32</f>
        <v>337.42949559029887</v>
      </c>
    </row>
    <row r="36" spans="2:16" x14ac:dyDescent="0.3">
      <c r="B36" t="s">
        <v>290</v>
      </c>
      <c r="C36" s="34">
        <f>'Data Sheet'!B8</f>
        <v>718</v>
      </c>
    </row>
    <row r="37" spans="2:16" x14ac:dyDescent="0.3">
      <c r="B37" t="s">
        <v>291</v>
      </c>
      <c r="C37" s="75">
        <f>C36/C34</f>
        <v>2.1278519198327088</v>
      </c>
    </row>
  </sheetData>
  <mergeCells count="2">
    <mergeCell ref="K15:P15"/>
    <mergeCell ref="K26:P2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D90B0-5CE1-4F64-BD85-CF17BBABD562}">
  <dimension ref="A1:Q30"/>
  <sheetViews>
    <sheetView showGridLines="0" zoomScale="71" workbookViewId="0">
      <selection activeCell="F12" sqref="F12"/>
    </sheetView>
  </sheetViews>
  <sheetFormatPr defaultRowHeight="14.4" x14ac:dyDescent="0.3"/>
  <cols>
    <col min="1" max="1" width="2.33203125" customWidth="1"/>
    <col min="2" max="2" width="37.21875" bestFit="1" customWidth="1"/>
    <col min="4" max="4" width="11" bestFit="1" customWidth="1"/>
    <col min="5" max="5" width="9" bestFit="1" customWidth="1"/>
    <col min="6" max="6" width="14.5546875" bestFit="1" customWidth="1"/>
    <col min="7" max="7" width="11.33203125" bestFit="1" customWidth="1"/>
    <col min="8" max="8" width="14.5546875" bestFit="1" customWidth="1"/>
    <col min="10" max="10" width="2.33203125" customWidth="1"/>
    <col min="11" max="11" width="12.33203125" bestFit="1" customWidth="1"/>
    <col min="12" max="12" width="14.5546875" bestFit="1" customWidth="1"/>
    <col min="13" max="13" width="14.109375" bestFit="1" customWidth="1"/>
    <col min="15" max="15" width="15" bestFit="1" customWidth="1"/>
    <col min="16" max="16" width="14.44140625" bestFit="1" customWidth="1"/>
    <col min="17" max="17" width="14.5546875" bestFit="1" customWidth="1"/>
  </cols>
  <sheetData>
    <row r="1" spans="1:17" ht="18" x14ac:dyDescent="0.35">
      <c r="A1" s="131"/>
      <c r="B1" s="131"/>
      <c r="C1" s="131"/>
      <c r="D1" s="131"/>
      <c r="E1" s="131"/>
      <c r="F1" s="131"/>
      <c r="G1" s="131"/>
      <c r="H1" s="131"/>
      <c r="I1" s="131"/>
      <c r="J1" s="131"/>
      <c r="K1" s="131"/>
      <c r="L1" s="131"/>
      <c r="M1" s="131"/>
      <c r="N1" s="131"/>
      <c r="O1" s="131"/>
      <c r="P1" s="131"/>
      <c r="Q1" s="131"/>
    </row>
    <row r="2" spans="1:17" s="22" customFormat="1" ht="21" x14ac:dyDescent="0.4">
      <c r="B2" s="217" t="s">
        <v>299</v>
      </c>
      <c r="C2" s="217"/>
      <c r="D2" s="217"/>
      <c r="E2" s="217"/>
      <c r="F2" s="217"/>
      <c r="G2" s="217"/>
      <c r="H2" s="217"/>
      <c r="I2" s="217"/>
      <c r="J2" s="217"/>
      <c r="K2" s="217"/>
      <c r="L2" s="217"/>
      <c r="M2" s="217"/>
      <c r="N2" s="217"/>
      <c r="O2" s="217"/>
      <c r="P2" s="217"/>
      <c r="Q2" s="217"/>
    </row>
    <row r="3" spans="1:17" ht="3.6" customHeight="1" x14ac:dyDescent="0.35">
      <c r="A3" s="131"/>
      <c r="B3" s="131"/>
      <c r="C3" s="131"/>
      <c r="D3" s="131"/>
      <c r="E3" s="131"/>
      <c r="F3" s="131"/>
      <c r="G3" s="131"/>
      <c r="H3" s="131"/>
      <c r="I3" s="131"/>
      <c r="J3" s="131"/>
      <c r="K3" s="131"/>
      <c r="L3" s="131"/>
      <c r="M3" s="131"/>
      <c r="N3" s="131"/>
      <c r="O3" s="131"/>
      <c r="P3" s="131"/>
      <c r="Q3" s="131"/>
    </row>
    <row r="4" spans="1:17" ht="15.6" customHeight="1" x14ac:dyDescent="0.35">
      <c r="A4" s="131"/>
      <c r="B4" s="39" t="s">
        <v>330</v>
      </c>
      <c r="C4" s="131"/>
      <c r="D4" s="131"/>
      <c r="E4" s="131"/>
      <c r="F4" s="131"/>
      <c r="G4" s="131"/>
      <c r="H4" s="131"/>
      <c r="I4" s="131"/>
      <c r="J4" s="131"/>
      <c r="K4" s="131"/>
      <c r="L4" s="131"/>
      <c r="M4" s="131"/>
      <c r="N4" s="131"/>
      <c r="O4" s="131"/>
      <c r="P4" s="131"/>
      <c r="Q4" s="131"/>
    </row>
    <row r="5" spans="1:17" ht="18" x14ac:dyDescent="0.35">
      <c r="A5" s="131"/>
      <c r="B5" s="184"/>
      <c r="C5" s="184"/>
      <c r="D5" s="216" t="s">
        <v>306</v>
      </c>
      <c r="E5" s="216"/>
      <c r="F5" s="216"/>
      <c r="G5" s="216"/>
      <c r="H5" s="216"/>
      <c r="I5" s="216"/>
      <c r="J5" s="184"/>
      <c r="K5" s="216" t="s">
        <v>310</v>
      </c>
      <c r="L5" s="216"/>
      <c r="M5" s="216"/>
      <c r="N5" s="184"/>
      <c r="O5" s="212" t="s">
        <v>309</v>
      </c>
      <c r="P5" s="212"/>
      <c r="Q5" s="212"/>
    </row>
    <row r="6" spans="1:17" ht="36" x14ac:dyDescent="0.35">
      <c r="A6" s="131"/>
      <c r="B6" s="184" t="s">
        <v>300</v>
      </c>
      <c r="C6" s="184" t="s">
        <v>301</v>
      </c>
      <c r="D6" s="185" t="s">
        <v>290</v>
      </c>
      <c r="E6" s="185" t="s">
        <v>302</v>
      </c>
      <c r="F6" s="185" t="s">
        <v>303</v>
      </c>
      <c r="G6" s="184" t="s">
        <v>304</v>
      </c>
      <c r="H6" s="185" t="s">
        <v>305</v>
      </c>
      <c r="I6" s="184"/>
      <c r="J6" s="184"/>
      <c r="K6" s="184" t="s">
        <v>307</v>
      </c>
      <c r="L6" s="184" t="s">
        <v>66</v>
      </c>
      <c r="M6" s="184" t="s">
        <v>308</v>
      </c>
      <c r="N6" s="184"/>
      <c r="O6" s="186" t="s">
        <v>319</v>
      </c>
      <c r="P6" s="186" t="s">
        <v>320</v>
      </c>
      <c r="Q6" s="186" t="s">
        <v>321</v>
      </c>
    </row>
    <row r="7" spans="1:17" ht="18" x14ac:dyDescent="0.35">
      <c r="A7" s="131"/>
      <c r="B7" s="132" t="str">
        <f>'Data_Relative Comps'!C2</f>
        <v>Indian Hotels Co</v>
      </c>
      <c r="C7" s="132"/>
      <c r="D7" s="133">
        <f>'Data_Relative Comps'!D2</f>
        <v>718</v>
      </c>
      <c r="E7" s="133">
        <f>'Data_Relative Comps'!E2</f>
        <v>142.34</v>
      </c>
      <c r="F7" s="133">
        <f>E7*D7</f>
        <v>102200.12</v>
      </c>
      <c r="G7" s="133">
        <f>'Data_Relative Comps'!I2</f>
        <v>1005.3600000000001</v>
      </c>
      <c r="H7" s="133">
        <f>F7+G7</f>
        <v>103205.48</v>
      </c>
      <c r="I7" s="132"/>
      <c r="J7" s="132"/>
      <c r="K7" s="133">
        <f>'Data_Relative Comps'!E11</f>
        <v>9987.33</v>
      </c>
      <c r="L7" s="133">
        <f>'Data_Relative Comps'!G11</f>
        <v>359244.26010000001</v>
      </c>
      <c r="M7" s="133">
        <f>'Data_Relative Comps'!H11</f>
        <v>1943.44</v>
      </c>
      <c r="N7" s="132"/>
      <c r="O7" s="134">
        <f>H7/K7</f>
        <v>10.333640722795781</v>
      </c>
      <c r="P7" s="134">
        <f>H7/L7</f>
        <v>0.28728497978303535</v>
      </c>
      <c r="Q7" s="134">
        <f>F7/M7</f>
        <v>52.587226773144522</v>
      </c>
    </row>
    <row r="8" spans="1:17" ht="18" x14ac:dyDescent="0.35">
      <c r="A8" s="131"/>
      <c r="B8" s="135" t="str">
        <f>'Data_Relative Comps'!C3</f>
        <v>ITC Hotels</v>
      </c>
      <c r="C8" s="136"/>
      <c r="D8" s="136">
        <f>'Data_Relative Comps'!D3</f>
        <v>158.51</v>
      </c>
      <c r="E8" s="136">
        <f>'Data_Relative Comps'!E3</f>
        <v>208.31</v>
      </c>
      <c r="F8" s="136">
        <f t="shared" ref="F8:F13" si="0">E8*D8</f>
        <v>33019.218099999998</v>
      </c>
      <c r="G8" s="136">
        <f>'Data_Relative Comps'!I3</f>
        <v>-691.17000000000007</v>
      </c>
      <c r="H8" s="136">
        <f t="shared" ref="H8:H13" si="1">F8+G8</f>
        <v>32328.0481</v>
      </c>
      <c r="I8" s="135"/>
      <c r="J8" s="135"/>
      <c r="K8" s="136">
        <f>'Data_Relative Comps'!E12</f>
        <v>4259.88</v>
      </c>
      <c r="L8" s="136">
        <f>'Data_Relative Comps'!G12</f>
        <v>168904.242</v>
      </c>
      <c r="M8" s="136">
        <f>'Data_Relative Comps'!H12</f>
        <v>921.57</v>
      </c>
      <c r="N8" s="135"/>
      <c r="O8" s="137">
        <f t="shared" ref="O8:O13" si="2">H8/K8</f>
        <v>7.588957458895556</v>
      </c>
      <c r="P8" s="137">
        <f t="shared" ref="P8:P13" si="3">H8/L8</f>
        <v>0.19139867487756762</v>
      </c>
      <c r="Q8" s="137">
        <f t="shared" ref="Q8:Q13" si="4">F8/M8</f>
        <v>35.829310958473037</v>
      </c>
    </row>
    <row r="9" spans="1:17" ht="18" x14ac:dyDescent="0.35">
      <c r="A9" s="131"/>
      <c r="B9" s="135" t="str">
        <f>'Data_Relative Comps'!C4</f>
        <v>Leela Palaces Hotels</v>
      </c>
      <c r="C9" s="136"/>
      <c r="D9" s="136">
        <f>'Data_Relative Comps'!D4</f>
        <v>568.95000000000005</v>
      </c>
      <c r="E9" s="136">
        <f>'Data_Relative Comps'!E4</f>
        <v>33.4</v>
      </c>
      <c r="F9" s="136">
        <f t="shared" si="0"/>
        <v>19002.93</v>
      </c>
      <c r="G9" s="136">
        <f>'Data_Relative Comps'!I4</f>
        <v>1525.38</v>
      </c>
      <c r="H9" s="136">
        <f t="shared" si="1"/>
        <v>20528.310000000001</v>
      </c>
      <c r="I9" s="135"/>
      <c r="J9" s="135"/>
      <c r="K9" s="136">
        <f>'Data_Relative Comps'!E13</f>
        <v>1604.46</v>
      </c>
      <c r="L9" s="136">
        <f>'Data_Relative Comps'!G13</f>
        <v>81891.638399999996</v>
      </c>
      <c r="M9" s="136">
        <f>'Data_Relative Comps'!H13</f>
        <v>448.62</v>
      </c>
      <c r="N9" s="135"/>
      <c r="O9" s="137">
        <f t="shared" si="2"/>
        <v>12.794529000411353</v>
      </c>
      <c r="P9" s="137">
        <f t="shared" si="3"/>
        <v>0.25067650862874913</v>
      </c>
      <c r="Q9" s="137">
        <f t="shared" si="4"/>
        <v>42.358633141634343</v>
      </c>
    </row>
    <row r="10" spans="1:17" ht="18" x14ac:dyDescent="0.35">
      <c r="A10" s="131"/>
      <c r="B10" s="135" t="str">
        <f>'Data_Relative Comps'!C5</f>
        <v>EIH</v>
      </c>
      <c r="C10" s="136"/>
      <c r="D10" s="136">
        <f>'Data_Relative Comps'!D5</f>
        <v>297.85000000000002</v>
      </c>
      <c r="E10" s="136">
        <f>'Data_Relative Comps'!E5</f>
        <v>62.54</v>
      </c>
      <c r="F10" s="136">
        <f t="shared" si="0"/>
        <v>18627.539000000001</v>
      </c>
      <c r="G10" s="136">
        <f>'Data_Relative Comps'!I5</f>
        <v>-681.54000000000008</v>
      </c>
      <c r="H10" s="136">
        <f t="shared" si="1"/>
        <v>17945.999</v>
      </c>
      <c r="I10" s="135"/>
      <c r="J10" s="135"/>
      <c r="K10" s="136">
        <f>'Data_Relative Comps'!E14</f>
        <v>3023.01</v>
      </c>
      <c r="L10" s="136">
        <f>'Data_Relative Comps'!G14</f>
        <v>125454.91500000001</v>
      </c>
      <c r="M10" s="136">
        <f>'Data_Relative Comps'!H14</f>
        <v>726.07</v>
      </c>
      <c r="N10" s="135"/>
      <c r="O10" s="137">
        <f t="shared" si="2"/>
        <v>5.9364669650447723</v>
      </c>
      <c r="P10" s="137">
        <f t="shared" si="3"/>
        <v>0.14304739674806682</v>
      </c>
      <c r="Q10" s="137">
        <f t="shared" si="4"/>
        <v>25.655293566735988</v>
      </c>
    </row>
    <row r="11" spans="1:17" ht="18" x14ac:dyDescent="0.35">
      <c r="A11" s="131"/>
      <c r="B11" s="135" t="str">
        <f>'Data_Relative Comps'!C6</f>
        <v>Chalet Hotels</v>
      </c>
      <c r="C11" s="136"/>
      <c r="D11" s="136">
        <f>'Data_Relative Comps'!D6</f>
        <v>830.25</v>
      </c>
      <c r="E11" s="136">
        <f>'Data_Relative Comps'!E6</f>
        <v>21.9</v>
      </c>
      <c r="F11" s="136">
        <f t="shared" si="0"/>
        <v>18182.474999999999</v>
      </c>
      <c r="G11" s="136">
        <f>'Data_Relative Comps'!I6</f>
        <v>2059.1799999999998</v>
      </c>
      <c r="H11" s="136">
        <f t="shared" si="1"/>
        <v>20241.654999999999</v>
      </c>
      <c r="I11" s="135"/>
      <c r="J11" s="135"/>
      <c r="K11" s="136">
        <f>'Data_Relative Comps'!E15</f>
        <v>2387.48</v>
      </c>
      <c r="L11" s="136">
        <f>'Data_Relative Comps'!G15</f>
        <v>110206.0768</v>
      </c>
      <c r="M11" s="136">
        <f>'Data_Relative Comps'!H15</f>
        <v>535.27</v>
      </c>
      <c r="N11" s="135"/>
      <c r="O11" s="137">
        <f t="shared" si="2"/>
        <v>8.4782511267110081</v>
      </c>
      <c r="P11" s="137">
        <f t="shared" si="3"/>
        <v>0.18367095161852273</v>
      </c>
      <c r="Q11" s="137">
        <f t="shared" si="4"/>
        <v>33.968791451043394</v>
      </c>
    </row>
    <row r="12" spans="1:17" ht="18" x14ac:dyDescent="0.35">
      <c r="A12" s="131"/>
      <c r="B12" s="135" t="str">
        <f>'Data_Relative Comps'!C7</f>
        <v>Ventive Hospital</v>
      </c>
      <c r="C12" s="136"/>
      <c r="D12" s="136">
        <f>'Data_Relative Comps'!D7</f>
        <v>552.20000000000005</v>
      </c>
      <c r="E12" s="136">
        <f>'Data_Relative Comps'!E7</f>
        <v>23.35</v>
      </c>
      <c r="F12" s="136">
        <f t="shared" si="0"/>
        <v>12893.870000000003</v>
      </c>
      <c r="G12" s="136">
        <f>'Data_Relative Comps'!I7</f>
        <v>2153.16</v>
      </c>
      <c r="H12" s="136">
        <f t="shared" si="1"/>
        <v>15047.030000000002</v>
      </c>
      <c r="I12" s="135"/>
      <c r="J12" s="135"/>
      <c r="K12" s="136">
        <f>'Data_Relative Comps'!E16</f>
        <v>2496.42</v>
      </c>
      <c r="L12" s="136">
        <f>'Data_Relative Comps'!G16</f>
        <v>138426.489</v>
      </c>
      <c r="M12" s="136">
        <f>'Data_Relative Comps'!H16</f>
        <v>484.72</v>
      </c>
      <c r="N12" s="135"/>
      <c r="O12" s="137">
        <f>H12/K12</f>
        <v>6.0274432988038882</v>
      </c>
      <c r="P12" s="137">
        <f t="shared" si="3"/>
        <v>0.10870051034813144</v>
      </c>
      <c r="Q12" s="137">
        <f t="shared" si="4"/>
        <v>26.600656048852951</v>
      </c>
    </row>
    <row r="13" spans="1:17" ht="18" x14ac:dyDescent="0.35">
      <c r="A13" s="131"/>
      <c r="B13" s="135" t="str">
        <f>'Data_Relative Comps'!C8</f>
        <v>Lemon Tree Hotel</v>
      </c>
      <c r="C13" s="136"/>
      <c r="D13" s="136">
        <f>'Data_Relative Comps'!D8</f>
        <v>107.67</v>
      </c>
      <c r="E13" s="136">
        <f>'Data_Relative Comps'!E8</f>
        <v>79.22</v>
      </c>
      <c r="F13" s="136">
        <f t="shared" si="0"/>
        <v>8529.6173999999992</v>
      </c>
      <c r="G13" s="136">
        <f>'Data_Relative Comps'!I8</f>
        <v>1905.8500000000001</v>
      </c>
      <c r="H13" s="136">
        <f t="shared" si="1"/>
        <v>10435.4674</v>
      </c>
      <c r="I13" s="135"/>
      <c r="J13" s="135"/>
      <c r="K13" s="136">
        <f>'Data_Relative Comps'!E17</f>
        <v>1473.34</v>
      </c>
      <c r="L13" s="136">
        <f>'Data_Relative Comps'!G17</f>
        <v>70823.453800000003</v>
      </c>
      <c r="M13" s="136">
        <f>'Data_Relative Comps'!H17</f>
        <v>255.91</v>
      </c>
      <c r="N13" s="135"/>
      <c r="O13" s="137">
        <f t="shared" si="2"/>
        <v>7.0828643761792938</v>
      </c>
      <c r="P13" s="137">
        <f t="shared" si="3"/>
        <v>0.14734479667525052</v>
      </c>
      <c r="Q13" s="137">
        <f t="shared" si="4"/>
        <v>33.330535735219414</v>
      </c>
    </row>
    <row r="14" spans="1:17" ht="13.8" customHeight="1" x14ac:dyDescent="0.35">
      <c r="A14" s="131"/>
      <c r="B14" s="131"/>
      <c r="C14" s="131"/>
      <c r="D14" s="131"/>
      <c r="E14" s="131"/>
      <c r="F14" s="131"/>
      <c r="G14" s="131"/>
      <c r="H14" s="131"/>
      <c r="I14" s="131"/>
      <c r="J14" s="131"/>
      <c r="K14" s="131"/>
      <c r="L14" s="131"/>
      <c r="M14" s="131"/>
      <c r="N14" s="131"/>
      <c r="O14" s="131"/>
      <c r="P14" s="140"/>
      <c r="Q14" s="131"/>
    </row>
    <row r="15" spans="1:17" ht="18" x14ac:dyDescent="0.35">
      <c r="A15" s="131"/>
      <c r="B15" s="132" t="s">
        <v>322</v>
      </c>
      <c r="C15" s="132"/>
      <c r="D15" s="133"/>
      <c r="E15" s="133"/>
      <c r="F15" s="133"/>
      <c r="G15" s="133"/>
      <c r="H15" s="133"/>
      <c r="I15" s="132"/>
      <c r="J15" s="132"/>
      <c r="K15" s="133"/>
      <c r="L15" s="133"/>
      <c r="M15" s="133"/>
      <c r="N15" s="132"/>
      <c r="O15" s="134">
        <f t="shared" ref="O15:Q15" si="5">MAX(O7:O13)</f>
        <v>12.794529000411353</v>
      </c>
      <c r="P15" s="134">
        <f t="shared" si="5"/>
        <v>0.28728497978303535</v>
      </c>
      <c r="Q15" s="134">
        <f t="shared" si="5"/>
        <v>52.587226773144522</v>
      </c>
    </row>
    <row r="16" spans="1:17" ht="18" x14ac:dyDescent="0.35">
      <c r="A16" s="131"/>
      <c r="B16" s="132" t="s">
        <v>323</v>
      </c>
      <c r="C16" s="132"/>
      <c r="D16" s="132"/>
      <c r="E16" s="132"/>
      <c r="F16" s="132"/>
      <c r="G16" s="132"/>
      <c r="H16" s="132"/>
      <c r="I16" s="132"/>
      <c r="J16" s="132"/>
      <c r="K16" s="132"/>
      <c r="L16" s="132"/>
      <c r="M16" s="132"/>
      <c r="N16" s="132"/>
      <c r="O16" s="134">
        <f>QUARTILE(O7:O13,3)</f>
        <v>9.4059459247533947</v>
      </c>
      <c r="P16" s="134">
        <f t="shared" ref="P16:Q16" si="6">QUARTILE(P7:P13,3)</f>
        <v>0.22103759175315837</v>
      </c>
      <c r="Q16" s="134">
        <f t="shared" si="6"/>
        <v>39.093972050053694</v>
      </c>
    </row>
    <row r="17" spans="1:17" ht="18" x14ac:dyDescent="0.35">
      <c r="A17" s="131"/>
      <c r="B17" s="141" t="s">
        <v>161</v>
      </c>
      <c r="C17" s="132"/>
      <c r="D17" s="132"/>
      <c r="E17" s="132"/>
      <c r="F17" s="132"/>
      <c r="G17" s="132"/>
      <c r="H17" s="132"/>
      <c r="I17" s="132"/>
      <c r="J17" s="132"/>
      <c r="K17" s="132"/>
      <c r="L17" s="132"/>
      <c r="M17" s="132"/>
      <c r="N17" s="132"/>
      <c r="O17" s="142">
        <f>AVERAGE(O7:O13)</f>
        <v>8.3203075641202364</v>
      </c>
      <c r="P17" s="142">
        <f>AVERAGE(P7:P13)</f>
        <v>0.18744625981133195</v>
      </c>
      <c r="Q17" s="142">
        <f t="shared" ref="Q17" si="7">AVERAGE(Q7:Q13)</f>
        <v>35.761492525014809</v>
      </c>
    </row>
    <row r="18" spans="1:17" ht="18" x14ac:dyDescent="0.35">
      <c r="A18" s="131"/>
      <c r="B18" s="141" t="s">
        <v>145</v>
      </c>
      <c r="C18" s="132"/>
      <c r="D18" s="132"/>
      <c r="E18" s="132"/>
      <c r="F18" s="132"/>
      <c r="G18" s="132"/>
      <c r="H18" s="132"/>
      <c r="I18" s="132"/>
      <c r="J18" s="132"/>
      <c r="K18" s="132"/>
      <c r="L18" s="132"/>
      <c r="M18" s="132"/>
      <c r="N18" s="132"/>
      <c r="O18" s="142">
        <f>MEDIAN(O7:O13)</f>
        <v>7.588957458895556</v>
      </c>
      <c r="P18" s="142">
        <f t="shared" ref="P18:Q18" si="8">MEDIAN(P7:P13)</f>
        <v>0.18367095161852273</v>
      </c>
      <c r="Q18" s="142">
        <f t="shared" si="8"/>
        <v>33.968791451043394</v>
      </c>
    </row>
    <row r="19" spans="1:17" ht="18" x14ac:dyDescent="0.35">
      <c r="A19" s="131"/>
      <c r="B19" s="132" t="s">
        <v>324</v>
      </c>
      <c r="C19" s="132"/>
      <c r="D19" s="132"/>
      <c r="E19" s="132"/>
      <c r="F19" s="132"/>
      <c r="G19" s="132"/>
      <c r="H19" s="132"/>
      <c r="I19" s="132"/>
      <c r="J19" s="132"/>
      <c r="K19" s="132"/>
      <c r="L19" s="132"/>
      <c r="M19" s="132"/>
      <c r="N19" s="132"/>
      <c r="O19" s="134">
        <f>QUARTILE(O7:O13,1)</f>
        <v>6.5551538374915914</v>
      </c>
      <c r="P19" s="134">
        <f t="shared" ref="P19:Q19" si="9">QUARTILE(P7:P13,1)</f>
        <v>0.14519609671165867</v>
      </c>
      <c r="Q19" s="134">
        <f t="shared" si="9"/>
        <v>29.965595892036184</v>
      </c>
    </row>
    <row r="20" spans="1:17" ht="18" x14ac:dyDescent="0.35">
      <c r="A20" s="131"/>
      <c r="B20" s="132" t="s">
        <v>325</v>
      </c>
      <c r="C20" s="132"/>
      <c r="D20" s="132"/>
      <c r="E20" s="132"/>
      <c r="F20" s="132"/>
      <c r="G20" s="132"/>
      <c r="H20" s="132"/>
      <c r="I20" s="132"/>
      <c r="J20" s="132"/>
      <c r="K20" s="132"/>
      <c r="L20" s="132"/>
      <c r="M20" s="132"/>
      <c r="N20" s="132"/>
      <c r="O20" s="134">
        <f>MIN(O7:O13)</f>
        <v>5.9364669650447723</v>
      </c>
      <c r="P20" s="134">
        <f t="shared" ref="P20:Q20" si="10">MIN(P7:P13)</f>
        <v>0.10870051034813144</v>
      </c>
      <c r="Q20" s="134">
        <f t="shared" si="10"/>
        <v>25.655293566735988</v>
      </c>
    </row>
    <row r="21" spans="1:17" ht="18" x14ac:dyDescent="0.35">
      <c r="A21" s="131"/>
      <c r="B21" s="131"/>
      <c r="C21" s="131"/>
      <c r="D21" s="131"/>
      <c r="E21" s="131"/>
      <c r="F21" s="131"/>
      <c r="G21" s="131"/>
      <c r="H21" s="131"/>
      <c r="I21" s="131"/>
      <c r="J21" s="131"/>
      <c r="K21" s="131"/>
      <c r="L21" s="131"/>
      <c r="M21" s="131"/>
      <c r="N21" s="131"/>
      <c r="O21" s="131"/>
      <c r="P21" s="131"/>
      <c r="Q21" s="131"/>
    </row>
    <row r="22" spans="1:17" ht="18" x14ac:dyDescent="0.35">
      <c r="A22" s="131"/>
      <c r="B22" s="187" t="s">
        <v>299</v>
      </c>
      <c r="C22" s="187"/>
      <c r="D22" s="187"/>
      <c r="E22" s="187"/>
      <c r="F22" s="187"/>
      <c r="G22" s="187"/>
      <c r="H22" s="187"/>
      <c r="I22" s="187"/>
      <c r="J22" s="187"/>
      <c r="K22" s="187"/>
      <c r="L22" s="187"/>
      <c r="M22" s="187"/>
      <c r="N22" s="187"/>
      <c r="O22" s="187" t="s">
        <v>319</v>
      </c>
      <c r="P22" s="187" t="s">
        <v>320</v>
      </c>
      <c r="Q22" s="187" t="s">
        <v>321</v>
      </c>
    </row>
    <row r="23" spans="1:17" ht="18" x14ac:dyDescent="0.35">
      <c r="A23" s="131"/>
      <c r="B23" s="135" t="s">
        <v>326</v>
      </c>
      <c r="C23" s="135"/>
      <c r="D23" s="135"/>
      <c r="E23" s="135"/>
      <c r="F23" s="135"/>
      <c r="G23" s="135"/>
      <c r="H23" s="135"/>
      <c r="I23" s="135"/>
      <c r="J23" s="135"/>
      <c r="K23" s="135"/>
      <c r="L23" s="135"/>
      <c r="M23" s="135"/>
      <c r="N23" s="135"/>
      <c r="O23" s="136">
        <f>O18*K$7</f>
        <v>75793.422497951353</v>
      </c>
      <c r="P23" s="136">
        <f>P18*L$7</f>
        <v>65982.735116059106</v>
      </c>
      <c r="Q23" s="136">
        <f>Q25+Q24</f>
        <v>67021.668057615781</v>
      </c>
    </row>
    <row r="24" spans="1:17" ht="18" x14ac:dyDescent="0.35">
      <c r="A24" s="131"/>
      <c r="B24" s="135" t="s">
        <v>304</v>
      </c>
      <c r="C24" s="135"/>
      <c r="D24" s="135"/>
      <c r="E24" s="135"/>
      <c r="F24" s="135"/>
      <c r="G24" s="135"/>
      <c r="H24" s="135"/>
      <c r="I24" s="135"/>
      <c r="J24" s="135"/>
      <c r="K24" s="135"/>
      <c r="L24" s="135"/>
      <c r="M24" s="135"/>
      <c r="N24" s="135"/>
      <c r="O24" s="136">
        <f>G7</f>
        <v>1005.3600000000001</v>
      </c>
      <c r="P24" s="136">
        <f>G7</f>
        <v>1005.3600000000001</v>
      </c>
      <c r="Q24" s="136">
        <f>G7</f>
        <v>1005.3600000000001</v>
      </c>
    </row>
    <row r="25" spans="1:17" ht="18" x14ac:dyDescent="0.35">
      <c r="A25" s="131"/>
      <c r="B25" s="135" t="s">
        <v>327</v>
      </c>
      <c r="C25" s="135"/>
      <c r="D25" s="135"/>
      <c r="E25" s="135"/>
      <c r="F25" s="135"/>
      <c r="G25" s="135"/>
      <c r="H25" s="135"/>
      <c r="I25" s="135"/>
      <c r="J25" s="135"/>
      <c r="K25" s="135"/>
      <c r="L25" s="135"/>
      <c r="M25" s="135"/>
      <c r="N25" s="135"/>
      <c r="O25" s="136">
        <f>O23-O24</f>
        <v>74788.062497951352</v>
      </c>
      <c r="P25" s="136">
        <f>P23-P24</f>
        <v>64977.375116059105</v>
      </c>
      <c r="Q25" s="136">
        <f>Q18*M7</f>
        <v>66016.308057615781</v>
      </c>
    </row>
    <row r="26" spans="1:17" ht="18" x14ac:dyDescent="0.35">
      <c r="A26" s="131"/>
      <c r="B26" s="138" t="s">
        <v>328</v>
      </c>
      <c r="C26" s="138"/>
      <c r="D26" s="138"/>
      <c r="E26" s="138"/>
      <c r="F26" s="138"/>
      <c r="G26" s="138"/>
      <c r="H26" s="138"/>
      <c r="I26" s="138"/>
      <c r="J26" s="138"/>
      <c r="K26" s="138"/>
      <c r="L26" s="138"/>
      <c r="M26" s="138"/>
      <c r="N26" s="138"/>
      <c r="O26" s="139">
        <f>E7</f>
        <v>142.34</v>
      </c>
      <c r="P26" s="139">
        <f>E7</f>
        <v>142.34</v>
      </c>
      <c r="Q26" s="139">
        <f>E7</f>
        <v>142.34</v>
      </c>
    </row>
    <row r="27" spans="1:17" ht="18" x14ac:dyDescent="0.35">
      <c r="A27" s="131"/>
      <c r="B27" s="143" t="s">
        <v>329</v>
      </c>
      <c r="C27" s="143"/>
      <c r="D27" s="143"/>
      <c r="E27" s="143"/>
      <c r="F27" s="143"/>
      <c r="G27" s="143"/>
      <c r="H27" s="143"/>
      <c r="I27" s="143"/>
      <c r="J27" s="143"/>
      <c r="K27" s="143"/>
      <c r="L27" s="143"/>
      <c r="M27" s="143"/>
      <c r="N27" s="143"/>
      <c r="O27" s="144">
        <f>O25/O26</f>
        <v>525.41845228292368</v>
      </c>
      <c r="P27" s="144">
        <f t="shared" ref="P27:Q27" si="11">P25/P26</f>
        <v>456.49413457959184</v>
      </c>
      <c r="Q27" s="144">
        <f t="shared" si="11"/>
        <v>463.79308737962469</v>
      </c>
    </row>
    <row r="28" spans="1:17" ht="18" x14ac:dyDescent="0.35">
      <c r="A28" s="131"/>
      <c r="B28" s="131"/>
      <c r="C28" s="131"/>
      <c r="D28" s="131"/>
      <c r="E28" s="131"/>
      <c r="F28" s="131"/>
      <c r="G28" s="131"/>
      <c r="H28" s="131"/>
      <c r="I28" s="131"/>
      <c r="J28" s="131"/>
      <c r="K28" s="131"/>
      <c r="L28" s="131"/>
      <c r="M28" s="131"/>
      <c r="N28" s="131"/>
      <c r="O28" s="131"/>
      <c r="P28" s="131"/>
      <c r="Q28" s="131"/>
    </row>
    <row r="29" spans="1:17" ht="18" x14ac:dyDescent="0.35">
      <c r="A29" s="131"/>
      <c r="B29" s="131"/>
      <c r="C29" s="131"/>
      <c r="D29" s="131"/>
      <c r="E29" s="131"/>
      <c r="F29" s="131"/>
      <c r="G29" s="131"/>
      <c r="H29" s="131"/>
      <c r="I29" s="131"/>
      <c r="J29" s="131"/>
      <c r="K29" s="131"/>
      <c r="L29" s="131"/>
      <c r="M29" s="131"/>
      <c r="N29" s="131"/>
      <c r="O29" s="131" t="str">
        <f>IF(O27&gt;D7,"Under Valued",IF(O27=D7,"Normal Value","Over Valued"))</f>
        <v>Over Valued</v>
      </c>
      <c r="P29" s="131" t="str">
        <f>IF(O27&gt;D7,"Under Valued",IF(O27=D7,"Normal Value","Over Valued"))</f>
        <v>Over Valued</v>
      </c>
      <c r="Q29" s="131" t="str">
        <f>IF(O27&gt;D7,"Under Valued",IF(O27=D7,"Normal Value","Over Valued"))</f>
        <v>Over Valued</v>
      </c>
    </row>
    <row r="30" spans="1:17" ht="18" x14ac:dyDescent="0.35">
      <c r="A30" s="131"/>
      <c r="B30" s="131"/>
      <c r="C30" s="131"/>
      <c r="D30" s="131"/>
      <c r="E30" s="131"/>
      <c r="F30" s="131"/>
      <c r="G30" s="131"/>
      <c r="H30" s="131"/>
      <c r="I30" s="131"/>
      <c r="J30" s="131"/>
      <c r="K30" s="131"/>
      <c r="L30" s="131"/>
      <c r="M30" s="131"/>
      <c r="N30" s="131"/>
      <c r="O30" s="131"/>
      <c r="P30" s="131"/>
      <c r="Q30" s="131"/>
    </row>
  </sheetData>
  <mergeCells count="4">
    <mergeCell ref="D5:I5"/>
    <mergeCell ref="K5:M5"/>
    <mergeCell ref="O5:Q5"/>
    <mergeCell ref="B2:Q2"/>
  </mergeCells>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B65B-D1A1-4804-BD54-6F22D27C3280}">
  <dimension ref="B2:G8"/>
  <sheetViews>
    <sheetView showGridLines="0" workbookViewId="0">
      <selection activeCell="D13" sqref="D13"/>
    </sheetView>
  </sheetViews>
  <sheetFormatPr defaultRowHeight="14.4" x14ac:dyDescent="0.3"/>
  <cols>
    <col min="1" max="1" width="2.33203125" customWidth="1"/>
  </cols>
  <sheetData>
    <row r="2" spans="2:7" x14ac:dyDescent="0.3">
      <c r="B2" s="126" t="s">
        <v>335</v>
      </c>
      <c r="C2" s="126"/>
      <c r="D2" s="126"/>
      <c r="E2" s="126"/>
      <c r="F2" s="126"/>
      <c r="G2" s="126"/>
    </row>
    <row r="3" spans="2:7" ht="15" thickBot="1" x14ac:dyDescent="0.35">
      <c r="C3" s="50" t="s">
        <v>342</v>
      </c>
      <c r="D3" s="50" t="s">
        <v>325</v>
      </c>
      <c r="E3" s="50" t="s">
        <v>343</v>
      </c>
      <c r="F3" s="50" t="s">
        <v>322</v>
      </c>
    </row>
    <row r="4" spans="2:7" x14ac:dyDescent="0.3">
      <c r="B4" t="s">
        <v>338</v>
      </c>
      <c r="C4" s="47">
        <v>1270.1453014058548</v>
      </c>
      <c r="D4" s="47">
        <f>MIN('Relative Comps'!O27:Q27)</f>
        <v>456.49413457959184</v>
      </c>
      <c r="E4" s="47">
        <v>1962.5904496859146</v>
      </c>
      <c r="F4" s="51">
        <f>MAX('Relative Comps'!O27:Q27)</f>
        <v>525.41845228292368</v>
      </c>
    </row>
    <row r="5" spans="2:7" x14ac:dyDescent="0.3">
      <c r="B5" t="s">
        <v>339</v>
      </c>
      <c r="C5" s="48">
        <v>332.79609214522446</v>
      </c>
      <c r="D5" s="48">
        <f>MIN(DCF!P28:P33)</f>
        <v>2.5000000000000001E-2</v>
      </c>
      <c r="E5" s="48">
        <v>1190.9410215124028</v>
      </c>
      <c r="F5" s="52">
        <f>MAX(DCF!P28:P33)</f>
        <v>296.76808432265489</v>
      </c>
    </row>
    <row r="6" spans="2:7" x14ac:dyDescent="0.3">
      <c r="B6" t="s">
        <v>344</v>
      </c>
      <c r="C6" s="48">
        <v>-1669.5420763781915</v>
      </c>
      <c r="D6" s="48">
        <f>MIN(DCF!M28:M33)</f>
        <v>-686.8700898487142</v>
      </c>
      <c r="E6" s="48">
        <v>5481.6656683483043</v>
      </c>
      <c r="F6" s="52">
        <f>MAX(DCF!M28:M33)</f>
        <v>2264.0444326653978</v>
      </c>
    </row>
    <row r="7" spans="2:7" x14ac:dyDescent="0.3">
      <c r="B7" t="s">
        <v>340</v>
      </c>
      <c r="C7" s="48">
        <v>-1669.5420763781915</v>
      </c>
      <c r="D7" s="48">
        <f>MIN(DCF!L28:L33)</f>
        <v>-686.8700898487142</v>
      </c>
      <c r="E7" s="48">
        <v>5481.6656683482888</v>
      </c>
      <c r="F7" s="52">
        <f>MAX(DCF!L28:L33)</f>
        <v>2264.044432665391</v>
      </c>
    </row>
    <row r="8" spans="2:7" x14ac:dyDescent="0.3">
      <c r="B8" t="s">
        <v>341</v>
      </c>
      <c r="C8" s="48">
        <v>3403.95</v>
      </c>
      <c r="D8" s="48">
        <f>MIN('Beta &amp; WACC Inputs'!C7:C97)</f>
        <v>582.75</v>
      </c>
      <c r="E8" s="48">
        <v>5320.55</v>
      </c>
      <c r="F8" s="52">
        <f>MAX('Beta &amp; WACC Inputs'!C7:C97)</f>
        <v>872.45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377F-2B9B-40DC-A93B-0E112B81828F}">
  <dimension ref="A1:Q2333"/>
  <sheetViews>
    <sheetView showGridLines="0" workbookViewId="0">
      <selection activeCell="L9" sqref="L9"/>
    </sheetView>
  </sheetViews>
  <sheetFormatPr defaultRowHeight="14.4" x14ac:dyDescent="0.3"/>
  <cols>
    <col min="1" max="1" width="2.33203125" customWidth="1"/>
    <col min="2" max="2" width="10.33203125" bestFit="1" customWidth="1"/>
    <col min="4" max="4" width="12.6640625" bestFit="1" customWidth="1"/>
    <col min="5" max="5" width="14.44140625" bestFit="1" customWidth="1"/>
    <col min="10" max="10" width="10.109375" customWidth="1"/>
  </cols>
  <sheetData>
    <row r="1" spans="1:17" ht="21" x14ac:dyDescent="0.4">
      <c r="B1" s="218" t="s">
        <v>368</v>
      </c>
      <c r="C1" s="218"/>
      <c r="D1" s="218"/>
      <c r="E1" s="218"/>
      <c r="F1" s="218"/>
      <c r="G1" s="218"/>
      <c r="H1" s="218"/>
      <c r="I1" s="218"/>
      <c r="J1" s="218"/>
      <c r="K1" s="218"/>
      <c r="L1" s="218"/>
      <c r="M1" s="218"/>
      <c r="N1" s="218"/>
      <c r="O1" s="218"/>
      <c r="P1" s="218"/>
      <c r="Q1" s="218"/>
    </row>
    <row r="3" spans="1:17" x14ac:dyDescent="0.3">
      <c r="A3" s="53" t="s">
        <v>58</v>
      </c>
      <c r="B3" s="127" t="s">
        <v>183</v>
      </c>
      <c r="C3" s="127" t="s">
        <v>292</v>
      </c>
      <c r="D3" s="127" t="s">
        <v>345</v>
      </c>
      <c r="E3" s="128" t="s">
        <v>346</v>
      </c>
      <c r="F3" s="128"/>
      <c r="G3" s="128" t="s">
        <v>347</v>
      </c>
      <c r="H3" s="128"/>
      <c r="I3" s="128"/>
      <c r="J3" s="128"/>
      <c r="K3" s="128"/>
    </row>
    <row r="4" spans="1:17" x14ac:dyDescent="0.3">
      <c r="B4" s="55">
        <v>42832</v>
      </c>
      <c r="C4" s="54">
        <v>751.2</v>
      </c>
      <c r="D4" s="56">
        <f t="shared" ref="D4:D67" si="0">C4/C5-1</f>
        <v>-0.81337573288283815</v>
      </c>
      <c r="E4" s="64">
        <v>0.13064419024683938</v>
      </c>
      <c r="G4" s="63" t="s">
        <v>144</v>
      </c>
      <c r="H4" s="63"/>
      <c r="I4" s="60">
        <f>AVERAGE(E4:E2332)</f>
        <v>9.8532491257098155E-4</v>
      </c>
    </row>
    <row r="5" spans="1:17" x14ac:dyDescent="0.3">
      <c r="B5" s="55">
        <v>45660</v>
      </c>
      <c r="C5" s="54">
        <v>4025.2</v>
      </c>
      <c r="D5" s="56">
        <f t="shared" si="0"/>
        <v>0.13032489960967109</v>
      </c>
      <c r="E5" s="64">
        <v>0.11467419899753528</v>
      </c>
      <c r="G5" s="63" t="s">
        <v>348</v>
      </c>
      <c r="H5" s="63"/>
      <c r="I5" s="60">
        <f>_xlfn.STDEV.S(E4:E2332)</f>
        <v>1.9700728225310792E-2</v>
      </c>
    </row>
    <row r="6" spans="1:17" x14ac:dyDescent="0.3">
      <c r="B6" s="55">
        <v>44697</v>
      </c>
      <c r="C6" s="54">
        <v>3561.1</v>
      </c>
      <c r="D6" s="56">
        <f t="shared" si="0"/>
        <v>-0.11497980739360047</v>
      </c>
      <c r="E6" s="64">
        <v>0.10230297777502639</v>
      </c>
      <c r="G6" s="63" t="s">
        <v>349</v>
      </c>
      <c r="H6" s="63"/>
      <c r="I6" s="60">
        <f>MIN(E4:E2332)</f>
        <v>-0.11087074094104921</v>
      </c>
    </row>
    <row r="7" spans="1:17" x14ac:dyDescent="0.3">
      <c r="B7" s="55">
        <v>45689</v>
      </c>
      <c r="C7" s="54">
        <v>4023.75</v>
      </c>
      <c r="D7" s="56">
        <f t="shared" si="0"/>
        <v>1.0989827856025038</v>
      </c>
      <c r="E7" s="64">
        <v>9.7990258278416675E-2</v>
      </c>
      <c r="G7" s="63" t="s">
        <v>350</v>
      </c>
      <c r="H7" s="63"/>
      <c r="I7" s="60">
        <f>MAX(E4:E2332)</f>
        <v>0.13064419024683938</v>
      </c>
    </row>
    <row r="8" spans="1:17" x14ac:dyDescent="0.3">
      <c r="B8" s="55">
        <v>43731</v>
      </c>
      <c r="C8" s="54">
        <v>1917</v>
      </c>
      <c r="D8" s="56">
        <f t="shared" si="0"/>
        <v>8.8462411991823808E-2</v>
      </c>
      <c r="E8" s="64">
        <v>8.8462411991823808E-2</v>
      </c>
      <c r="G8" s="63" t="s">
        <v>352</v>
      </c>
      <c r="H8" s="63"/>
      <c r="I8" s="62" t="e">
        <f>'Data_Relative Comps'!#REF!</f>
        <v>#REF!</v>
      </c>
    </row>
    <row r="9" spans="1:17" x14ac:dyDescent="0.3">
      <c r="B9" s="55">
        <v>43728</v>
      </c>
      <c r="C9" s="54">
        <v>1761.2</v>
      </c>
      <c r="D9" s="56">
        <f t="shared" si="0"/>
        <v>-0.29088237070440681</v>
      </c>
      <c r="E9" s="64">
        <v>8.7596875289468024E-2</v>
      </c>
    </row>
    <row r="10" spans="1:17" x14ac:dyDescent="0.3">
      <c r="B10" s="55">
        <v>43871</v>
      </c>
      <c r="C10" s="54">
        <v>2483.65</v>
      </c>
      <c r="D10" s="56">
        <f t="shared" si="0"/>
        <v>1.225393127548049</v>
      </c>
      <c r="E10" s="64">
        <v>8.5891045820216894E-2</v>
      </c>
    </row>
    <row r="11" spans="1:17" x14ac:dyDescent="0.3">
      <c r="B11" s="55">
        <v>43004</v>
      </c>
      <c r="C11" s="54">
        <v>1116.05</v>
      </c>
      <c r="D11" s="56">
        <f t="shared" si="0"/>
        <v>-0.78190008109983089</v>
      </c>
      <c r="E11" s="64">
        <v>8.4596695821185675E-2</v>
      </c>
      <c r="G11" s="57" t="s">
        <v>351</v>
      </c>
      <c r="H11" s="58" t="s">
        <v>356</v>
      </c>
      <c r="I11" s="59" t="s">
        <v>353</v>
      </c>
      <c r="J11" s="58" t="s">
        <v>354</v>
      </c>
      <c r="K11" s="58" t="s">
        <v>355</v>
      </c>
    </row>
    <row r="12" spans="1:17" x14ac:dyDescent="0.3">
      <c r="B12" s="55">
        <v>44482</v>
      </c>
      <c r="C12" s="54">
        <v>5117.1499999999996</v>
      </c>
      <c r="D12" s="56">
        <f t="shared" si="0"/>
        <v>0.19808714382711701</v>
      </c>
      <c r="E12" s="64">
        <v>7.9795315467398042E-2</v>
      </c>
      <c r="G12" s="60">
        <v>0.05</v>
      </c>
      <c r="H12" s="61">
        <f>100%-G12</f>
        <v>0.95</v>
      </c>
      <c r="I12" s="60">
        <f>_xlfn.PERCENTILE.INC($E$4:$E$2332,G12)</f>
        <v>-2.8962117709454116E-2</v>
      </c>
      <c r="J12" s="62" t="e">
        <f>$I$8*(1-I12)</f>
        <v>#REF!</v>
      </c>
      <c r="K12" s="62" t="e">
        <f>$I$8-J12</f>
        <v>#REF!</v>
      </c>
    </row>
    <row r="13" spans="1:17" x14ac:dyDescent="0.3">
      <c r="B13" s="55">
        <v>46113</v>
      </c>
      <c r="C13" s="54">
        <v>4271.1000000000004</v>
      </c>
      <c r="D13" s="56">
        <f t="shared" si="0"/>
        <v>-9.5000476750468743E-2</v>
      </c>
      <c r="E13" s="64">
        <v>7.943287505054597E-2</v>
      </c>
      <c r="G13" s="60">
        <v>0.01</v>
      </c>
      <c r="H13" s="61">
        <f t="shared" ref="H13:H14" si="1">100%-G13</f>
        <v>0.99</v>
      </c>
      <c r="I13" s="60">
        <f>_xlfn.PERCENTILE.INC($E$4:$E$2332,G13)</f>
        <v>-4.9634577390284103E-2</v>
      </c>
      <c r="J13" s="62" t="e">
        <f t="shared" ref="J13:J14" si="2">$I$8*(1-I13)</f>
        <v>#REF!</v>
      </c>
      <c r="K13" s="62" t="e">
        <f t="shared" ref="K13:K14" si="3">$I$8-J13</f>
        <v>#REF!</v>
      </c>
    </row>
    <row r="14" spans="1:17" x14ac:dyDescent="0.3">
      <c r="B14" s="55">
        <v>44480</v>
      </c>
      <c r="C14" s="54">
        <v>4719.45</v>
      </c>
      <c r="D14" s="56">
        <f t="shared" si="0"/>
        <v>0.10231466342785067</v>
      </c>
      <c r="E14" s="64">
        <v>7.0667770732426582E-2</v>
      </c>
      <c r="G14" s="60">
        <v>5.0000000000000001E-3</v>
      </c>
      <c r="H14" s="61">
        <f t="shared" si="1"/>
        <v>0.995</v>
      </c>
      <c r="I14" s="60">
        <f>_xlfn.PERCENTILE.INC($E$4:$E$2332,G14)</f>
        <v>-5.3467858086760071E-2</v>
      </c>
      <c r="J14" s="62" t="e">
        <f t="shared" si="2"/>
        <v>#REF!</v>
      </c>
      <c r="K14" s="62" t="e">
        <f t="shared" si="3"/>
        <v>#REF!</v>
      </c>
    </row>
    <row r="15" spans="1:17" x14ac:dyDescent="0.3">
      <c r="B15" s="55">
        <v>45868</v>
      </c>
      <c r="C15" s="54">
        <v>4281.3999999999996</v>
      </c>
      <c r="D15" s="56">
        <f t="shared" si="0"/>
        <v>1.927452991452991</v>
      </c>
      <c r="E15" s="64">
        <v>7.0617654413603237E-2</v>
      </c>
      <c r="L15" t="s">
        <v>218</v>
      </c>
    </row>
    <row r="16" spans="1:17" x14ac:dyDescent="0.3">
      <c r="B16" s="55">
        <v>43406</v>
      </c>
      <c r="C16" s="54">
        <v>1462.5</v>
      </c>
      <c r="D16" s="56">
        <f t="shared" si="0"/>
        <v>-0.69921332716335027</v>
      </c>
      <c r="E16" s="64">
        <v>7.0565844374496756E-2</v>
      </c>
    </row>
    <row r="17" spans="2:5" x14ac:dyDescent="0.3">
      <c r="B17" s="55">
        <v>45448</v>
      </c>
      <c r="C17" s="54">
        <v>4862.25</v>
      </c>
      <c r="D17" s="56">
        <f t="shared" si="0"/>
        <v>2.6888324102875352</v>
      </c>
      <c r="E17" s="64">
        <v>6.8920032976092394E-2</v>
      </c>
    </row>
    <row r="18" spans="2:5" x14ac:dyDescent="0.3">
      <c r="B18" s="55">
        <v>43605</v>
      </c>
      <c r="C18" s="54">
        <v>1318.1</v>
      </c>
      <c r="D18" s="56">
        <f t="shared" si="0"/>
        <v>-6.6303038889282573E-2</v>
      </c>
      <c r="E18" s="64">
        <v>6.7935993518330795E-2</v>
      </c>
    </row>
    <row r="19" spans="2:5" x14ac:dyDescent="0.3">
      <c r="B19" s="55">
        <v>43385</v>
      </c>
      <c r="C19" s="54">
        <v>1411.7</v>
      </c>
      <c r="D19" s="56">
        <f t="shared" si="0"/>
        <v>-0.25067013455771114</v>
      </c>
      <c r="E19" s="64">
        <v>6.4550184752281137E-2</v>
      </c>
    </row>
    <row r="20" spans="2:5" x14ac:dyDescent="0.3">
      <c r="B20" s="55">
        <v>43816</v>
      </c>
      <c r="C20" s="54">
        <v>1883.95</v>
      </c>
      <c r="D20" s="56">
        <f t="shared" si="0"/>
        <v>-0.62614847300220267</v>
      </c>
      <c r="E20" s="64">
        <v>6.413804789877986E-2</v>
      </c>
    </row>
    <row r="21" spans="2:5" x14ac:dyDescent="0.3">
      <c r="B21" s="55">
        <v>45461</v>
      </c>
      <c r="C21" s="54">
        <v>5039.3</v>
      </c>
      <c r="D21" s="56">
        <f t="shared" si="0"/>
        <v>2.3650295482621617</v>
      </c>
      <c r="E21" s="64">
        <v>6.3154674627369456E-2</v>
      </c>
    </row>
    <row r="22" spans="2:5" x14ac:dyDescent="0.3">
      <c r="B22" s="55">
        <v>43245</v>
      </c>
      <c r="C22" s="54">
        <v>1497.55</v>
      </c>
      <c r="D22" s="56">
        <f t="shared" si="0"/>
        <v>0.26412864559152482</v>
      </c>
      <c r="E22" s="64">
        <v>6.2167529612029204E-2</v>
      </c>
    </row>
    <row r="23" spans="2:5" x14ac:dyDescent="0.3">
      <c r="B23" s="55">
        <v>43018</v>
      </c>
      <c r="C23" s="54">
        <v>1184.6500000000001</v>
      </c>
      <c r="D23" s="56">
        <f t="shared" si="0"/>
        <v>-0.57871621621621616</v>
      </c>
      <c r="E23" s="64">
        <v>6.0801432728900817E-2</v>
      </c>
    </row>
    <row r="24" spans="2:5" x14ac:dyDescent="0.3">
      <c r="B24" s="55">
        <v>44228</v>
      </c>
      <c r="C24" s="54">
        <v>2812</v>
      </c>
      <c r="D24" s="56">
        <f t="shared" si="0"/>
        <v>0.15877529154819303</v>
      </c>
      <c r="E24" s="64">
        <v>6.053177446728264E-2</v>
      </c>
    </row>
    <row r="25" spans="2:5" x14ac:dyDescent="0.3">
      <c r="B25" s="55">
        <v>44166</v>
      </c>
      <c r="C25" s="54">
        <v>2426.6999999999998</v>
      </c>
      <c r="D25" s="56">
        <f t="shared" si="0"/>
        <v>-0.38058044260663149</v>
      </c>
      <c r="E25" s="64">
        <v>6.0064651406604996E-2</v>
      </c>
    </row>
    <row r="26" spans="2:5" x14ac:dyDescent="0.3">
      <c r="B26" s="55">
        <v>45092</v>
      </c>
      <c r="C26" s="54">
        <v>3917.7</v>
      </c>
      <c r="D26" s="56">
        <f t="shared" si="0"/>
        <v>0.27467057101024883</v>
      </c>
      <c r="E26" s="64">
        <v>5.7451718693064535E-2</v>
      </c>
    </row>
    <row r="27" spans="2:5" x14ac:dyDescent="0.3">
      <c r="B27" s="55">
        <v>44257</v>
      </c>
      <c r="C27" s="54">
        <v>3073.5</v>
      </c>
      <c r="D27" s="56">
        <f t="shared" si="0"/>
        <v>1.8519068386378397</v>
      </c>
      <c r="E27" s="64">
        <v>5.6748439890663471E-2</v>
      </c>
    </row>
    <row r="28" spans="2:5" x14ac:dyDescent="0.3">
      <c r="B28" s="55">
        <v>42983</v>
      </c>
      <c r="C28" s="54">
        <v>1077.7</v>
      </c>
      <c r="D28" s="56">
        <f t="shared" si="0"/>
        <v>-0.48541278708876479</v>
      </c>
      <c r="E28" s="64">
        <v>5.5895752706608626E-2</v>
      </c>
    </row>
    <row r="29" spans="2:5" x14ac:dyDescent="0.3">
      <c r="B29" s="55">
        <v>44123</v>
      </c>
      <c r="C29" s="54">
        <v>2094.3000000000002</v>
      </c>
      <c r="D29" s="56">
        <f t="shared" si="0"/>
        <v>-0.31475967673330496</v>
      </c>
      <c r="E29" s="64">
        <v>5.5488358028424667E-2</v>
      </c>
    </row>
    <row r="30" spans="2:5" x14ac:dyDescent="0.3">
      <c r="B30" s="55">
        <v>44334</v>
      </c>
      <c r="C30" s="54">
        <v>3056.3</v>
      </c>
      <c r="D30" s="56">
        <f t="shared" si="0"/>
        <v>0.84676274207680002</v>
      </c>
      <c r="E30" s="64">
        <v>5.4369199986200822E-2</v>
      </c>
    </row>
    <row r="31" spans="2:5" x14ac:dyDescent="0.3">
      <c r="B31" s="55">
        <v>43462</v>
      </c>
      <c r="C31" s="54">
        <v>1654.95</v>
      </c>
      <c r="D31" s="56">
        <f t="shared" si="0"/>
        <v>-0.474944082234807</v>
      </c>
      <c r="E31" s="64">
        <v>5.4007578893736197E-2</v>
      </c>
    </row>
    <row r="32" spans="2:5" x14ac:dyDescent="0.3">
      <c r="B32" s="55">
        <v>44250</v>
      </c>
      <c r="C32" s="54">
        <v>3151.95</v>
      </c>
      <c r="D32" s="56">
        <f t="shared" si="0"/>
        <v>0.1010217448257793</v>
      </c>
      <c r="E32" s="64">
        <v>5.3248011762347058E-2</v>
      </c>
    </row>
    <row r="33" spans="2:5" x14ac:dyDescent="0.3">
      <c r="B33" s="55">
        <v>44218</v>
      </c>
      <c r="C33" s="54">
        <v>2862.75</v>
      </c>
      <c r="D33" s="56">
        <f t="shared" si="0"/>
        <v>1.2170377541142305</v>
      </c>
      <c r="E33" s="64">
        <v>5.2810620966110777E-2</v>
      </c>
    </row>
    <row r="34" spans="2:5" x14ac:dyDescent="0.3">
      <c r="B34" s="55">
        <v>43402</v>
      </c>
      <c r="C34" s="54">
        <v>1291.25</v>
      </c>
      <c r="D34" s="56">
        <f t="shared" si="0"/>
        <v>0.23428762605744868</v>
      </c>
      <c r="E34" s="64">
        <v>5.2706668840697857E-2</v>
      </c>
    </row>
    <row r="35" spans="2:5" x14ac:dyDescent="0.3">
      <c r="B35" s="55">
        <v>42975</v>
      </c>
      <c r="C35" s="54">
        <v>1046.1500000000001</v>
      </c>
      <c r="D35" s="56">
        <f t="shared" si="0"/>
        <v>-0.23777777777777775</v>
      </c>
      <c r="E35" s="64">
        <v>5.1829881359340524E-2</v>
      </c>
    </row>
    <row r="36" spans="2:5" x14ac:dyDescent="0.3">
      <c r="B36" s="55">
        <v>43382</v>
      </c>
      <c r="C36" s="54">
        <v>1372.5</v>
      </c>
      <c r="D36" s="56">
        <f t="shared" si="0"/>
        <v>1.0657736303431666</v>
      </c>
      <c r="E36" s="64">
        <v>5.1804735995095275E-2</v>
      </c>
    </row>
    <row r="37" spans="2:5" x14ac:dyDescent="0.3">
      <c r="B37" s="55">
        <v>42831</v>
      </c>
      <c r="C37" s="54">
        <v>664.4</v>
      </c>
      <c r="D37" s="56">
        <f t="shared" si="0"/>
        <v>-0.50341941029186443</v>
      </c>
      <c r="E37" s="64">
        <v>5.1016372696353729E-2</v>
      </c>
    </row>
    <row r="38" spans="2:5" x14ac:dyDescent="0.3">
      <c r="B38" s="55">
        <v>43404</v>
      </c>
      <c r="C38" s="54">
        <v>1337.95</v>
      </c>
      <c r="D38" s="56">
        <f t="shared" si="0"/>
        <v>-0.64757401749025389</v>
      </c>
      <c r="E38" s="64">
        <v>5.0526067839196109E-2</v>
      </c>
    </row>
    <row r="39" spans="2:5" x14ac:dyDescent="0.3">
      <c r="B39" s="55">
        <v>44711</v>
      </c>
      <c r="C39" s="54">
        <v>3796.4</v>
      </c>
      <c r="D39" s="56">
        <f t="shared" si="0"/>
        <v>0.90386399538627415</v>
      </c>
      <c r="E39" s="64">
        <v>5.0513994770120529E-2</v>
      </c>
    </row>
    <row r="40" spans="2:5" x14ac:dyDescent="0.3">
      <c r="B40" s="55">
        <v>43916</v>
      </c>
      <c r="C40" s="54">
        <v>1994.05</v>
      </c>
      <c r="D40" s="56">
        <f t="shared" si="0"/>
        <v>-0.12493691716950084</v>
      </c>
      <c r="E40" s="64">
        <v>4.9997367173924445E-2</v>
      </c>
    </row>
    <row r="41" spans="2:5" x14ac:dyDescent="0.3">
      <c r="B41" s="55">
        <v>43929</v>
      </c>
      <c r="C41" s="54">
        <v>2278.75</v>
      </c>
      <c r="D41" s="56">
        <f t="shared" si="0"/>
        <v>-7.1546437957096587E-2</v>
      </c>
      <c r="E41" s="64">
        <v>4.9994240294896963E-2</v>
      </c>
    </row>
    <row r="42" spans="2:5" x14ac:dyDescent="0.3">
      <c r="B42" s="55">
        <v>43971</v>
      </c>
      <c r="C42" s="54">
        <v>2454.35</v>
      </c>
      <c r="D42" s="56">
        <f t="shared" si="0"/>
        <v>2.5787306960900924E-2</v>
      </c>
      <c r="E42" s="64">
        <v>4.9989304812834146E-2</v>
      </c>
    </row>
    <row r="43" spans="2:5" x14ac:dyDescent="0.3">
      <c r="B43" s="55">
        <v>43930</v>
      </c>
      <c r="C43" s="54">
        <v>2392.65</v>
      </c>
      <c r="D43" s="56">
        <f t="shared" si="0"/>
        <v>0.25988626191353803</v>
      </c>
      <c r="E43" s="64">
        <v>4.9983543609435133E-2</v>
      </c>
    </row>
    <row r="44" spans="2:5" x14ac:dyDescent="0.3">
      <c r="B44" s="55">
        <v>43915</v>
      </c>
      <c r="C44" s="54">
        <v>1899.1</v>
      </c>
      <c r="D44" s="56">
        <f t="shared" si="0"/>
        <v>-0.12493952309641754</v>
      </c>
      <c r="E44" s="64">
        <v>4.9980649084978124E-2</v>
      </c>
    </row>
    <row r="45" spans="2:5" x14ac:dyDescent="0.3">
      <c r="B45" s="55">
        <v>43928</v>
      </c>
      <c r="C45" s="54">
        <v>2170.25</v>
      </c>
      <c r="D45" s="56">
        <f t="shared" si="0"/>
        <v>0.13263921507228238</v>
      </c>
      <c r="E45" s="64">
        <v>4.9977019279614954E-2</v>
      </c>
    </row>
    <row r="46" spans="2:5" x14ac:dyDescent="0.3">
      <c r="B46" s="55">
        <v>43910</v>
      </c>
      <c r="C46" s="54">
        <v>1916.1</v>
      </c>
      <c r="D46" s="56">
        <f t="shared" si="0"/>
        <v>-0.27751593077184122</v>
      </c>
      <c r="E46" s="64">
        <v>4.9975341114581573E-2</v>
      </c>
    </row>
    <row r="47" spans="2:5" x14ac:dyDescent="0.3">
      <c r="B47" s="55">
        <v>44173</v>
      </c>
      <c r="C47" s="54">
        <v>2652.1</v>
      </c>
      <c r="D47" s="56">
        <f t="shared" si="0"/>
        <v>0.83797082365986331</v>
      </c>
      <c r="E47" s="64">
        <v>4.9733816224346361E-2</v>
      </c>
    </row>
    <row r="48" spans="2:5" x14ac:dyDescent="0.3">
      <c r="B48" s="55">
        <v>43497</v>
      </c>
      <c r="C48" s="54">
        <v>1442.95</v>
      </c>
      <c r="D48" s="56">
        <f t="shared" si="0"/>
        <v>-0.37492689900149445</v>
      </c>
      <c r="E48" s="64">
        <v>4.9532676291959232E-2</v>
      </c>
    </row>
    <row r="49" spans="2:5" x14ac:dyDescent="0.3">
      <c r="B49" s="55">
        <v>43979</v>
      </c>
      <c r="C49" s="54">
        <v>2308.4499999999998</v>
      </c>
      <c r="D49" s="56">
        <f t="shared" si="0"/>
        <v>0.70403041263748412</v>
      </c>
      <c r="E49" s="64">
        <v>4.9200072720661847E-2</v>
      </c>
    </row>
    <row r="50" spans="2:5" x14ac:dyDescent="0.3">
      <c r="B50" s="55">
        <v>43158</v>
      </c>
      <c r="C50" s="54">
        <v>1354.7</v>
      </c>
      <c r="D50" s="56">
        <f t="shared" si="0"/>
        <v>-0.64736047480216574</v>
      </c>
      <c r="E50" s="64">
        <v>4.9179058240396589E-2</v>
      </c>
    </row>
    <row r="51" spans="2:5" x14ac:dyDescent="0.3">
      <c r="B51" s="55">
        <v>46029</v>
      </c>
      <c r="C51" s="54">
        <v>3841.6</v>
      </c>
      <c r="D51" s="56">
        <f t="shared" si="0"/>
        <v>1.6953867742501316</v>
      </c>
      <c r="E51" s="64">
        <v>4.8557469225100292E-2</v>
      </c>
    </row>
    <row r="52" spans="2:5" x14ac:dyDescent="0.3">
      <c r="B52" s="55">
        <v>43661</v>
      </c>
      <c r="C52" s="54">
        <v>1425.25</v>
      </c>
      <c r="D52" s="56">
        <f t="shared" si="0"/>
        <v>-0.32163255592574969</v>
      </c>
      <c r="E52" s="64">
        <v>4.8440488450786967E-2</v>
      </c>
    </row>
    <row r="53" spans="2:5" x14ac:dyDescent="0.3">
      <c r="B53" s="55">
        <v>43903</v>
      </c>
      <c r="C53" s="54">
        <v>2101</v>
      </c>
      <c r="D53" s="56">
        <f t="shared" si="0"/>
        <v>0.6158431070947894</v>
      </c>
      <c r="E53" s="64">
        <v>4.8141681217261256E-2</v>
      </c>
    </row>
    <row r="54" spans="2:5" x14ac:dyDescent="0.3">
      <c r="B54" s="55">
        <v>43154</v>
      </c>
      <c r="C54" s="54">
        <v>1300.25</v>
      </c>
      <c r="D54" s="56">
        <f t="shared" si="0"/>
        <v>-3.0713034403071382E-2</v>
      </c>
      <c r="E54" s="64">
        <v>4.8039334219965202E-2</v>
      </c>
    </row>
    <row r="55" spans="2:5" x14ac:dyDescent="0.3">
      <c r="B55" s="55">
        <v>43185</v>
      </c>
      <c r="C55" s="54">
        <v>1341.45</v>
      </c>
      <c r="D55" s="56">
        <f t="shared" si="0"/>
        <v>0.1729037334965462</v>
      </c>
      <c r="E55" s="64">
        <v>4.7107954101943683E-2</v>
      </c>
    </row>
    <row r="56" spans="2:5" x14ac:dyDescent="0.3">
      <c r="B56" s="55">
        <v>43033</v>
      </c>
      <c r="C56" s="54">
        <v>1143.7</v>
      </c>
      <c r="D56" s="56">
        <f t="shared" si="0"/>
        <v>-0.71211739830849785</v>
      </c>
      <c r="E56" s="64">
        <v>4.6481837313569363E-2</v>
      </c>
    </row>
    <row r="57" spans="2:5" x14ac:dyDescent="0.3">
      <c r="B57" s="55">
        <v>44712</v>
      </c>
      <c r="C57" s="54">
        <v>3972.8</v>
      </c>
      <c r="D57" s="56">
        <f t="shared" si="0"/>
        <v>3.9113611076770924</v>
      </c>
      <c r="E57" s="64">
        <v>4.6465072173638156E-2</v>
      </c>
    </row>
    <row r="58" spans="2:5" x14ac:dyDescent="0.3">
      <c r="B58" s="55">
        <v>42860</v>
      </c>
      <c r="C58" s="54">
        <v>808.9</v>
      </c>
      <c r="D58" s="56">
        <f t="shared" si="0"/>
        <v>-0.82217092607859299</v>
      </c>
      <c r="E58" s="64">
        <v>4.6104106045910198E-2</v>
      </c>
    </row>
    <row r="59" spans="2:5" x14ac:dyDescent="0.3">
      <c r="B59" s="55">
        <v>45447</v>
      </c>
      <c r="C59" s="54">
        <v>4548.75</v>
      </c>
      <c r="D59" s="56">
        <f t="shared" si="0"/>
        <v>-2.0293988591487677E-3</v>
      </c>
      <c r="E59" s="64">
        <v>4.5845931001184059E-2</v>
      </c>
    </row>
    <row r="60" spans="2:5" x14ac:dyDescent="0.3">
      <c r="B60" s="55">
        <v>45887</v>
      </c>
      <c r="C60" s="54">
        <v>4558</v>
      </c>
      <c r="D60" s="56">
        <f t="shared" si="0"/>
        <v>2.5927954912702478</v>
      </c>
      <c r="E60" s="64">
        <v>4.5844614749208423E-2</v>
      </c>
    </row>
    <row r="61" spans="2:5" x14ac:dyDescent="0.3">
      <c r="B61" s="55">
        <v>43020</v>
      </c>
      <c r="C61" s="54">
        <v>1268.6500000000001</v>
      </c>
      <c r="D61" s="56">
        <f t="shared" si="0"/>
        <v>-0.16511467210687369</v>
      </c>
      <c r="E61" s="64">
        <v>4.5791773143186942E-2</v>
      </c>
    </row>
    <row r="62" spans="2:5" x14ac:dyDescent="0.3">
      <c r="B62" s="55">
        <v>43257</v>
      </c>
      <c r="C62" s="54">
        <v>1519.55</v>
      </c>
      <c r="D62" s="56">
        <f t="shared" si="0"/>
        <v>-0.67169709409095812</v>
      </c>
      <c r="E62" s="64">
        <v>4.5262252794497027E-2</v>
      </c>
    </row>
    <row r="63" spans="2:5" x14ac:dyDescent="0.3">
      <c r="B63" s="55">
        <v>46129</v>
      </c>
      <c r="C63" s="54">
        <v>4628.5</v>
      </c>
      <c r="D63" s="56">
        <f t="shared" si="0"/>
        <v>0.3024270137179037</v>
      </c>
      <c r="E63" s="64">
        <v>4.5209222500733892E-2</v>
      </c>
    </row>
    <row r="64" spans="2:5" x14ac:dyDescent="0.3">
      <c r="B64" s="55">
        <v>45019</v>
      </c>
      <c r="C64" s="54">
        <v>3553.75</v>
      </c>
      <c r="D64" s="56">
        <f t="shared" si="0"/>
        <v>-0.20784851321831388</v>
      </c>
      <c r="E64" s="64">
        <v>4.4897899178194978E-2</v>
      </c>
    </row>
    <row r="65" spans="2:5" x14ac:dyDescent="0.3">
      <c r="B65" s="55">
        <v>45377</v>
      </c>
      <c r="C65" s="54">
        <v>4486.2</v>
      </c>
      <c r="D65" s="56">
        <f t="shared" si="0"/>
        <v>7.0500507069140239E-2</v>
      </c>
      <c r="E65" s="64">
        <v>4.38849590469097E-2</v>
      </c>
    </row>
    <row r="66" spans="2:5" x14ac:dyDescent="0.3">
      <c r="B66" s="55">
        <v>44617</v>
      </c>
      <c r="C66" s="54">
        <v>4190.75</v>
      </c>
      <c r="D66" s="56">
        <f t="shared" si="0"/>
        <v>3.4840038519152579</v>
      </c>
      <c r="E66" s="64">
        <v>4.3864346829736167E-2</v>
      </c>
    </row>
    <row r="67" spans="2:5" x14ac:dyDescent="0.3">
      <c r="B67" s="55">
        <v>42926</v>
      </c>
      <c r="C67" s="54">
        <v>934.6</v>
      </c>
      <c r="D67" s="56">
        <f t="shared" si="0"/>
        <v>-0.58441904931299749</v>
      </c>
      <c r="E67" s="64">
        <v>4.3721034116924518E-2</v>
      </c>
    </row>
    <row r="68" spans="2:5" x14ac:dyDescent="0.3">
      <c r="B68" s="55">
        <v>43866</v>
      </c>
      <c r="C68" s="54">
        <v>2248.9</v>
      </c>
      <c r="D68" s="56">
        <f t="shared" ref="D68:D131" si="4">C68/C69-1</f>
        <v>-0.50587744161008941</v>
      </c>
      <c r="E68" s="64">
        <v>4.3427829072518964E-2</v>
      </c>
    </row>
    <row r="69" spans="2:5" x14ac:dyDescent="0.3">
      <c r="B69" s="55">
        <v>46118</v>
      </c>
      <c r="C69" s="54">
        <v>4551.3</v>
      </c>
      <c r="D69" s="56">
        <f t="shared" si="4"/>
        <v>2.6769268056228794</v>
      </c>
      <c r="E69" s="64">
        <v>4.3301852191454326E-2</v>
      </c>
    </row>
    <row r="70" spans="2:5" x14ac:dyDescent="0.3">
      <c r="B70" s="55">
        <v>43152</v>
      </c>
      <c r="C70" s="54">
        <v>1237.8</v>
      </c>
      <c r="D70" s="56">
        <f t="shared" si="4"/>
        <v>-0.40481800259652834</v>
      </c>
      <c r="E70" s="64">
        <v>4.2972699696663286E-2</v>
      </c>
    </row>
    <row r="71" spans="2:5" x14ac:dyDescent="0.3">
      <c r="B71" s="55">
        <v>43917</v>
      </c>
      <c r="C71" s="54">
        <v>2079.6999999999998</v>
      </c>
      <c r="D71" s="56">
        <f t="shared" si="4"/>
        <v>-0.49096827883297434</v>
      </c>
      <c r="E71" s="64">
        <v>4.2952784533988542E-2</v>
      </c>
    </row>
    <row r="72" spans="2:5" x14ac:dyDescent="0.3">
      <c r="B72" s="55">
        <v>45093</v>
      </c>
      <c r="C72" s="54">
        <v>4085.6</v>
      </c>
      <c r="D72" s="56">
        <f t="shared" si="4"/>
        <v>-0.17634014071729542</v>
      </c>
      <c r="E72" s="64">
        <v>4.285677821170597E-2</v>
      </c>
    </row>
    <row r="73" spans="2:5" x14ac:dyDescent="0.3">
      <c r="B73" s="55">
        <v>44510</v>
      </c>
      <c r="C73" s="54">
        <v>4960.3</v>
      </c>
      <c r="D73" s="56">
        <f t="shared" si="4"/>
        <v>2.5751198241378068</v>
      </c>
      <c r="E73" s="64">
        <v>4.2704140083873909E-2</v>
      </c>
    </row>
    <row r="74" spans="2:5" x14ac:dyDescent="0.3">
      <c r="B74" s="55">
        <v>43642</v>
      </c>
      <c r="C74" s="54">
        <v>1387.45</v>
      </c>
      <c r="D74" s="56">
        <f t="shared" si="4"/>
        <v>0.78599472227585765</v>
      </c>
      <c r="E74" s="64">
        <v>4.2685905384586498E-2</v>
      </c>
    </row>
    <row r="75" spans="2:5" x14ac:dyDescent="0.3">
      <c r="B75" s="55">
        <v>42887</v>
      </c>
      <c r="C75" s="54">
        <v>776.85</v>
      </c>
      <c r="D75" s="56">
        <f t="shared" si="4"/>
        <v>-0.47702716348581242</v>
      </c>
      <c r="E75" s="64">
        <v>4.2541770113400101E-2</v>
      </c>
    </row>
    <row r="76" spans="2:5" x14ac:dyDescent="0.3">
      <c r="B76" s="55">
        <v>43235</v>
      </c>
      <c r="C76" s="54">
        <v>1485.45</v>
      </c>
      <c r="D76" s="56">
        <f t="shared" si="4"/>
        <v>-0.60826740506329113</v>
      </c>
      <c r="E76" s="64">
        <v>4.2274768453550271E-2</v>
      </c>
    </row>
    <row r="77" spans="2:5" x14ac:dyDescent="0.3">
      <c r="B77" s="55">
        <v>44748</v>
      </c>
      <c r="C77" s="54">
        <v>3792</v>
      </c>
      <c r="D77" s="56">
        <f t="shared" si="4"/>
        <v>-0.10320688676567957</v>
      </c>
      <c r="E77" s="64">
        <v>4.203020018960979E-2</v>
      </c>
    </row>
    <row r="78" spans="2:5" x14ac:dyDescent="0.3">
      <c r="B78" s="55">
        <v>45826</v>
      </c>
      <c r="C78" s="54">
        <v>4228.3999999999996</v>
      </c>
      <c r="D78" s="56">
        <f t="shared" si="4"/>
        <v>4.7515235594312033E-2</v>
      </c>
      <c r="E78" s="64">
        <v>4.1708753171885382E-2</v>
      </c>
    </row>
    <row r="79" spans="2:5" x14ac:dyDescent="0.3">
      <c r="B79" s="55">
        <v>44921</v>
      </c>
      <c r="C79" s="54">
        <v>4036.6</v>
      </c>
      <c r="D79" s="56">
        <f t="shared" si="4"/>
        <v>1.6364912968224421</v>
      </c>
      <c r="E79" s="64">
        <v>4.1541954794096503E-2</v>
      </c>
    </row>
    <row r="80" spans="2:5" x14ac:dyDescent="0.3">
      <c r="B80" s="55">
        <v>43703</v>
      </c>
      <c r="C80" s="54">
        <v>1531.05</v>
      </c>
      <c r="D80" s="56">
        <f t="shared" si="4"/>
        <v>-0.67039106145251393</v>
      </c>
      <c r="E80" s="64">
        <v>4.1388926676642512E-2</v>
      </c>
    </row>
    <row r="81" spans="2:5" x14ac:dyDescent="0.3">
      <c r="B81" s="55">
        <v>45386</v>
      </c>
      <c r="C81" s="54">
        <v>4645.05</v>
      </c>
      <c r="D81" s="56">
        <f t="shared" si="4"/>
        <v>0.45489710902997471</v>
      </c>
      <c r="E81" s="64">
        <v>4.1280907440202741E-2</v>
      </c>
    </row>
    <row r="82" spans="2:5" x14ac:dyDescent="0.3">
      <c r="B82" s="55">
        <v>44350</v>
      </c>
      <c r="C82" s="54">
        <v>3192.7</v>
      </c>
      <c r="D82" s="56">
        <f t="shared" si="4"/>
        <v>-0.16636421791976186</v>
      </c>
      <c r="E82" s="64">
        <v>4.1256278129280455E-2</v>
      </c>
    </row>
    <row r="83" spans="2:5" x14ac:dyDescent="0.3">
      <c r="B83" s="55">
        <v>45629</v>
      </c>
      <c r="C83" s="54">
        <v>3829.85</v>
      </c>
      <c r="D83" s="56">
        <f t="shared" si="4"/>
        <v>-2.0699089700317086E-2</v>
      </c>
      <c r="E83" s="64">
        <v>4.1172792518486157E-2</v>
      </c>
    </row>
    <row r="84" spans="2:5" x14ac:dyDescent="0.3">
      <c r="B84" s="55">
        <v>46106</v>
      </c>
      <c r="C84" s="54">
        <v>3910.8</v>
      </c>
      <c r="D84" s="56">
        <f t="shared" si="4"/>
        <v>7.4676083043651476E-2</v>
      </c>
      <c r="E84" s="64">
        <v>4.1075469186742986E-2</v>
      </c>
    </row>
    <row r="85" spans="2:5" x14ac:dyDescent="0.3">
      <c r="B85" s="55">
        <v>44747</v>
      </c>
      <c r="C85" s="54">
        <v>3639.05</v>
      </c>
      <c r="D85" s="56">
        <f t="shared" si="4"/>
        <v>-0.31444100110207884</v>
      </c>
      <c r="E85" s="64">
        <v>4.106708625375477E-2</v>
      </c>
    </row>
    <row r="86" spans="2:5" x14ac:dyDescent="0.3">
      <c r="B86" s="55">
        <v>45540</v>
      </c>
      <c r="C86" s="54">
        <v>5308.15</v>
      </c>
      <c r="D86" s="56">
        <f t="shared" si="4"/>
        <v>5.0299329773940702</v>
      </c>
      <c r="E86" s="64">
        <v>4.0630084886980722E-2</v>
      </c>
    </row>
    <row r="87" spans="2:5" x14ac:dyDescent="0.3">
      <c r="B87" s="55">
        <v>42922</v>
      </c>
      <c r="C87" s="54">
        <v>880.3</v>
      </c>
      <c r="D87" s="56">
        <f t="shared" si="4"/>
        <v>-0.8346466306644752</v>
      </c>
      <c r="E87" s="64">
        <v>4.0482241002304908E-2</v>
      </c>
    </row>
    <row r="88" spans="2:5" x14ac:dyDescent="0.3">
      <c r="B88" s="55">
        <v>44483</v>
      </c>
      <c r="C88" s="54">
        <v>5323.75</v>
      </c>
      <c r="D88" s="56">
        <f t="shared" si="4"/>
        <v>1.2739892787732523</v>
      </c>
      <c r="E88" s="64">
        <v>4.0374036328815865E-2</v>
      </c>
    </row>
    <row r="89" spans="2:5" x14ac:dyDescent="0.3">
      <c r="B89" s="55">
        <v>44068</v>
      </c>
      <c r="C89" s="54">
        <v>2341.15</v>
      </c>
      <c r="D89" s="56">
        <f t="shared" si="4"/>
        <v>-0.49602832909975458</v>
      </c>
      <c r="E89" s="64">
        <v>4.0372394791805544E-2</v>
      </c>
    </row>
    <row r="90" spans="2:5" x14ac:dyDescent="0.3">
      <c r="B90" s="55">
        <v>45574</v>
      </c>
      <c r="C90" s="54">
        <v>4645.3999999999996</v>
      </c>
      <c r="D90" s="56">
        <f t="shared" si="4"/>
        <v>1.1769019892687269</v>
      </c>
      <c r="E90" s="64">
        <v>4.0298290205914356E-2</v>
      </c>
    </row>
    <row r="91" spans="2:5" x14ac:dyDescent="0.3">
      <c r="B91" s="55">
        <v>43861</v>
      </c>
      <c r="C91" s="54">
        <v>2133.9499999999998</v>
      </c>
      <c r="D91" s="56">
        <f t="shared" si="4"/>
        <v>-0.48736397049991598</v>
      </c>
      <c r="E91" s="64">
        <v>4.0291522449178441E-2</v>
      </c>
    </row>
    <row r="92" spans="2:5" x14ac:dyDescent="0.3">
      <c r="B92" s="55">
        <v>44602</v>
      </c>
      <c r="C92" s="54">
        <v>4162.7</v>
      </c>
      <c r="D92" s="56">
        <f t="shared" si="4"/>
        <v>-3.7335758562095922E-3</v>
      </c>
      <c r="E92" s="64">
        <v>4.0128932310536936E-2</v>
      </c>
    </row>
    <row r="93" spans="2:5" x14ac:dyDescent="0.3">
      <c r="B93" s="55">
        <v>44924</v>
      </c>
      <c r="C93" s="54">
        <v>4178.3</v>
      </c>
      <c r="D93" s="56">
        <f t="shared" si="4"/>
        <v>7.8841709807769389E-2</v>
      </c>
      <c r="E93" s="64">
        <v>3.9960176715823525E-2</v>
      </c>
    </row>
    <row r="94" spans="2:5" x14ac:dyDescent="0.3">
      <c r="B94" s="55">
        <v>45203</v>
      </c>
      <c r="C94" s="54">
        <v>3872.95</v>
      </c>
      <c r="D94" s="56">
        <f t="shared" si="4"/>
        <v>-4.465959546127285E-2</v>
      </c>
      <c r="E94" s="64">
        <v>3.9522774243766268E-2</v>
      </c>
    </row>
    <row r="95" spans="2:5" x14ac:dyDescent="0.3">
      <c r="B95" s="55">
        <v>46244</v>
      </c>
      <c r="C95" s="54">
        <v>4054</v>
      </c>
      <c r="D95" s="56">
        <f t="shared" si="4"/>
        <v>0.33155967220114624</v>
      </c>
      <c r="E95" s="64">
        <v>3.9487179487179391E-2</v>
      </c>
    </row>
    <row r="96" spans="2:5" x14ac:dyDescent="0.3">
      <c r="B96" s="55">
        <v>44242</v>
      </c>
      <c r="C96" s="54">
        <v>3044.55</v>
      </c>
      <c r="D96" s="56">
        <f t="shared" si="4"/>
        <v>5.040625161724388E-2</v>
      </c>
      <c r="E96" s="64">
        <v>3.9485813786745982E-2</v>
      </c>
    </row>
    <row r="97" spans="2:5" x14ac:dyDescent="0.3">
      <c r="B97" s="55">
        <v>44200</v>
      </c>
      <c r="C97" s="54">
        <v>2898.45</v>
      </c>
      <c r="D97" s="56">
        <f t="shared" si="4"/>
        <v>-1.3058430945246613E-2</v>
      </c>
      <c r="E97" s="64">
        <v>3.9206195546950706E-2</v>
      </c>
    </row>
    <row r="98" spans="2:5" x14ac:dyDescent="0.3">
      <c r="B98" s="55">
        <v>44314</v>
      </c>
      <c r="C98" s="54">
        <v>2936.8</v>
      </c>
      <c r="D98" s="56">
        <f t="shared" si="4"/>
        <v>0.43167747282211266</v>
      </c>
      <c r="E98" s="64">
        <v>3.8858133323900423E-2</v>
      </c>
    </row>
    <row r="99" spans="2:5" x14ac:dyDescent="0.3">
      <c r="B99" s="55">
        <v>43860</v>
      </c>
      <c r="C99" s="54">
        <v>2051.3000000000002</v>
      </c>
      <c r="D99" s="56">
        <f t="shared" si="4"/>
        <v>0.75994165844451134</v>
      </c>
      <c r="E99" s="64">
        <v>3.8817005545286554E-2</v>
      </c>
    </row>
    <row r="100" spans="2:5" x14ac:dyDescent="0.3">
      <c r="B100" s="55">
        <v>43139</v>
      </c>
      <c r="C100" s="54">
        <v>1165.55</v>
      </c>
      <c r="D100" s="56">
        <f t="shared" si="4"/>
        <v>-0.74487249644303377</v>
      </c>
      <c r="E100" s="64">
        <v>3.8213156371086132E-2</v>
      </c>
    </row>
    <row r="101" spans="2:5" x14ac:dyDescent="0.3">
      <c r="B101" s="55">
        <v>44495</v>
      </c>
      <c r="C101" s="54">
        <v>4568.5</v>
      </c>
      <c r="D101" s="56">
        <f t="shared" si="4"/>
        <v>7.7565365065512593E-2</v>
      </c>
      <c r="E101" s="64">
        <v>3.8153888106167155E-2</v>
      </c>
    </row>
    <row r="102" spans="2:5" x14ac:dyDescent="0.3">
      <c r="B102" s="55">
        <v>44456</v>
      </c>
      <c r="C102" s="54">
        <v>4239.6499999999996</v>
      </c>
      <c r="D102" s="56">
        <f t="shared" si="4"/>
        <v>1.8406365159128977</v>
      </c>
      <c r="E102" s="64">
        <v>3.7985065491492165E-2</v>
      </c>
    </row>
    <row r="103" spans="2:5" x14ac:dyDescent="0.3">
      <c r="B103" s="55">
        <v>43434</v>
      </c>
      <c r="C103" s="54">
        <v>1492.5</v>
      </c>
      <c r="D103" s="56">
        <f t="shared" si="4"/>
        <v>-0.64088929525276106</v>
      </c>
      <c r="E103" s="64">
        <v>3.7827689312287083E-2</v>
      </c>
    </row>
    <row r="104" spans="2:5" x14ac:dyDescent="0.3">
      <c r="B104" s="55">
        <v>45588</v>
      </c>
      <c r="C104" s="54">
        <v>4156.1000000000004</v>
      </c>
      <c r="D104" s="56">
        <f t="shared" si="4"/>
        <v>1.5113904163393559</v>
      </c>
      <c r="E104" s="64">
        <v>3.7676021172475815E-2</v>
      </c>
    </row>
    <row r="105" spans="2:5" x14ac:dyDescent="0.3">
      <c r="B105" s="55">
        <v>43312</v>
      </c>
      <c r="C105" s="54">
        <v>1654.9</v>
      </c>
      <c r="D105" s="56">
        <f t="shared" si="4"/>
        <v>0.17377118944606007</v>
      </c>
      <c r="E105" s="64">
        <v>3.7652443803492641E-2</v>
      </c>
    </row>
    <row r="106" spans="2:5" x14ac:dyDescent="0.3">
      <c r="B106" s="55">
        <v>43244</v>
      </c>
      <c r="C106" s="54">
        <v>1409.9</v>
      </c>
      <c r="D106" s="56">
        <f t="shared" si="4"/>
        <v>-0.38453815261044177</v>
      </c>
      <c r="E106" s="64">
        <v>3.7644894204232004E-2</v>
      </c>
    </row>
    <row r="107" spans="2:5" x14ac:dyDescent="0.3">
      <c r="B107" s="55">
        <v>44139</v>
      </c>
      <c r="C107" s="54">
        <v>2290.8000000000002</v>
      </c>
      <c r="D107" s="56">
        <f t="shared" si="4"/>
        <v>-0.44770721828439175</v>
      </c>
      <c r="E107" s="64">
        <v>3.7006858151694244E-2</v>
      </c>
    </row>
    <row r="108" spans="2:5" x14ac:dyDescent="0.3">
      <c r="B108" s="55">
        <v>44770</v>
      </c>
      <c r="C108" s="54">
        <v>4147.8</v>
      </c>
      <c r="D108" s="56">
        <f t="shared" si="4"/>
        <v>0.67105130632717613</v>
      </c>
      <c r="E108" s="64">
        <v>3.670378285157283E-2</v>
      </c>
    </row>
    <row r="109" spans="2:5" x14ac:dyDescent="0.3">
      <c r="B109" s="55">
        <v>43873</v>
      </c>
      <c r="C109" s="54">
        <v>2482.15</v>
      </c>
      <c r="D109" s="56">
        <f t="shared" si="4"/>
        <v>-0.47556518064652442</v>
      </c>
      <c r="E109" s="64">
        <v>3.6604719148047637E-2</v>
      </c>
    </row>
    <row r="110" spans="2:5" x14ac:dyDescent="0.3">
      <c r="B110" s="55">
        <v>44496</v>
      </c>
      <c r="C110" s="54">
        <v>4733</v>
      </c>
      <c r="D110" s="56">
        <f t="shared" si="4"/>
        <v>9.0465054661490241E-2</v>
      </c>
      <c r="E110" s="64">
        <v>3.6007442267702805E-2</v>
      </c>
    </row>
    <row r="111" spans="2:5" x14ac:dyDescent="0.3">
      <c r="B111" s="55">
        <v>44620</v>
      </c>
      <c r="C111" s="54">
        <v>4340.3500000000004</v>
      </c>
      <c r="D111" s="56">
        <f t="shared" si="4"/>
        <v>0.73683473389355747</v>
      </c>
      <c r="E111" s="64">
        <v>3.5697667481954465E-2</v>
      </c>
    </row>
    <row r="112" spans="2:5" x14ac:dyDescent="0.3">
      <c r="B112" s="55">
        <v>43987</v>
      </c>
      <c r="C112" s="54">
        <v>2499</v>
      </c>
      <c r="D112" s="56">
        <f t="shared" si="4"/>
        <v>0.87732411824362377</v>
      </c>
      <c r="E112" s="64">
        <v>3.5125507414464519E-2</v>
      </c>
    </row>
    <row r="113" spans="2:5" x14ac:dyDescent="0.3">
      <c r="B113" s="55">
        <v>43579</v>
      </c>
      <c r="C113" s="54">
        <v>1331.15</v>
      </c>
      <c r="D113" s="56">
        <f t="shared" si="4"/>
        <v>-0.52598593430072105</v>
      </c>
      <c r="E113" s="64">
        <v>3.5068620971191011E-2</v>
      </c>
    </row>
    <row r="114" spans="2:5" x14ac:dyDescent="0.3">
      <c r="B114" s="55">
        <v>44312</v>
      </c>
      <c r="C114" s="54">
        <v>2808.25</v>
      </c>
      <c r="D114" s="56">
        <f t="shared" si="4"/>
        <v>0.89056819711862123</v>
      </c>
      <c r="E114" s="64">
        <v>3.4841729004680078E-2</v>
      </c>
    </row>
    <row r="115" spans="2:5" x14ac:dyDescent="0.3">
      <c r="B115" s="55">
        <v>43280</v>
      </c>
      <c r="C115" s="54">
        <v>1485.4</v>
      </c>
      <c r="D115" s="56">
        <f t="shared" si="4"/>
        <v>-0.32851136928710267</v>
      </c>
      <c r="E115" s="64">
        <v>3.4797450276916608E-2</v>
      </c>
    </row>
    <row r="116" spans="2:5" x14ac:dyDescent="0.3">
      <c r="B116" s="55">
        <v>43938</v>
      </c>
      <c r="C116" s="54">
        <v>2212.1</v>
      </c>
      <c r="D116" s="56">
        <f t="shared" si="4"/>
        <v>-0.12442359832967209</v>
      </c>
      <c r="E116" s="64">
        <v>3.4731155132492919E-2</v>
      </c>
    </row>
    <row r="117" spans="2:5" x14ac:dyDescent="0.3">
      <c r="B117" s="55">
        <v>44172</v>
      </c>
      <c r="C117" s="54">
        <v>2526.4499999999998</v>
      </c>
      <c r="D117" s="56">
        <f t="shared" si="4"/>
        <v>0.87651799309243517</v>
      </c>
      <c r="E117" s="64">
        <v>3.4624677505221246E-2</v>
      </c>
    </row>
    <row r="118" spans="2:5" x14ac:dyDescent="0.3">
      <c r="B118" s="55">
        <v>43377</v>
      </c>
      <c r="C118" s="54">
        <v>1346.35</v>
      </c>
      <c r="D118" s="56">
        <f t="shared" si="4"/>
        <v>-0.38452571428571436</v>
      </c>
      <c r="E118" s="64">
        <v>3.4539726448439945E-2</v>
      </c>
    </row>
    <row r="119" spans="2:5" x14ac:dyDescent="0.3">
      <c r="B119" s="55">
        <v>43921</v>
      </c>
      <c r="C119" s="54">
        <v>2187.5</v>
      </c>
      <c r="D119" s="56">
        <f t="shared" si="4"/>
        <v>-0.50131652437564833</v>
      </c>
      <c r="E119" s="64">
        <v>3.4499065995128975E-2</v>
      </c>
    </row>
    <row r="120" spans="2:5" x14ac:dyDescent="0.3">
      <c r="B120" s="55">
        <v>44834</v>
      </c>
      <c r="C120" s="54">
        <v>4386.55</v>
      </c>
      <c r="D120" s="56">
        <f t="shared" si="4"/>
        <v>1.02602651147753</v>
      </c>
      <c r="E120" s="64">
        <v>3.4429496173845386E-2</v>
      </c>
    </row>
    <row r="121" spans="2:5" x14ac:dyDescent="0.3">
      <c r="B121" s="55">
        <v>44047</v>
      </c>
      <c r="C121" s="54">
        <v>2165.1</v>
      </c>
      <c r="D121" s="56">
        <f t="shared" si="4"/>
        <v>0.61333830104321896</v>
      </c>
      <c r="E121" s="64">
        <v>3.4374029572653564E-2</v>
      </c>
    </row>
    <row r="122" spans="2:5" x14ac:dyDescent="0.3">
      <c r="B122" s="55">
        <v>43634</v>
      </c>
      <c r="C122" s="54">
        <v>1342</v>
      </c>
      <c r="D122" s="56">
        <f t="shared" si="4"/>
        <v>-0.16991402239129094</v>
      </c>
      <c r="E122" s="64">
        <v>3.4296724470134876E-2</v>
      </c>
    </row>
    <row r="123" spans="2:5" x14ac:dyDescent="0.3">
      <c r="B123" s="55">
        <v>43329</v>
      </c>
      <c r="C123" s="54">
        <v>1616.7</v>
      </c>
      <c r="D123" s="56">
        <f t="shared" si="4"/>
        <v>-0.4480180272457237</v>
      </c>
      <c r="E123" s="64">
        <v>3.3993156598765673E-2</v>
      </c>
    </row>
    <row r="124" spans="2:5" x14ac:dyDescent="0.3">
      <c r="B124" s="55">
        <v>44301</v>
      </c>
      <c r="C124" s="54">
        <v>2928.9</v>
      </c>
      <c r="D124" s="56">
        <f t="shared" si="4"/>
        <v>0.38810426540284371</v>
      </c>
      <c r="E124" s="64">
        <v>3.3960532354291084E-2</v>
      </c>
    </row>
    <row r="125" spans="2:5" x14ac:dyDescent="0.3">
      <c r="B125" s="55">
        <v>44034</v>
      </c>
      <c r="C125" s="54">
        <v>2110</v>
      </c>
      <c r="D125" s="56">
        <f t="shared" si="4"/>
        <v>-0.35790146374121301</v>
      </c>
      <c r="E125" s="64">
        <v>3.3908271266170242E-2</v>
      </c>
    </row>
    <row r="126" spans="2:5" x14ac:dyDescent="0.3">
      <c r="B126" s="55">
        <v>44260</v>
      </c>
      <c r="C126" s="54">
        <v>3286.1</v>
      </c>
      <c r="D126" s="56">
        <f t="shared" si="4"/>
        <v>1.2071397387245191</v>
      </c>
      <c r="E126" s="64">
        <v>3.3787397363702176E-2</v>
      </c>
    </row>
    <row r="127" spans="2:5" x14ac:dyDescent="0.3">
      <c r="B127" s="55">
        <v>43200</v>
      </c>
      <c r="C127" s="54">
        <v>1488.85</v>
      </c>
      <c r="D127" s="56">
        <f t="shared" si="4"/>
        <v>0.19740228405983573</v>
      </c>
      <c r="E127" s="64">
        <v>3.3564734467198765E-2</v>
      </c>
    </row>
    <row r="128" spans="2:5" x14ac:dyDescent="0.3">
      <c r="B128" s="55">
        <v>43105</v>
      </c>
      <c r="C128" s="54">
        <v>1243.4000000000001</v>
      </c>
      <c r="D128" s="56">
        <f t="shared" si="4"/>
        <v>-0.67253956967159145</v>
      </c>
      <c r="E128" s="64">
        <v>3.3496799933505184E-2</v>
      </c>
    </row>
    <row r="129" spans="2:5" x14ac:dyDescent="0.3">
      <c r="B129" s="55">
        <v>45729</v>
      </c>
      <c r="C129" s="54">
        <v>3797.1</v>
      </c>
      <c r="D129" s="56">
        <f t="shared" si="4"/>
        <v>0.68385809312638579</v>
      </c>
      <c r="E129" s="64">
        <v>3.3449458385498954E-2</v>
      </c>
    </row>
    <row r="130" spans="2:5" x14ac:dyDescent="0.3">
      <c r="B130" s="55">
        <v>43959</v>
      </c>
      <c r="C130" s="54">
        <v>2255</v>
      </c>
      <c r="D130" s="56">
        <f t="shared" si="4"/>
        <v>1.3537393664213768</v>
      </c>
      <c r="E130" s="64">
        <v>3.3408184776133165E-2</v>
      </c>
    </row>
    <row r="131" spans="2:5" x14ac:dyDescent="0.3">
      <c r="B131" s="55">
        <v>42969</v>
      </c>
      <c r="C131" s="54">
        <v>958.05</v>
      </c>
      <c r="D131" s="56">
        <f t="shared" si="4"/>
        <v>-0.17384555684904934</v>
      </c>
      <c r="E131" s="64">
        <v>3.3383669507065061E-2</v>
      </c>
    </row>
    <row r="132" spans="2:5" x14ac:dyDescent="0.3">
      <c r="B132" s="55">
        <v>43049</v>
      </c>
      <c r="C132" s="54">
        <v>1159.6500000000001</v>
      </c>
      <c r="D132" s="56">
        <f t="shared" ref="D132:D195" si="5">C132/C133-1</f>
        <v>-5.4581770748410086E-2</v>
      </c>
      <c r="E132" s="64">
        <v>3.3371947959365489E-2</v>
      </c>
    </row>
    <row r="133" spans="2:5" x14ac:dyDescent="0.3">
      <c r="B133" s="55">
        <v>43399</v>
      </c>
      <c r="C133" s="54">
        <v>1226.5999999999999</v>
      </c>
      <c r="D133" s="56">
        <f t="shared" si="5"/>
        <v>-0.70257032007759457</v>
      </c>
      <c r="E133" s="64">
        <v>3.3274366102266084E-2</v>
      </c>
    </row>
    <row r="134" spans="2:5" x14ac:dyDescent="0.3">
      <c r="B134" s="55">
        <v>44628</v>
      </c>
      <c r="C134" s="54">
        <v>4124</v>
      </c>
      <c r="D134" s="56">
        <f t="shared" si="5"/>
        <v>0.73153629760255301</v>
      </c>
      <c r="E134" s="64">
        <v>3.31567146418148E-2</v>
      </c>
    </row>
    <row r="135" spans="2:5" x14ac:dyDescent="0.3">
      <c r="B135" s="55">
        <v>43984</v>
      </c>
      <c r="C135" s="54">
        <v>2381.6999999999998</v>
      </c>
      <c r="D135" s="56">
        <f t="shared" si="5"/>
        <v>1.2084473086373961</v>
      </c>
      <c r="E135" s="64">
        <v>3.3051398828887413E-2</v>
      </c>
    </row>
    <row r="136" spans="2:5" x14ac:dyDescent="0.3">
      <c r="B136" s="55">
        <v>43007</v>
      </c>
      <c r="C136" s="54">
        <v>1078.45</v>
      </c>
      <c r="D136" s="56">
        <f t="shared" si="5"/>
        <v>-0.7760042371121173</v>
      </c>
      <c r="E136" s="64">
        <v>3.3047559749030064E-2</v>
      </c>
    </row>
    <row r="137" spans="2:5" x14ac:dyDescent="0.3">
      <c r="B137" s="55">
        <v>44538</v>
      </c>
      <c r="C137" s="54">
        <v>4814.6000000000004</v>
      </c>
      <c r="D137" s="56">
        <f t="shared" si="5"/>
        <v>1.6079137664870138</v>
      </c>
      <c r="E137" s="64">
        <v>3.3031873236565978E-2</v>
      </c>
    </row>
    <row r="138" spans="2:5" x14ac:dyDescent="0.3">
      <c r="B138" s="55">
        <v>43796</v>
      </c>
      <c r="C138" s="54">
        <v>1846.15</v>
      </c>
      <c r="D138" s="56">
        <f t="shared" si="5"/>
        <v>0.86574027286508337</v>
      </c>
      <c r="E138" s="64">
        <v>3.298455684870194E-2</v>
      </c>
    </row>
    <row r="139" spans="2:5" x14ac:dyDescent="0.3">
      <c r="B139" s="55">
        <v>42970</v>
      </c>
      <c r="C139" s="54">
        <v>989.5</v>
      </c>
      <c r="D139" s="56">
        <f t="shared" si="5"/>
        <v>-0.5508703447336768</v>
      </c>
      <c r="E139" s="64">
        <v>3.2827096706852466E-2</v>
      </c>
    </row>
    <row r="140" spans="2:5" x14ac:dyDescent="0.3">
      <c r="B140" s="55">
        <v>44104</v>
      </c>
      <c r="C140" s="54">
        <v>2203.15</v>
      </c>
      <c r="D140" s="56">
        <f t="shared" si="5"/>
        <v>0.9146171895368036</v>
      </c>
      <c r="E140" s="64">
        <v>3.2766904957225007E-2</v>
      </c>
    </row>
    <row r="141" spans="2:5" x14ac:dyDescent="0.3">
      <c r="B141" s="55">
        <v>43073</v>
      </c>
      <c r="C141" s="54">
        <v>1150.7</v>
      </c>
      <c r="D141" s="56">
        <f t="shared" si="5"/>
        <v>-0.73224590469099038</v>
      </c>
      <c r="E141" s="64">
        <v>3.2573582196697703E-2</v>
      </c>
    </row>
    <row r="142" spans="2:5" x14ac:dyDescent="0.3">
      <c r="B142" s="55">
        <v>45373</v>
      </c>
      <c r="C142" s="54">
        <v>4297.6000000000004</v>
      </c>
      <c r="D142" s="56">
        <f t="shared" si="5"/>
        <v>4.2279058451432405</v>
      </c>
      <c r="E142" s="64">
        <v>3.230765535298219E-2</v>
      </c>
    </row>
    <row r="143" spans="2:5" x14ac:dyDescent="0.3">
      <c r="B143" s="55">
        <v>42906</v>
      </c>
      <c r="C143" s="54">
        <v>822.05</v>
      </c>
      <c r="D143" s="56">
        <f t="shared" si="5"/>
        <v>-0.81133093112391275</v>
      </c>
      <c r="E143" s="64">
        <v>3.2207433450527345E-2</v>
      </c>
    </row>
    <row r="144" spans="2:5" x14ac:dyDescent="0.3">
      <c r="B144" s="55">
        <v>45764</v>
      </c>
      <c r="C144" s="54">
        <v>4357.1000000000004</v>
      </c>
      <c r="D144" s="56">
        <f t="shared" si="5"/>
        <v>1.6119353775140124</v>
      </c>
      <c r="E144" s="64">
        <v>3.2121283903825848E-2</v>
      </c>
    </row>
    <row r="145" spans="2:5" x14ac:dyDescent="0.3">
      <c r="B145" s="55">
        <v>43452</v>
      </c>
      <c r="C145" s="54">
        <v>1668.15</v>
      </c>
      <c r="D145" s="56">
        <f t="shared" si="5"/>
        <v>1.2056723522411743</v>
      </c>
      <c r="E145" s="64">
        <v>3.2111368909512716E-2</v>
      </c>
    </row>
    <row r="146" spans="2:5" x14ac:dyDescent="0.3">
      <c r="B146" s="55">
        <v>42845</v>
      </c>
      <c r="C146" s="54">
        <v>756.3</v>
      </c>
      <c r="D146" s="56">
        <f t="shared" si="5"/>
        <v>-0.74715410460859544</v>
      </c>
      <c r="E146" s="64">
        <v>3.2068777292576511E-2</v>
      </c>
    </row>
    <row r="147" spans="2:5" x14ac:dyDescent="0.3">
      <c r="B147" s="55">
        <v>44201</v>
      </c>
      <c r="C147" s="54">
        <v>2991.15</v>
      </c>
      <c r="D147" s="56">
        <f t="shared" si="5"/>
        <v>0.32383987253535174</v>
      </c>
      <c r="E147" s="64">
        <v>3.1982611395746208E-2</v>
      </c>
    </row>
    <row r="148" spans="2:5" x14ac:dyDescent="0.3">
      <c r="B148" s="55">
        <v>44061</v>
      </c>
      <c r="C148" s="54">
        <v>2259.4499999999998</v>
      </c>
      <c r="D148" s="56">
        <f t="shared" si="5"/>
        <v>-0.14319030735101734</v>
      </c>
      <c r="E148" s="64">
        <v>3.183011759333243E-2</v>
      </c>
    </row>
    <row r="149" spans="2:5" x14ac:dyDescent="0.3">
      <c r="B149" s="55">
        <v>44183</v>
      </c>
      <c r="C149" s="54">
        <v>2637.05</v>
      </c>
      <c r="D149" s="56">
        <f t="shared" si="5"/>
        <v>0.4826965786736388</v>
      </c>
      <c r="E149" s="64">
        <v>3.1689520940513694E-2</v>
      </c>
    </row>
    <row r="150" spans="2:5" x14ac:dyDescent="0.3">
      <c r="B150" s="55">
        <v>43811</v>
      </c>
      <c r="C150" s="54">
        <v>1778.55</v>
      </c>
      <c r="D150" s="56">
        <f t="shared" si="5"/>
        <v>-0.49118867114861964</v>
      </c>
      <c r="E150" s="64">
        <v>3.16415313225058E-2</v>
      </c>
    </row>
    <row r="151" spans="2:5" x14ac:dyDescent="0.3">
      <c r="B151" s="55">
        <v>44746</v>
      </c>
      <c r="C151" s="54">
        <v>3495.5</v>
      </c>
      <c r="D151" s="56">
        <f t="shared" si="5"/>
        <v>-0.27279346751963385</v>
      </c>
      <c r="E151" s="64">
        <v>3.1501291036517998E-2</v>
      </c>
    </row>
    <row r="152" spans="2:5" x14ac:dyDescent="0.3">
      <c r="B152" s="55">
        <v>45420</v>
      </c>
      <c r="C152" s="54">
        <v>4806.75</v>
      </c>
      <c r="D152" s="56">
        <f t="shared" si="5"/>
        <v>1.3804230907135118E-2</v>
      </c>
      <c r="E152" s="64">
        <v>3.1391818386636627E-2</v>
      </c>
    </row>
    <row r="153" spans="2:5" x14ac:dyDescent="0.3">
      <c r="B153" s="55">
        <v>44503</v>
      </c>
      <c r="C153" s="54">
        <v>4741.3</v>
      </c>
      <c r="D153" s="56">
        <f t="shared" si="5"/>
        <v>0.71562454769141715</v>
      </c>
      <c r="E153" s="64">
        <v>3.137881902524442E-2</v>
      </c>
    </row>
    <row r="154" spans="2:5" x14ac:dyDescent="0.3">
      <c r="B154" s="55">
        <v>44196</v>
      </c>
      <c r="C154" s="54">
        <v>2763.6</v>
      </c>
      <c r="D154" s="56">
        <f t="shared" si="5"/>
        <v>-0.15592071103509364</v>
      </c>
      <c r="E154" s="64">
        <v>3.1078610603290535E-2</v>
      </c>
    </row>
    <row r="155" spans="2:5" x14ac:dyDescent="0.3">
      <c r="B155" s="55">
        <v>44361</v>
      </c>
      <c r="C155" s="54">
        <v>3274.1</v>
      </c>
      <c r="D155" s="56">
        <f t="shared" si="5"/>
        <v>1.336473274816242</v>
      </c>
      <c r="E155" s="64">
        <v>3.1033994111256291E-2</v>
      </c>
    </row>
    <row r="156" spans="2:5" x14ac:dyDescent="0.3">
      <c r="B156" s="55">
        <v>43195</v>
      </c>
      <c r="C156" s="54">
        <v>1401.3</v>
      </c>
      <c r="D156" s="56">
        <f t="shared" si="5"/>
        <v>-0.55762856331091959</v>
      </c>
      <c r="E156" s="64">
        <v>3.1012029577309308E-2</v>
      </c>
    </row>
    <row r="157" spans="2:5" x14ac:dyDescent="0.3">
      <c r="B157" s="55">
        <v>44258</v>
      </c>
      <c r="C157" s="54">
        <v>3167.7</v>
      </c>
      <c r="D157" s="56">
        <f t="shared" si="5"/>
        <v>-0.21501232854647057</v>
      </c>
      <c r="E157" s="64">
        <v>3.0649097120546642E-2</v>
      </c>
    </row>
    <row r="158" spans="2:5" x14ac:dyDescent="0.3">
      <c r="B158" s="55">
        <v>44763</v>
      </c>
      <c r="C158" s="54">
        <v>4035.35</v>
      </c>
      <c r="D158" s="56">
        <f t="shared" si="5"/>
        <v>3.8037021605856793</v>
      </c>
      <c r="E158" s="64">
        <v>3.062227840988907E-2</v>
      </c>
    </row>
    <row r="159" spans="2:5" x14ac:dyDescent="0.3">
      <c r="B159" s="55">
        <v>42919</v>
      </c>
      <c r="C159" s="54">
        <v>840.05</v>
      </c>
      <c r="D159" s="56">
        <f t="shared" si="5"/>
        <v>8.5195711148430275E-2</v>
      </c>
      <c r="E159" s="64">
        <v>3.0609741136056856E-2</v>
      </c>
    </row>
    <row r="160" spans="2:5" x14ac:dyDescent="0.3">
      <c r="B160" s="55">
        <v>42835</v>
      </c>
      <c r="C160" s="54">
        <v>774.1</v>
      </c>
      <c r="D160" s="56">
        <f t="shared" si="5"/>
        <v>-0.33738497753049435</v>
      </c>
      <c r="E160" s="64">
        <v>3.0484558040468457E-2</v>
      </c>
    </row>
    <row r="161" spans="2:5" x14ac:dyDescent="0.3">
      <c r="B161" s="55">
        <v>43397</v>
      </c>
      <c r="C161" s="54">
        <v>1168.25</v>
      </c>
      <c r="D161" s="56">
        <f t="shared" si="5"/>
        <v>-0.71260762607626082</v>
      </c>
      <c r="E161" s="64">
        <v>3.0475434418276492E-2</v>
      </c>
    </row>
    <row r="162" spans="2:5" x14ac:dyDescent="0.3">
      <c r="B162" s="55">
        <v>45743</v>
      </c>
      <c r="C162" s="54">
        <v>4065</v>
      </c>
      <c r="D162" s="56">
        <f t="shared" si="5"/>
        <v>1.1110303282093894</v>
      </c>
      <c r="E162" s="64">
        <v>3.0235446181919645E-2</v>
      </c>
    </row>
    <row r="163" spans="2:5" x14ac:dyDescent="0.3">
      <c r="B163" s="55">
        <v>43755</v>
      </c>
      <c r="C163" s="54">
        <v>1925.6</v>
      </c>
      <c r="D163" s="56">
        <f t="shared" si="5"/>
        <v>-0.20102900294593584</v>
      </c>
      <c r="E163" s="64">
        <v>2.9457364341085146E-2</v>
      </c>
    </row>
    <row r="164" spans="2:5" x14ac:dyDescent="0.3">
      <c r="B164" s="55">
        <v>44069</v>
      </c>
      <c r="C164" s="54">
        <v>2410.1</v>
      </c>
      <c r="D164" s="56">
        <f t="shared" si="5"/>
        <v>-0.41523007679336155</v>
      </c>
      <c r="E164" s="64">
        <v>2.9451338017640882E-2</v>
      </c>
    </row>
    <row r="165" spans="2:5" x14ac:dyDescent="0.3">
      <c r="B165" s="55">
        <v>45749</v>
      </c>
      <c r="C165" s="54">
        <v>4121.45</v>
      </c>
      <c r="D165" s="56">
        <f t="shared" si="5"/>
        <v>0.83976877064547817</v>
      </c>
      <c r="E165" s="64">
        <v>2.9436007593166114E-2</v>
      </c>
    </row>
    <row r="166" spans="2:5" x14ac:dyDescent="0.3">
      <c r="B166" s="55">
        <v>44132</v>
      </c>
      <c r="C166" s="54">
        <v>2240.1999999999998</v>
      </c>
      <c r="D166" s="56">
        <f t="shared" si="5"/>
        <v>0.67048208493344763</v>
      </c>
      <c r="E166" s="64">
        <v>2.9409061667126091E-2</v>
      </c>
    </row>
    <row r="167" spans="2:5" x14ac:dyDescent="0.3">
      <c r="B167" s="55">
        <v>43609</v>
      </c>
      <c r="C167" s="54">
        <v>1341.05</v>
      </c>
      <c r="D167" s="56">
        <f t="shared" si="5"/>
        <v>-4.0256208401918014E-2</v>
      </c>
      <c r="E167" s="64">
        <v>2.9083374899282477E-2</v>
      </c>
    </row>
    <row r="168" spans="2:5" x14ac:dyDescent="0.3">
      <c r="B168" s="55">
        <v>43488</v>
      </c>
      <c r="C168" s="54">
        <v>1397.3</v>
      </c>
      <c r="D168" s="56">
        <f t="shared" si="5"/>
        <v>-0.64489567714554374</v>
      </c>
      <c r="E168" s="64">
        <v>2.9015391413211411E-2</v>
      </c>
    </row>
    <row r="169" spans="2:5" x14ac:dyDescent="0.3">
      <c r="B169" s="55">
        <v>46058</v>
      </c>
      <c r="C169" s="54">
        <v>3934.9</v>
      </c>
      <c r="D169" s="56">
        <f t="shared" si="5"/>
        <v>0.32942547764244812</v>
      </c>
      <c r="E169" s="64">
        <v>2.8920325288287918E-2</v>
      </c>
    </row>
    <row r="170" spans="2:5" x14ac:dyDescent="0.3">
      <c r="B170" s="55">
        <v>44231</v>
      </c>
      <c r="C170" s="54">
        <v>2959.85</v>
      </c>
      <c r="D170" s="56">
        <f t="shared" si="5"/>
        <v>0.38852532076091273</v>
      </c>
      <c r="E170" s="64">
        <v>2.8797358359402114E-2</v>
      </c>
    </row>
    <row r="171" spans="2:5" x14ac:dyDescent="0.3">
      <c r="B171" s="55">
        <v>43864</v>
      </c>
      <c r="C171" s="54">
        <v>2131.65</v>
      </c>
      <c r="D171" s="56">
        <f t="shared" si="5"/>
        <v>0.80441867355144558</v>
      </c>
      <c r="E171" s="64">
        <v>2.8763784657706015E-2</v>
      </c>
    </row>
    <row r="172" spans="2:5" x14ac:dyDescent="0.3">
      <c r="B172" s="55">
        <v>43098</v>
      </c>
      <c r="C172" s="54">
        <v>1181.3499999999999</v>
      </c>
      <c r="D172" s="56">
        <f t="shared" si="5"/>
        <v>-0.68852005167822394</v>
      </c>
      <c r="E172" s="64">
        <v>2.8736883354377962E-2</v>
      </c>
    </row>
    <row r="173" spans="2:5" x14ac:dyDescent="0.3">
      <c r="B173" s="55">
        <v>45322</v>
      </c>
      <c r="C173" s="54">
        <v>3792.7</v>
      </c>
      <c r="D173" s="56">
        <f t="shared" si="5"/>
        <v>-0.14418846041022637</v>
      </c>
      <c r="E173" s="64">
        <v>2.8584601198708981E-2</v>
      </c>
    </row>
    <row r="174" spans="2:5" x14ac:dyDescent="0.3">
      <c r="B174" s="55">
        <v>44826</v>
      </c>
      <c r="C174" s="54">
        <v>4431.7</v>
      </c>
      <c r="D174" s="56">
        <f t="shared" si="5"/>
        <v>5.7760698856720083E-2</v>
      </c>
      <c r="E174" s="64">
        <v>2.8546893494557635E-2</v>
      </c>
    </row>
    <row r="175" spans="2:5" x14ac:dyDescent="0.3">
      <c r="B175" s="55">
        <v>45793</v>
      </c>
      <c r="C175" s="54">
        <v>4189.7</v>
      </c>
      <c r="D175" s="56">
        <f t="shared" si="5"/>
        <v>0.14633979506682904</v>
      </c>
      <c r="E175" s="64">
        <v>2.8525837731680381E-2</v>
      </c>
    </row>
    <row r="176" spans="2:5" x14ac:dyDescent="0.3">
      <c r="B176" s="55">
        <v>45021</v>
      </c>
      <c r="C176" s="54">
        <v>3654.85</v>
      </c>
      <c r="D176" s="56">
        <f t="shared" si="5"/>
        <v>0.16736668955714906</v>
      </c>
      <c r="E176" s="64">
        <v>2.8448821667252933E-2</v>
      </c>
    </row>
    <row r="177" spans="2:5" x14ac:dyDescent="0.3">
      <c r="B177" s="55">
        <v>44243</v>
      </c>
      <c r="C177" s="54">
        <v>3130.85</v>
      </c>
      <c r="D177" s="56">
        <f t="shared" si="5"/>
        <v>0.66485868495918754</v>
      </c>
      <c r="E177" s="64">
        <v>2.8345732538470392E-2</v>
      </c>
    </row>
    <row r="178" spans="2:5" x14ac:dyDescent="0.3">
      <c r="B178" s="55">
        <v>43839</v>
      </c>
      <c r="C178" s="54">
        <v>1880.55</v>
      </c>
      <c r="D178" s="56">
        <f t="shared" si="5"/>
        <v>0.59869931140015309</v>
      </c>
      <c r="E178" s="64">
        <v>2.815669336540827E-2</v>
      </c>
    </row>
    <row r="179" spans="2:5" x14ac:dyDescent="0.3">
      <c r="B179" s="55">
        <v>43122</v>
      </c>
      <c r="C179" s="54">
        <v>1176.3</v>
      </c>
      <c r="D179" s="56">
        <f t="shared" si="5"/>
        <v>-0.68852936503733519</v>
      </c>
      <c r="E179" s="64">
        <v>2.7919779787652477E-2</v>
      </c>
    </row>
    <row r="180" spans="2:5" x14ac:dyDescent="0.3">
      <c r="B180" s="55">
        <v>46056</v>
      </c>
      <c r="C180" s="54">
        <v>3776.6</v>
      </c>
      <c r="D180" s="56">
        <f t="shared" si="5"/>
        <v>-1.8618852725264756E-2</v>
      </c>
      <c r="E180" s="64">
        <v>2.7870012519732201E-2</v>
      </c>
    </row>
    <row r="181" spans="2:5" x14ac:dyDescent="0.3">
      <c r="B181" s="55">
        <v>45103</v>
      </c>
      <c r="C181" s="54">
        <v>3848.25</v>
      </c>
      <c r="D181" s="56">
        <f t="shared" si="5"/>
        <v>1.544045218656001</v>
      </c>
      <c r="E181" s="64">
        <v>2.7830824908855245E-2</v>
      </c>
    </row>
    <row r="182" spans="2:5" x14ac:dyDescent="0.3">
      <c r="B182" s="55">
        <v>43502</v>
      </c>
      <c r="C182" s="54">
        <v>1512.65</v>
      </c>
      <c r="D182" s="56">
        <f t="shared" si="5"/>
        <v>2.6952713941410078E-2</v>
      </c>
      <c r="E182" s="64">
        <v>2.7824964326968793E-2</v>
      </c>
    </row>
    <row r="183" spans="2:5" x14ac:dyDescent="0.3">
      <c r="B183" s="55">
        <v>43516</v>
      </c>
      <c r="C183" s="54">
        <v>1472.95</v>
      </c>
      <c r="D183" s="56">
        <f t="shared" si="5"/>
        <v>-0.38988070582387535</v>
      </c>
      <c r="E183" s="64">
        <v>2.7663434033349699E-2</v>
      </c>
    </row>
    <row r="184" spans="2:5" x14ac:dyDescent="0.3">
      <c r="B184" s="55">
        <v>43986</v>
      </c>
      <c r="C184" s="54">
        <v>2414.1999999999998</v>
      </c>
      <c r="D184" s="56">
        <f t="shared" si="5"/>
        <v>2.0822853495052662</v>
      </c>
      <c r="E184" s="64">
        <v>2.7625250074490015E-2</v>
      </c>
    </row>
    <row r="185" spans="2:5" x14ac:dyDescent="0.3">
      <c r="B185" s="55">
        <v>42838</v>
      </c>
      <c r="C185" s="54">
        <v>783.25</v>
      </c>
      <c r="D185" s="56">
        <f t="shared" si="5"/>
        <v>-0.79149474244642626</v>
      </c>
      <c r="E185" s="64">
        <v>2.7617423248491146E-2</v>
      </c>
    </row>
    <row r="186" spans="2:5" x14ac:dyDescent="0.3">
      <c r="B186" s="55">
        <v>46105</v>
      </c>
      <c r="C186" s="54">
        <v>3756.5</v>
      </c>
      <c r="D186" s="56">
        <f t="shared" si="5"/>
        <v>1.6019948742813601</v>
      </c>
      <c r="E186" s="64">
        <v>2.7601488127803941E-2</v>
      </c>
    </row>
    <row r="187" spans="2:5" x14ac:dyDescent="0.3">
      <c r="B187" s="55">
        <v>43432</v>
      </c>
      <c r="C187" s="54">
        <v>1443.7</v>
      </c>
      <c r="D187" s="56">
        <f t="shared" si="5"/>
        <v>-0.65365607907110634</v>
      </c>
      <c r="E187" s="64">
        <v>2.7581052706501907E-2</v>
      </c>
    </row>
    <row r="188" spans="2:5" x14ac:dyDescent="0.3">
      <c r="B188" s="55">
        <v>46176</v>
      </c>
      <c r="C188" s="54">
        <v>4168.3999999999996</v>
      </c>
      <c r="D188" s="56">
        <f t="shared" si="5"/>
        <v>-4.3045065313712438E-2</v>
      </c>
      <c r="E188" s="64">
        <v>2.7458713334976403E-2</v>
      </c>
    </row>
    <row r="189" spans="2:5" x14ac:dyDescent="0.3">
      <c r="B189" s="55">
        <v>44459</v>
      </c>
      <c r="C189" s="54">
        <v>4355.8999999999996</v>
      </c>
      <c r="D189" s="56">
        <f t="shared" si="5"/>
        <v>1.6449086161879891</v>
      </c>
      <c r="E189" s="64">
        <v>2.7419716250162152E-2</v>
      </c>
    </row>
    <row r="190" spans="2:5" x14ac:dyDescent="0.3">
      <c r="B190" s="55">
        <v>43726</v>
      </c>
      <c r="C190" s="54">
        <v>1646.9</v>
      </c>
      <c r="D190" s="56">
        <f t="shared" si="5"/>
        <v>7.9297463791860645E-2</v>
      </c>
      <c r="E190" s="64">
        <v>2.7354106234989572E-2</v>
      </c>
    </row>
    <row r="191" spans="2:5" x14ac:dyDescent="0.3">
      <c r="B191" s="55">
        <v>43283</v>
      </c>
      <c r="C191" s="54">
        <v>1525.9</v>
      </c>
      <c r="D191" s="56">
        <f t="shared" si="5"/>
        <v>9.5405599425699927E-2</v>
      </c>
      <c r="E191" s="64">
        <v>2.7265383061801485E-2</v>
      </c>
    </row>
    <row r="192" spans="2:5" x14ac:dyDescent="0.3">
      <c r="B192" s="55">
        <v>43654</v>
      </c>
      <c r="C192" s="54">
        <v>1393</v>
      </c>
      <c r="D192" s="56">
        <f t="shared" si="5"/>
        <v>-0.6703426732298372</v>
      </c>
      <c r="E192" s="64">
        <v>2.7172510415514495E-2</v>
      </c>
    </row>
    <row r="193" spans="2:5" x14ac:dyDescent="0.3">
      <c r="B193" s="55">
        <v>44593</v>
      </c>
      <c r="C193" s="54">
        <v>4225.6000000000004</v>
      </c>
      <c r="D193" s="56">
        <f t="shared" si="5"/>
        <v>1.009606696152566</v>
      </c>
      <c r="E193" s="64">
        <v>2.7039508063241957E-2</v>
      </c>
    </row>
    <row r="194" spans="2:5" x14ac:dyDescent="0.3">
      <c r="B194" s="55">
        <v>44099</v>
      </c>
      <c r="C194" s="54">
        <v>2102.6999999999998</v>
      </c>
      <c r="D194" s="56">
        <f t="shared" si="5"/>
        <v>-7.7115519662921517E-2</v>
      </c>
      <c r="E194" s="64">
        <v>2.7034947615209859E-2</v>
      </c>
    </row>
    <row r="195" spans="2:5" x14ac:dyDescent="0.3">
      <c r="B195" s="55">
        <v>44077</v>
      </c>
      <c r="C195" s="54">
        <v>2278.4</v>
      </c>
      <c r="D195" s="56">
        <f t="shared" si="5"/>
        <v>-0.37697566311184028</v>
      </c>
      <c r="E195" s="64">
        <v>2.7023372174265869E-2</v>
      </c>
    </row>
    <row r="196" spans="2:5" x14ac:dyDescent="0.3">
      <c r="B196" s="55">
        <v>44698</v>
      </c>
      <c r="C196" s="54">
        <v>3657</v>
      </c>
      <c r="D196" s="56">
        <f t="shared" ref="D196:D259" si="6">C196/C197-1</f>
        <v>1.4986335064225198</v>
      </c>
      <c r="E196" s="64">
        <v>2.6929881216477991E-2</v>
      </c>
    </row>
    <row r="197" spans="2:5" x14ac:dyDescent="0.3">
      <c r="B197" s="55">
        <v>43662</v>
      </c>
      <c r="C197" s="54">
        <v>1463.6</v>
      </c>
      <c r="D197" s="56">
        <f t="shared" si="6"/>
        <v>-0.68208870932707766</v>
      </c>
      <c r="E197" s="64">
        <v>2.6907560077179316E-2</v>
      </c>
    </row>
    <row r="198" spans="2:5" x14ac:dyDescent="0.3">
      <c r="B198" s="55">
        <v>45412</v>
      </c>
      <c r="C198" s="54">
        <v>4603.8</v>
      </c>
      <c r="D198" s="56">
        <f t="shared" si="6"/>
        <v>0.29013997674060188</v>
      </c>
      <c r="E198" s="64">
        <v>2.6763013515321843E-2</v>
      </c>
    </row>
    <row r="199" spans="2:5" x14ac:dyDescent="0.3">
      <c r="B199" s="55">
        <v>45672</v>
      </c>
      <c r="C199" s="54">
        <v>3568.45</v>
      </c>
      <c r="D199" s="56">
        <f t="shared" si="6"/>
        <v>-0.12943400829470608</v>
      </c>
      <c r="E199" s="64">
        <v>2.6449014813749505E-2</v>
      </c>
    </row>
    <row r="200" spans="2:5" x14ac:dyDescent="0.3">
      <c r="B200" s="55">
        <v>46188</v>
      </c>
      <c r="C200" s="54">
        <v>4099</v>
      </c>
      <c r="D200" s="56">
        <f t="shared" si="6"/>
        <v>-1.5397179986068155E-2</v>
      </c>
      <c r="E200" s="64">
        <v>2.6392227564102644E-2</v>
      </c>
    </row>
    <row r="201" spans="2:5" x14ac:dyDescent="0.3">
      <c r="B201" s="55">
        <v>45372</v>
      </c>
      <c r="C201" s="54">
        <v>4163.1000000000004</v>
      </c>
      <c r="D201" s="56">
        <f t="shared" si="6"/>
        <v>1.6488722043712025</v>
      </c>
      <c r="E201" s="64">
        <v>2.6316762606777067E-2</v>
      </c>
    </row>
    <row r="202" spans="2:5" x14ac:dyDescent="0.3">
      <c r="B202" s="55">
        <v>43305</v>
      </c>
      <c r="C202" s="54">
        <v>1571.65</v>
      </c>
      <c r="D202" s="56">
        <f t="shared" si="6"/>
        <v>0.13842309224584426</v>
      </c>
      <c r="E202" s="64">
        <v>2.6149125097936876E-2</v>
      </c>
    </row>
    <row r="203" spans="2:5" x14ac:dyDescent="0.3">
      <c r="B203" s="55">
        <v>43242</v>
      </c>
      <c r="C203" s="54">
        <v>1380.55</v>
      </c>
      <c r="D203" s="56">
        <f t="shared" si="6"/>
        <v>-0.58906087215359437</v>
      </c>
      <c r="E203" s="64">
        <v>2.6087925972722914E-2</v>
      </c>
    </row>
    <row r="204" spans="2:5" x14ac:dyDescent="0.3">
      <c r="B204" s="55">
        <v>44362</v>
      </c>
      <c r="C204" s="54">
        <v>3359.5</v>
      </c>
      <c r="D204" s="56">
        <f t="shared" si="6"/>
        <v>0.4520974260335846</v>
      </c>
      <c r="E204" s="64">
        <v>2.608350386365732E-2</v>
      </c>
    </row>
    <row r="205" spans="2:5" x14ac:dyDescent="0.3">
      <c r="B205" s="55">
        <v>43962</v>
      </c>
      <c r="C205" s="54">
        <v>2313.5500000000002</v>
      </c>
      <c r="D205" s="56">
        <f t="shared" si="6"/>
        <v>-0.43319654559931398</v>
      </c>
      <c r="E205" s="64">
        <v>2.5964523281596597E-2</v>
      </c>
    </row>
    <row r="206" spans="2:5" x14ac:dyDescent="0.3">
      <c r="B206" s="55">
        <v>44607</v>
      </c>
      <c r="C206" s="54">
        <v>4081.75</v>
      </c>
      <c r="D206" s="56">
        <f t="shared" si="6"/>
        <v>1.785416951003139</v>
      </c>
      <c r="E206" s="64">
        <v>2.5629750612475632E-2</v>
      </c>
    </row>
    <row r="207" spans="2:5" x14ac:dyDescent="0.3">
      <c r="B207" s="55">
        <v>43510</v>
      </c>
      <c r="C207" s="54">
        <v>1465.4</v>
      </c>
      <c r="D207" s="56">
        <f t="shared" si="6"/>
        <v>-0.64122903660178721</v>
      </c>
      <c r="E207" s="64">
        <v>2.5615901455767087E-2</v>
      </c>
    </row>
    <row r="208" spans="2:5" x14ac:dyDescent="0.3">
      <c r="B208" s="55">
        <v>44455</v>
      </c>
      <c r="C208" s="54">
        <v>4084.5</v>
      </c>
      <c r="D208" s="56">
        <f t="shared" si="6"/>
        <v>1.6035823559408464</v>
      </c>
      <c r="E208" s="64">
        <v>2.5586300406769569E-2</v>
      </c>
    </row>
    <row r="209" spans="2:5" x14ac:dyDescent="0.3">
      <c r="B209" s="55">
        <v>43717</v>
      </c>
      <c r="C209" s="54">
        <v>1568.8</v>
      </c>
      <c r="D209" s="56">
        <f t="shared" si="6"/>
        <v>-0.35293875025778509</v>
      </c>
      <c r="E209" s="64">
        <v>2.5560567431522463E-2</v>
      </c>
    </row>
    <row r="210" spans="2:5" x14ac:dyDescent="0.3">
      <c r="B210" s="55">
        <v>43880</v>
      </c>
      <c r="C210" s="54">
        <v>2424.5</v>
      </c>
      <c r="D210" s="56">
        <f t="shared" si="6"/>
        <v>-0.40724169967238766</v>
      </c>
      <c r="E210" s="64">
        <v>2.5201911285889445E-2</v>
      </c>
    </row>
    <row r="211" spans="2:5" x14ac:dyDescent="0.3">
      <c r="B211" s="55">
        <v>44914</v>
      </c>
      <c r="C211" s="54">
        <v>4090.2</v>
      </c>
      <c r="D211" s="56">
        <f t="shared" si="6"/>
        <v>0.60768822593007465</v>
      </c>
      <c r="E211" s="64">
        <v>2.5112781954887087E-2</v>
      </c>
    </row>
    <row r="212" spans="2:5" x14ac:dyDescent="0.3">
      <c r="B212" s="55">
        <v>43874</v>
      </c>
      <c r="C212" s="54">
        <v>2544.15</v>
      </c>
      <c r="D212" s="56">
        <f t="shared" si="6"/>
        <v>-0.3057590765830297</v>
      </c>
      <c r="E212" s="64">
        <v>2.4978345386056366E-2</v>
      </c>
    </row>
    <row r="213" spans="2:5" x14ac:dyDescent="0.3">
      <c r="B213" s="55">
        <v>45688</v>
      </c>
      <c r="C213" s="54">
        <v>3664.65</v>
      </c>
      <c r="D213" s="56">
        <f t="shared" si="6"/>
        <v>-0.12773427272510895</v>
      </c>
      <c r="E213" s="64">
        <v>2.496224198691066E-2</v>
      </c>
    </row>
    <row r="214" spans="2:5" x14ac:dyDescent="0.3">
      <c r="B214" s="55">
        <v>46189</v>
      </c>
      <c r="C214" s="54">
        <v>4201.3</v>
      </c>
      <c r="D214" s="56">
        <f t="shared" si="6"/>
        <v>2.0953363294776395</v>
      </c>
      <c r="E214" s="64">
        <v>2.495730666016116E-2</v>
      </c>
    </row>
    <row r="215" spans="2:5" x14ac:dyDescent="0.3">
      <c r="B215" s="55">
        <v>43192</v>
      </c>
      <c r="C215" s="54">
        <v>1357.3</v>
      </c>
      <c r="D215" s="56">
        <f t="shared" si="6"/>
        <v>-0.14825389852844284</v>
      </c>
      <c r="E215" s="64">
        <v>2.4532004830917886E-2</v>
      </c>
    </row>
    <row r="216" spans="2:5" x14ac:dyDescent="0.3">
      <c r="B216" s="55">
        <v>43259</v>
      </c>
      <c r="C216" s="54">
        <v>1593.55</v>
      </c>
      <c r="D216" s="56">
        <f t="shared" si="6"/>
        <v>-0.5839675225501586</v>
      </c>
      <c r="E216" s="64">
        <v>2.4428658673780967E-2</v>
      </c>
    </row>
    <row r="217" spans="2:5" x14ac:dyDescent="0.3">
      <c r="B217" s="55">
        <v>44721</v>
      </c>
      <c r="C217" s="54">
        <v>3830.35</v>
      </c>
      <c r="D217" s="56">
        <f t="shared" si="6"/>
        <v>1.5161597582605268</v>
      </c>
      <c r="E217" s="64">
        <v>2.4322083756752377E-2</v>
      </c>
    </row>
    <row r="218" spans="2:5" x14ac:dyDescent="0.3">
      <c r="B218" s="55">
        <v>43565</v>
      </c>
      <c r="C218" s="54">
        <v>1522.3</v>
      </c>
      <c r="D218" s="56">
        <f t="shared" si="6"/>
        <v>-0.63204138114402419</v>
      </c>
      <c r="E218" s="64">
        <v>2.4290135917103939E-2</v>
      </c>
    </row>
    <row r="219" spans="2:5" x14ac:dyDescent="0.3">
      <c r="B219" s="55">
        <v>45266</v>
      </c>
      <c r="C219" s="54">
        <v>4137.1499999999996</v>
      </c>
      <c r="D219" s="56">
        <f t="shared" si="6"/>
        <v>-0.18893724636828801</v>
      </c>
      <c r="E219" s="64">
        <v>2.4161107054003317E-2</v>
      </c>
    </row>
    <row r="220" spans="2:5" x14ac:dyDescent="0.3">
      <c r="B220" s="55">
        <v>45539</v>
      </c>
      <c r="C220" s="54">
        <v>5100.8999999999996</v>
      </c>
      <c r="D220" s="56">
        <f t="shared" si="6"/>
        <v>0.40439415214338803</v>
      </c>
      <c r="E220" s="64">
        <v>2.4153716419708315E-2</v>
      </c>
    </row>
    <row r="221" spans="2:5" x14ac:dyDescent="0.3">
      <c r="B221" s="55">
        <v>45086</v>
      </c>
      <c r="C221" s="54">
        <v>3632.1</v>
      </c>
      <c r="D221" s="56">
        <f t="shared" si="6"/>
        <v>0.35268705076161044</v>
      </c>
      <c r="E221" s="64">
        <v>2.4049847750084563E-2</v>
      </c>
    </row>
    <row r="222" spans="2:5" x14ac:dyDescent="0.3">
      <c r="B222" s="55">
        <v>44176</v>
      </c>
      <c r="C222" s="54">
        <v>2685.1</v>
      </c>
      <c r="D222" s="56">
        <f t="shared" si="6"/>
        <v>0.73624312964759131</v>
      </c>
      <c r="E222" s="64">
        <v>2.4046070822447918E-2</v>
      </c>
    </row>
    <row r="223" spans="2:5" x14ac:dyDescent="0.3">
      <c r="B223" s="55">
        <v>43445</v>
      </c>
      <c r="C223" s="54">
        <v>1546.5</v>
      </c>
      <c r="D223" s="56">
        <f t="shared" si="6"/>
        <v>0.27483307229412257</v>
      </c>
      <c r="E223" s="64">
        <v>2.4036551450139054E-2</v>
      </c>
    </row>
    <row r="224" spans="2:5" x14ac:dyDescent="0.3">
      <c r="B224" s="55">
        <v>43019</v>
      </c>
      <c r="C224" s="54">
        <v>1213.0999999999999</v>
      </c>
      <c r="D224" s="56">
        <f t="shared" si="6"/>
        <v>-0.69663399019705907</v>
      </c>
      <c r="E224" s="64">
        <v>2.401553201367479E-2</v>
      </c>
    </row>
    <row r="225" spans="2:5" x14ac:dyDescent="0.3">
      <c r="B225" s="55">
        <v>45741</v>
      </c>
      <c r="C225" s="54">
        <v>3998.8</v>
      </c>
      <c r="D225" s="56">
        <f t="shared" si="6"/>
        <v>-4.0348692403486819E-3</v>
      </c>
      <c r="E225" s="64">
        <v>2.3994263911295555E-2</v>
      </c>
    </row>
    <row r="226" spans="2:5" x14ac:dyDescent="0.3">
      <c r="B226" s="55">
        <v>46237</v>
      </c>
      <c r="C226" s="54">
        <v>4015</v>
      </c>
      <c r="D226" s="56">
        <f t="shared" si="6"/>
        <v>4.3881768771388314</v>
      </c>
      <c r="E226" s="64">
        <v>2.3973476154042439E-2</v>
      </c>
    </row>
    <row r="227" spans="2:5" x14ac:dyDescent="0.3">
      <c r="B227" s="55">
        <v>42886</v>
      </c>
      <c r="C227" s="54">
        <v>745.15</v>
      </c>
      <c r="D227" s="56">
        <f t="shared" si="6"/>
        <v>-0.83534779918684821</v>
      </c>
      <c r="E227" s="64">
        <v>2.3768633647042625E-2</v>
      </c>
    </row>
    <row r="228" spans="2:5" x14ac:dyDescent="0.3">
      <c r="B228" s="55">
        <v>45379</v>
      </c>
      <c r="C228" s="54">
        <v>4525.6000000000004</v>
      </c>
      <c r="D228" s="56">
        <f t="shared" si="6"/>
        <v>1.9093246761595579</v>
      </c>
      <c r="E228" s="64">
        <v>2.3764011265566598E-2</v>
      </c>
    </row>
    <row r="229" spans="2:5" x14ac:dyDescent="0.3">
      <c r="B229" s="55">
        <v>43258</v>
      </c>
      <c r="C229" s="54">
        <v>1555.55</v>
      </c>
      <c r="D229" s="56">
        <f t="shared" si="6"/>
        <v>-0.60754112423049755</v>
      </c>
      <c r="E229" s="64">
        <v>2.3691224375637532E-2</v>
      </c>
    </row>
    <row r="230" spans="2:5" x14ac:dyDescent="0.3">
      <c r="B230" s="55">
        <v>45105</v>
      </c>
      <c r="C230" s="54">
        <v>3963.6</v>
      </c>
      <c r="D230" s="56">
        <f t="shared" si="6"/>
        <v>5.5559783849608024E-3</v>
      </c>
      <c r="E230" s="64">
        <v>2.3630588052994561E-2</v>
      </c>
    </row>
    <row r="231" spans="2:5" x14ac:dyDescent="0.3">
      <c r="B231" s="55">
        <v>44750</v>
      </c>
      <c r="C231" s="54">
        <v>3941.7</v>
      </c>
      <c r="D231" s="56">
        <f t="shared" si="6"/>
        <v>3.2858540828531035</v>
      </c>
      <c r="E231" s="64">
        <v>2.3565613679741304E-2</v>
      </c>
    </row>
    <row r="232" spans="2:5" x14ac:dyDescent="0.3">
      <c r="B232" s="55">
        <v>42947</v>
      </c>
      <c r="C232" s="54">
        <v>919.7</v>
      </c>
      <c r="D232" s="56">
        <f t="shared" si="6"/>
        <v>0.46262722646310461</v>
      </c>
      <c r="E232" s="64">
        <v>2.3537922208001882E-2</v>
      </c>
    </row>
    <row r="233" spans="2:5" x14ac:dyDescent="0.3">
      <c r="B233" s="55">
        <v>42822</v>
      </c>
      <c r="C233" s="54">
        <v>628.79999999999995</v>
      </c>
      <c r="D233" s="56">
        <f t="shared" si="6"/>
        <v>-0.84146033987191771</v>
      </c>
      <c r="E233" s="64">
        <v>2.34375E-2</v>
      </c>
    </row>
    <row r="234" spans="2:5" x14ac:dyDescent="0.3">
      <c r="B234" s="55">
        <v>46090</v>
      </c>
      <c r="C234" s="54">
        <v>3966.2</v>
      </c>
      <c r="D234" s="56">
        <f t="shared" si="6"/>
        <v>0.85072676792421986</v>
      </c>
      <c r="E234" s="64">
        <v>2.3324216935858288E-2</v>
      </c>
    </row>
    <row r="235" spans="2:5" x14ac:dyDescent="0.3">
      <c r="B235" s="55">
        <v>44124</v>
      </c>
      <c r="C235" s="54">
        <v>2143.0500000000002</v>
      </c>
      <c r="D235" s="56">
        <f t="shared" si="6"/>
        <v>-6.4190738193489194E-2</v>
      </c>
      <c r="E235" s="64">
        <v>2.3277467411545683E-2</v>
      </c>
    </row>
    <row r="236" spans="2:5" x14ac:dyDescent="0.3">
      <c r="B236" s="55">
        <v>43943</v>
      </c>
      <c r="C236" s="54">
        <v>2290.0500000000002</v>
      </c>
      <c r="D236" s="56">
        <f t="shared" si="6"/>
        <v>-0.460383849570555</v>
      </c>
      <c r="E236" s="64">
        <v>2.3165936913591478E-2</v>
      </c>
    </row>
    <row r="237" spans="2:5" x14ac:dyDescent="0.3">
      <c r="B237" s="55">
        <v>44771</v>
      </c>
      <c r="C237" s="54">
        <v>4243.8500000000004</v>
      </c>
      <c r="D237" s="56">
        <f t="shared" si="6"/>
        <v>0.20786964565248334</v>
      </c>
      <c r="E237" s="64">
        <v>2.3156854235980573E-2</v>
      </c>
    </row>
    <row r="238" spans="2:5" x14ac:dyDescent="0.3">
      <c r="B238" s="55">
        <v>44950</v>
      </c>
      <c r="C238" s="54">
        <v>3513.5</v>
      </c>
      <c r="D238" s="56">
        <f t="shared" si="6"/>
        <v>-0.18296397925726116</v>
      </c>
      <c r="E238" s="64">
        <v>2.3150844496214296E-2</v>
      </c>
    </row>
    <row r="239" spans="2:5" x14ac:dyDescent="0.3">
      <c r="B239" s="55">
        <v>45828</v>
      </c>
      <c r="C239" s="54">
        <v>4300.3</v>
      </c>
      <c r="D239" s="56">
        <f t="shared" si="6"/>
        <v>0.1759896082586998</v>
      </c>
      <c r="E239" s="64">
        <v>2.3125788108776746E-2</v>
      </c>
    </row>
    <row r="240" spans="2:5" x14ac:dyDescent="0.3">
      <c r="B240" s="55">
        <v>44705</v>
      </c>
      <c r="C240" s="54">
        <v>3656.75</v>
      </c>
      <c r="D240" s="56">
        <f t="shared" si="6"/>
        <v>2.2138776586394799</v>
      </c>
      <c r="E240" s="64">
        <v>2.3124702722363777E-2</v>
      </c>
    </row>
    <row r="241" spans="2:5" x14ac:dyDescent="0.3">
      <c r="B241" s="55">
        <v>43061</v>
      </c>
      <c r="C241" s="54">
        <v>1137.8</v>
      </c>
      <c r="D241" s="56">
        <f t="shared" si="6"/>
        <v>-0.42379662218621028</v>
      </c>
      <c r="E241" s="64">
        <v>2.2925469747370419E-2</v>
      </c>
    </row>
    <row r="242" spans="2:5" x14ac:dyDescent="0.3">
      <c r="B242" s="55">
        <v>43859</v>
      </c>
      <c r="C242" s="54">
        <v>1974.65</v>
      </c>
      <c r="D242" s="56">
        <f t="shared" si="6"/>
        <v>-7.987742081334237E-3</v>
      </c>
      <c r="E242" s="64">
        <v>2.2896215908208006E-2</v>
      </c>
    </row>
    <row r="243" spans="2:5" x14ac:dyDescent="0.3">
      <c r="B243" s="55">
        <v>43847</v>
      </c>
      <c r="C243" s="54">
        <v>1990.55</v>
      </c>
      <c r="D243" s="56">
        <f t="shared" si="6"/>
        <v>-0.49603139439205013</v>
      </c>
      <c r="E243" s="64">
        <v>2.2866832815189753E-2</v>
      </c>
    </row>
    <row r="244" spans="2:5" x14ac:dyDescent="0.3">
      <c r="B244" s="55">
        <v>45260</v>
      </c>
      <c r="C244" s="54">
        <v>3949.75</v>
      </c>
      <c r="D244" s="56">
        <f t="shared" si="6"/>
        <v>3.3322913239004057</v>
      </c>
      <c r="E244" s="64">
        <v>2.2853813284992919E-2</v>
      </c>
    </row>
    <row r="245" spans="2:5" x14ac:dyDescent="0.3">
      <c r="B245" s="55">
        <v>42933</v>
      </c>
      <c r="C245" s="54">
        <v>911.7</v>
      </c>
      <c r="D245" s="56">
        <f t="shared" si="6"/>
        <v>-0.73193572573175936</v>
      </c>
      <c r="E245" s="64">
        <v>2.2830537948056451E-2</v>
      </c>
    </row>
    <row r="246" spans="2:5" x14ac:dyDescent="0.3">
      <c r="B246" s="55">
        <v>45016</v>
      </c>
      <c r="C246" s="54">
        <v>3401.05</v>
      </c>
      <c r="D246" s="56">
        <f t="shared" si="6"/>
        <v>-0.24944001235834801</v>
      </c>
      <c r="E246" s="64">
        <v>2.2733765355064772E-2</v>
      </c>
    </row>
    <row r="247" spans="2:5" x14ac:dyDescent="0.3">
      <c r="B247" s="55">
        <v>44803</v>
      </c>
      <c r="C247" s="54">
        <v>4531.3500000000004</v>
      </c>
      <c r="D247" s="56">
        <f t="shared" si="6"/>
        <v>2.0579005972264404</v>
      </c>
      <c r="E247" s="64">
        <v>2.2520337128092871E-2</v>
      </c>
    </row>
    <row r="248" spans="2:5" x14ac:dyDescent="0.3">
      <c r="B248" s="55">
        <v>43563</v>
      </c>
      <c r="C248" s="54">
        <v>1481.85</v>
      </c>
      <c r="D248" s="56">
        <f t="shared" si="6"/>
        <v>-0.64727095284568326</v>
      </c>
      <c r="E248" s="64">
        <v>2.245911819499069E-2</v>
      </c>
    </row>
    <row r="249" spans="2:5" x14ac:dyDescent="0.3">
      <c r="B249" s="55">
        <v>44909</v>
      </c>
      <c r="C249" s="54">
        <v>4201.1000000000004</v>
      </c>
      <c r="D249" s="56">
        <f t="shared" si="6"/>
        <v>0.25627224066265986</v>
      </c>
      <c r="E249" s="64">
        <v>2.2426654011365565E-2</v>
      </c>
    </row>
    <row r="250" spans="2:5" x14ac:dyDescent="0.3">
      <c r="B250" s="55">
        <v>44377</v>
      </c>
      <c r="C250" s="54">
        <v>3344.1</v>
      </c>
      <c r="D250" s="56">
        <f t="shared" si="6"/>
        <v>-0.24134801892035984</v>
      </c>
      <c r="E250" s="64">
        <v>2.2394790345017457E-2</v>
      </c>
    </row>
    <row r="251" spans="2:5" x14ac:dyDescent="0.3">
      <c r="B251" s="55">
        <v>44477</v>
      </c>
      <c r="C251" s="54">
        <v>4407.95</v>
      </c>
      <c r="D251" s="56">
        <f t="shared" si="6"/>
        <v>0.96152990388038462</v>
      </c>
      <c r="E251" s="64">
        <v>2.2322981654567808E-2</v>
      </c>
    </row>
    <row r="252" spans="2:5" x14ac:dyDescent="0.3">
      <c r="B252" s="55">
        <v>43895</v>
      </c>
      <c r="C252" s="54">
        <v>2247.1999999999998</v>
      </c>
      <c r="D252" s="56">
        <f t="shared" si="6"/>
        <v>-0.38899085063284256</v>
      </c>
      <c r="E252" s="64">
        <v>2.2174714003047713E-2</v>
      </c>
    </row>
    <row r="253" spans="2:5" x14ac:dyDescent="0.3">
      <c r="B253" s="55">
        <v>45054</v>
      </c>
      <c r="C253" s="54">
        <v>3677.85</v>
      </c>
      <c r="D253" s="56">
        <f t="shared" si="6"/>
        <v>-0.2671415761681778</v>
      </c>
      <c r="E253" s="64">
        <v>2.213606803401702E-2</v>
      </c>
    </row>
    <row r="254" spans="2:5" x14ac:dyDescent="0.3">
      <c r="B254" s="55">
        <v>45511</v>
      </c>
      <c r="C254" s="54">
        <v>5018.5</v>
      </c>
      <c r="D254" s="56">
        <f t="shared" si="6"/>
        <v>0.16392606164621837</v>
      </c>
      <c r="E254" s="64">
        <v>2.2118576753090702E-2</v>
      </c>
    </row>
    <row r="255" spans="2:5" x14ac:dyDescent="0.3">
      <c r="B255" s="55">
        <v>44476</v>
      </c>
      <c r="C255" s="54">
        <v>4311.7</v>
      </c>
      <c r="D255" s="56">
        <f t="shared" si="6"/>
        <v>2.8421849937622525</v>
      </c>
      <c r="E255" s="64">
        <v>2.2081046805181748E-2</v>
      </c>
    </row>
    <row r="256" spans="2:5" x14ac:dyDescent="0.3">
      <c r="B256" s="55">
        <v>43048</v>
      </c>
      <c r="C256" s="54">
        <v>1122.2</v>
      </c>
      <c r="D256" s="56">
        <f t="shared" si="6"/>
        <v>-0.24288220213196599</v>
      </c>
      <c r="E256" s="64">
        <v>2.199353399207693E-2</v>
      </c>
    </row>
    <row r="257" spans="2:5" x14ac:dyDescent="0.3">
      <c r="B257" s="55">
        <v>43535</v>
      </c>
      <c r="C257" s="54">
        <v>1482.2</v>
      </c>
      <c r="D257" s="56">
        <f t="shared" si="6"/>
        <v>-7.2523621800888449E-2</v>
      </c>
      <c r="E257" s="64">
        <v>2.1924986210700492E-2</v>
      </c>
    </row>
    <row r="258" spans="2:5" x14ac:dyDescent="0.3">
      <c r="B258" s="55">
        <v>43291</v>
      </c>
      <c r="C258" s="54">
        <v>1598.1</v>
      </c>
      <c r="D258" s="56">
        <f t="shared" si="6"/>
        <v>-0.57830435126791047</v>
      </c>
      <c r="E258" s="64">
        <v>2.1901077469066665E-2</v>
      </c>
    </row>
    <row r="259" spans="2:5" x14ac:dyDescent="0.3">
      <c r="B259" s="55">
        <v>44433</v>
      </c>
      <c r="C259" s="54">
        <v>3789.7</v>
      </c>
      <c r="D259" s="56">
        <f t="shared" si="6"/>
        <v>3.9010022631749113</v>
      </c>
      <c r="E259" s="64">
        <v>2.1881867576276415E-2</v>
      </c>
    </row>
    <row r="260" spans="2:5" x14ac:dyDescent="0.3">
      <c r="B260" s="55">
        <v>42859</v>
      </c>
      <c r="C260" s="54">
        <v>773.25</v>
      </c>
      <c r="D260" s="56">
        <f t="shared" ref="D260:D323" si="7">C260/C261-1</f>
        <v>-0.82567183695554158</v>
      </c>
      <c r="E260" s="64">
        <v>2.1668758670806643E-2</v>
      </c>
    </row>
    <row r="261" spans="2:5" x14ac:dyDescent="0.3">
      <c r="B261" s="55">
        <v>45769</v>
      </c>
      <c r="C261" s="54">
        <v>4435.6000000000004</v>
      </c>
      <c r="D261" s="56">
        <f t="shared" si="7"/>
        <v>4.8960521068722596</v>
      </c>
      <c r="E261" s="64">
        <v>2.148630909886462E-2</v>
      </c>
    </row>
    <row r="262" spans="2:5" x14ac:dyDescent="0.3">
      <c r="B262" s="55">
        <v>42857</v>
      </c>
      <c r="C262" s="54">
        <v>752.3</v>
      </c>
      <c r="D262" s="56">
        <f t="shared" si="7"/>
        <v>-0.48958545355858618</v>
      </c>
      <c r="E262" s="64">
        <v>2.1452817379497668E-2</v>
      </c>
    </row>
    <row r="263" spans="2:5" x14ac:dyDescent="0.3">
      <c r="B263" s="55">
        <v>43500</v>
      </c>
      <c r="C263" s="54">
        <v>1473.9</v>
      </c>
      <c r="D263" s="56">
        <f t="shared" si="7"/>
        <v>-0.66213552173115708</v>
      </c>
      <c r="E263" s="64">
        <v>2.1449114660937685E-2</v>
      </c>
    </row>
    <row r="264" spans="2:5" x14ac:dyDescent="0.3">
      <c r="B264" s="55">
        <v>46114</v>
      </c>
      <c r="C264" s="54">
        <v>4362.3999999999996</v>
      </c>
      <c r="D264" s="56">
        <f t="shared" si="7"/>
        <v>2.3578878497479114</v>
      </c>
      <c r="E264" s="64">
        <v>2.1376226264896436E-2</v>
      </c>
    </row>
    <row r="265" spans="2:5" x14ac:dyDescent="0.3">
      <c r="B265" s="55">
        <v>43607</v>
      </c>
      <c r="C265" s="54">
        <v>1299.1500000000001</v>
      </c>
      <c r="D265" s="56">
        <f t="shared" si="7"/>
        <v>-0.4476755308972642</v>
      </c>
      <c r="E265" s="64">
        <v>2.1264051568273157E-2</v>
      </c>
    </row>
    <row r="266" spans="2:5" x14ac:dyDescent="0.3">
      <c r="B266" s="55">
        <v>43964</v>
      </c>
      <c r="C266" s="54">
        <v>2352.15</v>
      </c>
      <c r="D266" s="56">
        <f t="shared" si="7"/>
        <v>-0.38678224597536337</v>
      </c>
      <c r="E266" s="64">
        <v>2.1186532658953316E-2</v>
      </c>
    </row>
    <row r="267" spans="2:5" x14ac:dyDescent="0.3">
      <c r="B267" s="55">
        <v>45343</v>
      </c>
      <c r="C267" s="54">
        <v>3835.75</v>
      </c>
      <c r="D267" s="56">
        <f t="shared" si="7"/>
        <v>0.34342602970019631</v>
      </c>
      <c r="E267" s="64">
        <v>2.1178318513391137E-2</v>
      </c>
    </row>
    <row r="268" spans="2:5" x14ac:dyDescent="0.3">
      <c r="B268" s="55">
        <v>44281</v>
      </c>
      <c r="C268" s="54">
        <v>2855.2</v>
      </c>
      <c r="D268" s="56">
        <f t="shared" si="7"/>
        <v>1.4103668059600691</v>
      </c>
      <c r="E268" s="64">
        <v>2.1173104434907053E-2</v>
      </c>
    </row>
    <row r="269" spans="2:5" x14ac:dyDescent="0.3">
      <c r="B269" s="55">
        <v>43103</v>
      </c>
      <c r="C269" s="54">
        <v>1184.55</v>
      </c>
      <c r="D269" s="56">
        <f t="shared" si="7"/>
        <v>-0.71382842509603073</v>
      </c>
      <c r="E269" s="64">
        <v>2.1163793103448292E-2</v>
      </c>
    </row>
    <row r="270" spans="2:5" x14ac:dyDescent="0.3">
      <c r="B270" s="55">
        <v>45756</v>
      </c>
      <c r="C270" s="54">
        <v>4139.3</v>
      </c>
      <c r="D270" s="56">
        <f t="shared" si="7"/>
        <v>2.0300124441841745</v>
      </c>
      <c r="E270" s="64">
        <v>2.107872762929075E-2</v>
      </c>
    </row>
    <row r="271" spans="2:5" x14ac:dyDescent="0.3">
      <c r="B271" s="55">
        <v>43405</v>
      </c>
      <c r="C271" s="54">
        <v>1366.1</v>
      </c>
      <c r="D271" s="56">
        <f t="shared" si="7"/>
        <v>-0.10648178428935851</v>
      </c>
      <c r="E271" s="64">
        <v>2.1039650211143845E-2</v>
      </c>
    </row>
    <row r="272" spans="2:5" x14ac:dyDescent="0.3">
      <c r="B272" s="55">
        <v>43248</v>
      </c>
      <c r="C272" s="54">
        <v>1528.9</v>
      </c>
      <c r="D272" s="56">
        <f t="shared" si="7"/>
        <v>-0.5606546071064239</v>
      </c>
      <c r="E272" s="64">
        <v>2.0934192514440397E-2</v>
      </c>
    </row>
    <row r="273" spans="2:5" x14ac:dyDescent="0.3">
      <c r="B273" s="55">
        <v>44740</v>
      </c>
      <c r="C273" s="54">
        <v>3479.95</v>
      </c>
      <c r="D273" s="56">
        <f t="shared" si="7"/>
        <v>-0.25213831341872261</v>
      </c>
      <c r="E273" s="64">
        <v>2.0932347591386513E-2</v>
      </c>
    </row>
    <row r="274" spans="2:5" x14ac:dyDescent="0.3">
      <c r="B274" s="55">
        <v>45888</v>
      </c>
      <c r="C274" s="54">
        <v>4653.2</v>
      </c>
      <c r="D274" s="56">
        <f t="shared" si="7"/>
        <v>3.2265316317725601</v>
      </c>
      <c r="E274" s="64">
        <v>2.0886353663887691E-2</v>
      </c>
    </row>
    <row r="275" spans="2:5" x14ac:dyDescent="0.3">
      <c r="B275" s="55">
        <v>43011</v>
      </c>
      <c r="C275" s="54">
        <v>1100.95</v>
      </c>
      <c r="D275" s="56">
        <f t="shared" si="7"/>
        <v>-0.64529535898964185</v>
      </c>
      <c r="E275" s="64">
        <v>2.0863275997960118E-2</v>
      </c>
    </row>
    <row r="276" spans="2:5" x14ac:dyDescent="0.3">
      <c r="B276" s="55">
        <v>44341</v>
      </c>
      <c r="C276" s="54">
        <v>3103.85</v>
      </c>
      <c r="D276" s="56">
        <f t="shared" si="7"/>
        <v>-0.36657415154792761</v>
      </c>
      <c r="E276" s="64">
        <v>2.0852176487033303E-2</v>
      </c>
    </row>
    <row r="277" spans="2:5" x14ac:dyDescent="0.3">
      <c r="B277" s="55">
        <v>45470</v>
      </c>
      <c r="C277" s="54">
        <v>4900.1000000000004</v>
      </c>
      <c r="D277" s="56">
        <f t="shared" si="7"/>
        <v>2.2360982697133802</v>
      </c>
      <c r="E277" s="64">
        <v>2.0641533013955549E-2</v>
      </c>
    </row>
    <row r="278" spans="2:5" x14ac:dyDescent="0.3">
      <c r="B278" s="55">
        <v>43679</v>
      </c>
      <c r="C278" s="54">
        <v>1514.2</v>
      </c>
      <c r="D278" s="56">
        <f t="shared" si="7"/>
        <v>-0.56532847239166939</v>
      </c>
      <c r="E278" s="64">
        <v>2.0625505527096299E-2</v>
      </c>
    </row>
    <row r="279" spans="2:5" x14ac:dyDescent="0.3">
      <c r="B279" s="55">
        <v>44403</v>
      </c>
      <c r="C279" s="54">
        <v>3483.55</v>
      </c>
      <c r="D279" s="56">
        <f t="shared" si="7"/>
        <v>0.43229241617498926</v>
      </c>
      <c r="E279" s="64">
        <v>2.0611156685808041E-2</v>
      </c>
    </row>
    <row r="280" spans="2:5" x14ac:dyDescent="0.3">
      <c r="B280" s="55">
        <v>44152</v>
      </c>
      <c r="C280" s="54">
        <v>2432.15</v>
      </c>
      <c r="D280" s="56">
        <f t="shared" si="7"/>
        <v>2.0776969313508387</v>
      </c>
      <c r="E280" s="64">
        <v>2.0603848009903336E-2</v>
      </c>
    </row>
    <row r="281" spans="2:5" x14ac:dyDescent="0.3">
      <c r="B281" s="55">
        <v>42894</v>
      </c>
      <c r="C281" s="54">
        <v>790.25</v>
      </c>
      <c r="D281" s="56">
        <f t="shared" si="7"/>
        <v>-0.81568513119533526</v>
      </c>
      <c r="E281" s="64">
        <v>2.0599250936329749E-2</v>
      </c>
    </row>
    <row r="282" spans="2:5" x14ac:dyDescent="0.3">
      <c r="B282" s="55">
        <v>46190</v>
      </c>
      <c r="C282" s="54">
        <v>4287.5</v>
      </c>
      <c r="D282" s="56">
        <f t="shared" si="7"/>
        <v>7.1285792813952309E-2</v>
      </c>
      <c r="E282" s="64">
        <v>2.0517458881774697E-2</v>
      </c>
    </row>
    <row r="283" spans="2:5" x14ac:dyDescent="0.3">
      <c r="B283" s="55">
        <v>46063</v>
      </c>
      <c r="C283" s="54">
        <v>4002.2</v>
      </c>
      <c r="D283" s="56">
        <f t="shared" si="7"/>
        <v>1.6849590768817926</v>
      </c>
      <c r="E283" s="64">
        <v>2.034468692637148E-2</v>
      </c>
    </row>
    <row r="284" spans="2:5" x14ac:dyDescent="0.3">
      <c r="B284" s="55">
        <v>43691</v>
      </c>
      <c r="C284" s="54">
        <v>1490.6</v>
      </c>
      <c r="D284" s="56">
        <f t="shared" si="7"/>
        <v>-0.48046425708410301</v>
      </c>
      <c r="E284" s="64">
        <v>2.0329933602573735E-2</v>
      </c>
    </row>
    <row r="285" spans="2:5" x14ac:dyDescent="0.3">
      <c r="B285" s="55">
        <v>44229</v>
      </c>
      <c r="C285" s="54">
        <v>2869.1</v>
      </c>
      <c r="D285" s="56">
        <f t="shared" si="7"/>
        <v>0.25050667945169658</v>
      </c>
      <c r="E285" s="64">
        <v>2.0305832147937464E-2</v>
      </c>
    </row>
    <row r="286" spans="2:5" x14ac:dyDescent="0.3">
      <c r="B286" s="55">
        <v>43867</v>
      </c>
      <c r="C286" s="54">
        <v>2294.35</v>
      </c>
      <c r="D286" s="56">
        <f t="shared" si="7"/>
        <v>0.60888468146278174</v>
      </c>
      <c r="E286" s="64">
        <v>2.0209880385966494E-2</v>
      </c>
    </row>
    <row r="287" spans="2:5" x14ac:dyDescent="0.3">
      <c r="B287" s="55">
        <v>43647</v>
      </c>
      <c r="C287" s="54">
        <v>1426.05</v>
      </c>
      <c r="D287" s="56">
        <f t="shared" si="7"/>
        <v>-0.25519024364766407</v>
      </c>
      <c r="E287" s="64">
        <v>2.0137348880463479E-2</v>
      </c>
    </row>
    <row r="288" spans="2:5" x14ac:dyDescent="0.3">
      <c r="B288" s="55">
        <v>43843</v>
      </c>
      <c r="C288" s="54">
        <v>1914.65</v>
      </c>
      <c r="D288" s="56">
        <f t="shared" si="7"/>
        <v>-0.1514016620498615</v>
      </c>
      <c r="E288" s="64">
        <v>2.0085777458110243E-2</v>
      </c>
    </row>
    <row r="289" spans="2:5" x14ac:dyDescent="0.3">
      <c r="B289" s="55">
        <v>43941</v>
      </c>
      <c r="C289" s="54">
        <v>2256.25</v>
      </c>
      <c r="D289" s="56">
        <f t="shared" si="7"/>
        <v>-0.43742130131777435</v>
      </c>
      <c r="E289" s="64">
        <v>1.9958410560101392E-2</v>
      </c>
    </row>
    <row r="290" spans="2:5" x14ac:dyDescent="0.3">
      <c r="B290" s="55">
        <v>45369</v>
      </c>
      <c r="C290" s="54">
        <v>4010.55</v>
      </c>
      <c r="D290" s="56">
        <f t="shared" si="7"/>
        <v>9.4477874657169725E-2</v>
      </c>
      <c r="E290" s="64">
        <v>1.9951171129930723E-2</v>
      </c>
    </row>
    <row r="291" spans="2:5" x14ac:dyDescent="0.3">
      <c r="B291" s="55">
        <v>45167</v>
      </c>
      <c r="C291" s="54">
        <v>3664.35</v>
      </c>
      <c r="D291" s="56">
        <f t="shared" si="7"/>
        <v>-7.085805568233694E-2</v>
      </c>
      <c r="E291" s="64">
        <v>1.9886442706448682E-2</v>
      </c>
    </row>
    <row r="292" spans="2:5" x14ac:dyDescent="0.3">
      <c r="B292" s="55">
        <v>44686</v>
      </c>
      <c r="C292" s="54">
        <v>3943.8</v>
      </c>
      <c r="D292" s="56">
        <f t="shared" si="7"/>
        <v>2.8263023413463984E-2</v>
      </c>
      <c r="E292" s="64">
        <v>1.9820798262286221E-2</v>
      </c>
    </row>
    <row r="293" spans="2:5" x14ac:dyDescent="0.3">
      <c r="B293" s="55">
        <v>46086</v>
      </c>
      <c r="C293" s="54">
        <v>3835.4</v>
      </c>
      <c r="D293" s="56">
        <f t="shared" si="7"/>
        <v>-0.20075852296407437</v>
      </c>
      <c r="E293" s="64">
        <v>1.9809088250152929E-2</v>
      </c>
    </row>
    <row r="294" spans="2:5" x14ac:dyDescent="0.3">
      <c r="B294" s="55">
        <v>45434</v>
      </c>
      <c r="C294" s="54">
        <v>4798.8</v>
      </c>
      <c r="D294" s="56">
        <f t="shared" si="7"/>
        <v>0.41253348247137422</v>
      </c>
      <c r="E294" s="64">
        <v>1.974117597059033E-2</v>
      </c>
    </row>
    <row r="295" spans="2:5" x14ac:dyDescent="0.3">
      <c r="B295" s="55">
        <v>44397</v>
      </c>
      <c r="C295" s="54">
        <v>3397.3</v>
      </c>
      <c r="D295" s="56">
        <f t="shared" si="7"/>
        <v>-0.16777717897212274</v>
      </c>
      <c r="E295" s="64">
        <v>1.9720254532356929E-2</v>
      </c>
    </row>
    <row r="296" spans="2:5" x14ac:dyDescent="0.3">
      <c r="B296" s="55">
        <v>44652</v>
      </c>
      <c r="C296" s="54">
        <v>4082.2</v>
      </c>
      <c r="D296" s="56">
        <f t="shared" si="7"/>
        <v>-3.097775773257061E-2</v>
      </c>
      <c r="E296" s="64">
        <v>1.9696004596150729E-2</v>
      </c>
    </row>
    <row r="297" spans="2:5" x14ac:dyDescent="0.3">
      <c r="B297" s="55">
        <v>45762</v>
      </c>
      <c r="C297" s="54">
        <v>4212.7</v>
      </c>
      <c r="D297" s="56">
        <f t="shared" si="7"/>
        <v>0.12750582126702881</v>
      </c>
      <c r="E297" s="64">
        <v>1.9653878736536345E-2</v>
      </c>
    </row>
    <row r="298" spans="2:5" x14ac:dyDescent="0.3">
      <c r="B298" s="55">
        <v>45168</v>
      </c>
      <c r="C298" s="54">
        <v>3736.3</v>
      </c>
      <c r="D298" s="56">
        <f t="shared" si="7"/>
        <v>1.8079813617916733</v>
      </c>
      <c r="E298" s="64">
        <v>1.9635133106826741E-2</v>
      </c>
    </row>
    <row r="299" spans="2:5" x14ac:dyDescent="0.3">
      <c r="B299" s="55">
        <v>43630</v>
      </c>
      <c r="C299" s="54">
        <v>1330.6</v>
      </c>
      <c r="D299" s="56">
        <f t="shared" si="7"/>
        <v>-0.64427691114942998</v>
      </c>
      <c r="E299" s="64">
        <v>1.9616858237547774E-2</v>
      </c>
    </row>
    <row r="300" spans="2:5" x14ac:dyDescent="0.3">
      <c r="B300" s="55">
        <v>45224</v>
      </c>
      <c r="C300" s="54">
        <v>3740.55</v>
      </c>
      <c r="D300" s="56">
        <f t="shared" si="7"/>
        <v>2.1648616634233013</v>
      </c>
      <c r="E300" s="64">
        <v>1.951512012973744E-2</v>
      </c>
    </row>
    <row r="301" spans="2:5" x14ac:dyDescent="0.3">
      <c r="B301" s="55">
        <v>43129</v>
      </c>
      <c r="C301" s="54">
        <v>1181.9000000000001</v>
      </c>
      <c r="D301" s="56">
        <f t="shared" si="7"/>
        <v>-0.6598359476183624</v>
      </c>
      <c r="E301" s="64">
        <v>1.9494522556715355E-2</v>
      </c>
    </row>
    <row r="302" spans="2:5" x14ac:dyDescent="0.3">
      <c r="B302" s="55">
        <v>45721</v>
      </c>
      <c r="C302" s="54">
        <v>3474.5</v>
      </c>
      <c r="D302" s="56">
        <f t="shared" si="7"/>
        <v>-0.16347658601179726</v>
      </c>
      <c r="E302" s="64">
        <v>1.9393263701443564E-2</v>
      </c>
    </row>
    <row r="303" spans="2:5" x14ac:dyDescent="0.3">
      <c r="B303" s="55">
        <v>45813</v>
      </c>
      <c r="C303" s="54">
        <v>4153.5</v>
      </c>
      <c r="D303" s="56">
        <f t="shared" si="7"/>
        <v>2.8081335627034187E-2</v>
      </c>
      <c r="E303" s="64">
        <v>1.9388882071419866E-2</v>
      </c>
    </row>
    <row r="304" spans="2:5" x14ac:dyDescent="0.3">
      <c r="B304" s="55">
        <v>44767</v>
      </c>
      <c r="C304" s="54">
        <v>4040.05</v>
      </c>
      <c r="D304" s="56">
        <f t="shared" si="7"/>
        <v>0.15372313843078467</v>
      </c>
      <c r="E304" s="64">
        <v>1.9339456022606782E-2</v>
      </c>
    </row>
    <row r="305" spans="2:5" x14ac:dyDescent="0.3">
      <c r="B305" s="55">
        <v>45072</v>
      </c>
      <c r="C305" s="54">
        <v>3501.75</v>
      </c>
      <c r="D305" s="56">
        <f t="shared" si="7"/>
        <v>-0.19213998984912106</v>
      </c>
      <c r="E305" s="64">
        <v>1.9328452704964638E-2</v>
      </c>
    </row>
    <row r="306" spans="2:5" x14ac:dyDescent="0.3">
      <c r="B306" s="55">
        <v>45882</v>
      </c>
      <c r="C306" s="54">
        <v>4334.6000000000004</v>
      </c>
      <c r="D306" s="56">
        <f t="shared" si="7"/>
        <v>-0.11717142915334311</v>
      </c>
      <c r="E306" s="64">
        <v>1.9306290417401506E-2</v>
      </c>
    </row>
    <row r="307" spans="2:5" x14ac:dyDescent="0.3">
      <c r="B307" s="55">
        <v>45510</v>
      </c>
      <c r="C307" s="54">
        <v>4909.8999999999996</v>
      </c>
      <c r="D307" s="56">
        <f t="shared" si="7"/>
        <v>2.250297894876208</v>
      </c>
      <c r="E307" s="64">
        <v>1.9190650655429797E-2</v>
      </c>
    </row>
    <row r="308" spans="2:5" x14ac:dyDescent="0.3">
      <c r="B308" s="55">
        <v>43536</v>
      </c>
      <c r="C308" s="54">
        <v>1510.6</v>
      </c>
      <c r="D308" s="56">
        <f t="shared" si="7"/>
        <v>-0.20327004219409284</v>
      </c>
      <c r="E308" s="64">
        <v>1.9160707057077175E-2</v>
      </c>
    </row>
    <row r="309" spans="2:5" x14ac:dyDescent="0.3">
      <c r="B309" s="55">
        <v>43739</v>
      </c>
      <c r="C309" s="54">
        <v>1896</v>
      </c>
      <c r="D309" s="56">
        <f t="shared" si="7"/>
        <v>-0.6035919254853177</v>
      </c>
      <c r="E309" s="64">
        <v>1.9026120606256081E-2</v>
      </c>
    </row>
    <row r="310" spans="2:5" x14ac:dyDescent="0.3">
      <c r="B310" s="55">
        <v>44532</v>
      </c>
      <c r="C310" s="54">
        <v>4782.95</v>
      </c>
      <c r="D310" s="56">
        <f t="shared" si="7"/>
        <v>0.65003277331217446</v>
      </c>
      <c r="E310" s="64">
        <v>1.9014849692140512E-2</v>
      </c>
    </row>
    <row r="311" spans="2:5" x14ac:dyDescent="0.3">
      <c r="B311" s="55">
        <v>44333</v>
      </c>
      <c r="C311" s="54">
        <v>2898.7</v>
      </c>
      <c r="D311" s="56">
        <f t="shared" si="7"/>
        <v>-0.18127383137974873</v>
      </c>
      <c r="E311" s="64">
        <v>1.9000580036208303E-2</v>
      </c>
    </row>
    <row r="312" spans="2:5" x14ac:dyDescent="0.3">
      <c r="B312" s="55">
        <v>45722</v>
      </c>
      <c r="C312" s="54">
        <v>3540.5</v>
      </c>
      <c r="D312" s="56">
        <f t="shared" si="7"/>
        <v>0.1097876341979469</v>
      </c>
      <c r="E312" s="64">
        <v>1.8995538926464217E-2</v>
      </c>
    </row>
    <row r="313" spans="2:5" x14ac:dyDescent="0.3">
      <c r="B313" s="55">
        <v>44244</v>
      </c>
      <c r="C313" s="54">
        <v>3190.25</v>
      </c>
      <c r="D313" s="56">
        <f t="shared" si="7"/>
        <v>-5.4404529017724856E-2</v>
      </c>
      <c r="E313" s="64">
        <v>1.8972483510867777E-2</v>
      </c>
    </row>
    <row r="314" spans="2:5" x14ac:dyDescent="0.3">
      <c r="B314" s="55">
        <v>44369</v>
      </c>
      <c r="C314" s="54">
        <v>3373.8</v>
      </c>
      <c r="D314" s="56">
        <f t="shared" si="7"/>
        <v>-0.14280269827356218</v>
      </c>
      <c r="E314" s="64">
        <v>1.8967079432195666E-2</v>
      </c>
    </row>
    <row r="315" spans="2:5" x14ac:dyDescent="0.3">
      <c r="B315" s="55">
        <v>45212</v>
      </c>
      <c r="C315" s="54">
        <v>3935.85</v>
      </c>
      <c r="D315" s="56">
        <f t="shared" si="7"/>
        <v>-4.8922936893203151E-3</v>
      </c>
      <c r="E315" s="64">
        <v>1.8924341466571626E-2</v>
      </c>
    </row>
    <row r="316" spans="2:5" x14ac:dyDescent="0.3">
      <c r="B316" s="55">
        <v>44887</v>
      </c>
      <c r="C316" s="54">
        <v>3955.2</v>
      </c>
      <c r="D316" s="56">
        <f t="shared" si="7"/>
        <v>0.3579153362859202</v>
      </c>
      <c r="E316" s="64">
        <v>1.8777528784483355E-2</v>
      </c>
    </row>
    <row r="317" spans="2:5" x14ac:dyDescent="0.3">
      <c r="B317" s="55">
        <v>44287</v>
      </c>
      <c r="C317" s="54">
        <v>2912.7</v>
      </c>
      <c r="D317" s="56">
        <f t="shared" si="7"/>
        <v>-7.1412745215005957E-3</v>
      </c>
      <c r="E317" s="64">
        <v>1.8764974379601451E-2</v>
      </c>
    </row>
    <row r="318" spans="2:5" x14ac:dyDescent="0.3">
      <c r="B318" s="55">
        <v>44278</v>
      </c>
      <c r="C318" s="54">
        <v>2933.65</v>
      </c>
      <c r="D318" s="56">
        <f t="shared" si="7"/>
        <v>-0.21225262479525253</v>
      </c>
      <c r="E318" s="64">
        <v>1.8593104406097183E-2</v>
      </c>
    </row>
    <row r="319" spans="2:5" x14ac:dyDescent="0.3">
      <c r="B319" s="55">
        <v>46044</v>
      </c>
      <c r="C319" s="54">
        <v>3724.1</v>
      </c>
      <c r="D319" s="56">
        <f t="shared" si="7"/>
        <v>-0.27805833147554015</v>
      </c>
      <c r="E319" s="64">
        <v>1.8431919490250692E-2</v>
      </c>
    </row>
    <row r="320" spans="2:5" x14ac:dyDescent="0.3">
      <c r="B320" s="55">
        <v>45497</v>
      </c>
      <c r="C320" s="54">
        <v>5158.45</v>
      </c>
      <c r="D320" s="56">
        <f t="shared" si="7"/>
        <v>2.4669332616439275</v>
      </c>
      <c r="E320" s="64">
        <v>1.8399881545826835E-2</v>
      </c>
    </row>
    <row r="321" spans="2:5" x14ac:dyDescent="0.3">
      <c r="B321" s="55">
        <v>43518</v>
      </c>
      <c r="C321" s="54">
        <v>1487.9</v>
      </c>
      <c r="D321" s="56">
        <f t="shared" si="7"/>
        <v>-0.66582068098104386</v>
      </c>
      <c r="E321" s="64">
        <v>1.8377194483419457E-2</v>
      </c>
    </row>
    <row r="322" spans="2:5" x14ac:dyDescent="0.3">
      <c r="B322" s="55">
        <v>45839</v>
      </c>
      <c r="C322" s="54">
        <v>4452.3999999999996</v>
      </c>
      <c r="D322" s="56">
        <f t="shared" si="7"/>
        <v>0.10220197794308761</v>
      </c>
      <c r="E322" s="64">
        <v>1.8319877410058583E-2</v>
      </c>
    </row>
    <row r="323" spans="2:5" x14ac:dyDescent="0.3">
      <c r="B323" s="55">
        <v>45265</v>
      </c>
      <c r="C323" s="54">
        <v>4039.55</v>
      </c>
      <c r="D323" s="56">
        <f t="shared" si="7"/>
        <v>4.5499759565844613</v>
      </c>
      <c r="E323" s="64">
        <v>1.8262710796299597E-2</v>
      </c>
    </row>
    <row r="324" spans="2:5" x14ac:dyDescent="0.3">
      <c r="B324" s="55">
        <v>42885</v>
      </c>
      <c r="C324" s="54">
        <v>727.85</v>
      </c>
      <c r="D324" s="56">
        <f t="shared" ref="D324:D387" si="8">C324/C325-1</f>
        <v>-0.79590606379249906</v>
      </c>
      <c r="E324" s="64">
        <v>1.8256855064353816E-2</v>
      </c>
    </row>
    <row r="325" spans="2:5" x14ac:dyDescent="0.3">
      <c r="B325" s="55">
        <v>44411</v>
      </c>
      <c r="C325" s="54">
        <v>3566.25</v>
      </c>
      <c r="D325" s="56">
        <f t="shared" si="8"/>
        <v>1.2456079591965241</v>
      </c>
      <c r="E325" s="64">
        <v>1.8230356327090025E-2</v>
      </c>
    </row>
    <row r="326" spans="2:5" x14ac:dyDescent="0.3">
      <c r="B326" s="55">
        <v>43339</v>
      </c>
      <c r="C326" s="54">
        <v>1588.1</v>
      </c>
      <c r="D326" s="56">
        <f t="shared" si="8"/>
        <v>-0.66480930369995139</v>
      </c>
      <c r="E326" s="64">
        <v>1.8208629864717496E-2</v>
      </c>
    </row>
    <row r="327" spans="2:5" x14ac:dyDescent="0.3">
      <c r="B327" s="55">
        <v>45889</v>
      </c>
      <c r="C327" s="54">
        <v>4737.8999999999996</v>
      </c>
      <c r="D327" s="56">
        <f t="shared" si="8"/>
        <v>0.33627594765342961</v>
      </c>
      <c r="E327" s="64">
        <v>1.8202527293045501E-2</v>
      </c>
    </row>
    <row r="328" spans="2:5" x14ac:dyDescent="0.3">
      <c r="B328" s="55">
        <v>44972</v>
      </c>
      <c r="C328" s="54">
        <v>3545.6</v>
      </c>
      <c r="D328" s="56">
        <f t="shared" si="8"/>
        <v>-0.11395441823270691</v>
      </c>
      <c r="E328" s="64">
        <v>1.8060700031584664E-2</v>
      </c>
    </row>
    <row r="329" spans="2:5" x14ac:dyDescent="0.3">
      <c r="B329" s="55">
        <v>45597</v>
      </c>
      <c r="C329" s="54">
        <v>4001.6</v>
      </c>
      <c r="D329" s="56">
        <f t="shared" si="8"/>
        <v>2.2864665209667345E-2</v>
      </c>
      <c r="E329" s="64">
        <v>1.8037499681990532E-2</v>
      </c>
    </row>
    <row r="330" spans="2:5" x14ac:dyDescent="0.3">
      <c r="B330" s="55">
        <v>45258</v>
      </c>
      <c r="C330" s="54">
        <v>3912.15</v>
      </c>
      <c r="D330" s="56">
        <f t="shared" si="8"/>
        <v>-0.11097602545165319</v>
      </c>
      <c r="E330" s="64">
        <v>1.8020245127377654E-2</v>
      </c>
    </row>
    <row r="331" spans="2:5" x14ac:dyDescent="0.3">
      <c r="B331" s="55">
        <v>44578</v>
      </c>
      <c r="C331" s="54">
        <v>4400.5</v>
      </c>
      <c r="D331" s="56">
        <f t="shared" si="8"/>
        <v>1.7591936545756655</v>
      </c>
      <c r="E331" s="64">
        <v>1.7998010502695116E-2</v>
      </c>
    </row>
    <row r="332" spans="2:5" x14ac:dyDescent="0.3">
      <c r="B332" s="55">
        <v>43311</v>
      </c>
      <c r="C332" s="54">
        <v>1594.85</v>
      </c>
      <c r="D332" s="56">
        <f t="shared" si="8"/>
        <v>-0.59303631120977829</v>
      </c>
      <c r="E332" s="64">
        <v>1.796770281483373E-2</v>
      </c>
    </row>
    <row r="333" spans="2:5" x14ac:dyDescent="0.3">
      <c r="B333" s="55">
        <v>45351</v>
      </c>
      <c r="C333" s="54">
        <v>3918.9</v>
      </c>
      <c r="D333" s="56">
        <f t="shared" si="8"/>
        <v>-0.17321912678403772</v>
      </c>
      <c r="E333" s="64">
        <v>1.7896103896103854E-2</v>
      </c>
    </row>
    <row r="334" spans="2:5" x14ac:dyDescent="0.3">
      <c r="B334" s="55">
        <v>45457</v>
      </c>
      <c r="C334" s="54">
        <v>4739.95</v>
      </c>
      <c r="D334" s="56">
        <f t="shared" si="8"/>
        <v>5.3376788340687256</v>
      </c>
      <c r="E334" s="64">
        <v>1.7888396164624787E-2</v>
      </c>
    </row>
    <row r="335" spans="2:5" x14ac:dyDescent="0.3">
      <c r="B335" s="55">
        <v>42851</v>
      </c>
      <c r="C335" s="54">
        <v>747.9</v>
      </c>
      <c r="D335" s="56">
        <f t="shared" si="8"/>
        <v>-0.84589231625146821</v>
      </c>
      <c r="E335" s="64">
        <v>1.7827980402830734E-2</v>
      </c>
    </row>
    <row r="336" spans="2:5" x14ac:dyDescent="0.3">
      <c r="B336" s="55">
        <v>45478</v>
      </c>
      <c r="C336" s="54">
        <v>4853.1000000000004</v>
      </c>
      <c r="D336" s="56">
        <f t="shared" si="8"/>
        <v>2.4357013911012002</v>
      </c>
      <c r="E336" s="64">
        <v>1.7826807323671812E-2</v>
      </c>
    </row>
    <row r="337" spans="2:5" x14ac:dyDescent="0.3">
      <c r="B337" s="55">
        <v>43423</v>
      </c>
      <c r="C337" s="54">
        <v>1412.55</v>
      </c>
      <c r="D337" s="56">
        <f t="shared" si="8"/>
        <v>-0.73800183624071447</v>
      </c>
      <c r="E337" s="64">
        <v>1.7760645579652623E-2</v>
      </c>
    </row>
    <row r="338" spans="2:5" x14ac:dyDescent="0.3">
      <c r="B338" s="55">
        <v>45559</v>
      </c>
      <c r="C338" s="54">
        <v>5391.45</v>
      </c>
      <c r="D338" s="56">
        <f t="shared" si="8"/>
        <v>0.44322349225044833</v>
      </c>
      <c r="E338" s="64">
        <v>1.7744386450084582E-2</v>
      </c>
    </row>
    <row r="339" spans="2:5" x14ac:dyDescent="0.3">
      <c r="B339" s="55">
        <v>46050</v>
      </c>
      <c r="C339" s="54">
        <v>3735.7</v>
      </c>
      <c r="D339" s="56">
        <f t="shared" si="8"/>
        <v>-8.0940782837601755E-2</v>
      </c>
      <c r="E339" s="64">
        <v>1.7735520078461242E-2</v>
      </c>
    </row>
    <row r="340" spans="2:5" x14ac:dyDescent="0.3">
      <c r="B340" s="55">
        <v>46209</v>
      </c>
      <c r="C340" s="54">
        <v>4064.7</v>
      </c>
      <c r="D340" s="56">
        <f t="shared" si="8"/>
        <v>1.120233686297011</v>
      </c>
      <c r="E340" s="64">
        <v>1.7599639495293307E-2</v>
      </c>
    </row>
    <row r="341" spans="2:5" x14ac:dyDescent="0.3">
      <c r="B341" s="55">
        <v>43765</v>
      </c>
      <c r="C341" s="54">
        <v>1917.1</v>
      </c>
      <c r="D341" s="56">
        <f t="shared" si="8"/>
        <v>-0.54010938924339114</v>
      </c>
      <c r="E341" s="64">
        <v>1.7596008386634443E-2</v>
      </c>
    </row>
    <row r="342" spans="2:5" x14ac:dyDescent="0.3">
      <c r="B342" s="55">
        <v>44630</v>
      </c>
      <c r="C342" s="54">
        <v>4168.6000000000004</v>
      </c>
      <c r="D342" s="56">
        <f t="shared" si="8"/>
        <v>2.9666952136264153</v>
      </c>
      <c r="E342" s="64">
        <v>1.7550711548319553E-2</v>
      </c>
    </row>
    <row r="343" spans="2:5" x14ac:dyDescent="0.3">
      <c r="B343" s="55">
        <v>42977</v>
      </c>
      <c r="C343" s="54">
        <v>1050.9000000000001</v>
      </c>
      <c r="D343" s="56">
        <f t="shared" si="8"/>
        <v>-0.51553568135718231</v>
      </c>
      <c r="E343" s="64">
        <v>1.7475916154330529E-2</v>
      </c>
    </row>
    <row r="344" spans="2:5" x14ac:dyDescent="0.3">
      <c r="B344" s="55">
        <v>44055</v>
      </c>
      <c r="C344" s="54">
        <v>2169.1999999999998</v>
      </c>
      <c r="D344" s="56">
        <f t="shared" si="8"/>
        <v>-1.717185446966607E-2</v>
      </c>
      <c r="E344" s="64">
        <v>1.7472267173245237E-2</v>
      </c>
    </row>
    <row r="345" spans="2:5" x14ac:dyDescent="0.3">
      <c r="B345" s="55">
        <v>44056</v>
      </c>
      <c r="C345" s="54">
        <v>2207.1</v>
      </c>
      <c r="D345" s="56">
        <f t="shared" si="8"/>
        <v>0.52224291330436556</v>
      </c>
      <c r="E345" s="64">
        <v>1.7471879033745141E-2</v>
      </c>
    </row>
    <row r="346" spans="2:5" x14ac:dyDescent="0.3">
      <c r="B346" s="55">
        <v>43675</v>
      </c>
      <c r="C346" s="54">
        <v>1449.9</v>
      </c>
      <c r="D346" s="56">
        <f t="shared" si="8"/>
        <v>-0.6376110673714992</v>
      </c>
      <c r="E346" s="64">
        <v>1.7437984632118209E-2</v>
      </c>
    </row>
    <row r="347" spans="2:5" x14ac:dyDescent="0.3">
      <c r="B347" s="55">
        <v>44769</v>
      </c>
      <c r="C347" s="54">
        <v>4000.95</v>
      </c>
      <c r="D347" s="56">
        <f t="shared" si="8"/>
        <v>1.0250797185807561</v>
      </c>
      <c r="E347" s="64">
        <v>1.7432102532804361E-2</v>
      </c>
    </row>
    <row r="348" spans="2:5" x14ac:dyDescent="0.3">
      <c r="B348" s="55">
        <v>43768</v>
      </c>
      <c r="C348" s="54">
        <v>1975.7</v>
      </c>
      <c r="D348" s="56">
        <f t="shared" si="8"/>
        <v>5.6241646618551133E-2</v>
      </c>
      <c r="E348" s="64">
        <v>1.7300859893929266E-2</v>
      </c>
    </row>
    <row r="349" spans="2:5" x14ac:dyDescent="0.3">
      <c r="B349" s="55">
        <v>43754</v>
      </c>
      <c r="C349" s="54">
        <v>1870.5</v>
      </c>
      <c r="D349" s="56">
        <f t="shared" si="8"/>
        <v>1.0888938522530571</v>
      </c>
      <c r="E349" s="64">
        <v>1.7294827867515128E-2</v>
      </c>
    </row>
    <row r="350" spans="2:5" x14ac:dyDescent="0.3">
      <c r="B350" s="55">
        <v>42923</v>
      </c>
      <c r="C350" s="54">
        <v>895.45</v>
      </c>
      <c r="D350" s="56">
        <f t="shared" si="8"/>
        <v>-0.66617581270504034</v>
      </c>
      <c r="E350" s="64">
        <v>1.7210042031125861E-2</v>
      </c>
    </row>
    <row r="351" spans="2:5" x14ac:dyDescent="0.3">
      <c r="B351" s="55">
        <v>44186</v>
      </c>
      <c r="C351" s="54">
        <v>2682.4</v>
      </c>
      <c r="D351" s="56">
        <f t="shared" si="8"/>
        <v>0.78019644279267331</v>
      </c>
      <c r="E351" s="64">
        <v>1.7197246923645659E-2</v>
      </c>
    </row>
    <row r="352" spans="2:5" x14ac:dyDescent="0.3">
      <c r="B352" s="55">
        <v>43207</v>
      </c>
      <c r="C352" s="54">
        <v>1506.8</v>
      </c>
      <c r="D352" s="56">
        <f t="shared" si="8"/>
        <v>-0.60594688599186686</v>
      </c>
      <c r="E352" s="64">
        <v>1.7145943026866339E-2</v>
      </c>
    </row>
    <row r="353" spans="2:5" x14ac:dyDescent="0.3">
      <c r="B353" s="55">
        <v>45610</v>
      </c>
      <c r="C353" s="54">
        <v>3823.85</v>
      </c>
      <c r="D353" s="56">
        <f t="shared" si="8"/>
        <v>-3.3111661778092549E-2</v>
      </c>
      <c r="E353" s="64">
        <v>1.7103110744636885E-2</v>
      </c>
    </row>
    <row r="354" spans="2:5" x14ac:dyDescent="0.3">
      <c r="B354" s="55">
        <v>44439</v>
      </c>
      <c r="C354" s="54">
        <v>3954.8</v>
      </c>
      <c r="D354" s="56">
        <f t="shared" si="8"/>
        <v>1.4775567736883319</v>
      </c>
      <c r="E354" s="64">
        <v>1.708951097509237E-2</v>
      </c>
    </row>
    <row r="355" spans="2:5" x14ac:dyDescent="0.3">
      <c r="B355" s="55">
        <v>43724</v>
      </c>
      <c r="C355" s="54">
        <v>1596.25</v>
      </c>
      <c r="D355" s="56">
        <f t="shared" si="8"/>
        <v>0.19310112863442708</v>
      </c>
      <c r="E355" s="64">
        <v>1.7011245261380648E-2</v>
      </c>
    </row>
    <row r="356" spans="2:5" x14ac:dyDescent="0.3">
      <c r="B356" s="55">
        <v>43172</v>
      </c>
      <c r="C356" s="54">
        <v>1337.9</v>
      </c>
      <c r="D356" s="56">
        <f t="shared" si="8"/>
        <v>-0.69814087811921843</v>
      </c>
      <c r="E356" s="64">
        <v>1.6911792650020852E-2</v>
      </c>
    </row>
    <row r="357" spans="2:5" x14ac:dyDescent="0.3">
      <c r="B357" s="55">
        <v>46148</v>
      </c>
      <c r="C357" s="54">
        <v>4432.2</v>
      </c>
      <c r="D357" s="56">
        <f t="shared" si="8"/>
        <v>-6.8572029000735557E-2</v>
      </c>
      <c r="E357" s="64">
        <v>1.6862826071993853E-2</v>
      </c>
    </row>
    <row r="358" spans="2:5" x14ac:dyDescent="0.3">
      <c r="B358" s="55">
        <v>45903</v>
      </c>
      <c r="C358" s="54">
        <v>4758.5</v>
      </c>
      <c r="D358" s="56">
        <f t="shared" si="8"/>
        <v>0.99630818282885492</v>
      </c>
      <c r="E358" s="64">
        <v>1.6773504273504214E-2</v>
      </c>
    </row>
    <row r="359" spans="2:5" x14ac:dyDescent="0.3">
      <c r="B359" s="55">
        <v>43951</v>
      </c>
      <c r="C359" s="54">
        <v>2383.65</v>
      </c>
      <c r="D359" s="56">
        <f t="shared" si="8"/>
        <v>1.1892450404114623</v>
      </c>
      <c r="E359" s="64">
        <v>1.6763708490626472E-2</v>
      </c>
    </row>
    <row r="360" spans="2:5" x14ac:dyDescent="0.3">
      <c r="B360" s="55">
        <v>42989</v>
      </c>
      <c r="C360" s="54">
        <v>1088.8</v>
      </c>
      <c r="D360" s="56">
        <f t="shared" si="8"/>
        <v>-0.48509139060320172</v>
      </c>
      <c r="E360" s="64">
        <v>1.676238502124483E-2</v>
      </c>
    </row>
    <row r="361" spans="2:5" x14ac:dyDescent="0.3">
      <c r="B361" s="55">
        <v>43920</v>
      </c>
      <c r="C361" s="54">
        <v>2114.5500000000002</v>
      </c>
      <c r="D361" s="56">
        <f t="shared" si="8"/>
        <v>-0.42448696314844037</v>
      </c>
      <c r="E361" s="64">
        <v>1.6757224599702081E-2</v>
      </c>
    </row>
    <row r="362" spans="2:5" x14ac:dyDescent="0.3">
      <c r="B362" s="55">
        <v>46055</v>
      </c>
      <c r="C362" s="54">
        <v>3674.2</v>
      </c>
      <c r="D362" s="56">
        <f t="shared" si="8"/>
        <v>0.56725744875978412</v>
      </c>
      <c r="E362" s="64">
        <v>1.67418435398623E-2</v>
      </c>
    </row>
    <row r="363" spans="2:5" x14ac:dyDescent="0.3">
      <c r="B363" s="55">
        <v>43950</v>
      </c>
      <c r="C363" s="54">
        <v>2344.35</v>
      </c>
      <c r="D363" s="56">
        <f t="shared" si="8"/>
        <v>1.8657783754049264</v>
      </c>
      <c r="E363" s="64">
        <v>1.6718709341660087E-2</v>
      </c>
    </row>
    <row r="364" spans="2:5" x14ac:dyDescent="0.3">
      <c r="B364" s="55">
        <v>42914</v>
      </c>
      <c r="C364" s="54">
        <v>818.05</v>
      </c>
      <c r="D364" s="56">
        <f t="shared" si="8"/>
        <v>-0.65361815641275345</v>
      </c>
      <c r="E364" s="64">
        <v>1.6716380810340548E-2</v>
      </c>
    </row>
    <row r="365" spans="2:5" x14ac:dyDescent="0.3">
      <c r="B365" s="55">
        <v>44019</v>
      </c>
      <c r="C365" s="54">
        <v>2361.6999999999998</v>
      </c>
      <c r="D365" s="56">
        <f t="shared" si="8"/>
        <v>-0.38167299384736231</v>
      </c>
      <c r="E365" s="64">
        <v>1.6659492036160017E-2</v>
      </c>
    </row>
    <row r="366" spans="2:5" x14ac:dyDescent="0.3">
      <c r="B366" s="55">
        <v>46010</v>
      </c>
      <c r="C366" s="54">
        <v>3819.5</v>
      </c>
      <c r="D366" s="56">
        <f t="shared" si="8"/>
        <v>-6.3735691987513166E-3</v>
      </c>
      <c r="E366" s="64">
        <v>1.6581496859363387E-2</v>
      </c>
    </row>
    <row r="367" spans="2:5" x14ac:dyDescent="0.3">
      <c r="B367" s="55">
        <v>46099</v>
      </c>
      <c r="C367" s="54">
        <v>3844</v>
      </c>
      <c r="D367" s="56">
        <f t="shared" si="8"/>
        <v>0.14197439172930104</v>
      </c>
      <c r="E367" s="64">
        <v>1.6554715184852187E-2</v>
      </c>
    </row>
    <row r="368" spans="2:5" x14ac:dyDescent="0.3">
      <c r="B368" s="55">
        <v>45005</v>
      </c>
      <c r="C368" s="54">
        <v>3366.1</v>
      </c>
      <c r="D368" s="56">
        <f t="shared" si="8"/>
        <v>0.164478577482573</v>
      </c>
      <c r="E368" s="64">
        <v>1.6549391477667319E-2</v>
      </c>
    </row>
    <row r="369" spans="2:5" x14ac:dyDescent="0.3">
      <c r="B369" s="55">
        <v>44293</v>
      </c>
      <c r="C369" s="54">
        <v>2890.65</v>
      </c>
      <c r="D369" s="56">
        <f t="shared" si="8"/>
        <v>-0.1954549249909544</v>
      </c>
      <c r="E369" s="64">
        <v>1.6528053733757764E-2</v>
      </c>
    </row>
    <row r="370" spans="2:5" x14ac:dyDescent="0.3">
      <c r="B370" s="55">
        <v>45166</v>
      </c>
      <c r="C370" s="54">
        <v>3592.9</v>
      </c>
      <c r="D370" s="56">
        <f t="shared" si="8"/>
        <v>1.6168244719592133</v>
      </c>
      <c r="E370" s="64">
        <v>1.6494087025406001E-2</v>
      </c>
    </row>
    <row r="371" spans="2:5" x14ac:dyDescent="0.3">
      <c r="B371" s="55">
        <v>43657</v>
      </c>
      <c r="C371" s="54">
        <v>1373</v>
      </c>
      <c r="D371" s="56">
        <f t="shared" si="8"/>
        <v>0.20185574229691872</v>
      </c>
      <c r="E371" s="64">
        <v>1.6434705359786861E-2</v>
      </c>
    </row>
    <row r="372" spans="2:5" x14ac:dyDescent="0.3">
      <c r="B372" s="55">
        <v>43076</v>
      </c>
      <c r="C372" s="54">
        <v>1142.4000000000001</v>
      </c>
      <c r="D372" s="56">
        <f t="shared" si="8"/>
        <v>-0.74658947228322359</v>
      </c>
      <c r="E372" s="64">
        <v>1.6415320966235214E-2</v>
      </c>
    </row>
    <row r="373" spans="2:5" x14ac:dyDescent="0.3">
      <c r="B373" s="55">
        <v>45770</v>
      </c>
      <c r="C373" s="54">
        <v>4508.1000000000004</v>
      </c>
      <c r="D373" s="56">
        <f t="shared" si="8"/>
        <v>6.0105820105820218E-2</v>
      </c>
      <c r="E373" s="64">
        <v>1.6345026602939905E-2</v>
      </c>
    </row>
    <row r="374" spans="2:5" x14ac:dyDescent="0.3">
      <c r="B374" s="55">
        <v>45881</v>
      </c>
      <c r="C374" s="54">
        <v>4252.5</v>
      </c>
      <c r="D374" s="56">
        <f t="shared" si="8"/>
        <v>0.14548540028014223</v>
      </c>
      <c r="E374" s="64">
        <v>1.6250448082208102E-2</v>
      </c>
    </row>
    <row r="375" spans="2:5" x14ac:dyDescent="0.3">
      <c r="B375" s="55">
        <v>45238</v>
      </c>
      <c r="C375" s="54">
        <v>3712.4</v>
      </c>
      <c r="D375" s="56">
        <f t="shared" si="8"/>
        <v>0.54454868839841053</v>
      </c>
      <c r="E375" s="64">
        <v>1.6177154901048318E-2</v>
      </c>
    </row>
    <row r="376" spans="2:5" x14ac:dyDescent="0.3">
      <c r="B376" s="55">
        <v>43998</v>
      </c>
      <c r="C376" s="54">
        <v>2403.5500000000002</v>
      </c>
      <c r="D376" s="56">
        <f t="shared" si="8"/>
        <v>-0.52672514792608127</v>
      </c>
      <c r="E376" s="64">
        <v>1.6171310193210164E-2</v>
      </c>
    </row>
    <row r="377" spans="2:5" x14ac:dyDescent="0.3">
      <c r="B377" s="55">
        <v>44512</v>
      </c>
      <c r="C377" s="54">
        <v>5078.55</v>
      </c>
      <c r="D377" s="56">
        <f t="shared" si="8"/>
        <v>0.42322081634368836</v>
      </c>
      <c r="E377" s="64">
        <v>1.6167275273873294E-2</v>
      </c>
    </row>
    <row r="378" spans="2:5" x14ac:dyDescent="0.3">
      <c r="B378" s="55">
        <v>45653</v>
      </c>
      <c r="C378" s="54">
        <v>3568.35</v>
      </c>
      <c r="D378" s="56">
        <f t="shared" si="8"/>
        <v>2.0059388425574931</v>
      </c>
      <c r="E378" s="64">
        <v>1.6146256033488404E-2</v>
      </c>
    </row>
    <row r="379" spans="2:5" x14ac:dyDescent="0.3">
      <c r="B379" s="55">
        <v>43398</v>
      </c>
      <c r="C379" s="54">
        <v>1187.0999999999999</v>
      </c>
      <c r="D379" s="56">
        <f t="shared" si="8"/>
        <v>-0.6887274824973123</v>
      </c>
      <c r="E379" s="64">
        <v>1.6135245024609279E-2</v>
      </c>
    </row>
    <row r="380" spans="2:5" x14ac:dyDescent="0.3">
      <c r="B380" s="55">
        <v>45182</v>
      </c>
      <c r="C380" s="54">
        <v>3813.7</v>
      </c>
      <c r="D380" s="56">
        <f t="shared" si="8"/>
        <v>0.31568143791075154</v>
      </c>
      <c r="E380" s="64">
        <v>1.6106041430759888E-2</v>
      </c>
    </row>
    <row r="381" spans="2:5" x14ac:dyDescent="0.3">
      <c r="B381" s="55">
        <v>44319</v>
      </c>
      <c r="C381" s="54">
        <v>2898.65</v>
      </c>
      <c r="D381" s="56">
        <f t="shared" si="8"/>
        <v>-0.32943530663705545</v>
      </c>
      <c r="E381" s="64">
        <v>1.6036313926180323E-2</v>
      </c>
    </row>
    <row r="382" spans="2:5" x14ac:dyDescent="0.3">
      <c r="B382" s="55">
        <v>44575</v>
      </c>
      <c r="C382" s="54">
        <v>4322.7</v>
      </c>
      <c r="D382" s="56">
        <f t="shared" si="8"/>
        <v>2.8533606703512211</v>
      </c>
      <c r="E382" s="64">
        <v>1.6006205048653133E-2</v>
      </c>
    </row>
    <row r="383" spans="2:5" x14ac:dyDescent="0.3">
      <c r="B383" s="55">
        <v>43084</v>
      </c>
      <c r="C383" s="54">
        <v>1121.8</v>
      </c>
      <c r="D383" s="56">
        <f t="shared" si="8"/>
        <v>-0.1439908431896223</v>
      </c>
      <c r="E383" s="64">
        <v>1.5939141459880402E-2</v>
      </c>
    </row>
    <row r="384" spans="2:5" x14ac:dyDescent="0.3">
      <c r="B384" s="55">
        <v>43613</v>
      </c>
      <c r="C384" s="54">
        <v>1310.5</v>
      </c>
      <c r="D384" s="56">
        <f t="shared" si="8"/>
        <v>-0.43157666449793974</v>
      </c>
      <c r="E384" s="64">
        <v>1.5930850032946919E-2</v>
      </c>
    </row>
    <row r="385" spans="2:5" x14ac:dyDescent="0.3">
      <c r="B385" s="55">
        <v>43983</v>
      </c>
      <c r="C385" s="54">
        <v>2305.5</v>
      </c>
      <c r="D385" s="56">
        <f t="shared" si="8"/>
        <v>-0.21488166184232926</v>
      </c>
      <c r="E385" s="64">
        <v>1.5929671491836883E-2</v>
      </c>
    </row>
    <row r="386" spans="2:5" x14ac:dyDescent="0.3">
      <c r="B386" s="55">
        <v>44294</v>
      </c>
      <c r="C386" s="54">
        <v>2936.5</v>
      </c>
      <c r="D386" s="56">
        <f t="shared" si="8"/>
        <v>-0.28646061136220047</v>
      </c>
      <c r="E386" s="64">
        <v>1.5861484441215712E-2</v>
      </c>
    </row>
    <row r="387" spans="2:5" x14ac:dyDescent="0.3">
      <c r="B387" s="55">
        <v>44609</v>
      </c>
      <c r="C387" s="54">
        <v>4115.3999999999996</v>
      </c>
      <c r="D387" s="56">
        <f t="shared" si="8"/>
        <v>7.5331190718820995E-2</v>
      </c>
      <c r="E387" s="64">
        <v>1.5859694160917259E-2</v>
      </c>
    </row>
    <row r="388" spans="2:5" x14ac:dyDescent="0.3">
      <c r="B388" s="55">
        <v>45118</v>
      </c>
      <c r="C388" s="54">
        <v>3827.1</v>
      </c>
      <c r="D388" s="56">
        <f t="shared" ref="D388:D451" si="9">C388/C389-1</f>
        <v>0.28967144060657124</v>
      </c>
      <c r="E388" s="64">
        <v>1.5765586432040735E-2</v>
      </c>
    </row>
    <row r="389" spans="2:5" x14ac:dyDescent="0.3">
      <c r="B389" s="55">
        <v>44204</v>
      </c>
      <c r="C389" s="54">
        <v>2967.5</v>
      </c>
      <c r="D389" s="56">
        <f t="shared" si="9"/>
        <v>1.0014163350644094</v>
      </c>
      <c r="E389" s="64">
        <v>1.5762720566841804E-2</v>
      </c>
    </row>
    <row r="390" spans="2:5" x14ac:dyDescent="0.3">
      <c r="B390" s="55">
        <v>43677</v>
      </c>
      <c r="C390" s="54">
        <v>1482.7</v>
      </c>
      <c r="D390" s="56">
        <f t="shared" si="9"/>
        <v>-0.6637601623711632</v>
      </c>
      <c r="E390" s="64">
        <v>1.5756662327875537E-2</v>
      </c>
    </row>
    <row r="391" spans="2:5" x14ac:dyDescent="0.3">
      <c r="B391" s="55">
        <v>44799</v>
      </c>
      <c r="C391" s="54">
        <v>4409.6499999999996</v>
      </c>
      <c r="D391" s="56">
        <f t="shared" si="9"/>
        <v>0.79061173938643314</v>
      </c>
      <c r="E391" s="64">
        <v>1.57558306939245E-2</v>
      </c>
    </row>
    <row r="392" spans="2:5" x14ac:dyDescent="0.3">
      <c r="B392" s="55">
        <v>43881</v>
      </c>
      <c r="C392" s="54">
        <v>2462.65</v>
      </c>
      <c r="D392" s="56">
        <f t="shared" si="9"/>
        <v>4.24356586522181E-2</v>
      </c>
      <c r="E392" s="64">
        <v>1.573520313466692E-2</v>
      </c>
    </row>
    <row r="393" spans="2:5" x14ac:dyDescent="0.3">
      <c r="B393" s="55">
        <v>44145</v>
      </c>
      <c r="C393" s="54">
        <v>2362.4</v>
      </c>
      <c r="D393" s="56">
        <f t="shared" si="9"/>
        <v>0.23459628952181877</v>
      </c>
      <c r="E393" s="64">
        <v>1.5714684953887836E-2</v>
      </c>
    </row>
    <row r="394" spans="2:5" x14ac:dyDescent="0.3">
      <c r="B394" s="55">
        <v>43817</v>
      </c>
      <c r="C394" s="54">
        <v>1913.5</v>
      </c>
      <c r="D394" s="56">
        <f t="shared" si="9"/>
        <v>0.59047460726456658</v>
      </c>
      <c r="E394" s="64">
        <v>1.5685129647814433E-2</v>
      </c>
    </row>
    <row r="395" spans="2:5" x14ac:dyDescent="0.3">
      <c r="B395" s="55">
        <v>43104</v>
      </c>
      <c r="C395" s="54">
        <v>1203.0999999999999</v>
      </c>
      <c r="D395" s="56">
        <f t="shared" si="9"/>
        <v>-0.60803414348081064</v>
      </c>
      <c r="E395" s="64">
        <v>1.5659955257270708E-2</v>
      </c>
    </row>
    <row r="396" spans="2:5" x14ac:dyDescent="0.3">
      <c r="B396" s="55">
        <v>44347</v>
      </c>
      <c r="C396" s="54">
        <v>3069.4</v>
      </c>
      <c r="D396" s="56">
        <f t="shared" si="9"/>
        <v>0.95360086560799417</v>
      </c>
      <c r="E396" s="64">
        <v>1.5651368253863263E-2</v>
      </c>
    </row>
    <row r="397" spans="2:5" x14ac:dyDescent="0.3">
      <c r="B397" s="55">
        <v>43707</v>
      </c>
      <c r="C397" s="54">
        <v>1571.15</v>
      </c>
      <c r="D397" s="56">
        <f t="shared" si="9"/>
        <v>-0.59200976382451076</v>
      </c>
      <c r="E397" s="64">
        <v>1.557803561617277E-2</v>
      </c>
    </row>
    <row r="398" spans="2:5" x14ac:dyDescent="0.3">
      <c r="B398" s="55">
        <v>44749</v>
      </c>
      <c r="C398" s="54">
        <v>3850.95</v>
      </c>
      <c r="D398" s="56">
        <f t="shared" si="9"/>
        <v>1.704508743591544</v>
      </c>
      <c r="E398" s="64">
        <v>1.5545886075949422E-2</v>
      </c>
    </row>
    <row r="399" spans="2:5" x14ac:dyDescent="0.3">
      <c r="B399" s="55">
        <v>43670</v>
      </c>
      <c r="C399" s="54">
        <v>1423.9</v>
      </c>
      <c r="D399" s="56">
        <f t="shared" si="9"/>
        <v>-0.63035266935787437</v>
      </c>
      <c r="E399" s="64">
        <v>1.5367062430919676E-2</v>
      </c>
    </row>
    <row r="400" spans="2:5" x14ac:dyDescent="0.3">
      <c r="B400" s="55">
        <v>45210</v>
      </c>
      <c r="C400" s="54">
        <v>3852.05</v>
      </c>
      <c r="D400" s="56">
        <f t="shared" si="9"/>
        <v>1.1045272623317892E-3</v>
      </c>
      <c r="E400" s="64">
        <v>1.5353998629342502E-2</v>
      </c>
    </row>
    <row r="401" spans="2:5" x14ac:dyDescent="0.3">
      <c r="B401" s="55">
        <v>44434</v>
      </c>
      <c r="C401" s="54">
        <v>3847.8</v>
      </c>
      <c r="D401" s="56">
        <f t="shared" si="9"/>
        <v>0.11190417708167777</v>
      </c>
      <c r="E401" s="64">
        <v>1.5331028841333083E-2</v>
      </c>
    </row>
    <row r="402" spans="2:5" x14ac:dyDescent="0.3">
      <c r="B402" s="55">
        <v>45649</v>
      </c>
      <c r="C402" s="54">
        <v>3460.55</v>
      </c>
      <c r="D402" s="56">
        <f t="shared" si="9"/>
        <v>2.0824834097893374</v>
      </c>
      <c r="E402" s="64">
        <v>1.5330223278467336E-2</v>
      </c>
    </row>
    <row r="403" spans="2:5" x14ac:dyDescent="0.3">
      <c r="B403" s="55">
        <v>43138</v>
      </c>
      <c r="C403" s="54">
        <v>1122.6500000000001</v>
      </c>
      <c r="D403" s="56">
        <f t="shared" si="9"/>
        <v>-5.4052915402763579E-2</v>
      </c>
      <c r="E403" s="64">
        <v>1.5329655421904675E-2</v>
      </c>
    </row>
    <row r="404" spans="2:5" x14ac:dyDescent="0.3">
      <c r="B404" s="55">
        <v>43151</v>
      </c>
      <c r="C404" s="54">
        <v>1186.8</v>
      </c>
      <c r="D404" s="56">
        <f t="shared" si="9"/>
        <v>0.47915498223967079</v>
      </c>
      <c r="E404" s="64">
        <v>1.5313542646932854E-2</v>
      </c>
    </row>
    <row r="405" spans="2:5" x14ac:dyDescent="0.3">
      <c r="B405" s="55">
        <v>42895</v>
      </c>
      <c r="C405" s="54">
        <v>802.35</v>
      </c>
      <c r="D405" s="56">
        <f t="shared" si="9"/>
        <v>-0.84203220979681836</v>
      </c>
      <c r="E405" s="64">
        <v>1.5311610249920893E-2</v>
      </c>
    </row>
    <row r="406" spans="2:5" x14ac:dyDescent="0.3">
      <c r="B406" s="55">
        <v>45524</v>
      </c>
      <c r="C406" s="54">
        <v>5079.2</v>
      </c>
      <c r="D406" s="56">
        <f t="shared" si="9"/>
        <v>0.26175630356477453</v>
      </c>
      <c r="E406" s="64">
        <v>1.5291742459072166E-2</v>
      </c>
    </row>
    <row r="407" spans="2:5" x14ac:dyDescent="0.3">
      <c r="B407" s="55">
        <v>44895</v>
      </c>
      <c r="C407" s="54">
        <v>4025.5</v>
      </c>
      <c r="D407" s="56">
        <f t="shared" si="9"/>
        <v>9.4897459609421864E-2</v>
      </c>
      <c r="E407" s="64">
        <v>1.5232907114574701E-2</v>
      </c>
    </row>
    <row r="408" spans="2:5" x14ac:dyDescent="0.3">
      <c r="B408" s="55">
        <v>45706</v>
      </c>
      <c r="C408" s="54">
        <v>3676.6</v>
      </c>
      <c r="D408" s="56">
        <f t="shared" si="9"/>
        <v>0.53306646651655409</v>
      </c>
      <c r="E408" s="64">
        <v>1.5214690045561197E-2</v>
      </c>
    </row>
    <row r="409" spans="2:5" x14ac:dyDescent="0.3">
      <c r="B409" s="55">
        <v>44146</v>
      </c>
      <c r="C409" s="54">
        <v>2398.1999999999998</v>
      </c>
      <c r="D409" s="56">
        <f t="shared" si="9"/>
        <v>-0.35472413932275904</v>
      </c>
      <c r="E409" s="64">
        <v>1.5154080596003983E-2</v>
      </c>
    </row>
    <row r="410" spans="2:5" x14ac:dyDescent="0.3">
      <c r="B410" s="55">
        <v>45624</v>
      </c>
      <c r="C410" s="54">
        <v>3716.55</v>
      </c>
      <c r="D410" s="56">
        <f t="shared" si="9"/>
        <v>-0.15573249131096523</v>
      </c>
      <c r="E410" s="64">
        <v>1.5104131102765539E-2</v>
      </c>
    </row>
    <row r="411" spans="2:5" x14ac:dyDescent="0.3">
      <c r="B411" s="55">
        <v>44789</v>
      </c>
      <c r="C411" s="54">
        <v>4402.1000000000004</v>
      </c>
      <c r="D411" s="56">
        <f t="shared" si="9"/>
        <v>4.0427317096229043E-2</v>
      </c>
      <c r="E411" s="64">
        <v>1.5080591232965235E-2</v>
      </c>
    </row>
    <row r="412" spans="2:5" x14ac:dyDescent="0.3">
      <c r="B412" s="55">
        <v>44635</v>
      </c>
      <c r="C412" s="54">
        <v>4231.05</v>
      </c>
      <c r="D412" s="56">
        <f t="shared" si="9"/>
        <v>-1.7782317504903888E-2</v>
      </c>
      <c r="E412" s="64">
        <v>1.5066274815570102E-2</v>
      </c>
    </row>
    <row r="413" spans="2:5" x14ac:dyDescent="0.3">
      <c r="B413" s="55">
        <v>44774</v>
      </c>
      <c r="C413" s="54">
        <v>4307.6499999999996</v>
      </c>
      <c r="D413" s="56">
        <f t="shared" si="9"/>
        <v>0.22667407059359546</v>
      </c>
      <c r="E413" s="64">
        <v>1.5033519092333414E-2</v>
      </c>
    </row>
    <row r="414" spans="2:5" x14ac:dyDescent="0.3">
      <c r="B414" s="55">
        <v>45652</v>
      </c>
      <c r="C414" s="54">
        <v>3511.65</v>
      </c>
      <c r="D414" s="56">
        <f t="shared" si="9"/>
        <v>2.029112395411024</v>
      </c>
      <c r="E414" s="64">
        <v>1.5030422152529921E-2</v>
      </c>
    </row>
    <row r="415" spans="2:5" x14ac:dyDescent="0.3">
      <c r="B415" s="55">
        <v>43125</v>
      </c>
      <c r="C415" s="54">
        <v>1159.3</v>
      </c>
      <c r="D415" s="56">
        <f t="shared" si="9"/>
        <v>-0.67739870881567232</v>
      </c>
      <c r="E415" s="64">
        <v>1.5015540865910726E-2</v>
      </c>
    </row>
    <row r="416" spans="2:5" x14ac:dyDescent="0.3">
      <c r="B416" s="55">
        <v>45723</v>
      </c>
      <c r="C416" s="54">
        <v>3593.6</v>
      </c>
      <c r="D416" s="56">
        <f t="shared" si="9"/>
        <v>-0.2281538279798534</v>
      </c>
      <c r="E416" s="64">
        <v>1.4997881655133494E-2</v>
      </c>
    </row>
    <row r="417" spans="2:5" x14ac:dyDescent="0.3">
      <c r="B417" s="55">
        <v>44552</v>
      </c>
      <c r="C417" s="54">
        <v>4655.8500000000004</v>
      </c>
      <c r="D417" s="56">
        <f t="shared" si="9"/>
        <v>0.13683478006079941</v>
      </c>
      <c r="E417" s="64">
        <v>1.4921306186510996E-2</v>
      </c>
    </row>
    <row r="418" spans="2:5" x14ac:dyDescent="0.3">
      <c r="B418" s="55">
        <v>44586</v>
      </c>
      <c r="C418" s="54">
        <v>4095.45</v>
      </c>
      <c r="D418" s="56">
        <f t="shared" si="9"/>
        <v>0.88192721257237383</v>
      </c>
      <c r="E418" s="64">
        <v>1.4905954947587396E-2</v>
      </c>
    </row>
    <row r="419" spans="2:5" x14ac:dyDescent="0.3">
      <c r="B419" s="55">
        <v>44131</v>
      </c>
      <c r="C419" s="54">
        <v>2176.1999999999998</v>
      </c>
      <c r="D419" s="56">
        <f t="shared" si="9"/>
        <v>-0.53658432708688242</v>
      </c>
      <c r="E419" s="64">
        <v>1.4900314795383007E-2</v>
      </c>
    </row>
    <row r="420" spans="2:5" x14ac:dyDescent="0.3">
      <c r="B420" s="55">
        <v>45401</v>
      </c>
      <c r="C420" s="54">
        <v>4696</v>
      </c>
      <c r="D420" s="56">
        <f t="shared" si="9"/>
        <v>-2.7602344025014047E-2</v>
      </c>
      <c r="E420" s="64">
        <v>1.4890536188973513E-2</v>
      </c>
    </row>
    <row r="421" spans="2:5" x14ac:dyDescent="0.3">
      <c r="B421" s="55">
        <v>45904</v>
      </c>
      <c r="C421" s="54">
        <v>4829.3</v>
      </c>
      <c r="D421" s="56">
        <f t="shared" si="9"/>
        <v>2.2347365953313907</v>
      </c>
      <c r="E421" s="64">
        <v>1.4878638226331953E-2</v>
      </c>
    </row>
    <row r="422" spans="2:5" x14ac:dyDescent="0.3">
      <c r="B422" s="55">
        <v>43556</v>
      </c>
      <c r="C422" s="54">
        <v>1492.95</v>
      </c>
      <c r="D422" s="56">
        <f t="shared" si="9"/>
        <v>-6.442111859627131E-2</v>
      </c>
      <c r="E422" s="64">
        <v>1.485283121473735E-2</v>
      </c>
    </row>
    <row r="423" spans="2:5" x14ac:dyDescent="0.3">
      <c r="B423" s="55">
        <v>43474</v>
      </c>
      <c r="C423" s="54">
        <v>1595.75</v>
      </c>
      <c r="D423" s="56">
        <f t="shared" si="9"/>
        <v>8.1180112451828546E-3</v>
      </c>
      <c r="E423" s="64">
        <v>1.484991096413113E-2</v>
      </c>
    </row>
    <row r="424" spans="2:5" x14ac:dyDescent="0.3">
      <c r="B424" s="55">
        <v>43447</v>
      </c>
      <c r="C424" s="54">
        <v>1582.9</v>
      </c>
      <c r="D424" s="56">
        <f t="shared" si="9"/>
        <v>-0.6192297515094658</v>
      </c>
      <c r="E424" s="64">
        <v>1.4842122134957503E-2</v>
      </c>
    </row>
    <row r="425" spans="2:5" x14ac:dyDescent="0.3">
      <c r="B425" s="55">
        <v>44614</v>
      </c>
      <c r="C425" s="54">
        <v>4157.1000000000004</v>
      </c>
      <c r="D425" s="56">
        <f t="shared" si="9"/>
        <v>3.5614747352828227</v>
      </c>
      <c r="E425" s="64">
        <v>1.4768344480788897E-2</v>
      </c>
    </row>
    <row r="426" spans="2:5" x14ac:dyDescent="0.3">
      <c r="B426" s="55">
        <v>42951</v>
      </c>
      <c r="C426" s="54">
        <v>911.35</v>
      </c>
      <c r="D426" s="56">
        <f t="shared" si="9"/>
        <v>-0.77695790504160545</v>
      </c>
      <c r="E426" s="64">
        <v>1.4753368221801511E-2</v>
      </c>
    </row>
    <row r="427" spans="2:5" x14ac:dyDescent="0.3">
      <c r="B427" s="55">
        <v>45854</v>
      </c>
      <c r="C427" s="54">
        <v>4086</v>
      </c>
      <c r="D427" s="56">
        <f t="shared" si="9"/>
        <v>2.0882019499659892</v>
      </c>
      <c r="E427" s="64">
        <v>1.4726699282290756E-2</v>
      </c>
    </row>
    <row r="428" spans="2:5" x14ac:dyDescent="0.3">
      <c r="B428" s="55">
        <v>43616</v>
      </c>
      <c r="C428" s="54">
        <v>1323.1</v>
      </c>
      <c r="D428" s="56">
        <f t="shared" si="9"/>
        <v>-8.802040253653165E-2</v>
      </c>
      <c r="E428" s="64">
        <v>1.4725055602423431E-2</v>
      </c>
    </row>
    <row r="429" spans="2:5" x14ac:dyDescent="0.3">
      <c r="B429" s="55">
        <v>43686</v>
      </c>
      <c r="C429" s="54">
        <v>1450.8</v>
      </c>
      <c r="D429" s="56">
        <f t="shared" si="9"/>
        <v>-0.28142644873699851</v>
      </c>
      <c r="E429" s="64">
        <v>1.4722853645742218E-2</v>
      </c>
    </row>
    <row r="430" spans="2:5" x14ac:dyDescent="0.3">
      <c r="B430" s="55">
        <v>44032</v>
      </c>
      <c r="C430" s="54">
        <v>2019</v>
      </c>
      <c r="D430" s="56">
        <f t="shared" si="9"/>
        <v>-0.5961878856365691</v>
      </c>
      <c r="E430" s="64">
        <v>1.4700339238597815E-2</v>
      </c>
    </row>
    <row r="431" spans="2:5" x14ac:dyDescent="0.3">
      <c r="B431" s="55">
        <v>45537</v>
      </c>
      <c r="C431" s="54">
        <v>4999.8500000000004</v>
      </c>
      <c r="D431" s="56">
        <f t="shared" si="9"/>
        <v>0.26096441451665786</v>
      </c>
      <c r="E431" s="64">
        <v>1.469319830744098E-2</v>
      </c>
    </row>
    <row r="432" spans="2:5" x14ac:dyDescent="0.3">
      <c r="B432" s="55">
        <v>44894</v>
      </c>
      <c r="C432" s="54">
        <v>3965.1</v>
      </c>
      <c r="D432" s="56">
        <f t="shared" si="9"/>
        <v>-0.25781937295273749</v>
      </c>
      <c r="E432" s="64">
        <v>1.4688947462701885E-2</v>
      </c>
    </row>
    <row r="433" spans="2:5" x14ac:dyDescent="0.3">
      <c r="B433" s="55">
        <v>45554</v>
      </c>
      <c r="C433" s="54">
        <v>5342.5</v>
      </c>
      <c r="D433" s="56">
        <f t="shared" si="9"/>
        <v>0.14629933592953792</v>
      </c>
      <c r="E433" s="64">
        <v>1.4681303654182187E-2</v>
      </c>
    </row>
    <row r="434" spans="2:5" x14ac:dyDescent="0.3">
      <c r="B434" s="55">
        <v>44537</v>
      </c>
      <c r="C434" s="54">
        <v>4660.6499999999996</v>
      </c>
      <c r="D434" s="56">
        <f t="shared" si="9"/>
        <v>0.57045860430636508</v>
      </c>
      <c r="E434" s="64">
        <v>1.4629526826241745E-2</v>
      </c>
    </row>
    <row r="435" spans="2:5" x14ac:dyDescent="0.3">
      <c r="B435" s="55">
        <v>44237</v>
      </c>
      <c r="C435" s="54">
        <v>2967.7</v>
      </c>
      <c r="D435" s="56">
        <f t="shared" si="9"/>
        <v>1.060187434918431</v>
      </c>
      <c r="E435" s="64">
        <v>1.4598290598290431E-2</v>
      </c>
    </row>
    <row r="436" spans="2:5" x14ac:dyDescent="0.3">
      <c r="B436" s="55">
        <v>43199</v>
      </c>
      <c r="C436" s="54">
        <v>1440.5</v>
      </c>
      <c r="D436" s="56">
        <f t="shared" si="9"/>
        <v>-4.2029660171576833E-2</v>
      </c>
      <c r="E436" s="64">
        <v>1.4543789836954701E-2</v>
      </c>
    </row>
    <row r="437" spans="2:5" x14ac:dyDescent="0.3">
      <c r="B437" s="55">
        <v>43546</v>
      </c>
      <c r="C437" s="54">
        <v>1503.7</v>
      </c>
      <c r="D437" s="56">
        <f t="shared" si="9"/>
        <v>-0.65487720908882263</v>
      </c>
      <c r="E437" s="64">
        <v>1.4539688965354403E-2</v>
      </c>
    </row>
    <row r="438" spans="2:5" x14ac:dyDescent="0.3">
      <c r="B438" s="55">
        <v>46202</v>
      </c>
      <c r="C438" s="54">
        <v>4357</v>
      </c>
      <c r="D438" s="56">
        <f t="shared" si="9"/>
        <v>6.6585067319461455E-2</v>
      </c>
      <c r="E438" s="64">
        <v>1.4529874726400438E-2</v>
      </c>
    </row>
    <row r="439" spans="2:5" x14ac:dyDescent="0.3">
      <c r="B439" s="55">
        <v>45981</v>
      </c>
      <c r="C439" s="54">
        <v>4085</v>
      </c>
      <c r="D439" s="56">
        <f t="shared" si="9"/>
        <v>0.18296073207459762</v>
      </c>
      <c r="E439" s="64">
        <v>1.4528747050788438E-2</v>
      </c>
    </row>
    <row r="440" spans="2:5" x14ac:dyDescent="0.3">
      <c r="B440" s="55">
        <v>45719</v>
      </c>
      <c r="C440" s="54">
        <v>3453.2</v>
      </c>
      <c r="D440" s="56">
        <f t="shared" si="9"/>
        <v>-0.20372633569303844</v>
      </c>
      <c r="E440" s="64">
        <v>1.4468485142261178E-2</v>
      </c>
    </row>
    <row r="441" spans="2:5" x14ac:dyDescent="0.3">
      <c r="B441" s="55">
        <v>44785</v>
      </c>
      <c r="C441" s="54">
        <v>4336.7</v>
      </c>
      <c r="D441" s="56">
        <f t="shared" si="9"/>
        <v>1.3883794575244388</v>
      </c>
      <c r="E441" s="64">
        <v>1.4468343918499826E-2</v>
      </c>
    </row>
    <row r="442" spans="2:5" x14ac:dyDescent="0.3">
      <c r="B442" s="55">
        <v>43837</v>
      </c>
      <c r="C442" s="54">
        <v>1815.75</v>
      </c>
      <c r="D442" s="56">
        <f t="shared" si="9"/>
        <v>-0.57354737188219262</v>
      </c>
      <c r="E442" s="64">
        <v>1.444214760601148E-2</v>
      </c>
    </row>
    <row r="443" spans="2:5" x14ac:dyDescent="0.3">
      <c r="B443" s="55">
        <v>45874</v>
      </c>
      <c r="C443" s="54">
        <v>4257.8</v>
      </c>
      <c r="D443" s="56">
        <f t="shared" si="9"/>
        <v>9.5014594879576197E-2</v>
      </c>
      <c r="E443" s="64">
        <v>1.4438196893167055E-2</v>
      </c>
    </row>
    <row r="444" spans="2:5" x14ac:dyDescent="0.3">
      <c r="B444" s="55">
        <v>44438</v>
      </c>
      <c r="C444" s="54">
        <v>3888.35</v>
      </c>
      <c r="D444" s="56">
        <f t="shared" si="9"/>
        <v>1.6879234066085997</v>
      </c>
      <c r="E444" s="64">
        <v>1.4427153311331598E-2</v>
      </c>
    </row>
    <row r="445" spans="2:5" x14ac:dyDescent="0.3">
      <c r="B445" s="55">
        <v>43648</v>
      </c>
      <c r="C445" s="54">
        <v>1446.6</v>
      </c>
      <c r="D445" s="56">
        <f t="shared" si="9"/>
        <v>-0.30888851730645206</v>
      </c>
      <c r="E445" s="64">
        <v>1.4410434416745499E-2</v>
      </c>
    </row>
    <row r="446" spans="2:5" x14ac:dyDescent="0.3">
      <c r="B446" s="55">
        <v>44046</v>
      </c>
      <c r="C446" s="54">
        <v>2093.15</v>
      </c>
      <c r="D446" s="56">
        <f t="shared" si="9"/>
        <v>-0.52351521773771315</v>
      </c>
      <c r="E446" s="64">
        <v>1.4393370326395205E-2</v>
      </c>
    </row>
    <row r="447" spans="2:5" x14ac:dyDescent="0.3">
      <c r="B447" s="55">
        <v>46196</v>
      </c>
      <c r="C447" s="54">
        <v>4392.8999999999996</v>
      </c>
      <c r="D447" s="56">
        <f t="shared" si="9"/>
        <v>0.89104606112785167</v>
      </c>
      <c r="E447" s="64">
        <v>1.4385997321387123E-2</v>
      </c>
    </row>
    <row r="448" spans="2:5" x14ac:dyDescent="0.3">
      <c r="B448" s="55">
        <v>44018</v>
      </c>
      <c r="C448" s="54">
        <v>2323</v>
      </c>
      <c r="D448" s="56">
        <f t="shared" si="9"/>
        <v>1.5228062554300608</v>
      </c>
      <c r="E448" s="64">
        <v>1.4344038600091702E-2</v>
      </c>
    </row>
    <row r="449" spans="2:5" x14ac:dyDescent="0.3">
      <c r="B449" s="55">
        <v>42964</v>
      </c>
      <c r="C449" s="54">
        <v>920.8</v>
      </c>
      <c r="D449" s="56">
        <f t="shared" si="9"/>
        <v>-0.79570011759224335</v>
      </c>
      <c r="E449" s="64">
        <v>1.43203348755232E-2</v>
      </c>
    </row>
    <row r="450" spans="2:5" x14ac:dyDescent="0.3">
      <c r="B450" s="55">
        <v>46139</v>
      </c>
      <c r="C450" s="54">
        <v>4507.1000000000004</v>
      </c>
      <c r="D450" s="56">
        <f t="shared" si="9"/>
        <v>8.8461166924265866E-2</v>
      </c>
      <c r="E450" s="64">
        <v>1.4313041521323289E-2</v>
      </c>
    </row>
    <row r="451" spans="2:5" x14ac:dyDescent="0.3">
      <c r="B451" s="55">
        <v>45800</v>
      </c>
      <c r="C451" s="54">
        <v>4140.8</v>
      </c>
      <c r="D451" s="56">
        <f t="shared" si="9"/>
        <v>1.6442734442351288</v>
      </c>
      <c r="E451" s="64">
        <v>1.423077865138267E-2</v>
      </c>
    </row>
    <row r="452" spans="2:5" x14ac:dyDescent="0.3">
      <c r="B452" s="55">
        <v>43250</v>
      </c>
      <c r="C452" s="54">
        <v>1565.95</v>
      </c>
      <c r="D452" s="56">
        <f t="shared" ref="D452:D515" si="10">C452/C453-1</f>
        <v>-0.64896490657819528</v>
      </c>
      <c r="E452" s="64">
        <v>1.418347851429691E-2</v>
      </c>
    </row>
    <row r="453" spans="2:5" x14ac:dyDescent="0.3">
      <c r="B453" s="55">
        <v>44791</v>
      </c>
      <c r="C453" s="54">
        <v>4460.95</v>
      </c>
      <c r="D453" s="56">
        <f t="shared" si="10"/>
        <v>0.14717189770228734</v>
      </c>
      <c r="E453" s="64">
        <v>1.4163436508928928E-2</v>
      </c>
    </row>
    <row r="454" spans="2:5" x14ac:dyDescent="0.3">
      <c r="B454" s="55">
        <v>45357</v>
      </c>
      <c r="C454" s="54">
        <v>3888.65</v>
      </c>
      <c r="D454" s="56">
        <f t="shared" si="10"/>
        <v>4.3162765743410825E-2</v>
      </c>
      <c r="E454" s="64">
        <v>1.41217890207328E-2</v>
      </c>
    </row>
    <row r="455" spans="2:5" x14ac:dyDescent="0.3">
      <c r="B455" s="55">
        <v>45315</v>
      </c>
      <c r="C455" s="54">
        <v>3727.75</v>
      </c>
      <c r="D455" s="56">
        <f t="shared" si="10"/>
        <v>1.3770125936553481</v>
      </c>
      <c r="E455" s="64">
        <v>1.4105389156397141E-2</v>
      </c>
    </row>
    <row r="456" spans="2:5" x14ac:dyDescent="0.3">
      <c r="B456" s="55">
        <v>43287</v>
      </c>
      <c r="C456" s="54">
        <v>1568.25</v>
      </c>
      <c r="D456" s="56">
        <f t="shared" si="10"/>
        <v>-0.62298963867586599</v>
      </c>
      <c r="E456" s="64">
        <v>1.4096802353777971E-2</v>
      </c>
    </row>
    <row r="457" spans="2:5" x14ac:dyDescent="0.3">
      <c r="B457" s="55">
        <v>44658</v>
      </c>
      <c r="C457" s="54">
        <v>4159.7</v>
      </c>
      <c r="D457" s="56">
        <f t="shared" si="10"/>
        <v>0.15192046744759202</v>
      </c>
      <c r="E457" s="64">
        <v>1.4091030985640796E-2</v>
      </c>
    </row>
    <row r="458" spans="2:5" x14ac:dyDescent="0.3">
      <c r="B458" s="55">
        <v>45659</v>
      </c>
      <c r="C458" s="54">
        <v>3611.1</v>
      </c>
      <c r="D458" s="56">
        <f t="shared" si="10"/>
        <v>-0.14555456965394853</v>
      </c>
      <c r="E458" s="64">
        <v>1.4069081718618426E-2</v>
      </c>
    </row>
    <row r="459" spans="2:5" x14ac:dyDescent="0.3">
      <c r="B459" s="55">
        <v>44854</v>
      </c>
      <c r="C459" s="54">
        <v>4226.25</v>
      </c>
      <c r="D459" s="56">
        <f t="shared" si="10"/>
        <v>0.19004040716910464</v>
      </c>
      <c r="E459" s="64">
        <v>1.4012020586153362E-2</v>
      </c>
    </row>
    <row r="460" spans="2:5" x14ac:dyDescent="0.3">
      <c r="B460" s="55">
        <v>44958</v>
      </c>
      <c r="C460" s="54">
        <v>3551.35</v>
      </c>
      <c r="D460" s="56">
        <f t="shared" si="10"/>
        <v>5.6744974930444947E-2</v>
      </c>
      <c r="E460" s="64">
        <v>1.4005082374439537E-2</v>
      </c>
    </row>
    <row r="461" spans="2:5" x14ac:dyDescent="0.3">
      <c r="B461" s="55">
        <v>44382</v>
      </c>
      <c r="C461" s="54">
        <v>3360.65</v>
      </c>
      <c r="D461" s="56">
        <f t="shared" si="10"/>
        <v>2.7239182226162115</v>
      </c>
      <c r="E461" s="64">
        <v>1.398485351356249E-2</v>
      </c>
    </row>
    <row r="462" spans="2:5" x14ac:dyDescent="0.3">
      <c r="B462" s="55">
        <v>42961</v>
      </c>
      <c r="C462" s="54">
        <v>902.45</v>
      </c>
      <c r="D462" s="56">
        <f t="shared" si="10"/>
        <v>0.14111399127521018</v>
      </c>
      <c r="E462" s="64">
        <v>1.387484552297491E-2</v>
      </c>
    </row>
    <row r="463" spans="2:5" x14ac:dyDescent="0.3">
      <c r="B463" s="55">
        <v>42865</v>
      </c>
      <c r="C463" s="54">
        <v>790.85</v>
      </c>
      <c r="D463" s="56">
        <f t="shared" si="10"/>
        <v>-0.80445076342956046</v>
      </c>
      <c r="E463" s="64">
        <v>1.3845266329081563E-2</v>
      </c>
    </row>
    <row r="464" spans="2:5" x14ac:dyDescent="0.3">
      <c r="B464" s="55">
        <v>44677</v>
      </c>
      <c r="C464" s="54">
        <v>4044.25</v>
      </c>
      <c r="D464" s="56">
        <f t="shared" si="10"/>
        <v>0.51933805436068914</v>
      </c>
      <c r="E464" s="64">
        <v>1.3799759350245688E-2</v>
      </c>
    </row>
    <row r="465" spans="2:5" x14ac:dyDescent="0.3">
      <c r="B465" s="55">
        <v>44188</v>
      </c>
      <c r="C465" s="54">
        <v>2661.85</v>
      </c>
      <c r="D465" s="56">
        <f t="shared" si="10"/>
        <v>-0.32727203801051363</v>
      </c>
      <c r="E465" s="64">
        <v>1.3748452823002966E-2</v>
      </c>
    </row>
    <row r="466" spans="2:5" x14ac:dyDescent="0.3">
      <c r="B466" s="55">
        <v>46111</v>
      </c>
      <c r="C466" s="54">
        <v>3956.8</v>
      </c>
      <c r="D466" s="56">
        <f t="shared" si="10"/>
        <v>-2.4782185416589608E-2</v>
      </c>
      <c r="E466" s="64">
        <v>1.3732322197171687E-2</v>
      </c>
    </row>
    <row r="467" spans="2:5" x14ac:dyDescent="0.3">
      <c r="B467" s="55">
        <v>44907</v>
      </c>
      <c r="C467" s="54">
        <v>4057.35</v>
      </c>
      <c r="D467" s="56">
        <f t="shared" si="10"/>
        <v>1.9524330029022652E-2</v>
      </c>
      <c r="E467" s="64">
        <v>1.3729262442534473E-2</v>
      </c>
    </row>
    <row r="468" spans="2:5" x14ac:dyDescent="0.3">
      <c r="B468" s="55">
        <v>45362</v>
      </c>
      <c r="C468" s="54">
        <v>3979.65</v>
      </c>
      <c r="D468" s="56">
        <f t="shared" si="10"/>
        <v>3.3079129681749295</v>
      </c>
      <c r="E468" s="64">
        <v>1.367821801092739E-2</v>
      </c>
    </row>
    <row r="469" spans="2:5" x14ac:dyDescent="0.3">
      <c r="B469" s="55">
        <v>42954</v>
      </c>
      <c r="C469" s="54">
        <v>923.8</v>
      </c>
      <c r="D469" s="56">
        <f t="shared" si="10"/>
        <v>-0.42843000773395212</v>
      </c>
      <c r="E469" s="64">
        <v>1.3661052285071529E-2</v>
      </c>
    </row>
    <row r="470" spans="2:5" x14ac:dyDescent="0.3">
      <c r="B470" s="55">
        <v>43451</v>
      </c>
      <c r="C470" s="54">
        <v>1616.25</v>
      </c>
      <c r="D470" s="56">
        <f t="shared" si="10"/>
        <v>-0.63034329757793384</v>
      </c>
      <c r="E470" s="64">
        <v>1.3640639698965229E-2</v>
      </c>
    </row>
    <row r="471" spans="2:5" x14ac:dyDescent="0.3">
      <c r="B471" s="55">
        <v>45838</v>
      </c>
      <c r="C471" s="54">
        <v>4372.3</v>
      </c>
      <c r="D471" s="56">
        <f t="shared" si="10"/>
        <v>0.17355127895429057</v>
      </c>
      <c r="E471" s="64">
        <v>1.3631621652950177E-2</v>
      </c>
    </row>
    <row r="472" spans="2:5" x14ac:dyDescent="0.3">
      <c r="B472" s="55">
        <v>45202</v>
      </c>
      <c r="C472" s="54">
        <v>3725.7</v>
      </c>
      <c r="D472" s="56">
        <f t="shared" si="10"/>
        <v>0.60186598447879258</v>
      </c>
      <c r="E472" s="64">
        <v>1.3630427685275892E-2</v>
      </c>
    </row>
    <row r="473" spans="2:5" x14ac:dyDescent="0.3">
      <c r="B473" s="55">
        <v>44144</v>
      </c>
      <c r="C473" s="54">
        <v>2325.85</v>
      </c>
      <c r="D473" s="56">
        <f t="shared" si="10"/>
        <v>-0.38767639005897225</v>
      </c>
      <c r="E473" s="64">
        <v>1.3618931404166368E-2</v>
      </c>
    </row>
    <row r="474" spans="2:5" x14ac:dyDescent="0.3">
      <c r="B474" s="55">
        <v>45240</v>
      </c>
      <c r="C474" s="54">
        <v>3798.4</v>
      </c>
      <c r="D474" s="56">
        <f t="shared" si="10"/>
        <v>-5.2283586372085411E-2</v>
      </c>
      <c r="E474" s="64">
        <v>1.3555342085601607E-2</v>
      </c>
    </row>
    <row r="475" spans="2:5" x14ac:dyDescent="0.3">
      <c r="B475" s="55">
        <v>45282</v>
      </c>
      <c r="C475" s="54">
        <v>4007.95</v>
      </c>
      <c r="D475" s="56">
        <f t="shared" si="10"/>
        <v>0.1850302322487174</v>
      </c>
      <c r="E475" s="64">
        <v>1.3516247313187568E-2</v>
      </c>
    </row>
    <row r="476" spans="2:5" x14ac:dyDescent="0.3">
      <c r="B476" s="55">
        <v>45001</v>
      </c>
      <c r="C476" s="54">
        <v>3382.15</v>
      </c>
      <c r="D476" s="56">
        <f t="shared" si="10"/>
        <v>-5.0584586017656807E-2</v>
      </c>
      <c r="E476" s="64">
        <v>1.3454191325192877E-2</v>
      </c>
    </row>
    <row r="477" spans="2:5" x14ac:dyDescent="0.3">
      <c r="B477" s="55">
        <v>44953</v>
      </c>
      <c r="C477" s="54">
        <v>3562.35</v>
      </c>
      <c r="D477" s="56">
        <f t="shared" si="10"/>
        <v>0.52400000000000002</v>
      </c>
      <c r="E477" s="64">
        <v>1.3442007339762752E-2</v>
      </c>
    </row>
    <row r="478" spans="2:5" x14ac:dyDescent="0.3">
      <c r="B478" s="55">
        <v>43970</v>
      </c>
      <c r="C478" s="54">
        <v>2337.5</v>
      </c>
      <c r="D478" s="56">
        <f t="shared" si="10"/>
        <v>-0.36444710296636673</v>
      </c>
      <c r="E478" s="64">
        <v>1.3418308729487682E-2</v>
      </c>
    </row>
    <row r="479" spans="2:5" x14ac:dyDescent="0.3">
      <c r="B479" s="55">
        <v>45090</v>
      </c>
      <c r="C479" s="54">
        <v>3677.9</v>
      </c>
      <c r="D479" s="56">
        <f t="shared" si="10"/>
        <v>-0.2492396252219885</v>
      </c>
      <c r="E479" s="64">
        <v>1.3363090317958903E-2</v>
      </c>
    </row>
    <row r="480" spans="2:5" x14ac:dyDescent="0.3">
      <c r="B480" s="55">
        <v>45484</v>
      </c>
      <c r="C480" s="54">
        <v>4898.8999999999996</v>
      </c>
      <c r="D480" s="56">
        <f t="shared" si="10"/>
        <v>1.6527860507933068</v>
      </c>
      <c r="E480" s="64">
        <v>1.3331402744882981E-2</v>
      </c>
    </row>
    <row r="481" spans="2:5" x14ac:dyDescent="0.3">
      <c r="B481" s="55">
        <v>43801</v>
      </c>
      <c r="C481" s="54">
        <v>1846.7</v>
      </c>
      <c r="D481" s="56">
        <f t="shared" si="10"/>
        <v>-0.57213688283404007</v>
      </c>
      <c r="E481" s="64">
        <v>1.3278463648834116E-2</v>
      </c>
    </row>
    <row r="482" spans="2:5" x14ac:dyDescent="0.3">
      <c r="B482" s="55">
        <v>45946</v>
      </c>
      <c r="C482" s="54">
        <v>4316.1000000000004</v>
      </c>
      <c r="D482" s="56">
        <f t="shared" si="10"/>
        <v>2.0398281508610068</v>
      </c>
      <c r="E482" s="64">
        <v>1.3264156258803617E-2</v>
      </c>
    </row>
    <row r="483" spans="2:5" x14ac:dyDescent="0.3">
      <c r="B483" s="55">
        <v>43196</v>
      </c>
      <c r="C483" s="54">
        <v>1419.85</v>
      </c>
      <c r="D483" s="56">
        <f t="shared" si="10"/>
        <v>-0.65133097588527089</v>
      </c>
      <c r="E483" s="64">
        <v>1.3237707842717494E-2</v>
      </c>
    </row>
    <row r="484" spans="2:5" x14ac:dyDescent="0.3">
      <c r="B484" s="55">
        <v>45972</v>
      </c>
      <c r="C484" s="54">
        <v>4072.2</v>
      </c>
      <c r="D484" s="56">
        <f t="shared" si="10"/>
        <v>8.4127575741440808E-2</v>
      </c>
      <c r="E484" s="64">
        <v>1.3237123662602546E-2</v>
      </c>
    </row>
    <row r="485" spans="2:5" x14ac:dyDescent="0.3">
      <c r="B485" s="55">
        <v>45342</v>
      </c>
      <c r="C485" s="54">
        <v>3756.2</v>
      </c>
      <c r="D485" s="56">
        <f t="shared" si="10"/>
        <v>-0.21055065153425812</v>
      </c>
      <c r="E485" s="64">
        <v>1.3203857306628874E-2</v>
      </c>
    </row>
    <row r="486" spans="2:5" x14ac:dyDescent="0.3">
      <c r="B486" s="55">
        <v>45404</v>
      </c>
      <c r="C486" s="54">
        <v>4758</v>
      </c>
      <c r="D486" s="56">
        <f t="shared" si="10"/>
        <v>7.0669111938703288E-2</v>
      </c>
      <c r="E486" s="64">
        <v>1.320272572402037E-2</v>
      </c>
    </row>
    <row r="487" spans="2:5" x14ac:dyDescent="0.3">
      <c r="B487" s="55">
        <v>44816</v>
      </c>
      <c r="C487" s="54">
        <v>4443.95</v>
      </c>
      <c r="D487" s="56">
        <f t="shared" si="10"/>
        <v>2.5443850693890573</v>
      </c>
      <c r="E487" s="64">
        <v>1.3189393766671831E-2</v>
      </c>
    </row>
    <row r="488" spans="2:5" x14ac:dyDescent="0.3">
      <c r="B488" s="55">
        <v>43601</v>
      </c>
      <c r="C488" s="54">
        <v>1253.8</v>
      </c>
      <c r="D488" s="56">
        <f t="shared" si="10"/>
        <v>-0.41527340561968051</v>
      </c>
      <c r="E488" s="64">
        <v>1.3089851325145396E-2</v>
      </c>
    </row>
    <row r="489" spans="2:5" x14ac:dyDescent="0.3">
      <c r="B489" s="55">
        <v>44130</v>
      </c>
      <c r="C489" s="54">
        <v>2144.25</v>
      </c>
      <c r="D489" s="56">
        <f t="shared" si="10"/>
        <v>-0.46815239229109307</v>
      </c>
      <c r="E489" s="64">
        <v>1.3087335522430354E-2</v>
      </c>
    </row>
    <row r="490" spans="2:5" x14ac:dyDescent="0.3">
      <c r="B490" s="55">
        <v>45363</v>
      </c>
      <c r="C490" s="54">
        <v>4031.7</v>
      </c>
      <c r="D490" s="56">
        <f t="shared" si="10"/>
        <v>-9.8346174059868674E-2</v>
      </c>
      <c r="E490" s="64">
        <v>1.3079039614036336E-2</v>
      </c>
    </row>
    <row r="491" spans="2:5" x14ac:dyDescent="0.3">
      <c r="B491" s="55">
        <v>44841</v>
      </c>
      <c r="C491" s="54">
        <v>4471.45</v>
      </c>
      <c r="D491" s="56">
        <f t="shared" si="10"/>
        <v>1.3023788682354152</v>
      </c>
      <c r="E491" s="64">
        <v>1.3049831779512022E-2</v>
      </c>
    </row>
    <row r="492" spans="2:5" x14ac:dyDescent="0.3">
      <c r="B492" s="55">
        <v>43767</v>
      </c>
      <c r="C492" s="54">
        <v>1942.1</v>
      </c>
      <c r="D492" s="56">
        <f t="shared" si="10"/>
        <v>-0.56295921237693392</v>
      </c>
      <c r="E492" s="64">
        <v>1.3040529967137893E-2</v>
      </c>
    </row>
    <row r="493" spans="2:5" x14ac:dyDescent="0.3">
      <c r="B493" s="55">
        <v>44837</v>
      </c>
      <c r="C493" s="54">
        <v>4443.75</v>
      </c>
      <c r="D493" s="56">
        <f t="shared" si="10"/>
        <v>0.48899276236429423</v>
      </c>
      <c r="E493" s="64">
        <v>1.3039860482611632E-2</v>
      </c>
    </row>
    <row r="494" spans="2:5" x14ac:dyDescent="0.3">
      <c r="B494" s="55">
        <v>44235</v>
      </c>
      <c r="C494" s="54">
        <v>2984.4</v>
      </c>
      <c r="D494" s="56">
        <f t="shared" si="10"/>
        <v>-0.35963265349912554</v>
      </c>
      <c r="E494" s="64">
        <v>1.3017430118293927E-2</v>
      </c>
    </row>
    <row r="495" spans="2:5" x14ac:dyDescent="0.3">
      <c r="B495" s="55">
        <v>45419</v>
      </c>
      <c r="C495" s="54">
        <v>4660.45</v>
      </c>
      <c r="D495" s="56">
        <f t="shared" si="10"/>
        <v>2.4771692904573603</v>
      </c>
      <c r="E495" s="64">
        <v>1.3009172716601958E-2</v>
      </c>
    </row>
    <row r="496" spans="2:5" x14ac:dyDescent="0.3">
      <c r="B496" s="55">
        <v>43619</v>
      </c>
      <c r="C496" s="54">
        <v>1340.3</v>
      </c>
      <c r="D496" s="56">
        <f t="shared" si="10"/>
        <v>-0.66652982521614734</v>
      </c>
      <c r="E496" s="64">
        <v>1.2999773259768865E-2</v>
      </c>
    </row>
    <row r="497" spans="2:5" x14ac:dyDescent="0.3">
      <c r="B497" s="55">
        <v>45365</v>
      </c>
      <c r="C497" s="54">
        <v>4019.25</v>
      </c>
      <c r="D497" s="56">
        <f t="shared" si="10"/>
        <v>4.0892687559354224</v>
      </c>
      <c r="E497" s="64">
        <v>1.2966883411462238E-2</v>
      </c>
    </row>
    <row r="498" spans="2:5" x14ac:dyDescent="0.3">
      <c r="B498" s="55">
        <v>42891</v>
      </c>
      <c r="C498" s="54">
        <v>789.75</v>
      </c>
      <c r="D498" s="56">
        <f t="shared" si="10"/>
        <v>-0.81459526716123576</v>
      </c>
      <c r="E498" s="64">
        <v>1.29545308792407E-2</v>
      </c>
    </row>
    <row r="499" spans="2:5" x14ac:dyDescent="0.3">
      <c r="B499" s="55">
        <v>45945</v>
      </c>
      <c r="C499" s="54">
        <v>4259.6000000000004</v>
      </c>
      <c r="D499" s="56">
        <f t="shared" si="10"/>
        <v>2.8285097968721917</v>
      </c>
      <c r="E499" s="64">
        <v>1.2936364501094033E-2</v>
      </c>
    </row>
    <row r="500" spans="2:5" x14ac:dyDescent="0.3">
      <c r="B500" s="55">
        <v>43055</v>
      </c>
      <c r="C500" s="54">
        <v>1112.5999999999999</v>
      </c>
      <c r="D500" s="56">
        <f t="shared" si="10"/>
        <v>-0.72347458680253518</v>
      </c>
      <c r="E500" s="64">
        <v>1.292789512017456E-2</v>
      </c>
    </row>
    <row r="501" spans="2:5" x14ac:dyDescent="0.3">
      <c r="B501" s="55">
        <v>45789</v>
      </c>
      <c r="C501" s="54">
        <v>4023.5</v>
      </c>
      <c r="D501" s="56">
        <f t="shared" si="10"/>
        <v>0.9899107297410914</v>
      </c>
      <c r="E501" s="64">
        <v>1.2863759943610997E-2</v>
      </c>
    </row>
    <row r="502" spans="2:5" x14ac:dyDescent="0.3">
      <c r="B502" s="55">
        <v>43907</v>
      </c>
      <c r="C502" s="54">
        <v>2021.95</v>
      </c>
      <c r="D502" s="56">
        <f t="shared" si="10"/>
        <v>-0.57407973037021431</v>
      </c>
      <c r="E502" s="64">
        <v>1.284877022491604E-2</v>
      </c>
    </row>
    <row r="503" spans="2:5" x14ac:dyDescent="0.3">
      <c r="B503" s="55">
        <v>45450</v>
      </c>
      <c r="C503" s="54">
        <v>4747.25</v>
      </c>
      <c r="D503" s="56">
        <f t="shared" si="10"/>
        <v>0.15534382263108593</v>
      </c>
      <c r="E503" s="64">
        <v>1.2843899681036053E-2</v>
      </c>
    </row>
    <row r="504" spans="2:5" x14ac:dyDescent="0.3">
      <c r="B504" s="55">
        <v>44908</v>
      </c>
      <c r="C504" s="54">
        <v>4108.95</v>
      </c>
      <c r="D504" s="56">
        <f t="shared" si="10"/>
        <v>7.4431922181837029E-2</v>
      </c>
      <c r="E504" s="64">
        <v>1.2717660541979425E-2</v>
      </c>
    </row>
    <row r="505" spans="2:5" x14ac:dyDescent="0.3">
      <c r="B505" s="55">
        <v>46057</v>
      </c>
      <c r="C505" s="54">
        <v>3824.3</v>
      </c>
      <c r="D505" s="56">
        <f t="shared" si="10"/>
        <v>1.4620485418142022</v>
      </c>
      <c r="E505" s="64">
        <v>1.2630408303765384E-2</v>
      </c>
    </row>
    <row r="506" spans="2:5" x14ac:dyDescent="0.3">
      <c r="B506" s="55">
        <v>43705</v>
      </c>
      <c r="C506" s="54">
        <v>1553.3</v>
      </c>
      <c r="D506" s="56">
        <f t="shared" si="10"/>
        <v>-0.24280978843716494</v>
      </c>
      <c r="E506" s="64">
        <v>1.2515481389739902E-2</v>
      </c>
    </row>
    <row r="507" spans="2:5" x14ac:dyDescent="0.3">
      <c r="B507" s="55">
        <v>44040</v>
      </c>
      <c r="C507" s="54">
        <v>2051.4</v>
      </c>
      <c r="D507" s="56">
        <f t="shared" si="10"/>
        <v>-0.48702175543885973</v>
      </c>
      <c r="E507" s="64">
        <v>1.2487044074823705E-2</v>
      </c>
    </row>
    <row r="508" spans="2:5" x14ac:dyDescent="0.3">
      <c r="B508" s="55">
        <v>45867</v>
      </c>
      <c r="C508" s="54">
        <v>3999</v>
      </c>
      <c r="D508" s="56">
        <f t="shared" si="10"/>
        <v>1.0522426357384789</v>
      </c>
      <c r="E508" s="64">
        <v>1.2430694447960633E-2</v>
      </c>
    </row>
    <row r="509" spans="2:5" x14ac:dyDescent="0.3">
      <c r="B509" s="55">
        <v>43854</v>
      </c>
      <c r="C509" s="54">
        <v>1948.6</v>
      </c>
      <c r="D509" s="56">
        <f t="shared" si="10"/>
        <v>0.55975346193868569</v>
      </c>
      <c r="E509" s="64">
        <v>1.2417519613446171E-2</v>
      </c>
    </row>
    <row r="510" spans="2:5" x14ac:dyDescent="0.3">
      <c r="B510" s="55">
        <v>43110</v>
      </c>
      <c r="C510" s="54">
        <v>1249.3</v>
      </c>
      <c r="D510" s="56">
        <f t="shared" si="10"/>
        <v>-0.75119988847509611</v>
      </c>
      <c r="E510" s="64">
        <v>1.2316668017178456E-2</v>
      </c>
    </row>
    <row r="511" spans="2:5" x14ac:dyDescent="0.3">
      <c r="B511" s="55">
        <v>45520</v>
      </c>
      <c r="C511" s="54">
        <v>5021.3</v>
      </c>
      <c r="D511" s="56">
        <f t="shared" si="10"/>
        <v>0.807263173049237</v>
      </c>
      <c r="E511" s="64">
        <v>1.2297643287704441E-2</v>
      </c>
    </row>
    <row r="512" spans="2:5" x14ac:dyDescent="0.3">
      <c r="B512" s="55">
        <v>44215</v>
      </c>
      <c r="C512" s="54">
        <v>2778.4</v>
      </c>
      <c r="D512" s="56">
        <f t="shared" si="10"/>
        <v>-0.29140525376179549</v>
      </c>
      <c r="E512" s="64">
        <v>1.2204451892600776E-2</v>
      </c>
    </row>
    <row r="513" spans="2:5" x14ac:dyDescent="0.3">
      <c r="B513" s="55">
        <v>46234</v>
      </c>
      <c r="C513" s="54">
        <v>3921</v>
      </c>
      <c r="D513" s="56">
        <f t="shared" si="10"/>
        <v>0.59649837133550498</v>
      </c>
      <c r="E513" s="64">
        <v>1.2132163138874441E-2</v>
      </c>
    </row>
    <row r="514" spans="2:5" x14ac:dyDescent="0.3">
      <c r="B514" s="55">
        <v>44167</v>
      </c>
      <c r="C514" s="54">
        <v>2456</v>
      </c>
      <c r="D514" s="56">
        <f t="shared" si="10"/>
        <v>-0.47210609463830888</v>
      </c>
      <c r="E514" s="64">
        <v>1.2074009972390609E-2</v>
      </c>
    </row>
    <row r="515" spans="2:5" x14ac:dyDescent="0.3">
      <c r="B515" s="55">
        <v>45427</v>
      </c>
      <c r="C515" s="54">
        <v>4652.45</v>
      </c>
      <c r="D515" s="56">
        <f t="shared" si="10"/>
        <v>1.052159146045609</v>
      </c>
      <c r="E515" s="64">
        <v>1.2051206752156096E-2</v>
      </c>
    </row>
    <row r="516" spans="2:5" x14ac:dyDescent="0.3">
      <c r="B516" s="55">
        <v>44133</v>
      </c>
      <c r="C516" s="54">
        <v>2267.1</v>
      </c>
      <c r="D516" s="56">
        <f t="shared" ref="D516:D579" si="11">C516/C517-1</f>
        <v>0.22998046875</v>
      </c>
      <c r="E516" s="64">
        <v>1.2007856441389242E-2</v>
      </c>
    </row>
    <row r="517" spans="2:5" x14ac:dyDescent="0.3">
      <c r="B517" s="55">
        <v>43749</v>
      </c>
      <c r="C517" s="54">
        <v>1843.2</v>
      </c>
      <c r="D517" s="56">
        <f t="shared" si="11"/>
        <v>0.62360713499229248</v>
      </c>
      <c r="E517" s="64">
        <v>1.1996595931589304E-2</v>
      </c>
    </row>
    <row r="518" spans="2:5" x14ac:dyDescent="0.3">
      <c r="B518" s="55">
        <v>43087</v>
      </c>
      <c r="C518" s="54">
        <v>1135.25</v>
      </c>
      <c r="D518" s="56">
        <f t="shared" si="11"/>
        <v>-5.5060762443815636E-2</v>
      </c>
      <c r="E518" s="64">
        <v>1.1989659475842407E-2</v>
      </c>
    </row>
    <row r="519" spans="2:5" x14ac:dyDescent="0.3">
      <c r="B519" s="55">
        <v>43145</v>
      </c>
      <c r="C519" s="54">
        <v>1201.4000000000001</v>
      </c>
      <c r="D519" s="56">
        <f t="shared" si="11"/>
        <v>-0.74737151989233741</v>
      </c>
      <c r="E519" s="64">
        <v>1.1960916442048664E-2</v>
      </c>
    </row>
    <row r="520" spans="2:5" x14ac:dyDescent="0.3">
      <c r="B520" s="55">
        <v>45898</v>
      </c>
      <c r="C520" s="54">
        <v>4755.6000000000004</v>
      </c>
      <c r="D520" s="56">
        <f t="shared" si="11"/>
        <v>-4.1093680687179779E-2</v>
      </c>
      <c r="E520" s="64">
        <v>1.1851315985446753E-2</v>
      </c>
    </row>
    <row r="521" spans="2:5" x14ac:dyDescent="0.3">
      <c r="B521" s="55">
        <v>45530</v>
      </c>
      <c r="C521" s="54">
        <v>4959.3999999999996</v>
      </c>
      <c r="D521" s="56">
        <f t="shared" si="11"/>
        <v>1.3248095628735497</v>
      </c>
      <c r="E521" s="64">
        <v>1.1812710394776937E-2</v>
      </c>
    </row>
    <row r="522" spans="2:5" x14ac:dyDescent="0.3">
      <c r="B522" s="55">
        <v>44103</v>
      </c>
      <c r="C522" s="54">
        <v>2133.25</v>
      </c>
      <c r="D522" s="56">
        <f t="shared" si="11"/>
        <v>1.5214230837420959</v>
      </c>
      <c r="E522" s="64">
        <v>1.1786188579017143E-2</v>
      </c>
    </row>
    <row r="523" spans="2:5" x14ac:dyDescent="0.3">
      <c r="B523" s="55">
        <v>42921</v>
      </c>
      <c r="C523" s="54">
        <v>846.05</v>
      </c>
      <c r="D523" s="56">
        <f t="shared" si="11"/>
        <v>-0.78977773912611349</v>
      </c>
      <c r="E523" s="64">
        <v>1.1779478593637815E-2</v>
      </c>
    </row>
    <row r="524" spans="2:5" x14ac:dyDescent="0.3">
      <c r="B524" s="55">
        <v>44679</v>
      </c>
      <c r="C524" s="54">
        <v>4024.55</v>
      </c>
      <c r="D524" s="56">
        <f t="shared" si="11"/>
        <v>-0.19409067243381795</v>
      </c>
      <c r="E524" s="64">
        <v>1.1778163260175667E-2</v>
      </c>
    </row>
    <row r="525" spans="2:5" x14ac:dyDescent="0.3">
      <c r="B525" s="55">
        <v>45505</v>
      </c>
      <c r="C525" s="54">
        <v>4993.8</v>
      </c>
      <c r="D525" s="56">
        <f t="shared" si="11"/>
        <v>0.35915301290076762</v>
      </c>
      <c r="E525" s="64">
        <v>1.1720134928433268E-2</v>
      </c>
    </row>
    <row r="526" spans="2:5" x14ac:dyDescent="0.3">
      <c r="B526" s="55">
        <v>45728</v>
      </c>
      <c r="C526" s="54">
        <v>3674.2</v>
      </c>
      <c r="D526" s="56">
        <f t="shared" si="11"/>
        <v>4.0002721829069134</v>
      </c>
      <c r="E526" s="64">
        <v>1.171643743202111E-2</v>
      </c>
    </row>
    <row r="527" spans="2:5" x14ac:dyDescent="0.3">
      <c r="B527" s="55">
        <v>42850</v>
      </c>
      <c r="C527" s="54">
        <v>734.8</v>
      </c>
      <c r="D527" s="56">
        <f t="shared" si="11"/>
        <v>-0.61371044054252977</v>
      </c>
      <c r="E527" s="64">
        <v>1.1703152967093455E-2</v>
      </c>
    </row>
    <row r="528" spans="2:5" x14ac:dyDescent="0.3">
      <c r="B528" s="55">
        <v>43733</v>
      </c>
      <c r="C528" s="54">
        <v>1902.2</v>
      </c>
      <c r="D528" s="56">
        <f t="shared" si="11"/>
        <v>-0.4595331789575372</v>
      </c>
      <c r="E528" s="64">
        <v>1.1673979523999511E-2</v>
      </c>
    </row>
    <row r="529" spans="2:5" x14ac:dyDescent="0.3">
      <c r="B529" s="55">
        <v>44733</v>
      </c>
      <c r="C529" s="54">
        <v>3519.55</v>
      </c>
      <c r="D529" s="56">
        <f t="shared" si="11"/>
        <v>-0.24680063345317582</v>
      </c>
      <c r="E529" s="64">
        <v>1.1626570089965815E-2</v>
      </c>
    </row>
    <row r="530" spans="2:5" x14ac:dyDescent="0.3">
      <c r="B530" s="55">
        <v>45390</v>
      </c>
      <c r="C530" s="54">
        <v>4672.8</v>
      </c>
      <c r="D530" s="56">
        <f t="shared" si="11"/>
        <v>-8.0429007182918344E-2</v>
      </c>
      <c r="E530" s="64">
        <v>1.1592791037506212E-2</v>
      </c>
    </row>
    <row r="531" spans="2:5" x14ac:dyDescent="0.3">
      <c r="B531" s="55">
        <v>44516</v>
      </c>
      <c r="C531" s="54">
        <v>5081.5</v>
      </c>
      <c r="D531" s="56">
        <f t="shared" si="11"/>
        <v>0.20942022086824053</v>
      </c>
      <c r="E531" s="64">
        <v>1.1586009197141367E-2</v>
      </c>
    </row>
    <row r="532" spans="2:5" x14ac:dyDescent="0.3">
      <c r="B532" s="55">
        <v>45814</v>
      </c>
      <c r="C532" s="54">
        <v>4201.6000000000004</v>
      </c>
      <c r="D532" s="56">
        <f t="shared" si="11"/>
        <v>1.1706964248811742</v>
      </c>
      <c r="E532" s="64">
        <v>1.1580594679186262E-2</v>
      </c>
    </row>
    <row r="533" spans="2:5" x14ac:dyDescent="0.3">
      <c r="B533" s="55">
        <v>43818</v>
      </c>
      <c r="C533" s="54">
        <v>1935.6</v>
      </c>
      <c r="D533" s="56">
        <f t="shared" si="11"/>
        <v>-0.51450393167538278</v>
      </c>
      <c r="E533" s="64">
        <v>1.1549516592631148E-2</v>
      </c>
    </row>
    <row r="534" spans="2:5" x14ac:dyDescent="0.3">
      <c r="B534" s="55">
        <v>44753</v>
      </c>
      <c r="C534" s="54">
        <v>3986.85</v>
      </c>
      <c r="D534" s="56">
        <f t="shared" si="11"/>
        <v>-1.6757916543356122E-2</v>
      </c>
      <c r="E534" s="64">
        <v>1.1454448588172683E-2</v>
      </c>
    </row>
    <row r="535" spans="2:5" x14ac:dyDescent="0.3">
      <c r="B535" s="55">
        <v>44671</v>
      </c>
      <c r="C535" s="54">
        <v>4054.8</v>
      </c>
      <c r="D535" s="56">
        <f t="shared" si="11"/>
        <v>0.7499082925145113</v>
      </c>
      <c r="E535" s="64">
        <v>1.1449524807303879E-2</v>
      </c>
    </row>
    <row r="536" spans="2:5" x14ac:dyDescent="0.3">
      <c r="B536" s="55">
        <v>44012</v>
      </c>
      <c r="C536" s="54">
        <v>2317.15</v>
      </c>
      <c r="D536" s="56">
        <f t="shared" si="11"/>
        <v>-1.7490671641791078E-2</v>
      </c>
      <c r="E536" s="64">
        <v>1.1436303716798824E-2</v>
      </c>
    </row>
    <row r="537" spans="2:5" x14ac:dyDescent="0.3">
      <c r="B537" s="55">
        <v>43887</v>
      </c>
      <c r="C537" s="54">
        <v>2358.4</v>
      </c>
      <c r="D537" s="56">
        <f t="shared" si="11"/>
        <v>-0.50054532555406128</v>
      </c>
      <c r="E537" s="64">
        <v>1.1429184089203348E-2</v>
      </c>
    </row>
    <row r="538" spans="2:5" x14ac:dyDescent="0.3">
      <c r="B538" s="55">
        <v>44558</v>
      </c>
      <c r="C538" s="54">
        <v>4721.95</v>
      </c>
      <c r="D538" s="56">
        <f t="shared" si="11"/>
        <v>1.2883762630545932</v>
      </c>
      <c r="E538" s="64">
        <v>1.1416576526404931E-2</v>
      </c>
    </row>
    <row r="539" spans="2:5" x14ac:dyDescent="0.3">
      <c r="B539" s="55">
        <v>44043</v>
      </c>
      <c r="C539" s="54">
        <v>2063.4499999999998</v>
      </c>
      <c r="D539" s="56">
        <f t="shared" si="11"/>
        <v>0.37329872549998333</v>
      </c>
      <c r="E539" s="64">
        <v>1.1395941574355417E-2</v>
      </c>
    </row>
    <row r="540" spans="2:5" x14ac:dyDescent="0.3">
      <c r="B540" s="55">
        <v>43439</v>
      </c>
      <c r="C540" s="54">
        <v>1502.55</v>
      </c>
      <c r="D540" s="56">
        <f t="shared" si="11"/>
        <v>-0.57079810329067637</v>
      </c>
      <c r="E540" s="64">
        <v>1.1341455206300033E-2</v>
      </c>
    </row>
    <row r="541" spans="2:5" x14ac:dyDescent="0.3">
      <c r="B541" s="55">
        <v>45043</v>
      </c>
      <c r="C541" s="54">
        <v>3500.8</v>
      </c>
      <c r="D541" s="56">
        <f t="shared" si="11"/>
        <v>1.2958323769551106</v>
      </c>
      <c r="E541" s="64">
        <v>1.1324243124566813E-2</v>
      </c>
    </row>
    <row r="542" spans="2:5" x14ac:dyDescent="0.3">
      <c r="B542" s="55">
        <v>43712</v>
      </c>
      <c r="C542" s="54">
        <v>1524.85</v>
      </c>
      <c r="D542" s="56">
        <f t="shared" si="11"/>
        <v>-0.65817435943419489</v>
      </c>
      <c r="E542" s="64">
        <v>1.1173740053050274E-2</v>
      </c>
    </row>
    <row r="543" spans="2:5" x14ac:dyDescent="0.3">
      <c r="B543" s="55">
        <v>45385</v>
      </c>
      <c r="C543" s="54">
        <v>4460.8999999999996</v>
      </c>
      <c r="D543" s="56">
        <f t="shared" si="11"/>
        <v>3.6394261485740653E-2</v>
      </c>
      <c r="E543" s="64">
        <v>1.111778505615546E-2</v>
      </c>
    </row>
    <row r="544" spans="2:5" x14ac:dyDescent="0.3">
      <c r="B544" s="55">
        <v>44797</v>
      </c>
      <c r="C544" s="54">
        <v>4304.25</v>
      </c>
      <c r="D544" s="56">
        <f t="shared" si="11"/>
        <v>0.99705377441655441</v>
      </c>
      <c r="E544" s="64">
        <v>1.1111241616650558E-2</v>
      </c>
    </row>
    <row r="545" spans="2:5" x14ac:dyDescent="0.3">
      <c r="B545" s="55">
        <v>43865</v>
      </c>
      <c r="C545" s="54">
        <v>2155.3000000000002</v>
      </c>
      <c r="D545" s="56">
        <f t="shared" si="11"/>
        <v>-0.52032493184220774</v>
      </c>
      <c r="E545" s="64">
        <v>1.1094691905331633E-2</v>
      </c>
    </row>
    <row r="546" spans="2:5" x14ac:dyDescent="0.3">
      <c r="B546" s="55">
        <v>44817</v>
      </c>
      <c r="C546" s="54">
        <v>4493.25</v>
      </c>
      <c r="D546" s="56">
        <f t="shared" si="11"/>
        <v>2.1697294628055448</v>
      </c>
      <c r="E546" s="64">
        <v>1.1093734177927361E-2</v>
      </c>
    </row>
    <row r="547" spans="2:5" x14ac:dyDescent="0.3">
      <c r="B547" s="55">
        <v>43668</v>
      </c>
      <c r="C547" s="54">
        <v>1417.55</v>
      </c>
      <c r="D547" s="56">
        <f t="shared" si="11"/>
        <v>-6.3179460066748239E-2</v>
      </c>
      <c r="E547" s="64">
        <v>1.1055240540637001E-2</v>
      </c>
    </row>
    <row r="548" spans="2:5" x14ac:dyDescent="0.3">
      <c r="B548" s="55">
        <v>43441</v>
      </c>
      <c r="C548" s="54">
        <v>1513.15</v>
      </c>
      <c r="D548" s="56">
        <f t="shared" si="11"/>
        <v>0.30940636898580842</v>
      </c>
      <c r="E548" s="64">
        <v>1.1024621655029598E-2</v>
      </c>
    </row>
    <row r="549" spans="2:5" x14ac:dyDescent="0.3">
      <c r="B549" s="55">
        <v>43090</v>
      </c>
      <c r="C549" s="54">
        <v>1155.5999999999999</v>
      </c>
      <c r="D549" s="56">
        <f t="shared" si="11"/>
        <v>-0.16445537037706526</v>
      </c>
      <c r="E549" s="64">
        <v>1.1023622047243942E-2</v>
      </c>
    </row>
    <row r="550" spans="2:5" x14ac:dyDescent="0.3">
      <c r="B550" s="55">
        <v>43483</v>
      </c>
      <c r="C550" s="54">
        <v>1383.05</v>
      </c>
      <c r="D550" s="56">
        <f t="shared" si="11"/>
        <v>-0.68200995551059362</v>
      </c>
      <c r="E550" s="64">
        <v>1.1001461988304095E-2</v>
      </c>
    </row>
    <row r="551" spans="2:5" x14ac:dyDescent="0.3">
      <c r="B551" s="55">
        <v>45446</v>
      </c>
      <c r="C551" s="54">
        <v>4349.3500000000004</v>
      </c>
      <c r="D551" s="56">
        <f t="shared" si="11"/>
        <v>0.11236572890025576</v>
      </c>
      <c r="E551" s="64">
        <v>1.0971258556768282E-2</v>
      </c>
    </row>
    <row r="552" spans="2:5" x14ac:dyDescent="0.3">
      <c r="B552" s="55">
        <v>46000</v>
      </c>
      <c r="C552" s="54">
        <v>3910</v>
      </c>
      <c r="D552" s="56">
        <f t="shared" si="11"/>
        <v>-0.2707128735031894</v>
      </c>
      <c r="E552" s="64">
        <v>1.0962871031130472E-2</v>
      </c>
    </row>
    <row r="553" spans="2:5" x14ac:dyDescent="0.3">
      <c r="B553" s="55">
        <v>45544</v>
      </c>
      <c r="C553" s="54">
        <v>5361.4</v>
      </c>
      <c r="D553" s="56">
        <f t="shared" si="11"/>
        <v>0.42550617513726197</v>
      </c>
      <c r="E553" s="64">
        <v>1.0926849503624991E-2</v>
      </c>
    </row>
    <row r="554" spans="2:5" x14ac:dyDescent="0.3">
      <c r="B554" s="55">
        <v>45170</v>
      </c>
      <c r="C554" s="54">
        <v>3761.05</v>
      </c>
      <c r="D554" s="56">
        <f t="shared" si="11"/>
        <v>0.5903632288891707</v>
      </c>
      <c r="E554" s="64">
        <v>1.092624448983992E-2</v>
      </c>
    </row>
    <row r="555" spans="2:5" x14ac:dyDescent="0.3">
      <c r="B555" s="55">
        <v>43879</v>
      </c>
      <c r="C555" s="54">
        <v>2364.9</v>
      </c>
      <c r="D555" s="56">
        <f t="shared" si="11"/>
        <v>0.73915281659067533</v>
      </c>
      <c r="E555" s="64">
        <v>1.0878625317916724E-2</v>
      </c>
    </row>
    <row r="556" spans="2:5" x14ac:dyDescent="0.3">
      <c r="B556" s="55">
        <v>43174</v>
      </c>
      <c r="C556" s="54">
        <v>1359.8</v>
      </c>
      <c r="D556" s="56">
        <f t="shared" si="11"/>
        <v>-0.62576028622540258</v>
      </c>
      <c r="E556" s="64">
        <v>1.0853404698186075E-2</v>
      </c>
    </row>
    <row r="557" spans="2:5" x14ac:dyDescent="0.3">
      <c r="B557" s="55">
        <v>44424</v>
      </c>
      <c r="C557" s="54">
        <v>3633.5</v>
      </c>
      <c r="D557" s="56">
        <f t="shared" si="11"/>
        <v>0.78042924343394748</v>
      </c>
      <c r="E557" s="64">
        <v>1.0835848715416319E-2</v>
      </c>
    </row>
    <row r="558" spans="2:5" x14ac:dyDescent="0.3">
      <c r="B558" s="55">
        <v>44033</v>
      </c>
      <c r="C558" s="54">
        <v>2040.8</v>
      </c>
      <c r="D558" s="56">
        <f t="shared" si="11"/>
        <v>-0.55571036704837373</v>
      </c>
      <c r="E558" s="64">
        <v>1.0797424467558159E-2</v>
      </c>
    </row>
    <row r="559" spans="2:5" x14ac:dyDescent="0.3">
      <c r="B559" s="55">
        <v>46141</v>
      </c>
      <c r="C559" s="54">
        <v>4593.3999999999996</v>
      </c>
      <c r="D559" s="56">
        <f t="shared" si="11"/>
        <v>3.2688848920863212E-2</v>
      </c>
      <c r="E559" s="64">
        <v>1.0782501540357314E-2</v>
      </c>
    </row>
    <row r="560" spans="2:5" x14ac:dyDescent="0.3">
      <c r="B560" s="55">
        <v>46125</v>
      </c>
      <c r="C560" s="54">
        <v>4448</v>
      </c>
      <c r="D560" s="56">
        <f t="shared" si="11"/>
        <v>1.8915036078788274</v>
      </c>
      <c r="E560" s="64">
        <v>1.0771258464754796E-2</v>
      </c>
    </row>
    <row r="561" spans="2:5" x14ac:dyDescent="0.3">
      <c r="B561" s="55">
        <v>43285</v>
      </c>
      <c r="C561" s="54">
        <v>1538.3</v>
      </c>
      <c r="D561" s="56">
        <f t="shared" si="11"/>
        <v>-0.65162152368873993</v>
      </c>
      <c r="E561" s="64">
        <v>1.0742797069548837E-2</v>
      </c>
    </row>
    <row r="562" spans="2:5" x14ac:dyDescent="0.3">
      <c r="B562" s="55">
        <v>46121</v>
      </c>
      <c r="C562" s="54">
        <v>4415.6000000000004</v>
      </c>
      <c r="D562" s="56">
        <f t="shared" si="11"/>
        <v>0.12503662560352646</v>
      </c>
      <c r="E562" s="64">
        <v>1.0712323750228903E-2</v>
      </c>
    </row>
    <row r="563" spans="2:5" x14ac:dyDescent="0.3">
      <c r="B563" s="55">
        <v>44756</v>
      </c>
      <c r="C563" s="54">
        <v>3924.85</v>
      </c>
      <c r="D563" s="56">
        <f t="shared" si="11"/>
        <v>-0.13279273506634126</v>
      </c>
      <c r="E563" s="64">
        <v>1.068664941352182E-2</v>
      </c>
    </row>
    <row r="564" spans="2:5" x14ac:dyDescent="0.3">
      <c r="B564" s="55">
        <v>44819</v>
      </c>
      <c r="C564" s="54">
        <v>4525.8500000000004</v>
      </c>
      <c r="D564" s="56">
        <f t="shared" si="11"/>
        <v>1.4549646063301784</v>
      </c>
      <c r="E564" s="64">
        <v>1.0629152012505028E-2</v>
      </c>
    </row>
    <row r="565" spans="2:5" x14ac:dyDescent="0.3">
      <c r="B565" s="55">
        <v>43833</v>
      </c>
      <c r="C565" s="54">
        <v>1843.55</v>
      </c>
      <c r="D565" s="56">
        <f t="shared" si="11"/>
        <v>0.2524542273854411</v>
      </c>
      <c r="E565" s="64">
        <v>1.060738954062046E-2</v>
      </c>
    </row>
    <row r="566" spans="2:5" x14ac:dyDescent="0.3">
      <c r="B566" s="55">
        <v>43529</v>
      </c>
      <c r="C566" s="54">
        <v>1471.95</v>
      </c>
      <c r="D566" s="56">
        <f t="shared" si="11"/>
        <v>0.65369059656218398</v>
      </c>
      <c r="E566" s="64">
        <v>1.0572929181971169E-2</v>
      </c>
    </row>
    <row r="567" spans="2:5" x14ac:dyDescent="0.3">
      <c r="B567" s="55">
        <v>42958</v>
      </c>
      <c r="C567" s="54">
        <v>890.1</v>
      </c>
      <c r="D567" s="56">
        <f t="shared" si="11"/>
        <v>-0.77034418700655349</v>
      </c>
      <c r="E567" s="64">
        <v>1.0558583106267116E-2</v>
      </c>
    </row>
    <row r="568" spans="2:5" x14ac:dyDescent="0.3">
      <c r="B568" s="55">
        <v>46087</v>
      </c>
      <c r="C568" s="54">
        <v>3875.8</v>
      </c>
      <c r="D568" s="56">
        <f t="shared" si="11"/>
        <v>-4.4510458910103856E-2</v>
      </c>
      <c r="E568" s="64">
        <v>1.0533451530479354E-2</v>
      </c>
    </row>
    <row r="569" spans="2:5" x14ac:dyDescent="0.3">
      <c r="B569" s="55">
        <v>45371</v>
      </c>
      <c r="C569" s="54">
        <v>4056.35</v>
      </c>
      <c r="D569" s="56">
        <f t="shared" si="11"/>
        <v>0.10854979981689739</v>
      </c>
      <c r="E569" s="64">
        <v>1.0525397972148243E-2</v>
      </c>
    </row>
    <row r="570" spans="2:5" x14ac:dyDescent="0.3">
      <c r="B570" s="55">
        <v>45622</v>
      </c>
      <c r="C570" s="54">
        <v>3659.15</v>
      </c>
      <c r="D570" s="56">
        <f t="shared" si="11"/>
        <v>2.1067668534555954</v>
      </c>
      <c r="E570" s="64">
        <v>1.0521809972245499E-2</v>
      </c>
    </row>
    <row r="571" spans="2:5" x14ac:dyDescent="0.3">
      <c r="B571" s="55">
        <v>43140</v>
      </c>
      <c r="C571" s="54">
        <v>1177.8</v>
      </c>
      <c r="D571" s="56">
        <f t="shared" si="11"/>
        <v>-0.1012590614269363</v>
      </c>
      <c r="E571" s="64">
        <v>1.0510059628501489E-2</v>
      </c>
    </row>
    <row r="572" spans="2:5" x14ac:dyDescent="0.3">
      <c r="B572" s="55">
        <v>43628</v>
      </c>
      <c r="C572" s="54">
        <v>1310.5</v>
      </c>
      <c r="D572" s="56">
        <f t="shared" si="11"/>
        <v>-0.13930119532378815</v>
      </c>
      <c r="E572" s="64">
        <v>1.0486544837689848E-2</v>
      </c>
    </row>
    <row r="573" spans="2:5" x14ac:dyDescent="0.3">
      <c r="B573" s="55">
        <v>43355</v>
      </c>
      <c r="C573" s="54">
        <v>1522.6</v>
      </c>
      <c r="D573" s="56">
        <f t="shared" si="11"/>
        <v>-0.59427627371562575</v>
      </c>
      <c r="E573" s="64">
        <v>1.0485797717016077E-2</v>
      </c>
    </row>
    <row r="574" spans="2:5" x14ac:dyDescent="0.3">
      <c r="B574" s="55">
        <v>45138</v>
      </c>
      <c r="C574" s="54">
        <v>3752.8</v>
      </c>
      <c r="D574" s="56">
        <f t="shared" si="11"/>
        <v>-0.25910863234786041</v>
      </c>
      <c r="E574" s="64">
        <v>1.0474164624787896E-2</v>
      </c>
    </row>
    <row r="575" spans="2:5" x14ac:dyDescent="0.3">
      <c r="B575" s="55">
        <v>45496</v>
      </c>
      <c r="C575" s="54">
        <v>5065.25</v>
      </c>
      <c r="D575" s="56">
        <f t="shared" si="11"/>
        <v>0.18961225017027172</v>
      </c>
      <c r="E575" s="64">
        <v>1.0453135441914174E-2</v>
      </c>
    </row>
    <row r="576" spans="2:5" x14ac:dyDescent="0.3">
      <c r="B576" s="55">
        <v>45957</v>
      </c>
      <c r="C576" s="54">
        <v>4257.8999999999996</v>
      </c>
      <c r="D576" s="56">
        <f t="shared" si="11"/>
        <v>2.8127602417730015</v>
      </c>
      <c r="E576" s="64">
        <v>1.0441633641045112E-2</v>
      </c>
    </row>
    <row r="577" spans="2:5" x14ac:dyDescent="0.3">
      <c r="B577" s="55">
        <v>43017</v>
      </c>
      <c r="C577" s="54">
        <v>1116.75</v>
      </c>
      <c r="D577" s="56">
        <f t="shared" si="11"/>
        <v>-0.14526807240442385</v>
      </c>
      <c r="E577" s="64">
        <v>1.040488577244969E-2</v>
      </c>
    </row>
    <row r="578" spans="2:5" x14ac:dyDescent="0.3">
      <c r="B578" s="55">
        <v>43168</v>
      </c>
      <c r="C578" s="54">
        <v>1306.55</v>
      </c>
      <c r="D578" s="56">
        <f t="shared" si="11"/>
        <v>-0.33907479070238</v>
      </c>
      <c r="E578" s="64">
        <v>1.0362293624096131E-2</v>
      </c>
    </row>
    <row r="579" spans="2:5" x14ac:dyDescent="0.3">
      <c r="B579" s="55">
        <v>43774</v>
      </c>
      <c r="C579" s="54">
        <v>1976.85</v>
      </c>
      <c r="D579" s="56">
        <f t="shared" si="11"/>
        <v>-0.45062320230105468</v>
      </c>
      <c r="E579" s="64">
        <v>1.0323767664119687E-2</v>
      </c>
    </row>
    <row r="580" spans="2:5" x14ac:dyDescent="0.3">
      <c r="B580" s="55">
        <v>45680</v>
      </c>
      <c r="C580" s="54">
        <v>3598.35</v>
      </c>
      <c r="D580" s="56">
        <f t="shared" ref="D580:D643" si="12">C580/C581-1</f>
        <v>2.1347242791183896</v>
      </c>
      <c r="E580" s="64">
        <v>1.0318396226415061E-2</v>
      </c>
    </row>
    <row r="581" spans="2:5" x14ac:dyDescent="0.3">
      <c r="B581" s="55">
        <v>43038</v>
      </c>
      <c r="C581" s="54">
        <v>1147.9000000000001</v>
      </c>
      <c r="D581" s="56">
        <f t="shared" si="12"/>
        <v>-0.15296635182998819</v>
      </c>
      <c r="E581" s="64">
        <v>1.0297482837528626E-2</v>
      </c>
    </row>
    <row r="582" spans="2:5" x14ac:dyDescent="0.3">
      <c r="B582" s="55">
        <v>43186</v>
      </c>
      <c r="C582" s="54">
        <v>1355.2</v>
      </c>
      <c r="D582" s="56">
        <f t="shared" si="12"/>
        <v>-0.73110310822742741</v>
      </c>
      <c r="E582" s="64">
        <v>1.0250102501025093E-2</v>
      </c>
    </row>
    <row r="583" spans="2:5" x14ac:dyDescent="0.3">
      <c r="B583" s="55">
        <v>45489</v>
      </c>
      <c r="C583" s="54">
        <v>5039.8500000000004</v>
      </c>
      <c r="D583" s="56">
        <f t="shared" si="12"/>
        <v>4.6828265204386987E-2</v>
      </c>
      <c r="E583" s="64">
        <v>1.022279683694638E-2</v>
      </c>
    </row>
    <row r="584" spans="2:5" x14ac:dyDescent="0.3">
      <c r="B584" s="55">
        <v>44544</v>
      </c>
      <c r="C584" s="54">
        <v>4814.3999999999996</v>
      </c>
      <c r="D584" s="56">
        <f t="shared" si="12"/>
        <v>0.23941921532282961</v>
      </c>
      <c r="E584" s="64">
        <v>1.0197658315497904E-2</v>
      </c>
    </row>
    <row r="585" spans="2:5" x14ac:dyDescent="0.3">
      <c r="B585" s="55">
        <v>45736</v>
      </c>
      <c r="C585" s="54">
        <v>3884.4</v>
      </c>
      <c r="D585" s="56">
        <f t="shared" si="12"/>
        <v>-0.10303422158592346</v>
      </c>
      <c r="E585" s="64">
        <v>1.0194528243004264E-2</v>
      </c>
    </row>
    <row r="586" spans="2:5" x14ac:dyDescent="0.3">
      <c r="B586" s="55">
        <v>46195</v>
      </c>
      <c r="C586" s="54">
        <v>4330.6000000000004</v>
      </c>
      <c r="D586" s="56">
        <f t="shared" si="12"/>
        <v>0.19833418653236867</v>
      </c>
      <c r="E586" s="64">
        <v>1.0193846369171311E-2</v>
      </c>
    </row>
    <row r="587" spans="2:5" x14ac:dyDescent="0.3">
      <c r="B587" s="55">
        <v>44708</v>
      </c>
      <c r="C587" s="54">
        <v>3613.85</v>
      </c>
      <c r="D587" s="56">
        <f t="shared" si="12"/>
        <v>0.96698870594638731</v>
      </c>
      <c r="E587" s="64">
        <v>1.0174845210974226E-2</v>
      </c>
    </row>
    <row r="588" spans="2:5" x14ac:dyDescent="0.3">
      <c r="B588" s="55">
        <v>43791</v>
      </c>
      <c r="C588" s="54">
        <v>1837.25</v>
      </c>
      <c r="D588" s="56">
        <f t="shared" si="12"/>
        <v>-0.55327400491161516</v>
      </c>
      <c r="E588" s="64">
        <v>1.0171821305841933E-2</v>
      </c>
    </row>
    <row r="589" spans="2:5" x14ac:dyDescent="0.3">
      <c r="B589" s="55">
        <v>45798</v>
      </c>
      <c r="C589" s="54">
        <v>4112.7</v>
      </c>
      <c r="D589" s="56">
        <f t="shared" si="12"/>
        <v>5.7738799444473132E-2</v>
      </c>
      <c r="E589" s="64">
        <v>1.0119120717180463E-2</v>
      </c>
    </row>
    <row r="590" spans="2:5" x14ac:dyDescent="0.3">
      <c r="B590" s="55">
        <v>46078</v>
      </c>
      <c r="C590" s="54">
        <v>3888.2</v>
      </c>
      <c r="D590" s="56">
        <f t="shared" si="12"/>
        <v>-4.6869637691817512E-2</v>
      </c>
      <c r="E590" s="64">
        <v>1.0105733509988779E-2</v>
      </c>
    </row>
    <row r="591" spans="2:5" x14ac:dyDescent="0.3">
      <c r="B591" s="55">
        <v>46212</v>
      </c>
      <c r="C591" s="54">
        <v>4079.4</v>
      </c>
      <c r="D591" s="56">
        <f t="shared" si="12"/>
        <v>3.7646711449028647E-3</v>
      </c>
      <c r="E591" s="64">
        <v>1.0102510771059281E-2</v>
      </c>
    </row>
    <row r="592" spans="2:5" x14ac:dyDescent="0.3">
      <c r="B592" s="55">
        <v>45790</v>
      </c>
      <c r="C592" s="54">
        <v>4064.1</v>
      </c>
      <c r="D592" s="56">
        <f t="shared" si="12"/>
        <v>3.8933483306917482E-2</v>
      </c>
      <c r="E592" s="64">
        <v>1.0090717037405161E-2</v>
      </c>
    </row>
    <row r="593" spans="2:5" x14ac:dyDescent="0.3">
      <c r="B593" s="55">
        <v>44938</v>
      </c>
      <c r="C593" s="54">
        <v>3911.8</v>
      </c>
      <c r="D593" s="56">
        <f t="shared" si="12"/>
        <v>1.4822641030522239</v>
      </c>
      <c r="E593" s="64">
        <v>1.0044152960313912E-2</v>
      </c>
    </row>
    <row r="594" spans="2:5" x14ac:dyDescent="0.3">
      <c r="B594" s="55">
        <v>43468</v>
      </c>
      <c r="C594" s="54">
        <v>1575.9</v>
      </c>
      <c r="D594" s="56">
        <f t="shared" si="12"/>
        <v>0.70247933884297531</v>
      </c>
      <c r="E594" s="64">
        <v>1.0030443839128322E-2</v>
      </c>
    </row>
    <row r="595" spans="2:5" x14ac:dyDescent="0.3">
      <c r="B595" s="55">
        <v>42941</v>
      </c>
      <c r="C595" s="54">
        <v>925.65</v>
      </c>
      <c r="D595" s="56">
        <f t="shared" si="12"/>
        <v>-0.76578274841223659</v>
      </c>
      <c r="E595" s="64">
        <v>9.9285363591730125E-3</v>
      </c>
    </row>
    <row r="596" spans="2:5" x14ac:dyDescent="0.3">
      <c r="B596" s="55">
        <v>45996</v>
      </c>
      <c r="C596" s="54">
        <v>3952.1</v>
      </c>
      <c r="D596" s="56">
        <f t="shared" si="12"/>
        <v>-7.8451554596006279E-3</v>
      </c>
      <c r="E596" s="64">
        <v>9.9149055784120144E-3</v>
      </c>
    </row>
    <row r="597" spans="2:5" x14ac:dyDescent="0.3">
      <c r="B597" s="55">
        <v>44683</v>
      </c>
      <c r="C597" s="54">
        <v>3983.35</v>
      </c>
      <c r="D597" s="56">
        <f t="shared" si="12"/>
        <v>1.5798063534211977</v>
      </c>
      <c r="E597" s="64">
        <v>9.9131647334727013E-3</v>
      </c>
    </row>
    <row r="598" spans="2:5" x14ac:dyDescent="0.3">
      <c r="B598" s="55">
        <v>43249</v>
      </c>
      <c r="C598" s="54">
        <v>1544.05</v>
      </c>
      <c r="D598" s="56">
        <f t="shared" si="12"/>
        <v>-1.6622615673661856E-2</v>
      </c>
      <c r="E598" s="64">
        <v>9.9090849630452116E-3</v>
      </c>
    </row>
    <row r="599" spans="2:5" x14ac:dyDescent="0.3">
      <c r="B599" s="55">
        <v>43461</v>
      </c>
      <c r="C599" s="54">
        <v>1570.15</v>
      </c>
      <c r="D599" s="56">
        <f t="shared" si="12"/>
        <v>0.36321409967008167</v>
      </c>
      <c r="E599" s="64">
        <v>9.8401775090846133E-3</v>
      </c>
    </row>
    <row r="600" spans="2:5" x14ac:dyDescent="0.3">
      <c r="B600" s="55">
        <v>43040</v>
      </c>
      <c r="C600" s="54">
        <v>1151.8</v>
      </c>
      <c r="D600" s="56">
        <f t="shared" si="12"/>
        <v>-0.71121251629726201</v>
      </c>
      <c r="E600" s="64">
        <v>9.8193933017709512E-3</v>
      </c>
    </row>
    <row r="601" spans="2:5" x14ac:dyDescent="0.3">
      <c r="B601" s="55">
        <v>45261</v>
      </c>
      <c r="C601" s="54">
        <v>3988.4</v>
      </c>
      <c r="D601" s="56">
        <f t="shared" si="12"/>
        <v>0.20215812159025837</v>
      </c>
      <c r="E601" s="64">
        <v>9.7854294575605572E-3</v>
      </c>
    </row>
    <row r="602" spans="2:5" x14ac:dyDescent="0.3">
      <c r="B602" s="55">
        <v>44365</v>
      </c>
      <c r="C602" s="54">
        <v>3317.7</v>
      </c>
      <c r="D602" s="56">
        <f t="shared" si="12"/>
        <v>1.4998681384922574</v>
      </c>
      <c r="E602" s="64">
        <v>9.7852718722890586E-3</v>
      </c>
    </row>
    <row r="603" spans="2:5" x14ac:dyDescent="0.3">
      <c r="B603" s="55">
        <v>43165</v>
      </c>
      <c r="C603" s="54">
        <v>1327.15</v>
      </c>
      <c r="D603" s="56">
        <f t="shared" si="12"/>
        <v>-0.71739917380009366</v>
      </c>
      <c r="E603" s="64">
        <v>9.7770676405692925E-3</v>
      </c>
    </row>
    <row r="604" spans="2:5" x14ac:dyDescent="0.3">
      <c r="B604" s="55">
        <v>45916</v>
      </c>
      <c r="C604" s="54">
        <v>4696.2</v>
      </c>
      <c r="D604" s="56">
        <f t="shared" si="12"/>
        <v>0.26491858914791311</v>
      </c>
      <c r="E604" s="64">
        <v>9.7183401419049797E-3</v>
      </c>
    </row>
    <row r="605" spans="2:5" x14ac:dyDescent="0.3">
      <c r="B605" s="55">
        <v>45133</v>
      </c>
      <c r="C605" s="54">
        <v>3712.65</v>
      </c>
      <c r="D605" s="56">
        <f t="shared" si="12"/>
        <v>-0.21999873944283377</v>
      </c>
      <c r="E605" s="64">
        <v>9.6816741681511331E-3</v>
      </c>
    </row>
    <row r="606" spans="2:5" x14ac:dyDescent="0.3">
      <c r="B606" s="55">
        <v>45909</v>
      </c>
      <c r="C606" s="54">
        <v>4759.8</v>
      </c>
      <c r="D606" s="56">
        <f t="shared" si="12"/>
        <v>0.34233903945401734</v>
      </c>
      <c r="E606" s="64">
        <v>9.672903143693512E-3</v>
      </c>
    </row>
    <row r="607" spans="2:5" x14ac:dyDescent="0.3">
      <c r="B607" s="55">
        <v>45048</v>
      </c>
      <c r="C607" s="54">
        <v>3545.9</v>
      </c>
      <c r="D607" s="56">
        <f t="shared" si="12"/>
        <v>-8.600224252812827E-2</v>
      </c>
      <c r="E607" s="64">
        <v>9.666994120075767E-3</v>
      </c>
    </row>
    <row r="608" spans="2:5" x14ac:dyDescent="0.3">
      <c r="B608" s="55">
        <v>44935</v>
      </c>
      <c r="C608" s="54">
        <v>3879.55</v>
      </c>
      <c r="D608" s="56">
        <f t="shared" si="12"/>
        <v>-1.1818795450782571E-2</v>
      </c>
      <c r="E608" s="64">
        <v>9.6421600520495421E-3</v>
      </c>
    </row>
    <row r="609" spans="2:5" x14ac:dyDescent="0.3">
      <c r="B609" s="55">
        <v>45358</v>
      </c>
      <c r="C609" s="54">
        <v>3925.95</v>
      </c>
      <c r="D609" s="56">
        <f t="shared" si="12"/>
        <v>0.96824004211265113</v>
      </c>
      <c r="E609" s="64">
        <v>9.5920177953787711E-3</v>
      </c>
    </row>
    <row r="610" spans="2:5" x14ac:dyDescent="0.3">
      <c r="B610" s="55">
        <v>43769</v>
      </c>
      <c r="C610" s="54">
        <v>1994.65</v>
      </c>
      <c r="D610" s="56">
        <f t="shared" si="12"/>
        <v>0.33914065122524351</v>
      </c>
      <c r="E610" s="64">
        <v>9.5915371766968072E-3</v>
      </c>
    </row>
    <row r="611" spans="2:5" x14ac:dyDescent="0.3">
      <c r="B611" s="55">
        <v>43213</v>
      </c>
      <c r="C611" s="54">
        <v>1489.5</v>
      </c>
      <c r="D611" s="56">
        <f t="shared" si="12"/>
        <v>-0.66777445688539938</v>
      </c>
      <c r="E611" s="64">
        <v>9.5567303782024826E-3</v>
      </c>
    </row>
    <row r="612" spans="2:5" x14ac:dyDescent="0.3">
      <c r="B612" s="55">
        <v>44580</v>
      </c>
      <c r="C612" s="54">
        <v>4483.3999999999996</v>
      </c>
      <c r="D612" s="56">
        <f t="shared" si="12"/>
        <v>9.2619445087550156E-2</v>
      </c>
      <c r="E612" s="64">
        <v>9.5133017349109394E-3</v>
      </c>
    </row>
    <row r="613" spans="2:5" x14ac:dyDescent="0.3">
      <c r="B613" s="55">
        <v>45293</v>
      </c>
      <c r="C613" s="54">
        <v>4103.3500000000004</v>
      </c>
      <c r="D613" s="56">
        <f t="shared" si="12"/>
        <v>5.4330955553813594</v>
      </c>
      <c r="E613" s="64">
        <v>9.4962789839474482E-3</v>
      </c>
    </row>
    <row r="614" spans="2:5" x14ac:dyDescent="0.3">
      <c r="B614" s="55">
        <v>42825</v>
      </c>
      <c r="C614" s="54">
        <v>637.85</v>
      </c>
      <c r="D614" s="56">
        <f t="shared" si="12"/>
        <v>-0.81986472556799728</v>
      </c>
      <c r="E614" s="64">
        <v>9.4959246656642904E-3</v>
      </c>
    </row>
    <row r="615" spans="2:5" x14ac:dyDescent="0.3">
      <c r="B615" s="55">
        <v>45156</v>
      </c>
      <c r="C615" s="54">
        <v>3540.95</v>
      </c>
      <c r="D615" s="56">
        <f t="shared" si="12"/>
        <v>-5.5141957519479146E-2</v>
      </c>
      <c r="E615" s="64">
        <v>9.4935355579945924E-3</v>
      </c>
    </row>
    <row r="616" spans="2:5" x14ac:dyDescent="0.3">
      <c r="B616" s="55">
        <v>45239</v>
      </c>
      <c r="C616" s="54">
        <v>3747.6</v>
      </c>
      <c r="D616" s="56">
        <f t="shared" si="12"/>
        <v>1.0529721858947516E-2</v>
      </c>
      <c r="E616" s="64">
        <v>9.481736881801428E-3</v>
      </c>
    </row>
    <row r="617" spans="2:5" x14ac:dyDescent="0.3">
      <c r="B617" s="55">
        <v>44432</v>
      </c>
      <c r="C617" s="54">
        <v>3708.55</v>
      </c>
      <c r="D617" s="56">
        <f t="shared" si="12"/>
        <v>2.2360820244328101</v>
      </c>
      <c r="E617" s="64">
        <v>9.4726097312012314E-3</v>
      </c>
    </row>
    <row r="618" spans="2:5" x14ac:dyDescent="0.3">
      <c r="B618" s="55">
        <v>43088</v>
      </c>
      <c r="C618" s="54">
        <v>1146</v>
      </c>
      <c r="D618" s="56">
        <f t="shared" si="12"/>
        <v>-0.66258391237781189</v>
      </c>
      <c r="E618" s="64">
        <v>9.4692798942963563E-3</v>
      </c>
    </row>
    <row r="619" spans="2:5" x14ac:dyDescent="0.3">
      <c r="B619" s="55">
        <v>44384</v>
      </c>
      <c r="C619" s="54">
        <v>3396.4</v>
      </c>
      <c r="D619" s="56">
        <f t="shared" si="12"/>
        <v>-5.5125119973292946E-2</v>
      </c>
      <c r="E619" s="64">
        <v>9.4513463710397261E-3</v>
      </c>
    </row>
    <row r="620" spans="2:5" x14ac:dyDescent="0.3">
      <c r="B620" s="55">
        <v>44421</v>
      </c>
      <c r="C620" s="54">
        <v>3594.55</v>
      </c>
      <c r="D620" s="56">
        <f t="shared" si="12"/>
        <v>-0.11781524566828638</v>
      </c>
      <c r="E620" s="64">
        <v>9.4215108115698332E-3</v>
      </c>
    </row>
    <row r="621" spans="2:5" x14ac:dyDescent="0.3">
      <c r="B621" s="55">
        <v>44922</v>
      </c>
      <c r="C621" s="54">
        <v>4074.6</v>
      </c>
      <c r="D621" s="56">
        <f t="shared" si="12"/>
        <v>-9.6613073754057144E-3</v>
      </c>
      <c r="E621" s="64">
        <v>9.4138631521578642E-3</v>
      </c>
    </row>
    <row r="622" spans="2:5" x14ac:dyDescent="0.3">
      <c r="B622" s="55">
        <v>44592</v>
      </c>
      <c r="C622" s="54">
        <v>4114.3500000000004</v>
      </c>
      <c r="D622" s="56">
        <f t="shared" si="12"/>
        <v>7.7645646822530612E-3</v>
      </c>
      <c r="E622" s="64">
        <v>9.4087340529931396E-3</v>
      </c>
    </row>
    <row r="623" spans="2:5" x14ac:dyDescent="0.3">
      <c r="B623" s="55">
        <v>45289</v>
      </c>
      <c r="C623" s="54">
        <v>4082.65</v>
      </c>
      <c r="D623" s="56">
        <f t="shared" si="12"/>
        <v>1.7961440997191978</v>
      </c>
      <c r="E623" s="64">
        <v>9.3951268960230649E-3</v>
      </c>
    </row>
    <row r="624" spans="2:5" x14ac:dyDescent="0.3">
      <c r="B624" s="55">
        <v>43649</v>
      </c>
      <c r="C624" s="54">
        <v>1460.1</v>
      </c>
      <c r="D624" s="56">
        <f t="shared" si="12"/>
        <v>-0.69040424922871413</v>
      </c>
      <c r="E624" s="64">
        <v>9.3322272915803417E-3</v>
      </c>
    </row>
    <row r="625" spans="2:5" x14ac:dyDescent="0.3">
      <c r="B625" s="55">
        <v>45391</v>
      </c>
      <c r="C625" s="54">
        <v>4716.1499999999996</v>
      </c>
      <c r="D625" s="56">
        <f t="shared" si="12"/>
        <v>6.1920898866284713E-2</v>
      </c>
      <c r="E625" s="64">
        <v>9.2770929635335175E-3</v>
      </c>
    </row>
    <row r="626" spans="2:5" x14ac:dyDescent="0.3">
      <c r="B626" s="55">
        <v>44579</v>
      </c>
      <c r="C626" s="54">
        <v>4441.1499999999996</v>
      </c>
      <c r="D626" s="56">
        <f t="shared" si="12"/>
        <v>0.59232368864508267</v>
      </c>
      <c r="E626" s="64">
        <v>9.2375866378819893E-3</v>
      </c>
    </row>
    <row r="627" spans="2:5" x14ac:dyDescent="0.3">
      <c r="B627" s="55">
        <v>44197</v>
      </c>
      <c r="C627" s="54">
        <v>2789.1</v>
      </c>
      <c r="D627" s="56">
        <f t="shared" si="12"/>
        <v>-0.31829347281459663</v>
      </c>
      <c r="E627" s="64">
        <v>9.2270950933563967E-3</v>
      </c>
    </row>
    <row r="628" spans="2:5" x14ac:dyDescent="0.3">
      <c r="B628" s="55">
        <v>44643</v>
      </c>
      <c r="C628" s="54">
        <v>4091.35</v>
      </c>
      <c r="D628" s="56">
        <f t="shared" si="12"/>
        <v>5.2333509416344626E-3</v>
      </c>
      <c r="E628" s="64">
        <v>9.2131228416378885E-3</v>
      </c>
    </row>
    <row r="629" spans="2:5" x14ac:dyDescent="0.3">
      <c r="B629" s="55">
        <v>45274</v>
      </c>
      <c r="C629" s="54">
        <v>4070.05</v>
      </c>
      <c r="D629" s="56">
        <f t="shared" si="12"/>
        <v>-0.18417070066247732</v>
      </c>
      <c r="E629" s="64">
        <v>9.1741981874760015E-3</v>
      </c>
    </row>
    <row r="630" spans="2:5" x14ac:dyDescent="0.3">
      <c r="B630" s="55">
        <v>45488</v>
      </c>
      <c r="C630" s="54">
        <v>4988.8500000000004</v>
      </c>
      <c r="D630" s="56">
        <f t="shared" si="12"/>
        <v>9.1430420842901761E-3</v>
      </c>
      <c r="E630" s="64">
        <v>9.1430420842901761E-3</v>
      </c>
    </row>
    <row r="631" spans="2:5" x14ac:dyDescent="0.3">
      <c r="B631" s="55">
        <v>45485</v>
      </c>
      <c r="C631" s="54">
        <v>4943.6499999999996</v>
      </c>
      <c r="D631" s="56">
        <f t="shared" si="12"/>
        <v>0.14558325995272736</v>
      </c>
      <c r="E631" s="64">
        <v>9.1347037089959393E-3</v>
      </c>
    </row>
    <row r="632" spans="2:5" x14ac:dyDescent="0.3">
      <c r="B632" s="55">
        <v>45834</v>
      </c>
      <c r="C632" s="54">
        <v>4315.3999999999996</v>
      </c>
      <c r="D632" s="56">
        <f t="shared" si="12"/>
        <v>-9.3460496187215192E-2</v>
      </c>
      <c r="E632" s="64">
        <v>9.1198204096905044E-3</v>
      </c>
    </row>
    <row r="633" spans="2:5" x14ac:dyDescent="0.3">
      <c r="B633" s="55">
        <v>45918</v>
      </c>
      <c r="C633" s="54">
        <v>4760.3</v>
      </c>
      <c r="D633" s="56">
        <f t="shared" si="12"/>
        <v>0.32195670586928471</v>
      </c>
      <c r="E633" s="64">
        <v>9.1153838000550547E-3</v>
      </c>
    </row>
    <row r="634" spans="2:5" x14ac:dyDescent="0.3">
      <c r="B634" s="55">
        <v>45673</v>
      </c>
      <c r="C634" s="54">
        <v>3600.95</v>
      </c>
      <c r="D634" s="56">
        <f t="shared" si="12"/>
        <v>0.71449316764271753</v>
      </c>
      <c r="E634" s="64">
        <v>9.1075957348427661E-3</v>
      </c>
    </row>
    <row r="635" spans="2:5" x14ac:dyDescent="0.3">
      <c r="B635" s="55">
        <v>44126</v>
      </c>
      <c r="C635" s="54">
        <v>2100.3000000000002</v>
      </c>
      <c r="D635" s="56">
        <f t="shared" si="12"/>
        <v>0.95158892399182315</v>
      </c>
      <c r="E635" s="64">
        <v>9.1046676435968532E-3</v>
      </c>
    </row>
    <row r="636" spans="2:5" x14ac:dyDescent="0.3">
      <c r="B636" s="55">
        <v>42985</v>
      </c>
      <c r="C636" s="54">
        <v>1076.2</v>
      </c>
      <c r="D636" s="56">
        <f t="shared" si="12"/>
        <v>-0.35545307540276694</v>
      </c>
      <c r="E636" s="64">
        <v>9.0005625351585739E-3</v>
      </c>
    </row>
    <row r="637" spans="2:5" x14ac:dyDescent="0.3">
      <c r="B637" s="55">
        <v>43313</v>
      </c>
      <c r="C637" s="54">
        <v>1669.7</v>
      </c>
      <c r="D637" s="56">
        <f t="shared" si="12"/>
        <v>-0.65218568705669144</v>
      </c>
      <c r="E637" s="64">
        <v>8.9431385582210421E-3</v>
      </c>
    </row>
    <row r="638" spans="2:5" x14ac:dyDescent="0.3">
      <c r="B638" s="55">
        <v>45405</v>
      </c>
      <c r="C638" s="54">
        <v>4800.55</v>
      </c>
      <c r="D638" s="56">
        <f t="shared" si="12"/>
        <v>3.522378075548227E-3</v>
      </c>
      <c r="E638" s="64">
        <v>8.9428331231611313E-3</v>
      </c>
    </row>
    <row r="639" spans="2:5" x14ac:dyDescent="0.3">
      <c r="B639" s="55">
        <v>44504</v>
      </c>
      <c r="C639" s="54">
        <v>4783.7</v>
      </c>
      <c r="D639" s="56">
        <f t="shared" si="12"/>
        <v>-4.4940904008944349E-2</v>
      </c>
      <c r="E639" s="64">
        <v>8.9426950414441819E-3</v>
      </c>
    </row>
    <row r="640" spans="2:5" x14ac:dyDescent="0.3">
      <c r="B640" s="55">
        <v>45533</v>
      </c>
      <c r="C640" s="54">
        <v>5008.8</v>
      </c>
      <c r="D640" s="56">
        <f t="shared" si="12"/>
        <v>-2.2940074906366958E-2</v>
      </c>
      <c r="E640" s="64">
        <v>8.8522311852321511E-3</v>
      </c>
    </row>
    <row r="641" spans="2:5" x14ac:dyDescent="0.3">
      <c r="B641" s="55">
        <v>44517</v>
      </c>
      <c r="C641" s="54">
        <v>5126.3999999999996</v>
      </c>
      <c r="D641" s="56">
        <f t="shared" si="12"/>
        <v>0.23295973832315142</v>
      </c>
      <c r="E641" s="64">
        <v>8.8359736298335712E-3</v>
      </c>
    </row>
    <row r="642" spans="2:5" x14ac:dyDescent="0.3">
      <c r="B642" s="55">
        <v>45750</v>
      </c>
      <c r="C642" s="54">
        <v>4157.8</v>
      </c>
      <c r="D642" s="56">
        <f t="shared" si="12"/>
        <v>0.12231924743228118</v>
      </c>
      <c r="E642" s="64">
        <v>8.8197115092989442E-3</v>
      </c>
    </row>
    <row r="643" spans="2:5" x14ac:dyDescent="0.3">
      <c r="B643" s="55">
        <v>45057</v>
      </c>
      <c r="C643" s="54">
        <v>3704.65</v>
      </c>
      <c r="D643" s="56">
        <f t="shared" si="12"/>
        <v>8.16180549473009E-2</v>
      </c>
      <c r="E643" s="64">
        <v>8.8091931487077613E-3</v>
      </c>
    </row>
    <row r="644" spans="2:5" x14ac:dyDescent="0.3">
      <c r="B644" s="55">
        <v>45068</v>
      </c>
      <c r="C644" s="54">
        <v>3425.1</v>
      </c>
      <c r="D644" s="56">
        <f t="shared" ref="D644:D707" si="13">C644/C645-1</f>
        <v>1.1932571318797422</v>
      </c>
      <c r="E644" s="64">
        <v>8.7916942787718E-3</v>
      </c>
    </row>
    <row r="645" spans="2:5" x14ac:dyDescent="0.3">
      <c r="B645" s="55">
        <v>43298</v>
      </c>
      <c r="C645" s="54">
        <v>1561.65</v>
      </c>
      <c r="D645" s="56">
        <f t="shared" si="13"/>
        <v>-0.55780665987087996</v>
      </c>
      <c r="E645" s="64">
        <v>8.7852459545880723E-3</v>
      </c>
    </row>
    <row r="646" spans="2:5" x14ac:dyDescent="0.3">
      <c r="B646" s="55">
        <v>45079</v>
      </c>
      <c r="C646" s="54">
        <v>3531.6</v>
      </c>
      <c r="D646" s="56">
        <f t="shared" si="13"/>
        <v>-0.13087562140079745</v>
      </c>
      <c r="E646" s="64">
        <v>8.7691736410637766E-3</v>
      </c>
    </row>
    <row r="647" spans="2:5" x14ac:dyDescent="0.3">
      <c r="B647" s="55">
        <v>44901</v>
      </c>
      <c r="C647" s="54">
        <v>4063.4</v>
      </c>
      <c r="D647" s="56">
        <f t="shared" si="13"/>
        <v>-3.1012650681419784E-2</v>
      </c>
      <c r="E647" s="64">
        <v>8.7509154326428362E-3</v>
      </c>
    </row>
    <row r="648" spans="2:5" x14ac:dyDescent="0.3">
      <c r="B648" s="55">
        <v>44615</v>
      </c>
      <c r="C648" s="54">
        <v>4193.45</v>
      </c>
      <c r="D648" s="56">
        <f t="shared" si="13"/>
        <v>-0.20355352123376136</v>
      </c>
      <c r="E648" s="64">
        <v>8.7440763994128812E-3</v>
      </c>
    </row>
    <row r="649" spans="2:5" x14ac:dyDescent="0.3">
      <c r="B649" s="55">
        <v>45553</v>
      </c>
      <c r="C649" s="54">
        <v>5265.2</v>
      </c>
      <c r="D649" s="56">
        <f t="shared" si="13"/>
        <v>0.28827991191583058</v>
      </c>
      <c r="E649" s="64">
        <v>8.6879891184612479E-3</v>
      </c>
    </row>
    <row r="650" spans="2:5" x14ac:dyDescent="0.3">
      <c r="B650" s="55">
        <v>45824</v>
      </c>
      <c r="C650" s="54">
        <v>4087</v>
      </c>
      <c r="D650" s="56">
        <f t="shared" si="13"/>
        <v>-0.19601845203552704</v>
      </c>
      <c r="E650" s="64">
        <v>8.662602729583524E-3</v>
      </c>
    </row>
    <row r="651" spans="2:5" x14ac:dyDescent="0.3">
      <c r="B651" s="55">
        <v>45491</v>
      </c>
      <c r="C651" s="54">
        <v>5083.45</v>
      </c>
      <c r="D651" s="56">
        <f t="shared" si="13"/>
        <v>0.25983890954151168</v>
      </c>
      <c r="E651" s="64">
        <v>8.651051122553044E-3</v>
      </c>
    </row>
    <row r="652" spans="2:5" x14ac:dyDescent="0.3">
      <c r="B652" s="55">
        <v>46226</v>
      </c>
      <c r="C652" s="54">
        <v>4035</v>
      </c>
      <c r="D652" s="56">
        <f t="shared" si="13"/>
        <v>-7.0544198099625643E-2</v>
      </c>
      <c r="E652" s="64">
        <v>8.623922009748819E-3</v>
      </c>
    </row>
    <row r="653" spans="2:5" x14ac:dyDescent="0.3">
      <c r="B653" s="55">
        <v>44798</v>
      </c>
      <c r="C653" s="54">
        <v>4341.25</v>
      </c>
      <c r="D653" s="56">
        <f t="shared" si="13"/>
        <v>2.1354952872774549</v>
      </c>
      <c r="E653" s="64">
        <v>8.5961549631179413E-3</v>
      </c>
    </row>
    <row r="654" spans="2:5" x14ac:dyDescent="0.3">
      <c r="B654" s="55">
        <v>43494</v>
      </c>
      <c r="C654" s="54">
        <v>1384.55</v>
      </c>
      <c r="D654" s="56">
        <f t="shared" si="13"/>
        <v>-0.70343675366540648</v>
      </c>
      <c r="E654" s="64">
        <v>8.5958841741029524E-3</v>
      </c>
    </row>
    <row r="655" spans="2:5" x14ac:dyDescent="0.3">
      <c r="B655" s="55">
        <v>44557</v>
      </c>
      <c r="C655" s="54">
        <v>4668.6499999999996</v>
      </c>
      <c r="D655" s="56">
        <f t="shared" si="13"/>
        <v>0.30245501464639402</v>
      </c>
      <c r="E655" s="64">
        <v>8.5873533668905377E-3</v>
      </c>
    </row>
    <row r="656" spans="2:5" x14ac:dyDescent="0.3">
      <c r="B656" s="55">
        <v>45050</v>
      </c>
      <c r="C656" s="54">
        <v>3584.5</v>
      </c>
      <c r="D656" s="56">
        <f t="shared" si="13"/>
        <v>-0.23920195266900135</v>
      </c>
      <c r="E656" s="64">
        <v>8.5818795723129337E-3</v>
      </c>
    </row>
    <row r="657" spans="2:5" x14ac:dyDescent="0.3">
      <c r="B657" s="55">
        <v>44564</v>
      </c>
      <c r="C657" s="54">
        <v>4711.5</v>
      </c>
      <c r="D657" s="56">
        <f t="shared" si="13"/>
        <v>2.0206763904471869</v>
      </c>
      <c r="E657" s="64">
        <v>8.5733551680955422E-3</v>
      </c>
    </row>
    <row r="658" spans="2:5" x14ac:dyDescent="0.3">
      <c r="B658" s="55">
        <v>43446</v>
      </c>
      <c r="C658" s="54">
        <v>1559.75</v>
      </c>
      <c r="D658" s="56">
        <f t="shared" si="13"/>
        <v>-0.55447170727527206</v>
      </c>
      <c r="E658" s="64">
        <v>8.5677335919818187E-3</v>
      </c>
    </row>
    <row r="659" spans="2:5" x14ac:dyDescent="0.3">
      <c r="B659" s="55">
        <v>45078</v>
      </c>
      <c r="C659" s="54">
        <v>3500.9</v>
      </c>
      <c r="D659" s="56">
        <f t="shared" si="13"/>
        <v>0.53151931405573305</v>
      </c>
      <c r="E659" s="64">
        <v>8.5415916456608176E-3</v>
      </c>
    </row>
    <row r="660" spans="2:5" x14ac:dyDescent="0.3">
      <c r="B660" s="55">
        <v>44063</v>
      </c>
      <c r="C660" s="54">
        <v>2285.9</v>
      </c>
      <c r="D660" s="56">
        <f t="shared" si="13"/>
        <v>0.42162380671040767</v>
      </c>
      <c r="E660" s="64">
        <v>8.5149563222448599E-3</v>
      </c>
    </row>
    <row r="661" spans="2:5" x14ac:dyDescent="0.3">
      <c r="B661" s="55">
        <v>43263</v>
      </c>
      <c r="C661" s="54">
        <v>1607.95</v>
      </c>
      <c r="D661" s="56">
        <f t="shared" si="13"/>
        <v>-0.62355433815610795</v>
      </c>
      <c r="E661" s="64">
        <v>8.4984947315605019E-3</v>
      </c>
    </row>
    <row r="662" spans="2:5" x14ac:dyDescent="0.3">
      <c r="B662" s="55">
        <v>44861</v>
      </c>
      <c r="C662" s="54">
        <v>4271.3999999999996</v>
      </c>
      <c r="D662" s="56">
        <f t="shared" si="13"/>
        <v>0.10474860335195513</v>
      </c>
      <c r="E662" s="64">
        <v>8.45216734346943E-3</v>
      </c>
    </row>
    <row r="663" spans="2:5" x14ac:dyDescent="0.3">
      <c r="B663" s="55">
        <v>46073</v>
      </c>
      <c r="C663" s="54">
        <v>3866.4</v>
      </c>
      <c r="D663" s="56">
        <f t="shared" si="13"/>
        <v>-0.10237152773747205</v>
      </c>
      <c r="E663" s="64">
        <v>8.4244020761066185E-3</v>
      </c>
    </row>
    <row r="664" spans="2:5" x14ac:dyDescent="0.3">
      <c r="B664" s="55">
        <v>44862</v>
      </c>
      <c r="C664" s="54">
        <v>4307.3500000000004</v>
      </c>
      <c r="D664" s="56">
        <f t="shared" si="13"/>
        <v>0.17246682545083369</v>
      </c>
      <c r="E664" s="64">
        <v>8.4164442571523779E-3</v>
      </c>
    </row>
    <row r="665" spans="2:5" x14ac:dyDescent="0.3">
      <c r="B665" s="55">
        <v>44431</v>
      </c>
      <c r="C665" s="54">
        <v>3673.75</v>
      </c>
      <c r="D665" s="56">
        <f t="shared" si="13"/>
        <v>0.54343031194202296</v>
      </c>
      <c r="E665" s="64">
        <v>8.4131646125553683E-3</v>
      </c>
    </row>
    <row r="666" spans="2:5" x14ac:dyDescent="0.3">
      <c r="B666" s="55">
        <v>44159</v>
      </c>
      <c r="C666" s="54">
        <v>2380.25</v>
      </c>
      <c r="D666" s="56">
        <f t="shared" si="13"/>
        <v>0.23281108377573489</v>
      </c>
      <c r="E666" s="64">
        <v>8.4095915946449384E-3</v>
      </c>
    </row>
    <row r="667" spans="2:5" x14ac:dyDescent="0.3">
      <c r="B667" s="55">
        <v>43844</v>
      </c>
      <c r="C667" s="54">
        <v>1930.75</v>
      </c>
      <c r="D667" s="56">
        <f t="shared" si="13"/>
        <v>1.9107439761421041E-2</v>
      </c>
      <c r="E667" s="64">
        <v>8.4088475700518917E-3</v>
      </c>
    </row>
    <row r="668" spans="2:5" x14ac:dyDescent="0.3">
      <c r="B668" s="55">
        <v>43735</v>
      </c>
      <c r="C668" s="54">
        <v>1894.55</v>
      </c>
      <c r="D668" s="56">
        <f t="shared" si="13"/>
        <v>0.27889158903739686</v>
      </c>
      <c r="E668" s="64">
        <v>8.3830104321906962E-3</v>
      </c>
    </row>
    <row r="669" spans="2:5" x14ac:dyDescent="0.3">
      <c r="B669" s="55">
        <v>43206</v>
      </c>
      <c r="C669" s="54">
        <v>1481.4</v>
      </c>
      <c r="D669" s="56">
        <f t="shared" si="13"/>
        <v>-0.62232306750968791</v>
      </c>
      <c r="E669" s="64">
        <v>8.3724729426180033E-3</v>
      </c>
    </row>
    <row r="670" spans="2:5" x14ac:dyDescent="0.3">
      <c r="B670" s="55">
        <v>46062</v>
      </c>
      <c r="C670" s="54">
        <v>3922.4</v>
      </c>
      <c r="D670" s="56">
        <f t="shared" si="13"/>
        <v>6.846814943953361E-2</v>
      </c>
      <c r="E670" s="64">
        <v>8.3549705647960604E-3</v>
      </c>
    </row>
    <row r="671" spans="2:5" x14ac:dyDescent="0.3">
      <c r="B671" s="55">
        <v>45197</v>
      </c>
      <c r="C671" s="54">
        <v>3671.05</v>
      </c>
      <c r="D671" s="56">
        <f t="shared" si="13"/>
        <v>-0.19218158612798164</v>
      </c>
      <c r="E671" s="64">
        <v>8.336308951575333E-3</v>
      </c>
    </row>
    <row r="672" spans="2:5" x14ac:dyDescent="0.3">
      <c r="B672" s="55">
        <v>46140</v>
      </c>
      <c r="C672" s="54">
        <v>4544.3999999999996</v>
      </c>
      <c r="D672" s="56">
        <f t="shared" si="13"/>
        <v>3.3346051125524605</v>
      </c>
      <c r="E672" s="64">
        <v>8.2758314659092669E-3</v>
      </c>
    </row>
    <row r="673" spans="2:5" x14ac:dyDescent="0.3">
      <c r="B673" s="55">
        <v>42979</v>
      </c>
      <c r="C673" s="54">
        <v>1048.4000000000001</v>
      </c>
      <c r="D673" s="56">
        <f t="shared" si="13"/>
        <v>-0.75819917892891731</v>
      </c>
      <c r="E673" s="64">
        <v>8.2708213117907992E-3</v>
      </c>
    </row>
    <row r="674" spans="2:5" x14ac:dyDescent="0.3">
      <c r="B674" s="55">
        <v>45831</v>
      </c>
      <c r="C674" s="54">
        <v>4335.8</v>
      </c>
      <c r="D674" s="56">
        <f t="shared" si="13"/>
        <v>1.8243494121095658</v>
      </c>
      <c r="E674" s="64">
        <v>8.2552380066507336E-3</v>
      </c>
    </row>
    <row r="675" spans="2:5" x14ac:dyDescent="0.3">
      <c r="B675" s="55">
        <v>43357</v>
      </c>
      <c r="C675" s="54">
        <v>1535.15</v>
      </c>
      <c r="D675" s="56">
        <f t="shared" si="13"/>
        <v>-0.59943900848010434</v>
      </c>
      <c r="E675" s="64">
        <v>8.2424799684750472E-3</v>
      </c>
    </row>
    <row r="676" spans="2:5" x14ac:dyDescent="0.3">
      <c r="B676" s="55">
        <v>46034</v>
      </c>
      <c r="C676" s="54">
        <v>3832.5</v>
      </c>
      <c r="D676" s="56">
        <f t="shared" si="13"/>
        <v>4.3661439372724722</v>
      </c>
      <c r="E676" s="64">
        <v>8.2077184121220892E-3</v>
      </c>
    </row>
    <row r="677" spans="2:5" x14ac:dyDescent="0.3">
      <c r="B677" s="55">
        <v>42879</v>
      </c>
      <c r="C677" s="54">
        <v>714.2</v>
      </c>
      <c r="D677" s="56">
        <f t="shared" si="13"/>
        <v>-0.83460509709018904</v>
      </c>
      <c r="E677" s="64">
        <v>8.187464709203951E-3</v>
      </c>
    </row>
    <row r="678" spans="2:5" x14ac:dyDescent="0.3">
      <c r="B678" s="55">
        <v>44832</v>
      </c>
      <c r="C678" s="54">
        <v>4318.1499999999996</v>
      </c>
      <c r="D678" s="56">
        <f t="shared" si="13"/>
        <v>0.11961989213856028</v>
      </c>
      <c r="E678" s="64">
        <v>8.159787075084024E-3</v>
      </c>
    </row>
    <row r="679" spans="2:5" x14ac:dyDescent="0.3">
      <c r="B679" s="55">
        <v>46007</v>
      </c>
      <c r="C679" s="54">
        <v>3856.8</v>
      </c>
      <c r="D679" s="56">
        <f t="shared" si="13"/>
        <v>-0.24566533342460661</v>
      </c>
      <c r="E679" s="64">
        <v>8.1555834378921332E-3</v>
      </c>
    </row>
    <row r="680" spans="2:5" x14ac:dyDescent="0.3">
      <c r="B680" s="55">
        <v>45502</v>
      </c>
      <c r="C680" s="54">
        <v>5112.8500000000004</v>
      </c>
      <c r="D680" s="56">
        <f t="shared" si="13"/>
        <v>0.43957034054594346</v>
      </c>
      <c r="E680" s="64">
        <v>8.1335278807477263E-3</v>
      </c>
    </row>
    <row r="681" spans="2:5" x14ac:dyDescent="0.3">
      <c r="B681" s="55">
        <v>44418</v>
      </c>
      <c r="C681" s="54">
        <v>3551.65</v>
      </c>
      <c r="D681" s="56">
        <f t="shared" si="13"/>
        <v>-0.27259042313521487</v>
      </c>
      <c r="E681" s="64">
        <v>8.1322736304285659E-3</v>
      </c>
    </row>
    <row r="682" spans="2:5" x14ac:dyDescent="0.3">
      <c r="B682" s="55">
        <v>44524</v>
      </c>
      <c r="C682" s="54">
        <v>4882.6000000000004</v>
      </c>
      <c r="D682" s="56">
        <f t="shared" si="13"/>
        <v>2.4752838179294638</v>
      </c>
      <c r="E682" s="64">
        <v>8.1143022319494218E-3</v>
      </c>
    </row>
    <row r="683" spans="2:5" x14ac:dyDescent="0.3">
      <c r="B683" s="55">
        <v>43431</v>
      </c>
      <c r="C683" s="54">
        <v>1404.95</v>
      </c>
      <c r="D683" s="56">
        <f t="shared" si="13"/>
        <v>-0.68636358562802069</v>
      </c>
      <c r="E683" s="64">
        <v>8.0720384587786853E-3</v>
      </c>
    </row>
    <row r="684" spans="2:5" x14ac:dyDescent="0.3">
      <c r="B684" s="55">
        <v>44838</v>
      </c>
      <c r="C684" s="54">
        <v>4479.55</v>
      </c>
      <c r="D684" s="56">
        <f t="shared" si="13"/>
        <v>0.27948758229673953</v>
      </c>
      <c r="E684" s="64">
        <v>8.0562587904360328E-3</v>
      </c>
    </row>
    <row r="685" spans="2:5" x14ac:dyDescent="0.3">
      <c r="B685" s="55">
        <v>45029</v>
      </c>
      <c r="C685" s="54">
        <v>3501.05</v>
      </c>
      <c r="D685" s="56">
        <f t="shared" si="13"/>
        <v>1.3267428723333556</v>
      </c>
      <c r="E685" s="64">
        <v>8.0475655754226327E-3</v>
      </c>
    </row>
    <row r="686" spans="2:5" x14ac:dyDescent="0.3">
      <c r="B686" s="55">
        <v>43696</v>
      </c>
      <c r="C686" s="54">
        <v>1504.7</v>
      </c>
      <c r="D686" s="56">
        <f t="shared" si="13"/>
        <v>-0.68059181897302001</v>
      </c>
      <c r="E686" s="64">
        <v>8.0391237355128542E-3</v>
      </c>
    </row>
    <row r="687" spans="2:5" x14ac:dyDescent="0.3">
      <c r="B687" s="55">
        <v>44530</v>
      </c>
      <c r="C687" s="54">
        <v>4710.8999999999996</v>
      </c>
      <c r="D687" s="56">
        <f t="shared" si="13"/>
        <v>-9.0660496424064263E-3</v>
      </c>
      <c r="E687" s="64">
        <v>8.0349214161146154E-3</v>
      </c>
    </row>
    <row r="688" spans="2:5" x14ac:dyDescent="0.3">
      <c r="B688" s="55">
        <v>45392</v>
      </c>
      <c r="C688" s="54">
        <v>4754</v>
      </c>
      <c r="D688" s="56">
        <f t="shared" si="13"/>
        <v>-4.1580694827026976E-3</v>
      </c>
      <c r="E688" s="64">
        <v>8.0256141132069025E-3</v>
      </c>
    </row>
    <row r="689" spans="2:5" x14ac:dyDescent="0.3">
      <c r="B689" s="55">
        <v>45475</v>
      </c>
      <c r="C689" s="54">
        <v>4773.8500000000004</v>
      </c>
      <c r="D689" s="56">
        <f t="shared" si="13"/>
        <v>0.19191301308299225</v>
      </c>
      <c r="E689" s="64">
        <v>8.0132604151270659E-3</v>
      </c>
    </row>
    <row r="690" spans="2:5" x14ac:dyDescent="0.3">
      <c r="B690" s="55">
        <v>45587</v>
      </c>
      <c r="C690" s="54">
        <v>4005.2</v>
      </c>
      <c r="D690" s="56">
        <f t="shared" si="13"/>
        <v>8.0777689329033731E-2</v>
      </c>
      <c r="E690" s="64">
        <v>7.990537190602609E-3</v>
      </c>
    </row>
    <row r="691" spans="2:5" x14ac:dyDescent="0.3">
      <c r="B691" s="55">
        <v>45126</v>
      </c>
      <c r="C691" s="54">
        <v>3705.85</v>
      </c>
      <c r="D691" s="56">
        <f t="shared" si="13"/>
        <v>2.1215043800539082</v>
      </c>
      <c r="E691" s="64">
        <v>7.9831361349109731E-3</v>
      </c>
    </row>
    <row r="692" spans="2:5" x14ac:dyDescent="0.3">
      <c r="B692" s="55">
        <v>43143</v>
      </c>
      <c r="C692" s="54">
        <v>1187.2</v>
      </c>
      <c r="D692" s="56">
        <f t="shared" si="13"/>
        <v>-0.26008102212527262</v>
      </c>
      <c r="E692" s="64">
        <v>7.9809814909153065E-3</v>
      </c>
    </row>
    <row r="693" spans="2:5" x14ac:dyDescent="0.3">
      <c r="B693" s="55">
        <v>43343</v>
      </c>
      <c r="C693" s="54">
        <v>1604.5</v>
      </c>
      <c r="D693" s="56">
        <f t="shared" si="13"/>
        <v>-0.52742802444591708</v>
      </c>
      <c r="E693" s="64">
        <v>7.9783892448801463E-3</v>
      </c>
    </row>
    <row r="694" spans="2:5" x14ac:dyDescent="0.3">
      <c r="B694" s="55">
        <v>45065</v>
      </c>
      <c r="C694" s="54">
        <v>3395.25</v>
      </c>
      <c r="D694" s="56">
        <f t="shared" si="13"/>
        <v>1.9669681478568624</v>
      </c>
      <c r="E694" s="64">
        <v>7.9262590728947924E-3</v>
      </c>
    </row>
    <row r="695" spans="2:5" x14ac:dyDescent="0.3">
      <c r="B695" s="55">
        <v>43119</v>
      </c>
      <c r="C695" s="54">
        <v>1144.3499999999999</v>
      </c>
      <c r="D695" s="56">
        <f t="shared" si="13"/>
        <v>-0.68489529552682671</v>
      </c>
      <c r="E695" s="64">
        <v>7.8383019948036203E-3</v>
      </c>
    </row>
    <row r="696" spans="2:5" x14ac:dyDescent="0.3">
      <c r="B696" s="55">
        <v>45727</v>
      </c>
      <c r="C696" s="54">
        <v>3631.65</v>
      </c>
      <c r="D696" s="56">
        <f t="shared" si="13"/>
        <v>0.71583473104816786</v>
      </c>
      <c r="E696" s="64">
        <v>7.7419354838710319E-3</v>
      </c>
    </row>
    <row r="697" spans="2:5" x14ac:dyDescent="0.3">
      <c r="B697" s="55">
        <v>44127</v>
      </c>
      <c r="C697" s="54">
        <v>2116.5500000000002</v>
      </c>
      <c r="D697" s="56">
        <f t="shared" si="13"/>
        <v>-0.47337712423179312</v>
      </c>
      <c r="E697" s="64">
        <v>7.7369899538162201E-3</v>
      </c>
    </row>
    <row r="698" spans="2:5" x14ac:dyDescent="0.3">
      <c r="B698" s="55">
        <v>45987</v>
      </c>
      <c r="C698" s="54">
        <v>4019.1</v>
      </c>
      <c r="D698" s="56">
        <f t="shared" si="13"/>
        <v>6.2635503146317051E-2</v>
      </c>
      <c r="E698" s="64">
        <v>7.6467933610790961E-3</v>
      </c>
    </row>
    <row r="699" spans="2:5" x14ac:dyDescent="0.3">
      <c r="B699" s="55">
        <v>46022</v>
      </c>
      <c r="C699" s="54">
        <v>3782.2</v>
      </c>
      <c r="D699" s="56">
        <f t="shared" si="13"/>
        <v>1.5581332431518429</v>
      </c>
      <c r="E699" s="64">
        <v>7.6461968829091287E-3</v>
      </c>
    </row>
    <row r="700" spans="2:5" x14ac:dyDescent="0.3">
      <c r="B700" s="55">
        <v>43539</v>
      </c>
      <c r="C700" s="54">
        <v>1478.5</v>
      </c>
      <c r="D700" s="56">
        <f t="shared" si="13"/>
        <v>-0.63528497601045919</v>
      </c>
      <c r="E700" s="64">
        <v>7.6330675390172686E-3</v>
      </c>
    </row>
    <row r="701" spans="2:5" x14ac:dyDescent="0.3">
      <c r="B701" s="55">
        <v>45755</v>
      </c>
      <c r="C701" s="54">
        <v>4053.85</v>
      </c>
      <c r="D701" s="56">
        <f t="shared" si="13"/>
        <v>-0.11213684198999097</v>
      </c>
      <c r="E701" s="64">
        <v>7.6308365335620021E-3</v>
      </c>
    </row>
    <row r="702" spans="2:5" x14ac:dyDescent="0.3">
      <c r="B702" s="55">
        <v>44805</v>
      </c>
      <c r="C702" s="54">
        <v>4565.8500000000004</v>
      </c>
      <c r="D702" s="56">
        <f t="shared" si="13"/>
        <v>0.89729898192395607</v>
      </c>
      <c r="E702" s="64">
        <v>7.6136250786189574E-3</v>
      </c>
    </row>
    <row r="703" spans="2:5" x14ac:dyDescent="0.3">
      <c r="B703" s="55">
        <v>43993</v>
      </c>
      <c r="C703" s="54">
        <v>2406.5</v>
      </c>
      <c r="D703" s="56">
        <f t="shared" si="13"/>
        <v>-0.15828684353194244</v>
      </c>
      <c r="E703" s="64">
        <v>7.5993886993113158E-3</v>
      </c>
    </row>
    <row r="704" spans="2:5" x14ac:dyDescent="0.3">
      <c r="B704" s="55">
        <v>44286</v>
      </c>
      <c r="C704" s="54">
        <v>2859.05</v>
      </c>
      <c r="D704" s="56">
        <f t="shared" si="13"/>
        <v>-0.4279325696563453</v>
      </c>
      <c r="E704" s="64">
        <v>7.5769589963172734E-3</v>
      </c>
    </row>
    <row r="705" spans="2:5" x14ac:dyDescent="0.3">
      <c r="B705" s="55">
        <v>44511</v>
      </c>
      <c r="C705" s="54">
        <v>4997.75</v>
      </c>
      <c r="D705" s="56">
        <f t="shared" si="13"/>
        <v>6.2017892432903565E-2</v>
      </c>
      <c r="E705" s="64">
        <v>7.5499465758119833E-3</v>
      </c>
    </row>
    <row r="706" spans="2:5" x14ac:dyDescent="0.3">
      <c r="B706" s="55">
        <v>45433</v>
      </c>
      <c r="C706" s="54">
        <v>4705.8999999999996</v>
      </c>
      <c r="D706" s="56">
        <f t="shared" si="13"/>
        <v>0.17549052668390219</v>
      </c>
      <c r="E706" s="64">
        <v>7.5471294145355028E-3</v>
      </c>
    </row>
    <row r="707" spans="2:5" x14ac:dyDescent="0.3">
      <c r="B707" s="55">
        <v>44651</v>
      </c>
      <c r="C707" s="54">
        <v>4003.35</v>
      </c>
      <c r="D707" s="56">
        <f t="shared" si="13"/>
        <v>0.11419267753023199</v>
      </c>
      <c r="E707" s="64">
        <v>7.5376252076306827E-3</v>
      </c>
    </row>
    <row r="708" spans="2:5" x14ac:dyDescent="0.3">
      <c r="B708" s="55">
        <v>44412</v>
      </c>
      <c r="C708" s="54">
        <v>3593.05</v>
      </c>
      <c r="D708" s="56">
        <f t="shared" ref="D708:D771" si="14">C708/C709-1</f>
        <v>-2.9744545258155064E-2</v>
      </c>
      <c r="E708" s="64">
        <v>7.5148966000702089E-3</v>
      </c>
    </row>
    <row r="709" spans="2:5" x14ac:dyDescent="0.3">
      <c r="B709" s="55">
        <v>45335</v>
      </c>
      <c r="C709" s="54">
        <v>3703.2</v>
      </c>
      <c r="D709" s="56">
        <f t="shared" si="14"/>
        <v>-2.8222790789214747E-2</v>
      </c>
      <c r="E709" s="64">
        <v>7.5089781260202493E-3</v>
      </c>
    </row>
    <row r="710" spans="2:5" x14ac:dyDescent="0.3">
      <c r="B710" s="55">
        <v>45180</v>
      </c>
      <c r="C710" s="54">
        <v>3810.75</v>
      </c>
      <c r="D710" s="56">
        <f t="shared" si="14"/>
        <v>2.3243915205443604</v>
      </c>
      <c r="E710" s="64">
        <v>7.4952411167512611E-3</v>
      </c>
    </row>
    <row r="711" spans="2:5" x14ac:dyDescent="0.3">
      <c r="B711" s="55">
        <v>43062</v>
      </c>
      <c r="C711" s="54">
        <v>1146.3</v>
      </c>
      <c r="D711" s="56">
        <f t="shared" si="14"/>
        <v>-0.67794229202371259</v>
      </c>
      <c r="E711" s="64">
        <v>7.4705572156794631E-3</v>
      </c>
    </row>
    <row r="712" spans="2:5" x14ac:dyDescent="0.3">
      <c r="B712" s="55">
        <v>45685</v>
      </c>
      <c r="C712" s="54">
        <v>3559.3</v>
      </c>
      <c r="D712" s="56">
        <f t="shared" si="14"/>
        <v>-0.23472371533003655</v>
      </c>
      <c r="E712" s="64">
        <v>7.4583563311114709E-3</v>
      </c>
    </row>
    <row r="713" spans="2:5" x14ac:dyDescent="0.3">
      <c r="B713" s="55">
        <v>45915</v>
      </c>
      <c r="C713" s="54">
        <v>4651</v>
      </c>
      <c r="D713" s="56">
        <f t="shared" si="14"/>
        <v>0.21585235144955939</v>
      </c>
      <c r="E713" s="64">
        <v>7.4513711389332382E-3</v>
      </c>
    </row>
    <row r="714" spans="2:5" x14ac:dyDescent="0.3">
      <c r="B714" s="55">
        <v>45733</v>
      </c>
      <c r="C714" s="54">
        <v>3825.3</v>
      </c>
      <c r="D714" s="56">
        <f t="shared" si="14"/>
        <v>-6.0122850122850124E-2</v>
      </c>
      <c r="E714" s="64">
        <v>7.4267203918780833E-3</v>
      </c>
    </row>
    <row r="715" spans="2:5" x14ac:dyDescent="0.3">
      <c r="B715" s="55">
        <v>46247</v>
      </c>
      <c r="C715" s="54">
        <v>4070</v>
      </c>
      <c r="D715" s="56">
        <f t="shared" si="14"/>
        <v>3.6496350364962904E-3</v>
      </c>
      <c r="E715" s="64">
        <v>7.4257425742574323E-3</v>
      </c>
    </row>
    <row r="716" spans="2:5" x14ac:dyDescent="0.3">
      <c r="B716" s="55">
        <v>45811</v>
      </c>
      <c r="C716" s="54">
        <v>4055.2</v>
      </c>
      <c r="D716" s="56">
        <f t="shared" si="14"/>
        <v>7.1277784676517797E-3</v>
      </c>
      <c r="E716" s="64">
        <v>7.3779654701278119E-3</v>
      </c>
    </row>
    <row r="717" spans="2:5" x14ac:dyDescent="0.3">
      <c r="B717" s="55">
        <v>45980</v>
      </c>
      <c r="C717" s="54">
        <v>4026.5</v>
      </c>
      <c r="D717" s="56">
        <f t="shared" si="14"/>
        <v>1.5252430228911886</v>
      </c>
      <c r="E717" s="64">
        <v>7.3301310917643914E-3</v>
      </c>
    </row>
    <row r="718" spans="2:5" x14ac:dyDescent="0.3">
      <c r="B718" s="55">
        <v>43448</v>
      </c>
      <c r="C718" s="54">
        <v>1594.5</v>
      </c>
      <c r="D718" s="56">
        <f t="shared" si="14"/>
        <v>-0.56961820316612011</v>
      </c>
      <c r="E718" s="64">
        <v>7.3283214353401238E-3</v>
      </c>
    </row>
    <row r="719" spans="2:5" x14ac:dyDescent="0.3">
      <c r="B719" s="55">
        <v>45091</v>
      </c>
      <c r="C719" s="54">
        <v>3704.85</v>
      </c>
      <c r="D719" s="56">
        <f t="shared" si="14"/>
        <v>1.0255597167928707</v>
      </c>
      <c r="E719" s="64">
        <v>7.3275510481525252E-3</v>
      </c>
    </row>
    <row r="720" spans="2:5" x14ac:dyDescent="0.3">
      <c r="B720" s="55">
        <v>43838</v>
      </c>
      <c r="C720" s="54">
        <v>1829.05</v>
      </c>
      <c r="D720" s="56">
        <f t="shared" si="14"/>
        <v>-0.14207650273224037</v>
      </c>
      <c r="E720" s="64">
        <v>7.3247969158749537E-3</v>
      </c>
    </row>
    <row r="721" spans="2:5" x14ac:dyDescent="0.3">
      <c r="B721" s="55">
        <v>44054</v>
      </c>
      <c r="C721" s="54">
        <v>2131.9499999999998</v>
      </c>
      <c r="D721" s="56">
        <f t="shared" si="14"/>
        <v>-0.49226592362376309</v>
      </c>
      <c r="E721" s="64">
        <v>7.2997873848332784E-3</v>
      </c>
    </row>
    <row r="722" spans="2:5" x14ac:dyDescent="0.3">
      <c r="B722" s="55">
        <v>44631</v>
      </c>
      <c r="C722" s="54">
        <v>4198.95</v>
      </c>
      <c r="D722" s="56">
        <f t="shared" si="14"/>
        <v>0.75526711813393543</v>
      </c>
      <c r="E722" s="64">
        <v>7.280621791488695E-3</v>
      </c>
    </row>
    <row r="723" spans="2:5" x14ac:dyDescent="0.3">
      <c r="B723" s="55">
        <v>44154</v>
      </c>
      <c r="C723" s="54">
        <v>2392.1999999999998</v>
      </c>
      <c r="D723" s="56">
        <f t="shared" si="14"/>
        <v>0.24522409036489501</v>
      </c>
      <c r="E723" s="64">
        <v>7.220900612618486E-3</v>
      </c>
    </row>
    <row r="724" spans="2:5" x14ac:dyDescent="0.3">
      <c r="B724" s="55">
        <v>43825</v>
      </c>
      <c r="C724" s="54">
        <v>1921.1</v>
      </c>
      <c r="D724" s="56">
        <f t="shared" si="14"/>
        <v>-0.56436653892378508</v>
      </c>
      <c r="E724" s="64">
        <v>7.1825521652510993E-3</v>
      </c>
    </row>
    <row r="725" spans="2:5" x14ac:dyDescent="0.3">
      <c r="B725" s="55">
        <v>44462</v>
      </c>
      <c r="C725" s="54">
        <v>4409.8999999999996</v>
      </c>
      <c r="D725" s="56">
        <f t="shared" si="14"/>
        <v>-4.0710890679892642E-2</v>
      </c>
      <c r="E725" s="64">
        <v>7.1369029267012163E-3</v>
      </c>
    </row>
    <row r="726" spans="2:5" x14ac:dyDescent="0.3">
      <c r="B726" s="55">
        <v>44502</v>
      </c>
      <c r="C726" s="54">
        <v>4597.05</v>
      </c>
      <c r="D726" s="56">
        <f t="shared" si="14"/>
        <v>0.12342375366568925</v>
      </c>
      <c r="E726" s="64">
        <v>7.0759625390219849E-3</v>
      </c>
    </row>
    <row r="727" spans="2:5" x14ac:dyDescent="0.3">
      <c r="B727" s="55">
        <v>46182</v>
      </c>
      <c r="C727" s="54">
        <v>4092</v>
      </c>
      <c r="D727" s="56">
        <f t="shared" si="14"/>
        <v>0.33455090992107506</v>
      </c>
      <c r="E727" s="64">
        <v>7.0632244727191207E-3</v>
      </c>
    </row>
    <row r="728" spans="2:5" x14ac:dyDescent="0.3">
      <c r="B728" s="55">
        <v>44349</v>
      </c>
      <c r="C728" s="54">
        <v>3066.2</v>
      </c>
      <c r="D728" s="56">
        <f t="shared" si="14"/>
        <v>1.3305590392581612</v>
      </c>
      <c r="E728" s="64">
        <v>7.0283762480292111E-3</v>
      </c>
    </row>
    <row r="729" spans="2:5" x14ac:dyDescent="0.3">
      <c r="B729" s="55">
        <v>43171</v>
      </c>
      <c r="C729" s="54">
        <v>1315.65</v>
      </c>
      <c r="D729" s="56">
        <f t="shared" si="14"/>
        <v>-9.9425011978917066E-2</v>
      </c>
      <c r="E729" s="64">
        <v>6.9649075810340744E-3</v>
      </c>
    </row>
    <row r="730" spans="2:5" x14ac:dyDescent="0.3">
      <c r="B730" s="55">
        <v>43690</v>
      </c>
      <c r="C730" s="54">
        <v>1460.9</v>
      </c>
      <c r="D730" s="56">
        <f t="shared" si="14"/>
        <v>-0.68727054768861917</v>
      </c>
      <c r="E730" s="64">
        <v>6.9616763165152307E-3</v>
      </c>
    </row>
    <row r="731" spans="2:5" x14ac:dyDescent="0.3">
      <c r="B731" s="55">
        <v>44561</v>
      </c>
      <c r="C731" s="54">
        <v>4671.45</v>
      </c>
      <c r="D731" s="56">
        <f t="shared" si="14"/>
        <v>0.12082968436963881</v>
      </c>
      <c r="E731" s="64">
        <v>6.9190727149275322E-3</v>
      </c>
    </row>
    <row r="732" spans="2:5" x14ac:dyDescent="0.3">
      <c r="B732" s="55">
        <v>44853</v>
      </c>
      <c r="C732" s="54">
        <v>4167.8500000000004</v>
      </c>
      <c r="D732" s="56">
        <f t="shared" si="14"/>
        <v>0.19695294438620925</v>
      </c>
      <c r="E732" s="64">
        <v>6.88513897109444E-3</v>
      </c>
    </row>
    <row r="733" spans="2:5" x14ac:dyDescent="0.3">
      <c r="B733" s="55">
        <v>44966</v>
      </c>
      <c r="C733" s="54">
        <v>3482.05</v>
      </c>
      <c r="D733" s="56">
        <f t="shared" si="14"/>
        <v>0.55604960339626874</v>
      </c>
      <c r="E733" s="64">
        <v>6.780200080957588E-3</v>
      </c>
    </row>
    <row r="734" spans="2:5" x14ac:dyDescent="0.3">
      <c r="B734" s="55">
        <v>44084</v>
      </c>
      <c r="C734" s="54">
        <v>2237.75</v>
      </c>
      <c r="D734" s="56">
        <f t="shared" si="14"/>
        <v>0.53302048366102617</v>
      </c>
      <c r="E734" s="64">
        <v>6.7710442254915737E-3</v>
      </c>
    </row>
    <row r="735" spans="2:5" x14ac:dyDescent="0.3">
      <c r="B735" s="55">
        <v>43676</v>
      </c>
      <c r="C735" s="54">
        <v>1459.7</v>
      </c>
      <c r="D735" s="56">
        <f t="shared" si="14"/>
        <v>-0.62320598864223031</v>
      </c>
      <c r="E735" s="64">
        <v>6.7590868335747345E-3</v>
      </c>
    </row>
    <row r="736" spans="2:5" x14ac:dyDescent="0.3">
      <c r="B736" s="55">
        <v>46233</v>
      </c>
      <c r="C736" s="54">
        <v>3874</v>
      </c>
      <c r="D736" s="56">
        <f t="shared" si="14"/>
        <v>1.4165678996943423</v>
      </c>
      <c r="E736" s="64">
        <v>6.7305943192743634E-3</v>
      </c>
    </row>
    <row r="737" spans="2:5" x14ac:dyDescent="0.3">
      <c r="B737" s="55">
        <v>43341</v>
      </c>
      <c r="C737" s="54">
        <v>1603.1</v>
      </c>
      <c r="D737" s="56">
        <f t="shared" si="14"/>
        <v>0.47785203964046996</v>
      </c>
      <c r="E737" s="64">
        <v>6.6878080944454688E-3</v>
      </c>
    </row>
    <row r="738" spans="2:5" x14ac:dyDescent="0.3">
      <c r="B738" s="55">
        <v>42998</v>
      </c>
      <c r="C738" s="54">
        <v>1084.75</v>
      </c>
      <c r="D738" s="56">
        <f t="shared" si="14"/>
        <v>-0.41099014470719197</v>
      </c>
      <c r="E738" s="64">
        <v>6.6818245093036577E-3</v>
      </c>
    </row>
    <row r="739" spans="2:5" x14ac:dyDescent="0.3">
      <c r="B739" s="55">
        <v>43788</v>
      </c>
      <c r="C739" s="54">
        <v>1841.65</v>
      </c>
      <c r="D739" s="56">
        <f t="shared" si="14"/>
        <v>-0.34853817718742808</v>
      </c>
      <c r="E739" s="64">
        <v>6.6686709120227228E-3</v>
      </c>
    </row>
    <row r="740" spans="2:5" x14ac:dyDescent="0.3">
      <c r="B740" s="55">
        <v>44313</v>
      </c>
      <c r="C740" s="54">
        <v>2826.95</v>
      </c>
      <c r="D740" s="56">
        <f t="shared" si="14"/>
        <v>1.421577865341785</v>
      </c>
      <c r="E740" s="64">
        <v>6.6589513041930282E-3</v>
      </c>
    </row>
    <row r="741" spans="2:5" x14ac:dyDescent="0.3">
      <c r="B741" s="55">
        <v>43027</v>
      </c>
      <c r="C741" s="54">
        <v>1167.4000000000001</v>
      </c>
      <c r="D741" s="56">
        <f t="shared" si="14"/>
        <v>-0.23779054583442139</v>
      </c>
      <c r="E741" s="64">
        <v>6.6396481848753908E-3</v>
      </c>
    </row>
    <row r="742" spans="2:5" x14ac:dyDescent="0.3">
      <c r="B742" s="55">
        <v>43304</v>
      </c>
      <c r="C742" s="54">
        <v>1531.6</v>
      </c>
      <c r="D742" s="56">
        <f t="shared" si="14"/>
        <v>0.1522720433343363</v>
      </c>
      <c r="E742" s="64">
        <v>6.6381860006572424E-3</v>
      </c>
    </row>
    <row r="743" spans="2:5" x14ac:dyDescent="0.3">
      <c r="B743" s="55">
        <v>43640</v>
      </c>
      <c r="C743" s="54">
        <v>1329.2</v>
      </c>
      <c r="D743" s="56">
        <f t="shared" si="14"/>
        <v>-0.72183157542273557</v>
      </c>
      <c r="E743" s="64">
        <v>6.6265288348668072E-3</v>
      </c>
    </row>
    <row r="744" spans="2:5" x14ac:dyDescent="0.3">
      <c r="B744" s="55">
        <v>45453</v>
      </c>
      <c r="C744" s="54">
        <v>4778.3999999999996</v>
      </c>
      <c r="D744" s="56">
        <f t="shared" si="14"/>
        <v>0.38933228662392594</v>
      </c>
      <c r="E744" s="64">
        <v>6.5616936120911351E-3</v>
      </c>
    </row>
    <row r="745" spans="2:5" x14ac:dyDescent="0.3">
      <c r="B745" s="55">
        <v>44986</v>
      </c>
      <c r="C745" s="54">
        <v>3439.35</v>
      </c>
      <c r="D745" s="56">
        <f t="shared" si="14"/>
        <v>0.13337836947208848</v>
      </c>
      <c r="E745" s="64">
        <v>6.5555539296742182E-3</v>
      </c>
    </row>
    <row r="746" spans="2:5" x14ac:dyDescent="0.3">
      <c r="B746" s="55">
        <v>44273</v>
      </c>
      <c r="C746" s="54">
        <v>3034.6</v>
      </c>
      <c r="D746" s="56">
        <f t="shared" si="14"/>
        <v>0.97732455854564404</v>
      </c>
      <c r="E746" s="64">
        <v>6.5509063469160189E-3</v>
      </c>
    </row>
    <row r="747" spans="2:5" x14ac:dyDescent="0.3">
      <c r="B747" s="55">
        <v>43361</v>
      </c>
      <c r="C747" s="54">
        <v>1534.7</v>
      </c>
      <c r="D747" s="56">
        <f t="shared" si="14"/>
        <v>-2.0425097338354514E-2</v>
      </c>
      <c r="E747" s="64">
        <v>6.4926547743966445E-3</v>
      </c>
    </row>
    <row r="748" spans="2:5" x14ac:dyDescent="0.3">
      <c r="B748" s="55">
        <v>43308</v>
      </c>
      <c r="C748" s="54">
        <v>1566.7</v>
      </c>
      <c r="D748" s="56">
        <f t="shared" si="14"/>
        <v>-0.36577269507134902</v>
      </c>
      <c r="E748" s="64">
        <v>6.4885005781833982E-3</v>
      </c>
    </row>
    <row r="749" spans="2:5" x14ac:dyDescent="0.3">
      <c r="B749" s="55">
        <v>43972</v>
      </c>
      <c r="C749" s="54">
        <v>2470.25</v>
      </c>
      <c r="D749" s="56">
        <f t="shared" si="14"/>
        <v>0.26936615194881952</v>
      </c>
      <c r="E749" s="64">
        <v>6.4782936419012227E-3</v>
      </c>
    </row>
    <row r="750" spans="2:5" x14ac:dyDescent="0.3">
      <c r="B750" s="55">
        <v>43846</v>
      </c>
      <c r="C750" s="54">
        <v>1946.05</v>
      </c>
      <c r="D750" s="56">
        <f t="shared" si="14"/>
        <v>0.30174922238201929</v>
      </c>
      <c r="E750" s="64">
        <v>6.4647927387448956E-3</v>
      </c>
    </row>
    <row r="751" spans="2:5" x14ac:dyDescent="0.3">
      <c r="B751" s="55">
        <v>43236</v>
      </c>
      <c r="C751" s="54">
        <v>1494.95</v>
      </c>
      <c r="D751" s="56">
        <f t="shared" si="14"/>
        <v>-0.64256168706962513</v>
      </c>
      <c r="E751" s="64">
        <v>6.395368406880042E-3</v>
      </c>
    </row>
    <row r="752" spans="2:5" x14ac:dyDescent="0.3">
      <c r="B752" s="55">
        <v>45965</v>
      </c>
      <c r="C752" s="54">
        <v>4182.3999999999996</v>
      </c>
      <c r="D752" s="56">
        <f t="shared" si="14"/>
        <v>0.47647121121191782</v>
      </c>
      <c r="E752" s="64">
        <v>6.3522617901827783E-3</v>
      </c>
    </row>
    <row r="753" spans="2:5" x14ac:dyDescent="0.3">
      <c r="B753" s="55">
        <v>44299</v>
      </c>
      <c r="C753" s="54">
        <v>2832.7</v>
      </c>
      <c r="D753" s="56">
        <f t="shared" si="14"/>
        <v>-0.20463287940474528</v>
      </c>
      <c r="E753" s="64">
        <v>6.3234928416640024E-3</v>
      </c>
    </row>
    <row r="754" spans="2:5" x14ac:dyDescent="0.3">
      <c r="B754" s="55">
        <v>45162</v>
      </c>
      <c r="C754" s="54">
        <v>3561.5</v>
      </c>
      <c r="D754" s="56">
        <f t="shared" si="14"/>
        <v>1.5057163963837197</v>
      </c>
      <c r="E754" s="64">
        <v>6.2724267510523291E-3</v>
      </c>
    </row>
    <row r="755" spans="2:5" x14ac:dyDescent="0.3">
      <c r="B755" s="55">
        <v>43425</v>
      </c>
      <c r="C755" s="54">
        <v>1421.35</v>
      </c>
      <c r="D755" s="56">
        <f t="shared" si="14"/>
        <v>-0.64470691163604554</v>
      </c>
      <c r="E755" s="64">
        <v>6.2654867256637381E-3</v>
      </c>
    </row>
    <row r="756" spans="2:5" x14ac:dyDescent="0.3">
      <c r="B756" s="55">
        <v>46225</v>
      </c>
      <c r="C756" s="54">
        <v>4000.5</v>
      </c>
      <c r="D756" s="56">
        <f t="shared" si="14"/>
        <v>-0.19349636110719115</v>
      </c>
      <c r="E756" s="64">
        <v>6.2632055538787146E-3</v>
      </c>
    </row>
    <row r="757" spans="2:5" x14ac:dyDescent="0.3">
      <c r="B757" s="55">
        <v>45518</v>
      </c>
      <c r="C757" s="54">
        <v>4960.3</v>
      </c>
      <c r="D757" s="56">
        <f t="shared" si="14"/>
        <v>0.48104024841753268</v>
      </c>
      <c r="E757" s="64">
        <v>6.248098184399975E-3</v>
      </c>
    </row>
    <row r="758" spans="2:5" x14ac:dyDescent="0.3">
      <c r="B758" s="55">
        <v>44393</v>
      </c>
      <c r="C758" s="54">
        <v>3349.2</v>
      </c>
      <c r="D758" s="56">
        <f t="shared" si="14"/>
        <v>-0.13504299992252267</v>
      </c>
      <c r="E758" s="64">
        <v>6.2190175754843757E-3</v>
      </c>
    </row>
    <row r="759" spans="2:5" x14ac:dyDescent="0.3">
      <c r="B759" s="55">
        <v>45104</v>
      </c>
      <c r="C759" s="54">
        <v>3872.1</v>
      </c>
      <c r="D759" s="56">
        <f t="shared" si="14"/>
        <v>1.1242997610373173E-2</v>
      </c>
      <c r="E759" s="64">
        <v>6.1976222958486371E-3</v>
      </c>
    </row>
    <row r="760" spans="2:5" x14ac:dyDescent="0.3">
      <c r="B760" s="55">
        <v>45635</v>
      </c>
      <c r="C760" s="54">
        <v>3829.05</v>
      </c>
      <c r="D760" s="56">
        <f t="shared" si="14"/>
        <v>-8.2114776105091658E-2</v>
      </c>
      <c r="E760" s="64">
        <v>6.1751914966299282E-3</v>
      </c>
    </row>
    <row r="761" spans="2:5" x14ac:dyDescent="0.3">
      <c r="B761" s="55">
        <v>44662</v>
      </c>
      <c r="C761" s="54">
        <v>4171.6000000000004</v>
      </c>
      <c r="D761" s="56">
        <f t="shared" si="14"/>
        <v>8.6849475672507115E-2</v>
      </c>
      <c r="E761" s="64">
        <v>6.1139583961411503E-3</v>
      </c>
    </row>
    <row r="762" spans="2:5" x14ac:dyDescent="0.3">
      <c r="B762" s="55">
        <v>45252</v>
      </c>
      <c r="C762" s="54">
        <v>3838.25</v>
      </c>
      <c r="D762" s="56">
        <f t="shared" si="14"/>
        <v>3.1959551790106584</v>
      </c>
      <c r="E762" s="64">
        <v>6.1075505576744238E-3</v>
      </c>
    </row>
    <row r="763" spans="2:5" x14ac:dyDescent="0.3">
      <c r="B763" s="55">
        <v>42937</v>
      </c>
      <c r="C763" s="54">
        <v>914.75</v>
      </c>
      <c r="D763" s="56">
        <f t="shared" si="14"/>
        <v>-0.75206667570131458</v>
      </c>
      <c r="E763" s="64">
        <v>6.1042674879014935E-3</v>
      </c>
    </row>
    <row r="764" spans="2:5" x14ac:dyDescent="0.3">
      <c r="B764" s="55">
        <v>46052</v>
      </c>
      <c r="C764" s="54">
        <v>3689.5</v>
      </c>
      <c r="D764" s="56">
        <f t="shared" si="14"/>
        <v>-0.137241605088392</v>
      </c>
      <c r="E764" s="64">
        <v>6.0809336823735016E-3</v>
      </c>
    </row>
    <row r="765" spans="2:5" x14ac:dyDescent="0.3">
      <c r="B765" s="55">
        <v>45833</v>
      </c>
      <c r="C765" s="54">
        <v>4276.3999999999996</v>
      </c>
      <c r="D765" s="56">
        <f t="shared" si="14"/>
        <v>4.6502609499900895</v>
      </c>
      <c r="E765" s="64">
        <v>6.0697313320470236E-3</v>
      </c>
    </row>
    <row r="766" spans="2:5" x14ac:dyDescent="0.3">
      <c r="B766" s="55">
        <v>42858</v>
      </c>
      <c r="C766" s="54">
        <v>756.85</v>
      </c>
      <c r="D766" s="56">
        <f t="shared" si="14"/>
        <v>-0.6936884068235627</v>
      </c>
      <c r="E766" s="64">
        <v>6.0481191014223334E-3</v>
      </c>
    </row>
    <row r="767" spans="2:5" x14ac:dyDescent="0.3">
      <c r="B767" s="55">
        <v>44168</v>
      </c>
      <c r="C767" s="54">
        <v>2470.85</v>
      </c>
      <c r="D767" s="56">
        <f t="shared" si="14"/>
        <v>-0.14665860818511489</v>
      </c>
      <c r="E767" s="64">
        <v>6.0464169381106991E-3</v>
      </c>
    </row>
    <row r="768" spans="2:5" x14ac:dyDescent="0.3">
      <c r="B768" s="55">
        <v>44323</v>
      </c>
      <c r="C768" s="54">
        <v>2895.5</v>
      </c>
      <c r="D768" s="56">
        <f t="shared" si="14"/>
        <v>0.98805314291599422</v>
      </c>
      <c r="E768" s="64">
        <v>6.0281778225594884E-3</v>
      </c>
    </row>
    <row r="769" spans="2:5" x14ac:dyDescent="0.3">
      <c r="B769" s="55">
        <v>43230</v>
      </c>
      <c r="C769" s="54">
        <v>1456.45</v>
      </c>
      <c r="D769" s="56">
        <f t="shared" si="14"/>
        <v>-0.69868837536462747</v>
      </c>
      <c r="E769" s="64">
        <v>6.0093248143671119E-3</v>
      </c>
    </row>
    <row r="770" spans="2:5" x14ac:dyDescent="0.3">
      <c r="B770" s="55">
        <v>45467</v>
      </c>
      <c r="C770" s="54">
        <v>4833.7</v>
      </c>
      <c r="D770" s="56">
        <f t="shared" si="14"/>
        <v>0.18662084202774021</v>
      </c>
      <c r="E770" s="64">
        <v>6.004349771584927E-3</v>
      </c>
    </row>
    <row r="771" spans="2:5" x14ac:dyDescent="0.3">
      <c r="B771" s="55">
        <v>45792</v>
      </c>
      <c r="C771" s="54">
        <v>4073.5</v>
      </c>
      <c r="D771" s="56">
        <f t="shared" si="14"/>
        <v>-8.0722730205884385E-3</v>
      </c>
      <c r="E771" s="64">
        <v>6.0011854193422476E-3</v>
      </c>
    </row>
    <row r="772" spans="2:5" x14ac:dyDescent="0.3">
      <c r="B772" s="55">
        <v>44655</v>
      </c>
      <c r="C772" s="54">
        <v>4106.6499999999996</v>
      </c>
      <c r="D772" s="56">
        <f t="shared" ref="D772:D835" si="15">C772/C773-1</f>
        <v>0.15067667908879478</v>
      </c>
      <c r="E772" s="64">
        <v>5.9894174709715919E-3</v>
      </c>
    </row>
    <row r="773" spans="2:5" x14ac:dyDescent="0.3">
      <c r="B773" s="55">
        <v>45160</v>
      </c>
      <c r="C773" s="54">
        <v>3568.9</v>
      </c>
      <c r="D773" s="56">
        <f t="shared" si="15"/>
        <v>-0.10227644321468998</v>
      </c>
      <c r="E773" s="64">
        <v>5.9757025678608411E-3</v>
      </c>
    </row>
    <row r="774" spans="2:5" x14ac:dyDescent="0.3">
      <c r="B774" s="55">
        <v>46223</v>
      </c>
      <c r="C774" s="54">
        <v>3975.5</v>
      </c>
      <c r="D774" s="56">
        <f t="shared" si="15"/>
        <v>2.2213759014666561</v>
      </c>
      <c r="E774" s="64">
        <v>5.9718110276070213E-3</v>
      </c>
    </row>
    <row r="775" spans="2:5" x14ac:dyDescent="0.3">
      <c r="B775" s="55">
        <v>43109</v>
      </c>
      <c r="C775" s="54">
        <v>1234.0999999999999</v>
      </c>
      <c r="D775" s="56">
        <f t="shared" si="15"/>
        <v>0.35944040537563327</v>
      </c>
      <c r="E775" s="64">
        <v>5.9504401695467113E-3</v>
      </c>
    </row>
    <row r="776" spans="2:5" x14ac:dyDescent="0.3">
      <c r="B776" s="55">
        <v>42963</v>
      </c>
      <c r="C776" s="54">
        <v>907.8</v>
      </c>
      <c r="D776" s="56">
        <f t="shared" si="15"/>
        <v>-1.9919028340080969E-2</v>
      </c>
      <c r="E776" s="64">
        <v>5.9283062773560768E-3</v>
      </c>
    </row>
    <row r="777" spans="2:5" x14ac:dyDescent="0.3">
      <c r="B777" s="55">
        <v>42965</v>
      </c>
      <c r="C777" s="54">
        <v>926.25</v>
      </c>
      <c r="D777" s="56">
        <f t="shared" si="15"/>
        <v>-0.40428337138630732</v>
      </c>
      <c r="E777" s="64">
        <v>5.9187662901825089E-3</v>
      </c>
    </row>
    <row r="778" spans="2:5" x14ac:dyDescent="0.3">
      <c r="B778" s="55">
        <v>43460</v>
      </c>
      <c r="C778" s="54">
        <v>1554.85</v>
      </c>
      <c r="D778" s="56">
        <f t="shared" si="15"/>
        <v>-0.55565557841792412</v>
      </c>
      <c r="E778" s="64">
        <v>5.887109817240832E-3</v>
      </c>
    </row>
    <row r="779" spans="2:5" x14ac:dyDescent="0.3">
      <c r="B779" s="55">
        <v>44981</v>
      </c>
      <c r="C779" s="54">
        <v>3499.2</v>
      </c>
      <c r="D779" s="56">
        <f t="shared" si="15"/>
        <v>0.51907966138484896</v>
      </c>
      <c r="E779" s="64">
        <v>5.8785483291412532E-3</v>
      </c>
    </row>
    <row r="780" spans="2:5" x14ac:dyDescent="0.3">
      <c r="B780" s="55">
        <v>43944</v>
      </c>
      <c r="C780" s="54">
        <v>2303.5</v>
      </c>
      <c r="D780" s="56">
        <f t="shared" si="15"/>
        <v>0.55327039784221177</v>
      </c>
      <c r="E780" s="64">
        <v>5.8732342088598788E-3</v>
      </c>
    </row>
    <row r="781" spans="2:5" x14ac:dyDescent="0.3">
      <c r="B781" s="55">
        <v>43217</v>
      </c>
      <c r="C781" s="54">
        <v>1483</v>
      </c>
      <c r="D781" s="56">
        <f t="shared" si="15"/>
        <v>-0.67876792444656242</v>
      </c>
      <c r="E781" s="64">
        <v>5.8669922338658864E-3</v>
      </c>
    </row>
    <row r="782" spans="2:5" x14ac:dyDescent="0.3">
      <c r="B782" s="55">
        <v>45912</v>
      </c>
      <c r="C782" s="54">
        <v>4616.6000000000004</v>
      </c>
      <c r="D782" s="56">
        <f t="shared" si="15"/>
        <v>0.14683890199975158</v>
      </c>
      <c r="E782" s="64">
        <v>5.8609495173977955E-3</v>
      </c>
    </row>
    <row r="783" spans="2:5" x14ac:dyDescent="0.3">
      <c r="B783" s="55">
        <v>45810</v>
      </c>
      <c r="C783" s="54">
        <v>4025.5</v>
      </c>
      <c r="D783" s="56">
        <f t="shared" si="15"/>
        <v>0.34864398545990594</v>
      </c>
      <c r="E783" s="64">
        <v>5.8469303615602541E-3</v>
      </c>
    </row>
    <row r="784" spans="2:5" x14ac:dyDescent="0.3">
      <c r="B784" s="55">
        <v>44207</v>
      </c>
      <c r="C784" s="54">
        <v>2984.85</v>
      </c>
      <c r="D784" s="56">
        <f t="shared" si="15"/>
        <v>-0.38258747117045366</v>
      </c>
      <c r="E784" s="64">
        <v>5.8466722830665674E-3</v>
      </c>
    </row>
    <row r="785" spans="2:5" x14ac:dyDescent="0.3">
      <c r="B785" s="55">
        <v>45483</v>
      </c>
      <c r="C785" s="54">
        <v>4834.45</v>
      </c>
      <c r="D785" s="56">
        <f t="shared" si="15"/>
        <v>1.6292761189971174</v>
      </c>
      <c r="E785" s="64">
        <v>5.8464323239046934E-3</v>
      </c>
    </row>
    <row r="786" spans="2:5" x14ac:dyDescent="0.3">
      <c r="B786" s="55">
        <v>43753</v>
      </c>
      <c r="C786" s="54">
        <v>1838.7</v>
      </c>
      <c r="D786" s="56">
        <f t="shared" si="15"/>
        <v>-0.46908250920378258</v>
      </c>
      <c r="E786" s="64">
        <v>5.8258800361041807E-3</v>
      </c>
    </row>
    <row r="787" spans="2:5" x14ac:dyDescent="0.3">
      <c r="B787" s="55">
        <v>44988</v>
      </c>
      <c r="C787" s="54">
        <v>3463.25</v>
      </c>
      <c r="D787" s="56">
        <f t="shared" si="15"/>
        <v>0.49024290539813697</v>
      </c>
      <c r="E787" s="64">
        <v>5.8230715613383222E-3</v>
      </c>
    </row>
    <row r="788" spans="2:5" x14ac:dyDescent="0.3">
      <c r="B788" s="55">
        <v>43948</v>
      </c>
      <c r="C788" s="54">
        <v>2323.9499999999998</v>
      </c>
      <c r="D788" s="56">
        <f t="shared" si="15"/>
        <v>-0.39083081036448708</v>
      </c>
      <c r="E788" s="64">
        <v>5.8212508115125239E-3</v>
      </c>
    </row>
    <row r="789" spans="2:5" x14ac:dyDescent="0.3">
      <c r="B789" s="55">
        <v>45251</v>
      </c>
      <c r="C789" s="54">
        <v>3814.95</v>
      </c>
      <c r="D789" s="56">
        <f t="shared" si="15"/>
        <v>-6.8752135917590329E-2</v>
      </c>
      <c r="E789" s="64">
        <v>5.8134936328402276E-3</v>
      </c>
    </row>
    <row r="790" spans="2:5" x14ac:dyDescent="0.3">
      <c r="B790" s="55">
        <v>44613</v>
      </c>
      <c r="C790" s="54">
        <v>4096.6000000000004</v>
      </c>
      <c r="D790" s="56">
        <f t="shared" si="15"/>
        <v>4.2618328944833355</v>
      </c>
      <c r="E790" s="64">
        <v>5.7695612678305697E-3</v>
      </c>
    </row>
    <row r="791" spans="2:5" x14ac:dyDescent="0.3">
      <c r="B791" s="55">
        <v>42836</v>
      </c>
      <c r="C791" s="54">
        <v>778.55</v>
      </c>
      <c r="D791" s="56">
        <f t="shared" si="15"/>
        <v>0.23217535807549239</v>
      </c>
      <c r="E791" s="64">
        <v>5.7486112905309472E-3</v>
      </c>
    </row>
    <row r="792" spans="2:5" x14ac:dyDescent="0.3">
      <c r="B792" s="55">
        <v>42824</v>
      </c>
      <c r="C792" s="54">
        <v>631.85</v>
      </c>
      <c r="D792" s="56">
        <f t="shared" si="15"/>
        <v>-0.83810756104435158</v>
      </c>
      <c r="E792" s="64">
        <v>5.7302029446877345E-3</v>
      </c>
    </row>
    <row r="793" spans="2:5" x14ac:dyDescent="0.3">
      <c r="B793" s="55">
        <v>46070</v>
      </c>
      <c r="C793" s="54">
        <v>3902.9</v>
      </c>
      <c r="D793" s="56">
        <f t="shared" si="15"/>
        <v>-0.12751212751212748</v>
      </c>
      <c r="E793" s="64">
        <v>5.7206174143840105E-3</v>
      </c>
    </row>
    <row r="794" spans="2:5" x14ac:dyDescent="0.3">
      <c r="B794" s="55">
        <v>46127</v>
      </c>
      <c r="C794" s="54">
        <v>4473.3</v>
      </c>
      <c r="D794" s="56">
        <f t="shared" si="15"/>
        <v>4.6422681497596319E-2</v>
      </c>
      <c r="E794" s="64">
        <v>5.6879496402877372E-3</v>
      </c>
    </row>
    <row r="795" spans="2:5" x14ac:dyDescent="0.3">
      <c r="B795" s="55">
        <v>44784</v>
      </c>
      <c r="C795" s="54">
        <v>4274.8500000000004</v>
      </c>
      <c r="D795" s="56">
        <f t="shared" si="15"/>
        <v>0.19124716110964046</v>
      </c>
      <c r="E795" s="64">
        <v>5.6814171783472478E-3</v>
      </c>
    </row>
    <row r="796" spans="2:5" x14ac:dyDescent="0.3">
      <c r="B796" s="55">
        <v>45656</v>
      </c>
      <c r="C796" s="54">
        <v>3588.55</v>
      </c>
      <c r="D796" s="56">
        <f t="shared" si="15"/>
        <v>-0.24056673650350247</v>
      </c>
      <c r="E796" s="64">
        <v>5.6608796782826598E-3</v>
      </c>
    </row>
    <row r="797" spans="2:5" x14ac:dyDescent="0.3">
      <c r="B797" s="55">
        <v>45894</v>
      </c>
      <c r="C797" s="54">
        <v>4725.3</v>
      </c>
      <c r="D797" s="56">
        <f t="shared" si="15"/>
        <v>0.25110540390267144</v>
      </c>
      <c r="E797" s="64">
        <v>5.6397378053971714E-3</v>
      </c>
    </row>
    <row r="798" spans="2:5" x14ac:dyDescent="0.3">
      <c r="B798" s="55">
        <v>45174</v>
      </c>
      <c r="C798" s="54">
        <v>3776.9</v>
      </c>
      <c r="D798" s="56">
        <f t="shared" si="15"/>
        <v>1.7202275919190466</v>
      </c>
      <c r="E798" s="64">
        <v>5.6313652399653247E-3</v>
      </c>
    </row>
    <row r="799" spans="2:5" x14ac:dyDescent="0.3">
      <c r="B799" s="55">
        <v>43419</v>
      </c>
      <c r="C799" s="54">
        <v>1388.45</v>
      </c>
      <c r="D799" s="56">
        <f t="shared" si="15"/>
        <v>-0.5169600612301698</v>
      </c>
      <c r="E799" s="64">
        <v>5.6130948069819109E-3</v>
      </c>
    </row>
    <row r="800" spans="2:5" x14ac:dyDescent="0.3">
      <c r="B800" s="55">
        <v>44321</v>
      </c>
      <c r="C800" s="54">
        <v>2874.4</v>
      </c>
      <c r="D800" s="56">
        <f t="shared" si="15"/>
        <v>-0.2864218065364994</v>
      </c>
      <c r="E800" s="64">
        <v>5.5975370836831573E-3</v>
      </c>
    </row>
    <row r="801" spans="2:5" x14ac:dyDescent="0.3">
      <c r="B801" s="55">
        <v>44900</v>
      </c>
      <c r="C801" s="54">
        <v>4028.15</v>
      </c>
      <c r="D801" s="56">
        <f t="shared" si="15"/>
        <v>1.7112808777007471</v>
      </c>
      <c r="E801" s="64">
        <v>5.5919615552644242E-3</v>
      </c>
    </row>
    <row r="802" spans="2:5" x14ac:dyDescent="0.3">
      <c r="B802" s="55">
        <v>43438</v>
      </c>
      <c r="C802" s="54">
        <v>1485.7</v>
      </c>
      <c r="D802" s="56">
        <f t="shared" si="15"/>
        <v>-0.64565022956293605</v>
      </c>
      <c r="E802" s="64">
        <v>5.5839453111781179E-3</v>
      </c>
    </row>
    <row r="803" spans="2:5" x14ac:dyDescent="0.3">
      <c r="B803" s="55">
        <v>44637</v>
      </c>
      <c r="C803" s="54">
        <v>4192.75</v>
      </c>
      <c r="D803" s="56">
        <f t="shared" si="15"/>
        <v>0.12893454320256326</v>
      </c>
      <c r="E803" s="64">
        <v>5.5641496084708475E-3</v>
      </c>
    </row>
    <row r="804" spans="2:5" x14ac:dyDescent="0.3">
      <c r="B804" s="55">
        <v>45135</v>
      </c>
      <c r="C804" s="54">
        <v>3713.9</v>
      </c>
      <c r="D804" s="56">
        <f t="shared" si="15"/>
        <v>2.3389373370493574</v>
      </c>
      <c r="E804" s="64">
        <v>5.5640543138344434E-3</v>
      </c>
    </row>
    <row r="805" spans="2:5" x14ac:dyDescent="0.3">
      <c r="B805" s="55">
        <v>43060</v>
      </c>
      <c r="C805" s="54">
        <v>1112.3</v>
      </c>
      <c r="D805" s="56">
        <f t="shared" si="15"/>
        <v>-0.51525320317266621</v>
      </c>
      <c r="E805" s="64">
        <v>5.5598246169143994E-3</v>
      </c>
    </row>
    <row r="806" spans="2:5" x14ac:dyDescent="0.3">
      <c r="B806" s="55">
        <v>44141</v>
      </c>
      <c r="C806" s="54">
        <v>2294.6</v>
      </c>
      <c r="D806" s="56">
        <f t="shared" si="15"/>
        <v>-0.41922093700169583</v>
      </c>
      <c r="E806" s="64">
        <v>5.5435044589058347E-3</v>
      </c>
    </row>
    <row r="807" spans="2:5" x14ac:dyDescent="0.3">
      <c r="B807" s="55">
        <v>46219</v>
      </c>
      <c r="C807" s="54">
        <v>3950.9</v>
      </c>
      <c r="D807" s="56">
        <f t="shared" si="15"/>
        <v>0.47405141215535562</v>
      </c>
      <c r="E807" s="64">
        <v>5.497162344437978E-3</v>
      </c>
    </row>
    <row r="808" spans="2:5" x14ac:dyDescent="0.3">
      <c r="B808" s="55">
        <v>44195</v>
      </c>
      <c r="C808" s="54">
        <v>2680.3</v>
      </c>
      <c r="D808" s="56">
        <f t="shared" si="15"/>
        <v>-0.22826869367423908</v>
      </c>
      <c r="E808" s="64">
        <v>5.4769854072103108E-3</v>
      </c>
    </row>
    <row r="809" spans="2:5" x14ac:dyDescent="0.3">
      <c r="B809" s="55">
        <v>45028</v>
      </c>
      <c r="C809" s="54">
        <v>3473.1</v>
      </c>
      <c r="D809" s="56">
        <f t="shared" si="15"/>
        <v>-4.0752351097178785E-2</v>
      </c>
      <c r="E809" s="64">
        <v>5.4715997915582015E-3</v>
      </c>
    </row>
    <row r="810" spans="2:5" x14ac:dyDescent="0.3">
      <c r="B810" s="55">
        <v>45674</v>
      </c>
      <c r="C810" s="54">
        <v>3620.65</v>
      </c>
      <c r="D810" s="56">
        <f t="shared" si="15"/>
        <v>-0.23475329451425075</v>
      </c>
      <c r="E810" s="64">
        <v>5.4707785445509138E-3</v>
      </c>
    </row>
    <row r="811" spans="2:5" x14ac:dyDescent="0.3">
      <c r="B811" s="55">
        <v>44568</v>
      </c>
      <c r="C811" s="54">
        <v>4731.3500000000004</v>
      </c>
      <c r="D811" s="56">
        <f t="shared" si="15"/>
        <v>2.5172093369015762</v>
      </c>
      <c r="E811" s="64">
        <v>5.4615196625333873E-3</v>
      </c>
    </row>
    <row r="812" spans="2:5" x14ac:dyDescent="0.3">
      <c r="B812" s="55">
        <v>43173</v>
      </c>
      <c r="C812" s="54">
        <v>1345.2</v>
      </c>
      <c r="D812" s="56">
        <f t="shared" si="15"/>
        <v>-0.64701251672833182</v>
      </c>
      <c r="E812" s="64">
        <v>5.4563121309514351E-3</v>
      </c>
    </row>
    <row r="813" spans="2:5" x14ac:dyDescent="0.3">
      <c r="B813" s="55">
        <v>45247</v>
      </c>
      <c r="C813" s="54">
        <v>3810.9</v>
      </c>
      <c r="D813" s="56">
        <f t="shared" si="15"/>
        <v>-0.12557936762883759</v>
      </c>
      <c r="E813" s="64">
        <v>5.4481894334146297E-3</v>
      </c>
    </row>
    <row r="814" spans="2:5" x14ac:dyDescent="0.3">
      <c r="B814" s="55">
        <v>45883</v>
      </c>
      <c r="C814" s="54">
        <v>4358.2</v>
      </c>
      <c r="D814" s="56">
        <f t="shared" si="15"/>
        <v>-5.1361654530097667E-3</v>
      </c>
      <c r="E814" s="64">
        <v>5.4445623586949488E-3</v>
      </c>
    </row>
    <row r="815" spans="2:5" x14ac:dyDescent="0.3">
      <c r="B815" s="55">
        <v>46203</v>
      </c>
      <c r="C815" s="54">
        <v>4380.7</v>
      </c>
      <c r="D815" s="56">
        <f t="shared" si="15"/>
        <v>0.11216329432074934</v>
      </c>
      <c r="E815" s="64">
        <v>5.4395226072985192E-3</v>
      </c>
    </row>
    <row r="816" spans="2:5" x14ac:dyDescent="0.3">
      <c r="B816" s="55">
        <v>44442</v>
      </c>
      <c r="C816" s="54">
        <v>3938.9</v>
      </c>
      <c r="D816" s="56">
        <f t="shared" si="15"/>
        <v>1.9461834773177755</v>
      </c>
      <c r="E816" s="64">
        <v>5.4241701019743793E-3</v>
      </c>
    </row>
    <row r="817" spans="2:5" x14ac:dyDescent="0.3">
      <c r="B817" s="55">
        <v>43389</v>
      </c>
      <c r="C817" s="54">
        <v>1336.95</v>
      </c>
      <c r="D817" s="56">
        <f t="shared" si="15"/>
        <v>-0.10628697483204652</v>
      </c>
      <c r="E817" s="64">
        <v>5.4145516074450839E-3</v>
      </c>
    </row>
    <row r="818" spans="2:5" x14ac:dyDescent="0.3">
      <c r="B818" s="55">
        <v>43521</v>
      </c>
      <c r="C818" s="54">
        <v>1495.95</v>
      </c>
      <c r="D818" s="56">
        <f t="shared" si="15"/>
        <v>-0.31683982189747684</v>
      </c>
      <c r="E818" s="64">
        <v>5.4103098326501176E-3</v>
      </c>
    </row>
    <row r="819" spans="2:5" x14ac:dyDescent="0.3">
      <c r="B819" s="55">
        <v>44060</v>
      </c>
      <c r="C819" s="54">
        <v>2189.75</v>
      </c>
      <c r="D819" s="56">
        <f t="shared" si="15"/>
        <v>-0.40537935154510396</v>
      </c>
      <c r="E819" s="64">
        <v>5.3948576675848514E-3</v>
      </c>
    </row>
    <row r="820" spans="2:5" x14ac:dyDescent="0.3">
      <c r="B820" s="55">
        <v>44728</v>
      </c>
      <c r="C820" s="54">
        <v>3682.6</v>
      </c>
      <c r="D820" s="56">
        <f t="shared" si="15"/>
        <v>5.8492138771521374E-2</v>
      </c>
      <c r="E820" s="64">
        <v>5.3782522045373593E-3</v>
      </c>
    </row>
    <row r="821" spans="2:5" x14ac:dyDescent="0.3">
      <c r="B821" s="55">
        <v>44732</v>
      </c>
      <c r="C821" s="54">
        <v>3479.1</v>
      </c>
      <c r="D821" s="56">
        <f t="shared" si="15"/>
        <v>2.8016718570726109</v>
      </c>
      <c r="E821" s="64">
        <v>5.3604195864818127E-3</v>
      </c>
    </row>
    <row r="822" spans="2:5" x14ac:dyDescent="0.3">
      <c r="B822" s="55">
        <v>42929</v>
      </c>
      <c r="C822" s="54">
        <v>915.15</v>
      </c>
      <c r="D822" s="56">
        <f t="shared" si="15"/>
        <v>-0.40822529018073661</v>
      </c>
      <c r="E822" s="64">
        <v>5.3279138745467858E-3</v>
      </c>
    </row>
    <row r="823" spans="2:5" x14ac:dyDescent="0.3">
      <c r="B823" s="55">
        <v>43286</v>
      </c>
      <c r="C823" s="54">
        <v>1546.45</v>
      </c>
      <c r="D823" s="56">
        <f t="shared" si="15"/>
        <v>-0.59833510817900826</v>
      </c>
      <c r="E823" s="64">
        <v>5.2980562959110689E-3</v>
      </c>
    </row>
    <row r="824" spans="2:5" x14ac:dyDescent="0.3">
      <c r="B824" s="55">
        <v>45630</v>
      </c>
      <c r="C824" s="54">
        <v>3850.1</v>
      </c>
      <c r="D824" s="56">
        <f t="shared" si="15"/>
        <v>1.7542027326704339</v>
      </c>
      <c r="E824" s="64">
        <v>5.2874133451701333E-3</v>
      </c>
    </row>
    <row r="825" spans="2:5" x14ac:dyDescent="0.3">
      <c r="B825" s="55">
        <v>43644</v>
      </c>
      <c r="C825" s="54">
        <v>1397.9</v>
      </c>
      <c r="D825" s="56">
        <f t="shared" si="15"/>
        <v>-0.63182153392330376</v>
      </c>
      <c r="E825" s="64">
        <v>5.2856783287189568E-3</v>
      </c>
    </row>
    <row r="826" spans="2:5" x14ac:dyDescent="0.3">
      <c r="B826" s="55">
        <v>45175</v>
      </c>
      <c r="C826" s="54">
        <v>3796.8</v>
      </c>
      <c r="D826" s="56">
        <f t="shared" si="15"/>
        <v>0.60666906459598424</v>
      </c>
      <c r="E826" s="64">
        <v>5.2688712965660578E-3</v>
      </c>
    </row>
    <row r="827" spans="2:5" x14ac:dyDescent="0.3">
      <c r="B827" s="55">
        <v>44001</v>
      </c>
      <c r="C827" s="54">
        <v>2363.15</v>
      </c>
      <c r="D827" s="56">
        <f t="shared" si="15"/>
        <v>0.5448453945218017</v>
      </c>
      <c r="E827" s="64">
        <v>5.2321500733778503E-3</v>
      </c>
    </row>
    <row r="828" spans="2:5" x14ac:dyDescent="0.3">
      <c r="B828" s="55">
        <v>43714</v>
      </c>
      <c r="C828" s="54">
        <v>1529.7</v>
      </c>
      <c r="D828" s="56">
        <f t="shared" si="15"/>
        <v>-0.20522678859042964</v>
      </c>
      <c r="E828" s="64">
        <v>5.2242483982256616E-3</v>
      </c>
    </row>
    <row r="829" spans="2:5" x14ac:dyDescent="0.3">
      <c r="B829" s="55">
        <v>43853</v>
      </c>
      <c r="C829" s="54">
        <v>1924.7</v>
      </c>
      <c r="D829" s="56">
        <f t="shared" si="15"/>
        <v>-0.188934072185584</v>
      </c>
      <c r="E829" s="64">
        <v>5.2227503003081654E-3</v>
      </c>
    </row>
    <row r="830" spans="2:5" x14ac:dyDescent="0.3">
      <c r="B830" s="55">
        <v>44161</v>
      </c>
      <c r="C830" s="54">
        <v>2373.0500000000002</v>
      </c>
      <c r="D830" s="56">
        <f t="shared" si="15"/>
        <v>-0.36249462712228664</v>
      </c>
      <c r="E830" s="64">
        <v>5.1889190105049998E-3</v>
      </c>
    </row>
    <row r="831" spans="2:5" x14ac:dyDescent="0.3">
      <c r="B831" s="55">
        <v>45336</v>
      </c>
      <c r="C831" s="54">
        <v>3722.4</v>
      </c>
      <c r="D831" s="56">
        <f t="shared" si="15"/>
        <v>1.7116372245492624</v>
      </c>
      <c r="E831" s="64">
        <v>5.1847051198963268E-3</v>
      </c>
    </row>
    <row r="832" spans="2:5" x14ac:dyDescent="0.3">
      <c r="B832" s="55">
        <v>43493</v>
      </c>
      <c r="C832" s="54">
        <v>1372.75</v>
      </c>
      <c r="D832" s="56">
        <f t="shared" si="15"/>
        <v>-7.9093013115084099E-2</v>
      </c>
      <c r="E832" s="64">
        <v>5.1621878889946959E-3</v>
      </c>
    </row>
    <row r="833" spans="2:5" x14ac:dyDescent="0.3">
      <c r="B833" s="55">
        <v>43220</v>
      </c>
      <c r="C833" s="54">
        <v>1490.65</v>
      </c>
      <c r="D833" s="56">
        <f t="shared" si="15"/>
        <v>9.2611595690097692E-2</v>
      </c>
      <c r="E833" s="64">
        <v>5.1584625758598346E-3</v>
      </c>
    </row>
    <row r="834" spans="2:5" x14ac:dyDescent="0.3">
      <c r="B834" s="55">
        <v>43193</v>
      </c>
      <c r="C834" s="54">
        <v>1364.3</v>
      </c>
      <c r="D834" s="56">
        <f t="shared" si="15"/>
        <v>0.37170721898250547</v>
      </c>
      <c r="E834" s="64">
        <v>5.1572975760700857E-3</v>
      </c>
    </row>
    <row r="835" spans="2:5" x14ac:dyDescent="0.3">
      <c r="B835" s="55">
        <v>42971</v>
      </c>
      <c r="C835" s="54">
        <v>994.6</v>
      </c>
      <c r="D835" s="56">
        <f t="shared" si="15"/>
        <v>-0.71242699358121775</v>
      </c>
      <c r="E835" s="64">
        <v>5.1541182415362208E-3</v>
      </c>
    </row>
    <row r="836" spans="2:5" x14ac:dyDescent="0.3">
      <c r="B836" s="55">
        <v>44965</v>
      </c>
      <c r="C836" s="54">
        <v>3458.6</v>
      </c>
      <c r="D836" s="56">
        <f t="shared" ref="D836:D899" si="16">C836/C837-1</f>
        <v>-9.9557406925279923E-2</v>
      </c>
      <c r="E836" s="64">
        <v>5.1440030224649824E-3</v>
      </c>
    </row>
    <row r="837" spans="2:5" x14ac:dyDescent="0.3">
      <c r="B837" s="55">
        <v>45303</v>
      </c>
      <c r="C837" s="54">
        <v>3841</v>
      </c>
      <c r="D837" s="56">
        <f t="shared" si="16"/>
        <v>-9.7795577060847738E-2</v>
      </c>
      <c r="E837" s="64">
        <v>5.1421618014575454E-3</v>
      </c>
    </row>
    <row r="838" spans="2:5" x14ac:dyDescent="0.3">
      <c r="B838" s="55">
        <v>44473</v>
      </c>
      <c r="C838" s="54">
        <v>4257.3500000000004</v>
      </c>
      <c r="D838" s="56">
        <f t="shared" si="16"/>
        <v>0.27763939739511456</v>
      </c>
      <c r="E838" s="64">
        <v>5.1350458022476619E-3</v>
      </c>
    </row>
    <row r="839" spans="2:5" x14ac:dyDescent="0.3">
      <c r="B839" s="55">
        <v>44375</v>
      </c>
      <c r="C839" s="54">
        <v>3332.2</v>
      </c>
      <c r="D839" s="56">
        <f t="shared" si="16"/>
        <v>-0.19207642323731933</v>
      </c>
      <c r="E839" s="64">
        <v>5.0824196540335542E-3</v>
      </c>
    </row>
    <row r="840" spans="2:5" x14ac:dyDescent="0.3">
      <c r="B840" s="55">
        <v>46169</v>
      </c>
      <c r="C840" s="54">
        <v>4124.3999999999996</v>
      </c>
      <c r="D840" s="56">
        <f t="shared" si="16"/>
        <v>-3.2625776943825624E-2</v>
      </c>
      <c r="E840" s="64">
        <v>5.0687201481625088E-3</v>
      </c>
    </row>
    <row r="841" spans="2:5" x14ac:dyDescent="0.3">
      <c r="B841" s="55">
        <v>45876</v>
      </c>
      <c r="C841" s="54">
        <v>4263.5</v>
      </c>
      <c r="D841" s="56">
        <f t="shared" si="16"/>
        <v>1.2502836935581767</v>
      </c>
      <c r="E841" s="64">
        <v>5.0683639792550306E-3</v>
      </c>
    </row>
    <row r="842" spans="2:5" x14ac:dyDescent="0.3">
      <c r="B842" s="55">
        <v>43742</v>
      </c>
      <c r="C842" s="54">
        <v>1894.65</v>
      </c>
      <c r="D842" s="56">
        <f t="shared" si="16"/>
        <v>-0.57246335932123071</v>
      </c>
      <c r="E842" s="64">
        <v>5.0127307447485059E-3</v>
      </c>
    </row>
    <row r="843" spans="2:5" x14ac:dyDescent="0.3">
      <c r="B843" s="55">
        <v>44802</v>
      </c>
      <c r="C843" s="54">
        <v>4431.55</v>
      </c>
      <c r="D843" s="56">
        <f t="shared" si="16"/>
        <v>2.2635319242948668</v>
      </c>
      <c r="E843" s="64">
        <v>4.9663805517445869E-3</v>
      </c>
    </row>
    <row r="844" spans="2:5" x14ac:dyDescent="0.3">
      <c r="B844" s="55">
        <v>43487</v>
      </c>
      <c r="C844" s="54">
        <v>1357.9</v>
      </c>
      <c r="D844" s="56">
        <f t="shared" si="16"/>
        <v>-0.66743812987521889</v>
      </c>
      <c r="E844" s="64">
        <v>4.8841855990529037E-3</v>
      </c>
    </row>
    <row r="845" spans="2:5" x14ac:dyDescent="0.3">
      <c r="B845" s="55">
        <v>44902</v>
      </c>
      <c r="C845" s="54">
        <v>4083.15</v>
      </c>
      <c r="D845" s="56">
        <f t="shared" si="16"/>
        <v>2.2623441994247369</v>
      </c>
      <c r="E845" s="64">
        <v>4.8604616823348934E-3</v>
      </c>
    </row>
    <row r="846" spans="2:5" x14ac:dyDescent="0.3">
      <c r="B846" s="55">
        <v>43594</v>
      </c>
      <c r="C846" s="54">
        <v>1251.5999999999999</v>
      </c>
      <c r="D846" s="56">
        <f t="shared" si="16"/>
        <v>-0.68279794715833497</v>
      </c>
      <c r="E846" s="64">
        <v>4.8572919593752317E-3</v>
      </c>
    </row>
    <row r="847" spans="2:5" x14ac:dyDescent="0.3">
      <c r="B847" s="55">
        <v>44760</v>
      </c>
      <c r="C847" s="54">
        <v>3945.75</v>
      </c>
      <c r="D847" s="56">
        <f t="shared" si="16"/>
        <v>0.12772768195264161</v>
      </c>
      <c r="E847" s="64">
        <v>4.8258123663031949E-3</v>
      </c>
    </row>
    <row r="848" spans="2:5" x14ac:dyDescent="0.3">
      <c r="B848" s="55">
        <v>44967</v>
      </c>
      <c r="C848" s="54">
        <v>3498.85</v>
      </c>
      <c r="D848" s="56">
        <f t="shared" si="16"/>
        <v>-0.30215604930392126</v>
      </c>
      <c r="E848" s="64">
        <v>4.8247440444564305E-3</v>
      </c>
    </row>
    <row r="849" spans="2:5" x14ac:dyDescent="0.3">
      <c r="B849" s="55">
        <v>45516</v>
      </c>
      <c r="C849" s="54">
        <v>5013.8</v>
      </c>
      <c r="D849" s="56">
        <f t="shared" si="16"/>
        <v>0.36850724677238866</v>
      </c>
      <c r="E849" s="64">
        <v>4.779607010090281E-3</v>
      </c>
    </row>
    <row r="850" spans="2:5" x14ac:dyDescent="0.3">
      <c r="B850" s="55">
        <v>46028</v>
      </c>
      <c r="C850" s="54">
        <v>3663.7</v>
      </c>
      <c r="D850" s="56">
        <f t="shared" si="16"/>
        <v>-0.10082218677138299</v>
      </c>
      <c r="E850" s="64">
        <v>4.7719606176122031E-3</v>
      </c>
    </row>
    <row r="851" spans="2:5" x14ac:dyDescent="0.3">
      <c r="B851" s="55">
        <v>45812</v>
      </c>
      <c r="C851" s="54">
        <v>4074.5</v>
      </c>
      <c r="D851" s="56">
        <f t="shared" si="16"/>
        <v>-6.2902483900644013E-2</v>
      </c>
      <c r="E851" s="64">
        <v>4.7593213651608846E-3</v>
      </c>
    </row>
    <row r="852" spans="2:5" x14ac:dyDescent="0.3">
      <c r="B852" s="55">
        <v>44823</v>
      </c>
      <c r="C852" s="54">
        <v>4348</v>
      </c>
      <c r="D852" s="56">
        <f t="shared" si="16"/>
        <v>0.36100416314520922</v>
      </c>
      <c r="E852" s="64">
        <v>4.725537544338021E-3</v>
      </c>
    </row>
    <row r="853" spans="2:5" x14ac:dyDescent="0.3">
      <c r="B853" s="55">
        <v>44356</v>
      </c>
      <c r="C853" s="54">
        <v>3194.7</v>
      </c>
      <c r="D853" s="56">
        <f t="shared" si="16"/>
        <v>0.48656383052976881</v>
      </c>
      <c r="E853" s="64">
        <v>4.6858292974398807E-3</v>
      </c>
    </row>
    <row r="854" spans="2:5" x14ac:dyDescent="0.3">
      <c r="B854" s="55">
        <v>44092</v>
      </c>
      <c r="C854" s="54">
        <v>2149.0500000000002</v>
      </c>
      <c r="D854" s="56">
        <f t="shared" si="16"/>
        <v>-0.3703709129262861</v>
      </c>
      <c r="E854" s="64">
        <v>4.6749725345363036E-3</v>
      </c>
    </row>
    <row r="855" spans="2:5" x14ac:dyDescent="0.3">
      <c r="B855" s="55">
        <v>44400</v>
      </c>
      <c r="C855" s="54">
        <v>3413.2</v>
      </c>
      <c r="D855" s="56">
        <f t="shared" si="16"/>
        <v>-0.15601547914889413</v>
      </c>
      <c r="E855" s="64">
        <v>4.6654009742888025E-3</v>
      </c>
    </row>
    <row r="856" spans="2:5" x14ac:dyDescent="0.3">
      <c r="B856" s="55">
        <v>44896</v>
      </c>
      <c r="C856" s="54">
        <v>4044.15</v>
      </c>
      <c r="D856" s="56">
        <f t="shared" si="16"/>
        <v>0.14110974732297787</v>
      </c>
      <c r="E856" s="64">
        <v>4.6329648490870401E-3</v>
      </c>
    </row>
    <row r="857" spans="2:5" x14ac:dyDescent="0.3">
      <c r="B857" s="55">
        <v>45084</v>
      </c>
      <c r="C857" s="54">
        <v>3544.05</v>
      </c>
      <c r="D857" s="56">
        <f t="shared" si="16"/>
        <v>1.5668501484754112</v>
      </c>
      <c r="E857" s="64">
        <v>4.6205088229041014E-3</v>
      </c>
    </row>
    <row r="858" spans="2:5" x14ac:dyDescent="0.3">
      <c r="B858" s="55">
        <v>43418</v>
      </c>
      <c r="C858" s="54">
        <v>1380.7</v>
      </c>
      <c r="D858" s="56">
        <f t="shared" si="16"/>
        <v>-6.5800602185459578E-2</v>
      </c>
      <c r="E858" s="64">
        <v>4.6203659911958628E-3</v>
      </c>
    </row>
    <row r="859" spans="2:5" x14ac:dyDescent="0.3">
      <c r="B859" s="55">
        <v>43550</v>
      </c>
      <c r="C859" s="54">
        <v>1477.95</v>
      </c>
      <c r="D859" s="56">
        <f t="shared" si="16"/>
        <v>-2.5645351779989278E-3</v>
      </c>
      <c r="E859" s="64">
        <v>4.5880913539968482E-3</v>
      </c>
    </row>
    <row r="860" spans="2:5" x14ac:dyDescent="0.3">
      <c r="B860" s="55">
        <v>43698</v>
      </c>
      <c r="C860" s="54">
        <v>1481.75</v>
      </c>
      <c r="D860" s="56">
        <f t="shared" si="16"/>
        <v>-0.19511665172872705</v>
      </c>
      <c r="E860" s="64">
        <v>4.5762711864407724E-3</v>
      </c>
    </row>
    <row r="861" spans="2:5" x14ac:dyDescent="0.3">
      <c r="B861" s="55">
        <v>43803</v>
      </c>
      <c r="C861" s="54">
        <v>1840.95</v>
      </c>
      <c r="D861" s="56">
        <f t="shared" si="16"/>
        <v>-0.47392410127450424</v>
      </c>
      <c r="E861" s="64">
        <v>4.5563680017461916E-3</v>
      </c>
    </row>
    <row r="862" spans="2:5" x14ac:dyDescent="0.3">
      <c r="B862" s="55">
        <v>44404</v>
      </c>
      <c r="C862" s="54">
        <v>3499.4</v>
      </c>
      <c r="D862" s="56">
        <f t="shared" si="16"/>
        <v>0.76039439595542935</v>
      </c>
      <c r="E862" s="64">
        <v>4.5499562228186186E-3</v>
      </c>
    </row>
    <row r="863" spans="2:5" x14ac:dyDescent="0.3">
      <c r="B863" s="55">
        <v>43776</v>
      </c>
      <c r="C863" s="54">
        <v>1987.85</v>
      </c>
      <c r="D863" s="56">
        <f t="shared" si="16"/>
        <v>-0.50050255044350078</v>
      </c>
      <c r="E863" s="64">
        <v>4.548096116431255E-3</v>
      </c>
    </row>
    <row r="864" spans="2:5" x14ac:dyDescent="0.3">
      <c r="B864" s="55">
        <v>44453</v>
      </c>
      <c r="C864" s="54">
        <v>3979.7</v>
      </c>
      <c r="D864" s="56">
        <f t="shared" si="16"/>
        <v>-0.15636063002141065</v>
      </c>
      <c r="E864" s="64">
        <v>4.5054709289851225E-3</v>
      </c>
    </row>
    <row r="865" spans="2:5" x14ac:dyDescent="0.3">
      <c r="B865" s="55">
        <v>45917</v>
      </c>
      <c r="C865" s="54">
        <v>4717.3</v>
      </c>
      <c r="D865" s="56">
        <f t="shared" si="16"/>
        <v>0.22265275707898669</v>
      </c>
      <c r="E865" s="64">
        <v>4.4929943358460456E-3</v>
      </c>
    </row>
    <row r="866" spans="2:5" x14ac:dyDescent="0.3">
      <c r="B866" s="55">
        <v>45306</v>
      </c>
      <c r="C866" s="54">
        <v>3858.25</v>
      </c>
      <c r="D866" s="56">
        <f t="shared" si="16"/>
        <v>-0.10412845101818091</v>
      </c>
      <c r="E866" s="64">
        <v>4.4910179640718084E-3</v>
      </c>
    </row>
    <row r="867" spans="2:5" x14ac:dyDescent="0.3">
      <c r="B867" s="55">
        <v>46191</v>
      </c>
      <c r="C867" s="54">
        <v>4306.7</v>
      </c>
      <c r="D867" s="56">
        <f t="shared" si="16"/>
        <v>5.4736481191222541E-2</v>
      </c>
      <c r="E867" s="64">
        <v>4.4781341107871242E-3</v>
      </c>
    </row>
    <row r="868" spans="2:5" x14ac:dyDescent="0.3">
      <c r="B868" s="55">
        <v>45744</v>
      </c>
      <c r="C868" s="54">
        <v>4083.2</v>
      </c>
      <c r="D868" s="56">
        <f t="shared" si="16"/>
        <v>6.3679583197655543E-2</v>
      </c>
      <c r="E868" s="64">
        <v>4.4772447724477082E-3</v>
      </c>
    </row>
    <row r="869" spans="2:5" x14ac:dyDescent="0.3">
      <c r="B869" s="55">
        <v>45121</v>
      </c>
      <c r="C869" s="54">
        <v>3838.75</v>
      </c>
      <c r="D869" s="56">
        <f t="shared" si="16"/>
        <v>0.2803515442598894</v>
      </c>
      <c r="E869" s="64">
        <v>4.4745070846361479E-3</v>
      </c>
    </row>
    <row r="870" spans="2:5" x14ac:dyDescent="0.3">
      <c r="B870" s="55">
        <v>44208</v>
      </c>
      <c r="C870" s="54">
        <v>2998.2</v>
      </c>
      <c r="D870" s="56">
        <f t="shared" si="16"/>
        <v>-0.17871034898372873</v>
      </c>
      <c r="E870" s="64">
        <v>4.4725865621386696E-3</v>
      </c>
    </row>
    <row r="871" spans="2:5" x14ac:dyDescent="0.3">
      <c r="B871" s="55">
        <v>44426</v>
      </c>
      <c r="C871" s="54">
        <v>3650.6</v>
      </c>
      <c r="D871" s="56">
        <f t="shared" si="16"/>
        <v>0.55288512665631573</v>
      </c>
      <c r="E871" s="64">
        <v>4.4712259413650646E-3</v>
      </c>
    </row>
    <row r="872" spans="2:5" x14ac:dyDescent="0.3">
      <c r="B872" s="55">
        <v>44000</v>
      </c>
      <c r="C872" s="54">
        <v>2350.85</v>
      </c>
      <c r="D872" s="56">
        <f t="shared" si="16"/>
        <v>-0.40492342741425136</v>
      </c>
      <c r="E872" s="64">
        <v>4.4650487096222768E-3</v>
      </c>
    </row>
    <row r="873" spans="2:5" x14ac:dyDescent="0.3">
      <c r="B873" s="55">
        <v>44448</v>
      </c>
      <c r="C873" s="54">
        <v>3950.5</v>
      </c>
      <c r="D873" s="56">
        <f t="shared" si="16"/>
        <v>1.6507196296172042</v>
      </c>
      <c r="E873" s="64">
        <v>4.4622992918801341E-3</v>
      </c>
    </row>
    <row r="874" spans="2:5" x14ac:dyDescent="0.3">
      <c r="B874" s="55">
        <v>43272</v>
      </c>
      <c r="C874" s="54">
        <v>1490.35</v>
      </c>
      <c r="D874" s="56">
        <f t="shared" si="16"/>
        <v>-0.3409613513752543</v>
      </c>
      <c r="E874" s="64">
        <v>4.4481887110361384E-3</v>
      </c>
    </row>
    <row r="875" spans="2:5" x14ac:dyDescent="0.3">
      <c r="B875" s="55">
        <v>44081</v>
      </c>
      <c r="C875" s="54">
        <v>2261.4</v>
      </c>
      <c r="D875" s="56">
        <f t="shared" si="16"/>
        <v>0.65573290379264915</v>
      </c>
      <c r="E875" s="64">
        <v>4.419374181083402E-3</v>
      </c>
    </row>
    <row r="876" spans="2:5" x14ac:dyDescent="0.3">
      <c r="B876" s="55">
        <v>43175</v>
      </c>
      <c r="C876" s="54">
        <v>1365.8</v>
      </c>
      <c r="D876" s="56">
        <f t="shared" si="16"/>
        <v>8.8200143414867371E-2</v>
      </c>
      <c r="E876" s="64">
        <v>4.4124135902339212E-3</v>
      </c>
    </row>
    <row r="877" spans="2:5" x14ac:dyDescent="0.3">
      <c r="B877" s="55">
        <v>43592</v>
      </c>
      <c r="C877" s="54">
        <v>1255.0999999999999</v>
      </c>
      <c r="D877" s="56">
        <f t="shared" si="16"/>
        <v>-0.65428052005288673</v>
      </c>
      <c r="E877" s="64">
        <v>4.3612211419195024E-3</v>
      </c>
    </row>
    <row r="878" spans="2:5" x14ac:dyDescent="0.3">
      <c r="B878" s="55">
        <v>44701</v>
      </c>
      <c r="C878" s="54">
        <v>3630.4</v>
      </c>
      <c r="D878" s="56">
        <f t="shared" si="16"/>
        <v>-0.10241924517572598</v>
      </c>
      <c r="E878" s="64">
        <v>4.3016999322240679E-3</v>
      </c>
    </row>
    <row r="879" spans="2:5" x14ac:dyDescent="0.3">
      <c r="B879" s="55">
        <v>45288</v>
      </c>
      <c r="C879" s="54">
        <v>4044.65</v>
      </c>
      <c r="D879" s="56">
        <f t="shared" si="16"/>
        <v>-6.6678127609410831E-3</v>
      </c>
      <c r="E879" s="64">
        <v>4.2706923735862379E-3</v>
      </c>
    </row>
    <row r="880" spans="2:5" x14ac:dyDescent="0.3">
      <c r="B880" s="55">
        <v>46174</v>
      </c>
      <c r="C880" s="54">
        <v>4071.8</v>
      </c>
      <c r="D880" s="56">
        <f t="shared" si="16"/>
        <v>1.5400330619756093</v>
      </c>
      <c r="E880" s="64">
        <v>4.2668639782956763E-3</v>
      </c>
    </row>
    <row r="881" spans="2:5" x14ac:dyDescent="0.3">
      <c r="B881" s="55">
        <v>43725</v>
      </c>
      <c r="C881" s="54">
        <v>1603.05</v>
      </c>
      <c r="D881" s="56">
        <f t="shared" si="16"/>
        <v>0.45203804347826093</v>
      </c>
      <c r="E881" s="64">
        <v>4.2599843382928881E-3</v>
      </c>
    </row>
    <row r="882" spans="2:5" x14ac:dyDescent="0.3">
      <c r="B882" s="55">
        <v>43013</v>
      </c>
      <c r="C882" s="54">
        <v>1104</v>
      </c>
      <c r="D882" s="56">
        <f t="shared" si="16"/>
        <v>-0.58699637125434889</v>
      </c>
      <c r="E882" s="64">
        <v>4.2297721380817332E-3</v>
      </c>
    </row>
    <row r="883" spans="2:5" x14ac:dyDescent="0.3">
      <c r="B883" s="55">
        <v>44189</v>
      </c>
      <c r="C883" s="54">
        <v>2673.1</v>
      </c>
      <c r="D883" s="56">
        <f t="shared" si="16"/>
        <v>-0.37104269361536923</v>
      </c>
      <c r="E883" s="64">
        <v>4.2263839059299979E-3</v>
      </c>
    </row>
    <row r="884" spans="2:5" x14ac:dyDescent="0.3">
      <c r="B884" s="55">
        <v>44781</v>
      </c>
      <c r="C884" s="54">
        <v>4250.05</v>
      </c>
      <c r="D884" s="56">
        <f t="shared" si="16"/>
        <v>7.9364071567345151E-2</v>
      </c>
      <c r="E884" s="64">
        <v>4.2058006970289163E-3</v>
      </c>
    </row>
    <row r="885" spans="2:5" x14ac:dyDescent="0.3">
      <c r="B885" s="55">
        <v>44446</v>
      </c>
      <c r="C885" s="54">
        <v>3937.55</v>
      </c>
      <c r="D885" s="56">
        <f t="shared" si="16"/>
        <v>-0.16911795737497359</v>
      </c>
      <c r="E885" s="64">
        <v>4.1440338663198961E-3</v>
      </c>
    </row>
    <row r="886" spans="2:5" x14ac:dyDescent="0.3">
      <c r="B886" s="55">
        <v>44481</v>
      </c>
      <c r="C886" s="54">
        <v>4739</v>
      </c>
      <c r="D886" s="56">
        <f t="shared" si="16"/>
        <v>0.23044567630372992</v>
      </c>
      <c r="E886" s="64">
        <v>4.1424318511691371E-3</v>
      </c>
    </row>
    <row r="887" spans="2:5" x14ac:dyDescent="0.3">
      <c r="B887" s="55">
        <v>45344</v>
      </c>
      <c r="C887" s="54">
        <v>3851.45</v>
      </c>
      <c r="D887" s="56">
        <f t="shared" si="16"/>
        <v>1.1357071582374978E-2</v>
      </c>
      <c r="E887" s="64">
        <v>4.0930717591083354E-3</v>
      </c>
    </row>
    <row r="888" spans="2:5" x14ac:dyDescent="0.3">
      <c r="B888" s="55">
        <v>45323</v>
      </c>
      <c r="C888" s="54">
        <v>3808.2</v>
      </c>
      <c r="D888" s="56">
        <f t="shared" si="16"/>
        <v>-9.4751354949130118E-2</v>
      </c>
      <c r="E888" s="64">
        <v>4.0867983230943317E-3</v>
      </c>
    </row>
    <row r="889" spans="2:5" x14ac:dyDescent="0.3">
      <c r="B889" s="55">
        <v>45796</v>
      </c>
      <c r="C889" s="54">
        <v>4206.8</v>
      </c>
      <c r="D889" s="56">
        <f t="shared" si="16"/>
        <v>-0.11172110897611842</v>
      </c>
      <c r="E889" s="64">
        <v>4.0814378117766115E-3</v>
      </c>
    </row>
    <row r="890" spans="2:5" x14ac:dyDescent="0.3">
      <c r="B890" s="55">
        <v>45474</v>
      </c>
      <c r="C890" s="54">
        <v>4735.8999999999996</v>
      </c>
      <c r="D890" s="56">
        <f t="shared" si="16"/>
        <v>0.26310876406891759</v>
      </c>
      <c r="E890" s="64">
        <v>4.0599989399479064E-3</v>
      </c>
    </row>
    <row r="891" spans="2:5" x14ac:dyDescent="0.3">
      <c r="B891" s="55">
        <v>45320</v>
      </c>
      <c r="C891" s="54">
        <v>3749.4</v>
      </c>
      <c r="D891" s="56">
        <f t="shared" si="16"/>
        <v>0.60656440140543322</v>
      </c>
      <c r="E891" s="64">
        <v>4.0570395661778669E-3</v>
      </c>
    </row>
    <row r="892" spans="2:5" x14ac:dyDescent="0.3">
      <c r="B892" s="55">
        <v>43966</v>
      </c>
      <c r="C892" s="54">
        <v>2333.8000000000002</v>
      </c>
      <c r="D892" s="56">
        <f t="shared" si="16"/>
        <v>-1.1059790669096126E-2</v>
      </c>
      <c r="E892" s="64">
        <v>4.0440543796249617E-3</v>
      </c>
    </row>
    <row r="893" spans="2:5" x14ac:dyDescent="0.3">
      <c r="B893" s="55">
        <v>44005</v>
      </c>
      <c r="C893" s="54">
        <v>2359.9</v>
      </c>
      <c r="D893" s="56">
        <f t="shared" si="16"/>
        <v>-0.32624336207388793</v>
      </c>
      <c r="E893" s="64">
        <v>4.0418652144316169E-3</v>
      </c>
    </row>
    <row r="894" spans="2:5" x14ac:dyDescent="0.3">
      <c r="B894" s="55">
        <v>44406</v>
      </c>
      <c r="C894" s="54">
        <v>3502.6</v>
      </c>
      <c r="D894" s="56">
        <f t="shared" si="16"/>
        <v>-0.25017928819909019</v>
      </c>
      <c r="E894" s="64">
        <v>4.0418517987672598E-3</v>
      </c>
    </row>
    <row r="895" spans="2:5" x14ac:dyDescent="0.3">
      <c r="B895" s="55">
        <v>45428</v>
      </c>
      <c r="C895" s="54">
        <v>4671.25</v>
      </c>
      <c r="D895" s="56">
        <f t="shared" si="16"/>
        <v>0.22231235199455734</v>
      </c>
      <c r="E895" s="64">
        <v>4.0408816859933694E-3</v>
      </c>
    </row>
    <row r="896" spans="2:5" x14ac:dyDescent="0.3">
      <c r="B896" s="55">
        <v>45120</v>
      </c>
      <c r="C896" s="54">
        <v>3821.65</v>
      </c>
      <c r="D896" s="56">
        <f t="shared" si="16"/>
        <v>4.3339976521335588E-2</v>
      </c>
      <c r="E896" s="64">
        <v>4.0195988282738515E-3</v>
      </c>
    </row>
    <row r="897" spans="2:5" x14ac:dyDescent="0.3">
      <c r="B897" s="55">
        <v>44727</v>
      </c>
      <c r="C897" s="54">
        <v>3662.9</v>
      </c>
      <c r="D897" s="56">
        <f t="shared" si="16"/>
        <v>-8.2311212195056438E-3</v>
      </c>
      <c r="E897" s="64">
        <v>4.0018638818080099E-3</v>
      </c>
    </row>
    <row r="898" spans="2:5" x14ac:dyDescent="0.3">
      <c r="B898" s="55">
        <v>45338</v>
      </c>
      <c r="C898" s="54">
        <v>3693.3</v>
      </c>
      <c r="D898" s="56">
        <f t="shared" si="16"/>
        <v>-0.22942268772559404</v>
      </c>
      <c r="E898" s="64">
        <v>3.99608546729735E-3</v>
      </c>
    </row>
    <row r="899" spans="2:5" x14ac:dyDescent="0.3">
      <c r="B899" s="55">
        <v>45476</v>
      </c>
      <c r="C899" s="54">
        <v>4792.8999999999996</v>
      </c>
      <c r="D899" s="56">
        <f t="shared" si="16"/>
        <v>-6.0114326054770628E-2</v>
      </c>
      <c r="E899" s="64">
        <v>3.9904898561955449E-3</v>
      </c>
    </row>
    <row r="900" spans="2:5" x14ac:dyDescent="0.3">
      <c r="B900" s="55">
        <v>45525</v>
      </c>
      <c r="C900" s="54">
        <v>5099.45</v>
      </c>
      <c r="D900" s="56">
        <f t="shared" ref="D900:D963" si="17">C900/C901-1</f>
        <v>0.16994746139904104</v>
      </c>
      <c r="E900" s="64">
        <v>3.9868483225704576E-3</v>
      </c>
    </row>
    <row r="901" spans="2:5" x14ac:dyDescent="0.3">
      <c r="B901" s="55">
        <v>46157</v>
      </c>
      <c r="C901" s="54">
        <v>4358.7</v>
      </c>
      <c r="D901" s="56">
        <f t="shared" si="17"/>
        <v>1.7724453773494893</v>
      </c>
      <c r="E901" s="64">
        <v>3.9848896669276712E-3</v>
      </c>
    </row>
    <row r="902" spans="2:5" x14ac:dyDescent="0.3">
      <c r="B902" s="55">
        <v>43251</v>
      </c>
      <c r="C902" s="54">
        <v>1572.15</v>
      </c>
      <c r="D902" s="56">
        <f t="shared" si="17"/>
        <v>8.4765058993997222E-2</v>
      </c>
      <c r="E902" s="64">
        <v>3.9592579584277754E-3</v>
      </c>
    </row>
    <row r="903" spans="2:5" x14ac:dyDescent="0.3">
      <c r="B903" s="55">
        <v>43560</v>
      </c>
      <c r="C903" s="54">
        <v>1449.3</v>
      </c>
      <c r="D903" s="56">
        <f t="shared" si="17"/>
        <v>-0.56396293399121489</v>
      </c>
      <c r="E903" s="64">
        <v>3.9484621778886897E-3</v>
      </c>
    </row>
    <row r="904" spans="2:5" x14ac:dyDescent="0.3">
      <c r="B904" s="55">
        <v>44371</v>
      </c>
      <c r="C904" s="54">
        <v>3323.8</v>
      </c>
      <c r="D904" s="56">
        <f t="shared" si="17"/>
        <v>1.2831432889133123</v>
      </c>
      <c r="E904" s="64">
        <v>3.8962215711739745E-3</v>
      </c>
    </row>
    <row r="905" spans="2:5" x14ac:dyDescent="0.3">
      <c r="B905" s="55">
        <v>43524</v>
      </c>
      <c r="C905" s="54">
        <v>1455.8</v>
      </c>
      <c r="D905" s="56">
        <f t="shared" si="17"/>
        <v>-0.69062722471922044</v>
      </c>
      <c r="E905" s="64">
        <v>3.8961486742750129E-3</v>
      </c>
    </row>
    <row r="906" spans="2:5" x14ac:dyDescent="0.3">
      <c r="B906" s="55">
        <v>44567</v>
      </c>
      <c r="C906" s="54">
        <v>4705.6499999999996</v>
      </c>
      <c r="D906" s="56">
        <f t="shared" si="17"/>
        <v>0.16955597807851475</v>
      </c>
      <c r="E906" s="64">
        <v>3.8934163928829868E-3</v>
      </c>
    </row>
    <row r="907" spans="2:5" x14ac:dyDescent="0.3">
      <c r="B907" s="55">
        <v>45286</v>
      </c>
      <c r="C907" s="54">
        <v>4023.45</v>
      </c>
      <c r="D907" s="56">
        <f t="shared" si="17"/>
        <v>-8.0711252390297528E-4</v>
      </c>
      <c r="E907" s="64">
        <v>3.8673137139935143E-3</v>
      </c>
    </row>
    <row r="908" spans="2:5" x14ac:dyDescent="0.3">
      <c r="B908" s="55">
        <v>45853</v>
      </c>
      <c r="C908" s="54">
        <v>4026.7</v>
      </c>
      <c r="D908" s="56">
        <f t="shared" si="17"/>
        <v>0.36602493427190219</v>
      </c>
      <c r="E908" s="64">
        <v>3.8391543888514068E-3</v>
      </c>
    </row>
    <row r="909" spans="2:5" x14ac:dyDescent="0.3">
      <c r="B909" s="55">
        <v>44295</v>
      </c>
      <c r="C909" s="54">
        <v>2947.75</v>
      </c>
      <c r="D909" s="56">
        <f t="shared" si="17"/>
        <v>-0.32679022073013364</v>
      </c>
      <c r="E909" s="64">
        <v>3.8310914353822945E-3</v>
      </c>
    </row>
    <row r="910" spans="2:5" x14ac:dyDescent="0.3">
      <c r="B910" s="55">
        <v>44461</v>
      </c>
      <c r="C910" s="54">
        <v>4378.6499999999996</v>
      </c>
      <c r="D910" s="56">
        <f t="shared" si="17"/>
        <v>0.21690011672502907</v>
      </c>
      <c r="E910" s="64">
        <v>3.8285629133758547E-3</v>
      </c>
    </row>
    <row r="911" spans="2:5" x14ac:dyDescent="0.3">
      <c r="B911" s="55">
        <v>45051</v>
      </c>
      <c r="C911" s="54">
        <v>3598.2</v>
      </c>
      <c r="D911" s="56">
        <f t="shared" si="17"/>
        <v>-6.0718387804114093E-2</v>
      </c>
      <c r="E911" s="64">
        <v>3.8220114381364301E-3</v>
      </c>
    </row>
    <row r="912" spans="2:5" x14ac:dyDescent="0.3">
      <c r="B912" s="55">
        <v>46002</v>
      </c>
      <c r="C912" s="54">
        <v>3830.8</v>
      </c>
      <c r="D912" s="56">
        <f t="shared" si="17"/>
        <v>3.3326589790275918E-2</v>
      </c>
      <c r="E912" s="64">
        <v>3.7994916542201107E-3</v>
      </c>
    </row>
    <row r="913" spans="2:5" x14ac:dyDescent="0.3">
      <c r="B913" s="55">
        <v>45341</v>
      </c>
      <c r="C913" s="54">
        <v>3707.25</v>
      </c>
      <c r="D913" s="56">
        <f t="shared" si="17"/>
        <v>3.6075689783743474</v>
      </c>
      <c r="E913" s="64">
        <v>3.777109901713871E-3</v>
      </c>
    </row>
    <row r="914" spans="2:5" x14ac:dyDescent="0.3">
      <c r="B914" s="55">
        <v>42913</v>
      </c>
      <c r="C914" s="54">
        <v>804.6</v>
      </c>
      <c r="D914" s="56">
        <f t="shared" si="17"/>
        <v>-0.83240991460112479</v>
      </c>
      <c r="E914" s="64">
        <v>3.7425149700598404E-3</v>
      </c>
    </row>
    <row r="915" spans="2:5" x14ac:dyDescent="0.3">
      <c r="B915" s="55">
        <v>45469</v>
      </c>
      <c r="C915" s="54">
        <v>4801</v>
      </c>
      <c r="D915" s="56">
        <f t="shared" si="17"/>
        <v>5.5515829694323147</v>
      </c>
      <c r="E915" s="64">
        <v>3.6898826136493312E-3</v>
      </c>
    </row>
    <row r="916" spans="2:5" x14ac:dyDescent="0.3">
      <c r="B916" s="55">
        <v>42844</v>
      </c>
      <c r="C916" s="54">
        <v>732.8</v>
      </c>
      <c r="D916" s="56">
        <f t="shared" si="17"/>
        <v>-6.0091066504200596E-2</v>
      </c>
      <c r="E916" s="64">
        <v>3.6293912209819368E-3</v>
      </c>
    </row>
    <row r="917" spans="2:5" x14ac:dyDescent="0.3">
      <c r="B917" s="55">
        <v>42888</v>
      </c>
      <c r="C917" s="54">
        <v>779.65</v>
      </c>
      <c r="D917" s="56">
        <f t="shared" si="17"/>
        <v>-0.76888987698236255</v>
      </c>
      <c r="E917" s="64">
        <v>3.604299414301293E-3</v>
      </c>
    </row>
    <row r="918" spans="2:5" x14ac:dyDescent="0.3">
      <c r="B918" s="55">
        <v>45008</v>
      </c>
      <c r="C918" s="54">
        <v>3373.5</v>
      </c>
      <c r="D918" s="56">
        <f t="shared" si="17"/>
        <v>-0.12692969629524187</v>
      </c>
      <c r="E918" s="64">
        <v>3.5996906051050104E-3</v>
      </c>
    </row>
    <row r="919" spans="2:5" x14ac:dyDescent="0.3">
      <c r="B919" s="55">
        <v>45631</v>
      </c>
      <c r="C919" s="54">
        <v>3863.95</v>
      </c>
      <c r="D919" s="56">
        <f t="shared" si="17"/>
        <v>3.5619999731978824E-2</v>
      </c>
      <c r="E919" s="64">
        <v>3.5973091608010321E-3</v>
      </c>
    </row>
    <row r="920" spans="2:5" x14ac:dyDescent="0.3">
      <c r="B920" s="55">
        <v>45330</v>
      </c>
      <c r="C920" s="54">
        <v>3731.05</v>
      </c>
      <c r="D920" s="56">
        <f t="shared" si="17"/>
        <v>-0.1524386088457782</v>
      </c>
      <c r="E920" s="64">
        <v>3.5909298759986275E-3</v>
      </c>
    </row>
    <row r="921" spans="2:5" x14ac:dyDescent="0.3">
      <c r="B921" s="55">
        <v>46150</v>
      </c>
      <c r="C921" s="54">
        <v>4402.1000000000004</v>
      </c>
      <c r="D921" s="56">
        <f t="shared" si="17"/>
        <v>1.8910286084621974E-2</v>
      </c>
      <c r="E921" s="64">
        <v>3.556366123333099E-3</v>
      </c>
    </row>
    <row r="922" spans="2:5" x14ac:dyDescent="0.3">
      <c r="B922" s="55">
        <v>45940</v>
      </c>
      <c r="C922" s="54">
        <v>4320.3999999999996</v>
      </c>
      <c r="D922" s="56">
        <f t="shared" si="17"/>
        <v>1.7490455586663272</v>
      </c>
      <c r="E922" s="64">
        <v>3.5539244152282823E-3</v>
      </c>
    </row>
    <row r="923" spans="2:5" x14ac:dyDescent="0.3">
      <c r="B923" s="55">
        <v>43326</v>
      </c>
      <c r="C923" s="54">
        <v>1571.6</v>
      </c>
      <c r="D923" s="56">
        <f t="shared" si="17"/>
        <v>1.1983494194992308</v>
      </c>
      <c r="E923" s="64">
        <v>3.5439481498036329E-3</v>
      </c>
    </row>
    <row r="924" spans="2:5" x14ac:dyDescent="0.3">
      <c r="B924" s="55">
        <v>42881</v>
      </c>
      <c r="C924" s="54">
        <v>714.9</v>
      </c>
      <c r="D924" s="56">
        <f t="shared" si="17"/>
        <v>-0.81986090812881118</v>
      </c>
      <c r="E924" s="64">
        <v>3.5092644581695698E-3</v>
      </c>
    </row>
    <row r="925" spans="2:5" x14ac:dyDescent="0.3">
      <c r="B925" s="55">
        <v>44440</v>
      </c>
      <c r="C925" s="54">
        <v>3968.6</v>
      </c>
      <c r="D925" s="56">
        <f t="shared" si="17"/>
        <v>1.6530735033592943</v>
      </c>
      <c r="E925" s="64">
        <v>3.4894305653887514E-3</v>
      </c>
    </row>
    <row r="926" spans="2:5" x14ac:dyDescent="0.3">
      <c r="B926" s="55">
        <v>43222</v>
      </c>
      <c r="C926" s="54">
        <v>1495.85</v>
      </c>
      <c r="D926" s="56">
        <f t="shared" si="17"/>
        <v>-0.52941454053543902</v>
      </c>
      <c r="E926" s="64">
        <v>3.4884110958306458E-3</v>
      </c>
    </row>
    <row r="927" spans="2:5" x14ac:dyDescent="0.3">
      <c r="B927" s="55">
        <v>44259</v>
      </c>
      <c r="C927" s="54">
        <v>3178.7</v>
      </c>
      <c r="D927" s="56">
        <f t="shared" si="17"/>
        <v>-0.10809635376478344</v>
      </c>
      <c r="E927" s="64">
        <v>3.4725510622848343E-3</v>
      </c>
    </row>
    <row r="928" spans="2:5" x14ac:dyDescent="0.3">
      <c r="B928" s="55">
        <v>44419</v>
      </c>
      <c r="C928" s="54">
        <v>3563.95</v>
      </c>
      <c r="D928" s="56">
        <f t="shared" si="17"/>
        <v>-0.14829728760903338</v>
      </c>
      <c r="E928" s="64">
        <v>3.4631790857768685E-3</v>
      </c>
    </row>
    <row r="929" spans="2:5" x14ac:dyDescent="0.3">
      <c r="B929" s="55">
        <v>45880</v>
      </c>
      <c r="C929" s="54">
        <v>4184.5</v>
      </c>
      <c r="D929" s="56">
        <f t="shared" si="17"/>
        <v>1.936388196905372</v>
      </c>
      <c r="E929" s="64">
        <v>3.4531546006089098E-3</v>
      </c>
    </row>
    <row r="930" spans="2:5" x14ac:dyDescent="0.3">
      <c r="B930" s="55">
        <v>43672</v>
      </c>
      <c r="C930" s="54">
        <v>1425.05</v>
      </c>
      <c r="D930" s="56">
        <f t="shared" si="17"/>
        <v>-0.61194619175993248</v>
      </c>
      <c r="E930" s="64">
        <v>3.4503397528429236E-3</v>
      </c>
    </row>
    <row r="931" spans="2:5" x14ac:dyDescent="0.3">
      <c r="B931" s="55">
        <v>45056</v>
      </c>
      <c r="C931" s="54">
        <v>3672.3</v>
      </c>
      <c r="D931" s="56">
        <f t="shared" si="17"/>
        <v>-0.29443974792499228</v>
      </c>
      <c r="E931" s="64">
        <v>3.442905156160414E-3</v>
      </c>
    </row>
    <row r="932" spans="2:5" x14ac:dyDescent="0.3">
      <c r="B932" s="55">
        <v>45551</v>
      </c>
      <c r="C932" s="54">
        <v>5204.8</v>
      </c>
      <c r="D932" s="56">
        <f t="shared" si="17"/>
        <v>0.32461252640419413</v>
      </c>
      <c r="E932" s="64">
        <v>3.4219835937574494E-3</v>
      </c>
    </row>
    <row r="933" spans="2:5" x14ac:dyDescent="0.3">
      <c r="B933" s="55">
        <v>46218</v>
      </c>
      <c r="C933" s="54">
        <v>3929.3</v>
      </c>
      <c r="D933" s="56">
        <f t="shared" si="17"/>
        <v>-7.1076490265842285E-2</v>
      </c>
      <c r="E933" s="64">
        <v>3.4219464235552E-3</v>
      </c>
    </row>
    <row r="934" spans="2:5" x14ac:dyDescent="0.3">
      <c r="B934" s="55">
        <v>44858</v>
      </c>
      <c r="C934" s="54">
        <v>4229.95</v>
      </c>
      <c r="D934" s="56">
        <f t="shared" si="17"/>
        <v>0.13118414718938864</v>
      </c>
      <c r="E934" s="64">
        <v>3.4159243752296398E-3</v>
      </c>
    </row>
    <row r="935" spans="2:5" x14ac:dyDescent="0.3">
      <c r="B935" s="55">
        <v>44720</v>
      </c>
      <c r="C935" s="54">
        <v>3739.4</v>
      </c>
      <c r="D935" s="56">
        <f t="shared" si="17"/>
        <v>-0.22080411748158491</v>
      </c>
      <c r="E935" s="64">
        <v>3.4078407169881864E-3</v>
      </c>
    </row>
    <row r="936" spans="2:5" x14ac:dyDescent="0.3">
      <c r="B936" s="55">
        <v>44533</v>
      </c>
      <c r="C936" s="54">
        <v>4799.05</v>
      </c>
      <c r="D936" s="56">
        <f t="shared" si="17"/>
        <v>0.20942276433008655</v>
      </c>
      <c r="E936" s="64">
        <v>3.366123417556155E-3</v>
      </c>
    </row>
    <row r="937" spans="2:5" x14ac:dyDescent="0.3">
      <c r="B937" s="55">
        <v>44889</v>
      </c>
      <c r="C937" s="54">
        <v>3968.05</v>
      </c>
      <c r="D937" s="56">
        <f t="shared" si="17"/>
        <v>3.2539682539682646E-2</v>
      </c>
      <c r="E937" s="64">
        <v>3.3630444402301674E-3</v>
      </c>
    </row>
    <row r="938" spans="2:5" x14ac:dyDescent="0.3">
      <c r="B938" s="55">
        <v>45665</v>
      </c>
      <c r="C938" s="54">
        <v>3843</v>
      </c>
      <c r="D938" s="56">
        <f t="shared" si="17"/>
        <v>-1.5902281631712367E-2</v>
      </c>
      <c r="E938" s="64">
        <v>3.3156671801164439E-3</v>
      </c>
    </row>
    <row r="939" spans="2:5" x14ac:dyDescent="0.3">
      <c r="B939" s="55">
        <v>45740</v>
      </c>
      <c r="C939" s="54">
        <v>3905.1</v>
      </c>
      <c r="D939" s="56">
        <f t="shared" si="17"/>
        <v>0.96809797399455699</v>
      </c>
      <c r="E939" s="64">
        <v>3.3143209495916093E-3</v>
      </c>
    </row>
    <row r="940" spans="2:5" x14ac:dyDescent="0.3">
      <c r="B940" s="55">
        <v>44120</v>
      </c>
      <c r="C940" s="54">
        <v>1984.2</v>
      </c>
      <c r="D940" s="56">
        <f t="shared" si="17"/>
        <v>-0.58023672769967949</v>
      </c>
      <c r="E940" s="64">
        <v>3.2866461040603756E-3</v>
      </c>
    </row>
    <row r="941" spans="2:5" x14ac:dyDescent="0.3">
      <c r="B941" s="55">
        <v>44565</v>
      </c>
      <c r="C941" s="54">
        <v>4726.95</v>
      </c>
      <c r="D941" s="56">
        <f t="shared" si="17"/>
        <v>0.3633335256114445</v>
      </c>
      <c r="E941" s="64">
        <v>3.2792104425340973E-3</v>
      </c>
    </row>
    <row r="942" spans="2:5" x14ac:dyDescent="0.3">
      <c r="B942" s="55">
        <v>45040</v>
      </c>
      <c r="C942" s="54">
        <v>3467.2</v>
      </c>
      <c r="D942" s="56">
        <f t="shared" si="17"/>
        <v>-1.2742208744429773E-2</v>
      </c>
      <c r="E942" s="64">
        <v>3.2697705373418984E-3</v>
      </c>
    </row>
    <row r="943" spans="2:5" x14ac:dyDescent="0.3">
      <c r="B943" s="55">
        <v>45044</v>
      </c>
      <c r="C943" s="54">
        <v>3511.95</v>
      </c>
      <c r="D943" s="56">
        <f t="shared" si="17"/>
        <v>-8.6143637782982063E-2</v>
      </c>
      <c r="E943" s="64">
        <v>3.1849862888482239E-3</v>
      </c>
    </row>
    <row r="944" spans="2:5" x14ac:dyDescent="0.3">
      <c r="B944" s="55">
        <v>46003</v>
      </c>
      <c r="C944" s="54">
        <v>3843</v>
      </c>
      <c r="D944" s="56">
        <f t="shared" si="17"/>
        <v>0.69549104385423099</v>
      </c>
      <c r="E944" s="64">
        <v>3.1847133757960666E-3</v>
      </c>
    </row>
    <row r="945" spans="2:5" x14ac:dyDescent="0.3">
      <c r="B945" s="55">
        <v>44062</v>
      </c>
      <c r="C945" s="54">
        <v>2266.6</v>
      </c>
      <c r="D945" s="56">
        <f t="shared" si="17"/>
        <v>-0.42107682876992236</v>
      </c>
      <c r="E945" s="64">
        <v>3.1644869326605818E-3</v>
      </c>
    </row>
    <row r="946" spans="2:5" x14ac:dyDescent="0.3">
      <c r="B946" s="55">
        <v>46071</v>
      </c>
      <c r="C946" s="54">
        <v>3915.2</v>
      </c>
      <c r="D946" s="56">
        <f t="shared" si="17"/>
        <v>-0.18011433836617596</v>
      </c>
      <c r="E946" s="64">
        <v>3.1515027287400965E-3</v>
      </c>
    </row>
    <row r="947" spans="2:5" x14ac:dyDescent="0.3">
      <c r="B947" s="55">
        <v>45919</v>
      </c>
      <c r="C947" s="54">
        <v>4775.3</v>
      </c>
      <c r="D947" s="56">
        <f t="shared" si="17"/>
        <v>0.10516327616931664</v>
      </c>
      <c r="E947" s="64">
        <v>3.151061907862962E-3</v>
      </c>
    </row>
    <row r="948" spans="2:5" x14ac:dyDescent="0.3">
      <c r="B948" s="55">
        <v>44865</v>
      </c>
      <c r="C948" s="54">
        <v>4320.8999999999996</v>
      </c>
      <c r="D948" s="56">
        <f t="shared" si="17"/>
        <v>2.7576310983563781</v>
      </c>
      <c r="E948" s="64">
        <v>3.145785691898606E-3</v>
      </c>
    </row>
    <row r="949" spans="2:5" x14ac:dyDescent="0.3">
      <c r="B949" s="55">
        <v>43063</v>
      </c>
      <c r="C949" s="54">
        <v>1149.9000000000001</v>
      </c>
      <c r="D949" s="56">
        <f t="shared" si="17"/>
        <v>-0.71788518155053971</v>
      </c>
      <c r="E949" s="64">
        <v>3.1405391258834126E-3</v>
      </c>
    </row>
    <row r="950" spans="2:5" x14ac:dyDescent="0.3">
      <c r="B950" s="55">
        <v>44589</v>
      </c>
      <c r="C950" s="54">
        <v>4076</v>
      </c>
      <c r="D950" s="56">
        <f t="shared" si="17"/>
        <v>1.6133230749503107</v>
      </c>
      <c r="E950" s="64">
        <v>3.1255383555237604E-3</v>
      </c>
    </row>
    <row r="951" spans="2:5" x14ac:dyDescent="0.3">
      <c r="B951" s="55">
        <v>43336</v>
      </c>
      <c r="C951" s="54">
        <v>1559.7</v>
      </c>
      <c r="D951" s="56">
        <f t="shared" si="17"/>
        <v>-0.57729416228521879</v>
      </c>
      <c r="E951" s="64">
        <v>3.1192719554942183E-3</v>
      </c>
    </row>
    <row r="952" spans="2:5" x14ac:dyDescent="0.3">
      <c r="B952" s="55">
        <v>44943</v>
      </c>
      <c r="C952" s="54">
        <v>3689.8</v>
      </c>
      <c r="D952" s="56">
        <f t="shared" si="17"/>
        <v>-0.23816406169347348</v>
      </c>
      <c r="E952" s="64">
        <v>3.11280873217612E-3</v>
      </c>
    </row>
    <row r="953" spans="2:5" x14ac:dyDescent="0.3">
      <c r="B953" s="55">
        <v>44523</v>
      </c>
      <c r="C953" s="54">
        <v>4843.3</v>
      </c>
      <c r="D953" s="56">
        <f t="shared" si="17"/>
        <v>2.7166097532901046</v>
      </c>
      <c r="E953" s="64">
        <v>3.1066835117949942E-3</v>
      </c>
    </row>
    <row r="954" spans="2:5" x14ac:dyDescent="0.3">
      <c r="B954" s="55">
        <v>43608</v>
      </c>
      <c r="C954" s="54">
        <v>1303.1500000000001</v>
      </c>
      <c r="D954" s="56">
        <f t="shared" si="17"/>
        <v>-0.11964195237290987</v>
      </c>
      <c r="E954" s="64">
        <v>3.0789362275334131E-3</v>
      </c>
    </row>
    <row r="955" spans="2:5" x14ac:dyDescent="0.3">
      <c r="B955" s="55">
        <v>43215</v>
      </c>
      <c r="C955" s="54">
        <v>1480.25</v>
      </c>
      <c r="D955" s="56">
        <f t="shared" si="17"/>
        <v>-0.35933780566976847</v>
      </c>
      <c r="E955" s="64">
        <v>3.0492969676436665E-3</v>
      </c>
    </row>
    <row r="956" spans="2:5" x14ac:dyDescent="0.3">
      <c r="B956" s="55">
        <v>43945</v>
      </c>
      <c r="C956" s="54">
        <v>2310.5</v>
      </c>
      <c r="D956" s="56">
        <f t="shared" si="17"/>
        <v>-0.39218162207665797</v>
      </c>
      <c r="E956" s="64">
        <v>3.03885391795089E-3</v>
      </c>
    </row>
    <row r="957" spans="2:5" x14ac:dyDescent="0.3">
      <c r="B957" s="55">
        <v>46031</v>
      </c>
      <c r="C957" s="54">
        <v>3801.3</v>
      </c>
      <c r="D957" s="56">
        <f t="shared" si="17"/>
        <v>0.74203748682461868</v>
      </c>
      <c r="E957" s="64">
        <v>3.0344609214205676E-3</v>
      </c>
    </row>
    <row r="958" spans="2:5" x14ac:dyDescent="0.3">
      <c r="B958" s="55">
        <v>43958</v>
      </c>
      <c r="C958" s="54">
        <v>2182.1</v>
      </c>
      <c r="D958" s="56">
        <f t="shared" si="17"/>
        <v>-0.43251326328929574</v>
      </c>
      <c r="E958" s="64">
        <v>2.9876815591101114E-3</v>
      </c>
    </row>
    <row r="959" spans="2:5" x14ac:dyDescent="0.3">
      <c r="B959" s="55">
        <v>45735</v>
      </c>
      <c r="C959" s="54">
        <v>3845.2</v>
      </c>
      <c r="D959" s="56">
        <f t="shared" si="17"/>
        <v>6.0701203558346517E-3</v>
      </c>
      <c r="E959" s="64">
        <v>2.960470545274374E-3</v>
      </c>
    </row>
    <row r="960" spans="2:5" x14ac:dyDescent="0.3">
      <c r="B960" s="55">
        <v>45301</v>
      </c>
      <c r="C960" s="54">
        <v>3822</v>
      </c>
      <c r="D960" s="56">
        <f t="shared" si="17"/>
        <v>1.8384701076865948</v>
      </c>
      <c r="E960" s="64">
        <v>2.9521747687462074E-3</v>
      </c>
    </row>
    <row r="961" spans="2:5" x14ac:dyDescent="0.3">
      <c r="B961" s="55">
        <v>43179</v>
      </c>
      <c r="C961" s="54">
        <v>1346.5</v>
      </c>
      <c r="D961" s="56">
        <f t="shared" si="17"/>
        <v>-9.3998116000538312E-2</v>
      </c>
      <c r="E961" s="64">
        <v>2.942162303080087E-3</v>
      </c>
    </row>
    <row r="962" spans="2:5" x14ac:dyDescent="0.3">
      <c r="B962" s="55">
        <v>43564</v>
      </c>
      <c r="C962" s="54">
        <v>1486.2</v>
      </c>
      <c r="D962" s="56">
        <f t="shared" si="17"/>
        <v>-0.27689388410451032</v>
      </c>
      <c r="E962" s="64">
        <v>2.9355197894525009E-3</v>
      </c>
    </row>
    <row r="963" spans="2:5" x14ac:dyDescent="0.3">
      <c r="B963" s="55">
        <v>44097</v>
      </c>
      <c r="C963" s="54">
        <v>2055.3000000000002</v>
      </c>
      <c r="D963" s="56">
        <f t="shared" si="17"/>
        <v>-0.38027107298466722</v>
      </c>
      <c r="E963" s="64">
        <v>2.9278290147856101E-3</v>
      </c>
    </row>
    <row r="964" spans="2:5" x14ac:dyDescent="0.3">
      <c r="B964" s="55">
        <v>45013</v>
      </c>
      <c r="C964" s="54">
        <v>3316.45</v>
      </c>
      <c r="D964" s="56">
        <f t="shared" ref="D964:D1027" si="18">C964/C965-1</f>
        <v>-0.36464649367318991</v>
      </c>
      <c r="E964" s="64">
        <v>2.9182291036651264E-3</v>
      </c>
    </row>
    <row r="965" spans="2:5" x14ac:dyDescent="0.3">
      <c r="B965" s="55">
        <v>45552</v>
      </c>
      <c r="C965" s="54">
        <v>5219.8500000000004</v>
      </c>
      <c r="D965" s="56">
        <f t="shared" si="18"/>
        <v>0.34334868878194413</v>
      </c>
      <c r="E965" s="64">
        <v>2.8915616354134865E-3</v>
      </c>
    </row>
    <row r="966" spans="2:5" x14ac:dyDescent="0.3">
      <c r="B966" s="55">
        <v>45607</v>
      </c>
      <c r="C966" s="54">
        <v>3885.7</v>
      </c>
      <c r="D966" s="56">
        <f t="shared" si="18"/>
        <v>-1.9220818556987318E-2</v>
      </c>
      <c r="E966" s="64">
        <v>2.890695573622315E-3</v>
      </c>
    </row>
    <row r="967" spans="2:5" x14ac:dyDescent="0.3">
      <c r="B967" s="55">
        <v>44452</v>
      </c>
      <c r="C967" s="54">
        <v>3961.85</v>
      </c>
      <c r="D967" s="56">
        <f t="shared" si="18"/>
        <v>9.9368713146028353E-2</v>
      </c>
      <c r="E967" s="64">
        <v>2.8730540437920116E-3</v>
      </c>
    </row>
    <row r="968" spans="2:5" x14ac:dyDescent="0.3">
      <c r="B968" s="55">
        <v>45726</v>
      </c>
      <c r="C968" s="54">
        <v>3603.75</v>
      </c>
      <c r="D968" s="56">
        <f t="shared" si="18"/>
        <v>-0.18510520424661103</v>
      </c>
      <c r="E968" s="64">
        <v>2.824465716829927E-3</v>
      </c>
    </row>
    <row r="969" spans="2:5" x14ac:dyDescent="0.3">
      <c r="B969" s="55">
        <v>44463</v>
      </c>
      <c r="C969" s="54">
        <v>4422.3500000000004</v>
      </c>
      <c r="D969" s="56">
        <f t="shared" si="18"/>
        <v>0.10922019614236622</v>
      </c>
      <c r="E969" s="64">
        <v>2.8231932696887174E-3</v>
      </c>
    </row>
    <row r="970" spans="2:5" x14ac:dyDescent="0.3">
      <c r="B970" s="55">
        <v>45097</v>
      </c>
      <c r="C970" s="54">
        <v>3986.9</v>
      </c>
      <c r="D970" s="56">
        <f t="shared" si="18"/>
        <v>2.6526797984425103</v>
      </c>
      <c r="E970" s="64">
        <v>2.8171139673516254E-3</v>
      </c>
    </row>
    <row r="971" spans="2:5" x14ac:dyDescent="0.3">
      <c r="B971" s="55">
        <v>42991</v>
      </c>
      <c r="C971" s="54">
        <v>1091.5</v>
      </c>
      <c r="D971" s="56">
        <f t="shared" si="18"/>
        <v>-0.72857373767515887</v>
      </c>
      <c r="E971" s="64">
        <v>2.8021498461114902E-3</v>
      </c>
    </row>
    <row r="972" spans="2:5" x14ac:dyDescent="0.3">
      <c r="B972" s="55">
        <v>45279</v>
      </c>
      <c r="C972" s="54">
        <v>4021.35</v>
      </c>
      <c r="D972" s="56">
        <f t="shared" si="18"/>
        <v>4.1058831143615304E-2</v>
      </c>
      <c r="E972" s="64">
        <v>2.7929129833048627E-3</v>
      </c>
    </row>
    <row r="973" spans="2:5" x14ac:dyDescent="0.3">
      <c r="B973" s="55">
        <v>45211</v>
      </c>
      <c r="C973" s="54">
        <v>3862.75</v>
      </c>
      <c r="D973" s="56">
        <f t="shared" si="18"/>
        <v>0.10150279457054867</v>
      </c>
      <c r="E973" s="64">
        <v>2.777741721940119E-3</v>
      </c>
    </row>
    <row r="974" spans="2:5" x14ac:dyDescent="0.3">
      <c r="B974" s="55">
        <v>45034</v>
      </c>
      <c r="C974" s="54">
        <v>3506.8</v>
      </c>
      <c r="D974" s="56">
        <f t="shared" si="18"/>
        <v>0.21890858533194302</v>
      </c>
      <c r="E974" s="64">
        <v>2.7737268022076655E-3</v>
      </c>
    </row>
    <row r="975" spans="2:5" x14ac:dyDescent="0.3">
      <c r="B975" s="55">
        <v>44230</v>
      </c>
      <c r="C975" s="54">
        <v>2877</v>
      </c>
      <c r="D975" s="56">
        <f t="shared" si="18"/>
        <v>0.80665013030236432</v>
      </c>
      <c r="E975" s="64">
        <v>2.753476700010582E-3</v>
      </c>
    </row>
    <row r="976" spans="2:5" x14ac:dyDescent="0.3">
      <c r="B976" s="55">
        <v>43340</v>
      </c>
      <c r="C976" s="54">
        <v>1592.45</v>
      </c>
      <c r="D976" s="56">
        <f t="shared" si="18"/>
        <v>-0.5211324783112059</v>
      </c>
      <c r="E976" s="64">
        <v>2.7391222215227273E-3</v>
      </c>
    </row>
    <row r="977" spans="2:5" x14ac:dyDescent="0.3">
      <c r="B977" s="55">
        <v>45014</v>
      </c>
      <c r="C977" s="54">
        <v>3325.45</v>
      </c>
      <c r="D977" s="56">
        <f t="shared" si="18"/>
        <v>0.57723866439005866</v>
      </c>
      <c r="E977" s="64">
        <v>2.7137451190277773E-3</v>
      </c>
    </row>
    <row r="978" spans="2:5" x14ac:dyDescent="0.3">
      <c r="B978" s="55">
        <v>44102</v>
      </c>
      <c r="C978" s="54">
        <v>2108.4</v>
      </c>
      <c r="D978" s="56">
        <f t="shared" si="18"/>
        <v>0.41908127208480561</v>
      </c>
      <c r="E978" s="64">
        <v>2.7108003994864571E-3</v>
      </c>
    </row>
    <row r="979" spans="2:5" x14ac:dyDescent="0.3">
      <c r="B979" s="55">
        <v>43699</v>
      </c>
      <c r="C979" s="54">
        <v>1485.75</v>
      </c>
      <c r="D979" s="56">
        <f t="shared" si="18"/>
        <v>0.85695538057742771</v>
      </c>
      <c r="E979" s="64">
        <v>2.6995107136831287E-3</v>
      </c>
    </row>
    <row r="980" spans="2:5" x14ac:dyDescent="0.3">
      <c r="B980" s="55">
        <v>42902</v>
      </c>
      <c r="C980" s="54">
        <v>800.1</v>
      </c>
      <c r="D980" s="56">
        <f t="shared" si="18"/>
        <v>-0.65144848616859075</v>
      </c>
      <c r="E980" s="64">
        <v>2.6944044113039745E-3</v>
      </c>
    </row>
    <row r="981" spans="2:5" x14ac:dyDescent="0.3">
      <c r="B981" s="55">
        <v>44014</v>
      </c>
      <c r="C981" s="54">
        <v>2295.5</v>
      </c>
      <c r="D981" s="56">
        <f t="shared" si="18"/>
        <v>-0.49325592176427735</v>
      </c>
      <c r="E981" s="64">
        <v>2.686352021316063E-3</v>
      </c>
    </row>
    <row r="982" spans="2:5" x14ac:dyDescent="0.3">
      <c r="B982" s="55">
        <v>45929</v>
      </c>
      <c r="C982" s="54">
        <v>4529.8999999999996</v>
      </c>
      <c r="D982" s="56">
        <f t="shared" si="18"/>
        <v>0.12018101337817444</v>
      </c>
      <c r="E982" s="64">
        <v>2.6782947452299588E-3</v>
      </c>
    </row>
    <row r="983" spans="2:5" x14ac:dyDescent="0.3">
      <c r="B983" s="55">
        <v>45861</v>
      </c>
      <c r="C983" s="54">
        <v>4043.9</v>
      </c>
      <c r="D983" s="56">
        <f t="shared" si="18"/>
        <v>1.7063075121298312</v>
      </c>
      <c r="E983" s="64">
        <v>2.6281208935610145E-3</v>
      </c>
    </row>
    <row r="984" spans="2:5" x14ac:dyDescent="0.3">
      <c r="B984" s="55">
        <v>43273</v>
      </c>
      <c r="C984" s="54">
        <v>1494.25</v>
      </c>
      <c r="D984" s="56">
        <f t="shared" si="18"/>
        <v>-0.64730388396492511</v>
      </c>
      <c r="E984" s="64">
        <v>2.6168349716511052E-3</v>
      </c>
    </row>
    <row r="985" spans="2:5" x14ac:dyDescent="0.3">
      <c r="B985" s="55">
        <v>44594</v>
      </c>
      <c r="C985" s="54">
        <v>4236.6499999999996</v>
      </c>
      <c r="D985" s="56">
        <f t="shared" si="18"/>
        <v>-8.8068793318696548E-2</v>
      </c>
      <c r="E985" s="64">
        <v>2.6150132525557535E-3</v>
      </c>
    </row>
    <row r="986" spans="2:5" x14ac:dyDescent="0.3">
      <c r="B986" s="55">
        <v>45924</v>
      </c>
      <c r="C986" s="54">
        <v>4645.8</v>
      </c>
      <c r="D986" s="56">
        <f t="shared" si="18"/>
        <v>0.20659160855506653</v>
      </c>
      <c r="E986" s="64">
        <v>2.5680312479769984E-3</v>
      </c>
    </row>
    <row r="987" spans="2:5" x14ac:dyDescent="0.3">
      <c r="B987" s="55">
        <v>45348</v>
      </c>
      <c r="C987" s="54">
        <v>3850.35</v>
      </c>
      <c r="D987" s="56">
        <f t="shared" si="18"/>
        <v>5.786009090434252E-3</v>
      </c>
      <c r="E987" s="64">
        <v>2.5517178529115281E-3</v>
      </c>
    </row>
    <row r="988" spans="2:5" x14ac:dyDescent="0.3">
      <c r="B988" s="55">
        <v>46014</v>
      </c>
      <c r="C988" s="54">
        <v>3828.2</v>
      </c>
      <c r="D988" s="56">
        <f t="shared" si="18"/>
        <v>-0.2597290842816673</v>
      </c>
      <c r="E988" s="64">
        <v>2.5140103702927519E-3</v>
      </c>
    </row>
    <row r="989" spans="2:5" x14ac:dyDescent="0.3">
      <c r="B989" s="55">
        <v>45498</v>
      </c>
      <c r="C989" s="54">
        <v>5171.3500000000004</v>
      </c>
      <c r="D989" s="56">
        <f t="shared" si="18"/>
        <v>0.7043817873209961</v>
      </c>
      <c r="E989" s="64">
        <v>2.5007511946419925E-3</v>
      </c>
    </row>
    <row r="990" spans="2:5" x14ac:dyDescent="0.3">
      <c r="B990" s="55">
        <v>44337</v>
      </c>
      <c r="C990" s="54">
        <v>3034.15</v>
      </c>
      <c r="D990" s="56">
        <f t="shared" si="18"/>
        <v>-0.35207884003502099</v>
      </c>
      <c r="E990" s="64">
        <v>2.4945483380691691E-3</v>
      </c>
    </row>
    <row r="991" spans="2:5" x14ac:dyDescent="0.3">
      <c r="B991" s="55">
        <v>45429</v>
      </c>
      <c r="C991" s="54">
        <v>4682.8999999999996</v>
      </c>
      <c r="D991" s="56">
        <f t="shared" si="18"/>
        <v>8.7756381965575558E-2</v>
      </c>
      <c r="E991" s="64">
        <v>2.4939791276423762E-3</v>
      </c>
    </row>
    <row r="992" spans="2:5" x14ac:dyDescent="0.3">
      <c r="B992" s="55">
        <v>45939</v>
      </c>
      <c r="C992" s="54">
        <v>4305.1000000000004</v>
      </c>
      <c r="D992" s="56">
        <f t="shared" si="18"/>
        <v>0.20655250693646487</v>
      </c>
      <c r="E992" s="64">
        <v>2.4916169895679019E-3</v>
      </c>
    </row>
    <row r="993" spans="2:5" x14ac:dyDescent="0.3">
      <c r="B993" s="55">
        <v>45686</v>
      </c>
      <c r="C993" s="54">
        <v>3568.1</v>
      </c>
      <c r="D993" s="56">
        <f t="shared" si="18"/>
        <v>-0.27099805904586782</v>
      </c>
      <c r="E993" s="64">
        <v>2.472396257691134E-3</v>
      </c>
    </row>
    <row r="994" spans="2:5" x14ac:dyDescent="0.3">
      <c r="B994" s="55">
        <v>44525</v>
      </c>
      <c r="C994" s="54">
        <v>4894.5</v>
      </c>
      <c r="D994" s="56">
        <f t="shared" si="18"/>
        <v>0.33109421955099871</v>
      </c>
      <c r="E994" s="64">
        <v>2.4372260680785018E-3</v>
      </c>
    </row>
    <row r="995" spans="2:5" x14ac:dyDescent="0.3">
      <c r="B995" s="55">
        <v>45132</v>
      </c>
      <c r="C995" s="54">
        <v>3677.05</v>
      </c>
      <c r="D995" s="56">
        <f t="shared" si="18"/>
        <v>8.2169607251644461E-2</v>
      </c>
      <c r="E995" s="64">
        <v>2.4126274467042297E-3</v>
      </c>
    </row>
    <row r="996" spans="2:5" x14ac:dyDescent="0.3">
      <c r="B996" s="55">
        <v>44994</v>
      </c>
      <c r="C996" s="54">
        <v>3397.85</v>
      </c>
      <c r="D996" s="56">
        <f t="shared" si="18"/>
        <v>-0.2575926411466527</v>
      </c>
      <c r="E996" s="64">
        <v>2.4043425671889107E-3</v>
      </c>
    </row>
    <row r="997" spans="2:5" x14ac:dyDescent="0.3">
      <c r="B997" s="55">
        <v>44806</v>
      </c>
      <c r="C997" s="54">
        <v>4576.8</v>
      </c>
      <c r="D997" s="56">
        <f t="shared" si="18"/>
        <v>0.13475317977834522</v>
      </c>
      <c r="E997" s="64">
        <v>2.3982391011529991E-3</v>
      </c>
    </row>
    <row r="998" spans="2:5" x14ac:dyDescent="0.3">
      <c r="B998" s="55">
        <v>45860</v>
      </c>
      <c r="C998" s="54">
        <v>4033.3</v>
      </c>
      <c r="D998" s="56">
        <f t="shared" si="18"/>
        <v>-3.8213446840981935E-2</v>
      </c>
      <c r="E998" s="64">
        <v>2.3858637572384822E-3</v>
      </c>
    </row>
    <row r="999" spans="2:5" x14ac:dyDescent="0.3">
      <c r="B999" s="55">
        <v>45580</v>
      </c>
      <c r="C999" s="54">
        <v>4193.55</v>
      </c>
      <c r="D999" s="56">
        <f t="shared" si="18"/>
        <v>0.19554402520205838</v>
      </c>
      <c r="E999" s="64">
        <v>2.3783344487999791E-3</v>
      </c>
    </row>
    <row r="1000" spans="2:5" x14ac:dyDescent="0.3">
      <c r="B1000" s="55">
        <v>45155</v>
      </c>
      <c r="C1000" s="54">
        <v>3507.65</v>
      </c>
      <c r="D1000" s="56">
        <f t="shared" si="18"/>
        <v>0.96755013322114714</v>
      </c>
      <c r="E1000" s="64">
        <v>2.3718690613971916E-3</v>
      </c>
    </row>
    <row r="1001" spans="2:5" x14ac:dyDescent="0.3">
      <c r="B1001" s="55">
        <v>43812</v>
      </c>
      <c r="C1001" s="54">
        <v>1782.75</v>
      </c>
      <c r="D1001" s="56">
        <f t="shared" si="18"/>
        <v>0.37166269139032071</v>
      </c>
      <c r="E1001" s="64">
        <v>2.3614742346294015E-3</v>
      </c>
    </row>
    <row r="1002" spans="2:5" x14ac:dyDescent="0.3">
      <c r="B1002" s="55">
        <v>43626</v>
      </c>
      <c r="C1002" s="54">
        <v>1299.7</v>
      </c>
      <c r="D1002" s="56">
        <f t="shared" si="18"/>
        <v>-6.7145164184460815E-2</v>
      </c>
      <c r="E1002" s="64">
        <v>2.3522153241044563E-3</v>
      </c>
    </row>
    <row r="1003" spans="2:5" x14ac:dyDescent="0.3">
      <c r="B1003" s="55">
        <v>43481</v>
      </c>
      <c r="C1003" s="54">
        <v>1393.25</v>
      </c>
      <c r="D1003" s="56">
        <f t="shared" si="18"/>
        <v>-0.70761062318338741</v>
      </c>
      <c r="E1003" s="64">
        <v>2.3381294964028854E-3</v>
      </c>
    </row>
    <row r="1004" spans="2:5" x14ac:dyDescent="0.3">
      <c r="B1004" s="55">
        <v>45394</v>
      </c>
      <c r="C1004" s="54">
        <v>4765.05</v>
      </c>
      <c r="D1004" s="56">
        <f t="shared" si="18"/>
        <v>1.4746436083197012</v>
      </c>
      <c r="E1004" s="64">
        <v>2.3243584350021163E-3</v>
      </c>
    </row>
    <row r="1005" spans="2:5" x14ac:dyDescent="0.3">
      <c r="B1005" s="55">
        <v>43826</v>
      </c>
      <c r="C1005" s="54">
        <v>1925.55</v>
      </c>
      <c r="D1005" s="56">
        <f t="shared" si="18"/>
        <v>0.55204932898077597</v>
      </c>
      <c r="E1005" s="64">
        <v>2.3163812399147332E-3</v>
      </c>
    </row>
    <row r="1006" spans="2:5" x14ac:dyDescent="0.3">
      <c r="B1006" s="55">
        <v>43153</v>
      </c>
      <c r="C1006" s="54">
        <v>1240.6500000000001</v>
      </c>
      <c r="D1006" s="56">
        <f t="shared" si="18"/>
        <v>-0.63860528117216964</v>
      </c>
      <c r="E1006" s="64">
        <v>2.3024721279691907E-3</v>
      </c>
    </row>
    <row r="1007" spans="2:5" x14ac:dyDescent="0.3">
      <c r="B1007" s="55">
        <v>45069</v>
      </c>
      <c r="C1007" s="54">
        <v>3432.95</v>
      </c>
      <c r="D1007" s="56">
        <f t="shared" si="18"/>
        <v>-6.8398914518317588E-2</v>
      </c>
      <c r="E1007" s="64">
        <v>2.2919038860178542E-3</v>
      </c>
    </row>
    <row r="1008" spans="2:5" x14ac:dyDescent="0.3">
      <c r="B1008" s="55">
        <v>45707</v>
      </c>
      <c r="C1008" s="54">
        <v>3685</v>
      </c>
      <c r="D1008" s="56">
        <f t="shared" si="18"/>
        <v>2.110754685125781</v>
      </c>
      <c r="E1008" s="64">
        <v>2.2847195778707974E-3</v>
      </c>
    </row>
    <row r="1009" spans="2:5" x14ac:dyDescent="0.3">
      <c r="B1009" s="55">
        <v>43130</v>
      </c>
      <c r="C1009" s="54">
        <v>1184.5999999999999</v>
      </c>
      <c r="D1009" s="56">
        <f t="shared" si="18"/>
        <v>-0.66668542487338212</v>
      </c>
      <c r="E1009" s="64">
        <v>2.2844572298839072E-3</v>
      </c>
    </row>
    <row r="1010" spans="2:5" x14ac:dyDescent="0.3">
      <c r="B1010" s="55">
        <v>45049</v>
      </c>
      <c r="C1010" s="54">
        <v>3554</v>
      </c>
      <c r="D1010" s="56">
        <f t="shared" si="18"/>
        <v>-7.2994509435684751E-2</v>
      </c>
      <c r="E1010" s="64">
        <v>2.2843283792548519E-3</v>
      </c>
    </row>
    <row r="1011" spans="2:5" x14ac:dyDescent="0.3">
      <c r="B1011" s="55">
        <v>45734</v>
      </c>
      <c r="C1011" s="54">
        <v>3833.85</v>
      </c>
      <c r="D1011" s="56">
        <f t="shared" si="18"/>
        <v>1.7570745388515334</v>
      </c>
      <c r="E1011" s="64">
        <v>2.2351188142106793E-3</v>
      </c>
    </row>
    <row r="1012" spans="2:5" x14ac:dyDescent="0.3">
      <c r="B1012" s="55">
        <v>43643</v>
      </c>
      <c r="C1012" s="54">
        <v>1390.55</v>
      </c>
      <c r="D1012" s="56">
        <f t="shared" si="18"/>
        <v>-0.64828257790368271</v>
      </c>
      <c r="E1012" s="64">
        <v>2.2343147500809568E-3</v>
      </c>
    </row>
    <row r="1013" spans="2:5" x14ac:dyDescent="0.3">
      <c r="B1013" s="55">
        <v>46093</v>
      </c>
      <c r="C1013" s="54">
        <v>3953.6</v>
      </c>
      <c r="D1013" s="56">
        <f t="shared" si="18"/>
        <v>0.35330058703725897</v>
      </c>
      <c r="E1013" s="64">
        <v>2.2307848306630795E-3</v>
      </c>
    </row>
    <row r="1014" spans="2:5" x14ac:dyDescent="0.3">
      <c r="B1014" s="55">
        <v>44203</v>
      </c>
      <c r="C1014" s="54">
        <v>2921.45</v>
      </c>
      <c r="D1014" s="56">
        <f t="shared" si="18"/>
        <v>-0.19926270059888451</v>
      </c>
      <c r="E1014" s="64">
        <v>2.2298838745089533E-3</v>
      </c>
    </row>
    <row r="1015" spans="2:5" x14ac:dyDescent="0.3">
      <c r="B1015" s="55">
        <v>45146</v>
      </c>
      <c r="C1015" s="54">
        <v>3648.45</v>
      </c>
      <c r="D1015" s="56">
        <f t="shared" si="18"/>
        <v>-9.4160438960200654E-2</v>
      </c>
      <c r="E1015" s="64">
        <v>2.2250607771230335E-3</v>
      </c>
    </row>
    <row r="1016" spans="2:5" x14ac:dyDescent="0.3">
      <c r="B1016" s="55">
        <v>46230</v>
      </c>
      <c r="C1016" s="54">
        <v>4027.7</v>
      </c>
      <c r="D1016" s="56">
        <f t="shared" si="18"/>
        <v>0.13365326428078861</v>
      </c>
      <c r="E1016" s="64">
        <v>2.2145914203244299E-3</v>
      </c>
    </row>
    <row r="1017" spans="2:5" x14ac:dyDescent="0.3">
      <c r="B1017" s="55">
        <v>44977</v>
      </c>
      <c r="C1017" s="54">
        <v>3552.85</v>
      </c>
      <c r="D1017" s="56">
        <f t="shared" si="18"/>
        <v>-2.5935927839997763E-2</v>
      </c>
      <c r="E1017" s="64">
        <v>2.214386459802542E-3</v>
      </c>
    </row>
    <row r="1018" spans="2:5" x14ac:dyDescent="0.3">
      <c r="B1018" s="55">
        <v>45232</v>
      </c>
      <c r="C1018" s="54">
        <v>3647.45</v>
      </c>
      <c r="D1018" s="56">
        <f t="shared" si="18"/>
        <v>-9.042281268313368E-2</v>
      </c>
      <c r="E1018" s="64">
        <v>2.1981343334844805E-3</v>
      </c>
    </row>
    <row r="1019" spans="2:5" x14ac:dyDescent="0.3">
      <c r="B1019" s="55">
        <v>44648</v>
      </c>
      <c r="C1019" s="54">
        <v>4010.05</v>
      </c>
      <c r="D1019" s="56">
        <f t="shared" si="18"/>
        <v>3.987004103967168</v>
      </c>
      <c r="E1019" s="64">
        <v>2.1867892934797073E-3</v>
      </c>
    </row>
    <row r="1020" spans="2:5" x14ac:dyDescent="0.3">
      <c r="B1020" s="55">
        <v>42898</v>
      </c>
      <c r="C1020" s="54">
        <v>804.1</v>
      </c>
      <c r="D1020" s="56">
        <f t="shared" si="18"/>
        <v>-0.80952268151131113</v>
      </c>
      <c r="E1020" s="64">
        <v>2.1810930391974459E-3</v>
      </c>
    </row>
    <row r="1021" spans="2:5" x14ac:dyDescent="0.3">
      <c r="B1021" s="55">
        <v>45763</v>
      </c>
      <c r="C1021" s="54">
        <v>4221.5</v>
      </c>
      <c r="D1021" s="56">
        <f t="shared" si="18"/>
        <v>0.38844578927461404</v>
      </c>
      <c r="E1021" s="64">
        <v>2.0889215942270223E-3</v>
      </c>
    </row>
    <row r="1022" spans="2:5" x14ac:dyDescent="0.3">
      <c r="B1022" s="55">
        <v>44340</v>
      </c>
      <c r="C1022" s="54">
        <v>3040.45</v>
      </c>
      <c r="D1022" s="56">
        <f t="shared" si="18"/>
        <v>1.4669966327234367</v>
      </c>
      <c r="E1022" s="64">
        <v>2.0763640558310037E-3</v>
      </c>
    </row>
    <row r="1023" spans="2:5" x14ac:dyDescent="0.3">
      <c r="B1023" s="55">
        <v>43024</v>
      </c>
      <c r="C1023" s="54">
        <v>1232.45</v>
      </c>
      <c r="D1023" s="56">
        <f t="shared" si="18"/>
        <v>-0.65964292125212298</v>
      </c>
      <c r="E1023" s="64">
        <v>2.0733392958776076E-3</v>
      </c>
    </row>
    <row r="1024" spans="2:5" x14ac:dyDescent="0.3">
      <c r="B1024" s="55">
        <v>45621</v>
      </c>
      <c r="C1024" s="54">
        <v>3621.05</v>
      </c>
      <c r="D1024" s="56">
        <f t="shared" si="18"/>
        <v>1.2767802203949241E-2</v>
      </c>
      <c r="E1024" s="64">
        <v>2.0477910146250444E-3</v>
      </c>
    </row>
    <row r="1025" spans="2:5" x14ac:dyDescent="0.3">
      <c r="B1025" s="55">
        <v>45687</v>
      </c>
      <c r="C1025" s="54">
        <v>3575.4</v>
      </c>
      <c r="D1025" s="56">
        <f t="shared" si="18"/>
        <v>-0.15463186267555673</v>
      </c>
      <c r="E1025" s="64">
        <v>2.04590678512373E-3</v>
      </c>
    </row>
    <row r="1026" spans="2:5" x14ac:dyDescent="0.3">
      <c r="B1026" s="55">
        <v>45959</v>
      </c>
      <c r="C1026" s="54">
        <v>4229.3999999999996</v>
      </c>
      <c r="D1026" s="56">
        <f t="shared" si="18"/>
        <v>8.6634808077693748E-2</v>
      </c>
      <c r="E1026" s="64">
        <v>2.013788528512972E-3</v>
      </c>
    </row>
    <row r="1027" spans="2:5" x14ac:dyDescent="0.3">
      <c r="B1027" s="55">
        <v>45737</v>
      </c>
      <c r="C1027" s="54">
        <v>3892.2</v>
      </c>
      <c r="D1027" s="56">
        <f t="shared" si="18"/>
        <v>-3.1550136849962773E-2</v>
      </c>
      <c r="E1027" s="64">
        <v>2.0080321285140812E-3</v>
      </c>
    </row>
    <row r="1028" spans="2:5" x14ac:dyDescent="0.3">
      <c r="B1028" s="55">
        <v>45971</v>
      </c>
      <c r="C1028" s="54">
        <v>4019</v>
      </c>
      <c r="D1028" s="56">
        <f t="shared" ref="D1028:D1091" si="19">C1028/C1029-1</f>
        <v>-9.9428287347747002E-4</v>
      </c>
      <c r="E1028" s="64">
        <v>1.9945150835203318E-3</v>
      </c>
    </row>
    <row r="1029" spans="2:5" x14ac:dyDescent="0.3">
      <c r="B1029" s="55">
        <v>46238</v>
      </c>
      <c r="C1029" s="54">
        <v>4023</v>
      </c>
      <c r="D1029" s="56">
        <f t="shared" si="19"/>
        <v>1.6223844599439414</v>
      </c>
      <c r="E1029" s="64">
        <v>1.9925280199253326E-3</v>
      </c>
    </row>
    <row r="1030" spans="2:5" x14ac:dyDescent="0.3">
      <c r="B1030" s="55">
        <v>43704</v>
      </c>
      <c r="C1030" s="54">
        <v>1534.1</v>
      </c>
      <c r="D1030" s="56">
        <f t="shared" si="19"/>
        <v>-0.69256204971993707</v>
      </c>
      <c r="E1030" s="64">
        <v>1.9920969269455746E-3</v>
      </c>
    </row>
    <row r="1031" spans="2:5" x14ac:dyDescent="0.3">
      <c r="B1031" s="55">
        <v>45513</v>
      </c>
      <c r="C1031" s="54">
        <v>4989.95</v>
      </c>
      <c r="D1031" s="56">
        <f t="shared" si="19"/>
        <v>4.4442747258742026</v>
      </c>
      <c r="E1031" s="64">
        <v>1.9778719302823156E-3</v>
      </c>
    </row>
    <row r="1032" spans="2:5" x14ac:dyDescent="0.3">
      <c r="B1032" s="55">
        <v>42940</v>
      </c>
      <c r="C1032" s="54">
        <v>916.55</v>
      </c>
      <c r="D1032" s="56">
        <f t="shared" si="19"/>
        <v>-0.67909598585508468</v>
      </c>
      <c r="E1032" s="64">
        <v>1.9677507515714066E-3</v>
      </c>
    </row>
    <row r="1033" spans="2:5" x14ac:dyDescent="0.3">
      <c r="B1033" s="55">
        <v>44328</v>
      </c>
      <c r="C1033" s="54">
        <v>2856.15</v>
      </c>
      <c r="D1033" s="56">
        <f t="shared" si="19"/>
        <v>-0.22595463291688123</v>
      </c>
      <c r="E1033" s="64">
        <v>1.9645331602673455E-3</v>
      </c>
    </row>
    <row r="1034" spans="2:5" x14ac:dyDescent="0.3">
      <c r="B1034" s="55">
        <v>45700</v>
      </c>
      <c r="C1034" s="54">
        <v>3689.9</v>
      </c>
      <c r="D1034" s="56">
        <f t="shared" si="19"/>
        <v>1.3513884692504252E-2</v>
      </c>
      <c r="E1034" s="64">
        <v>1.9550873000788727E-3</v>
      </c>
    </row>
    <row r="1035" spans="2:5" x14ac:dyDescent="0.3">
      <c r="B1035" s="55">
        <v>45196</v>
      </c>
      <c r="C1035" s="54">
        <v>3640.7</v>
      </c>
      <c r="D1035" s="56">
        <f t="shared" si="19"/>
        <v>-6.3727296297813041E-3</v>
      </c>
      <c r="E1035" s="64">
        <v>1.953985028621652E-3</v>
      </c>
    </row>
    <row r="1036" spans="2:5" x14ac:dyDescent="0.3">
      <c r="B1036" s="55">
        <v>44699</v>
      </c>
      <c r="C1036" s="54">
        <v>3664.05</v>
      </c>
      <c r="D1036" s="56">
        <f t="shared" si="19"/>
        <v>3.2795895932576036E-2</v>
      </c>
      <c r="E1036" s="64">
        <v>1.927809680065673E-3</v>
      </c>
    </row>
    <row r="1037" spans="2:5" x14ac:dyDescent="0.3">
      <c r="B1037" s="55">
        <v>45159</v>
      </c>
      <c r="C1037" s="54">
        <v>3547.7</v>
      </c>
      <c r="D1037" s="56">
        <f t="shared" si="19"/>
        <v>-0.18915274381185299</v>
      </c>
      <c r="E1037" s="64">
        <v>1.9062680918962016E-3</v>
      </c>
    </row>
    <row r="1038" spans="2:5" x14ac:dyDescent="0.3">
      <c r="B1038" s="55">
        <v>44830</v>
      </c>
      <c r="C1038" s="54">
        <v>4375.3</v>
      </c>
      <c r="D1038" s="56">
        <f t="shared" si="19"/>
        <v>1.6877783579568146</v>
      </c>
      <c r="E1038" s="64">
        <v>1.9006182734142563E-3</v>
      </c>
    </row>
    <row r="1039" spans="2:5" x14ac:dyDescent="0.3">
      <c r="B1039" s="55">
        <v>43320</v>
      </c>
      <c r="C1039" s="54">
        <v>1627.85</v>
      </c>
      <c r="D1039" s="56">
        <f t="shared" si="19"/>
        <v>0.81164097712982031</v>
      </c>
      <c r="E1039" s="64">
        <v>1.8463242760871079E-3</v>
      </c>
    </row>
    <row r="1040" spans="2:5" x14ac:dyDescent="0.3">
      <c r="B1040" s="55">
        <v>42944</v>
      </c>
      <c r="C1040" s="54">
        <v>898.55</v>
      </c>
      <c r="D1040" s="56">
        <f t="shared" si="19"/>
        <v>-0.59761313002395833</v>
      </c>
      <c r="E1040" s="64">
        <v>1.8396699743561395E-3</v>
      </c>
    </row>
    <row r="1041" spans="2:5" x14ac:dyDescent="0.3">
      <c r="B1041" s="55">
        <v>43893</v>
      </c>
      <c r="C1041" s="54">
        <v>2233.0500000000002</v>
      </c>
      <c r="D1041" s="56">
        <f t="shared" si="19"/>
        <v>-0.1661501120238984</v>
      </c>
      <c r="E1041" s="64">
        <v>1.8394311222775794E-3</v>
      </c>
    </row>
    <row r="1042" spans="2:5" x14ac:dyDescent="0.3">
      <c r="B1042" s="55">
        <v>44193</v>
      </c>
      <c r="C1042" s="54">
        <v>2678</v>
      </c>
      <c r="D1042" s="56">
        <f t="shared" si="19"/>
        <v>0.15234837238322685</v>
      </c>
      <c r="E1042" s="64">
        <v>1.8330777000485909E-3</v>
      </c>
    </row>
    <row r="1043" spans="2:5" x14ac:dyDescent="0.3">
      <c r="B1043" s="55">
        <v>43889</v>
      </c>
      <c r="C1043" s="54">
        <v>2323.9499999999998</v>
      </c>
      <c r="D1043" s="56">
        <f t="shared" si="19"/>
        <v>0.20843949872601519</v>
      </c>
      <c r="E1043" s="64">
        <v>1.8321334655342358E-3</v>
      </c>
    </row>
    <row r="1044" spans="2:5" x14ac:dyDescent="0.3">
      <c r="B1044" s="55">
        <v>43822</v>
      </c>
      <c r="C1044" s="54">
        <v>1923.1</v>
      </c>
      <c r="D1044" s="56">
        <f t="shared" si="19"/>
        <v>-0.59574535173370613</v>
      </c>
      <c r="E1044" s="64">
        <v>1.8232965201083751E-3</v>
      </c>
    </row>
    <row r="1045" spans="2:5" x14ac:dyDescent="0.3">
      <c r="B1045" s="55">
        <v>44509</v>
      </c>
      <c r="C1045" s="54">
        <v>4757.1499999999996</v>
      </c>
      <c r="D1045" s="56">
        <f t="shared" si="19"/>
        <v>0.28693358582442841</v>
      </c>
      <c r="E1045" s="64">
        <v>1.8216278824891852E-3</v>
      </c>
    </row>
    <row r="1046" spans="2:5" x14ac:dyDescent="0.3">
      <c r="B1046" s="55">
        <v>45701</v>
      </c>
      <c r="C1046" s="54">
        <v>3696.5</v>
      </c>
      <c r="D1046" s="56">
        <f t="shared" si="19"/>
        <v>0.10178837555886733</v>
      </c>
      <c r="E1046" s="64">
        <v>1.7886663595219066E-3</v>
      </c>
    </row>
    <row r="1047" spans="2:5" x14ac:dyDescent="0.3">
      <c r="B1047" s="55">
        <v>44390</v>
      </c>
      <c r="C1047" s="54">
        <v>3355</v>
      </c>
      <c r="D1047" s="56">
        <f t="shared" si="19"/>
        <v>1.2636035488985593</v>
      </c>
      <c r="E1047" s="64">
        <v>1.7766232215106204E-3</v>
      </c>
    </row>
    <row r="1048" spans="2:5" x14ac:dyDescent="0.3">
      <c r="B1048" s="55">
        <v>43544</v>
      </c>
      <c r="C1048" s="54">
        <v>1482.15</v>
      </c>
      <c r="D1048" s="56">
        <f t="shared" si="19"/>
        <v>0.29067792920276947</v>
      </c>
      <c r="E1048" s="64">
        <v>1.7572910682301934E-3</v>
      </c>
    </row>
    <row r="1049" spans="2:5" x14ac:dyDescent="0.3">
      <c r="B1049" s="55">
        <v>43097</v>
      </c>
      <c r="C1049" s="54">
        <v>1148.3499999999999</v>
      </c>
      <c r="D1049" s="56">
        <f t="shared" si="19"/>
        <v>-0.69248175671152179</v>
      </c>
      <c r="E1049" s="64">
        <v>1.744667858856408E-3</v>
      </c>
    </row>
    <row r="1050" spans="2:5" x14ac:dyDescent="0.3">
      <c r="B1050" s="55">
        <v>45316</v>
      </c>
      <c r="C1050" s="54">
        <v>3734.25</v>
      </c>
      <c r="D1050" s="56">
        <f t="shared" si="19"/>
        <v>7.2382401929814488E-2</v>
      </c>
      <c r="E1050" s="64">
        <v>1.7436791630340842E-3</v>
      </c>
    </row>
    <row r="1051" spans="2:5" x14ac:dyDescent="0.3">
      <c r="B1051" s="55">
        <v>45036</v>
      </c>
      <c r="C1051" s="54">
        <v>3482.2</v>
      </c>
      <c r="D1051" s="56">
        <f t="shared" si="19"/>
        <v>1.3637620620897462E-2</v>
      </c>
      <c r="E1051" s="64">
        <v>1.7260226684310265E-3</v>
      </c>
    </row>
    <row r="1052" spans="2:5" x14ac:dyDescent="0.3">
      <c r="B1052" s="55">
        <v>45071</v>
      </c>
      <c r="C1052" s="54">
        <v>3435.35</v>
      </c>
      <c r="D1052" s="56">
        <f t="shared" si="19"/>
        <v>-9.8510791838876899E-2</v>
      </c>
      <c r="E1052" s="64">
        <v>1.6911839745739066E-3</v>
      </c>
    </row>
    <row r="1053" spans="2:5" x14ac:dyDescent="0.3">
      <c r="B1053" s="55">
        <v>45300</v>
      </c>
      <c r="C1053" s="54">
        <v>3810.75</v>
      </c>
      <c r="D1053" s="56">
        <f t="shared" si="19"/>
        <v>4.7067551415735931E-2</v>
      </c>
      <c r="E1053" s="64">
        <v>1.6691199663547707E-3</v>
      </c>
    </row>
    <row r="1054" spans="2:5" x14ac:dyDescent="0.3">
      <c r="B1054" s="55">
        <v>45231</v>
      </c>
      <c r="C1054" s="54">
        <v>3639.45</v>
      </c>
      <c r="D1054" s="56">
        <f t="shared" si="19"/>
        <v>-8.8679387019230838E-2</v>
      </c>
      <c r="E1054" s="64">
        <v>1.6651070622557551E-3</v>
      </c>
    </row>
    <row r="1055" spans="2:5" x14ac:dyDescent="0.3">
      <c r="B1055" s="55">
        <v>46185</v>
      </c>
      <c r="C1055" s="54">
        <v>3993.6</v>
      </c>
      <c r="D1055" s="56">
        <f t="shared" si="19"/>
        <v>2.6655346489215237</v>
      </c>
      <c r="E1055" s="64">
        <v>1.655379984951022E-3</v>
      </c>
    </row>
    <row r="1056" spans="2:5" x14ac:dyDescent="0.3">
      <c r="B1056" s="55">
        <v>42996</v>
      </c>
      <c r="C1056" s="54">
        <v>1089.5</v>
      </c>
      <c r="D1056" s="56">
        <f t="shared" si="19"/>
        <v>-0.71660076995109767</v>
      </c>
      <c r="E1056" s="64">
        <v>1.6088255573432075E-3</v>
      </c>
    </row>
    <row r="1057" spans="2:5" x14ac:dyDescent="0.3">
      <c r="B1057" s="55">
        <v>45253</v>
      </c>
      <c r="C1057" s="54">
        <v>3844.4</v>
      </c>
      <c r="D1057" s="56">
        <f t="shared" si="19"/>
        <v>0.94387419729989386</v>
      </c>
      <c r="E1057" s="64">
        <v>1.6022927115222352E-3</v>
      </c>
    </row>
    <row r="1058" spans="2:5" x14ac:dyDescent="0.3">
      <c r="B1058" s="55">
        <v>44119</v>
      </c>
      <c r="C1058" s="54">
        <v>1977.7</v>
      </c>
      <c r="D1058" s="56">
        <f t="shared" si="19"/>
        <v>-0.57121640812167329</v>
      </c>
      <c r="E1058" s="64">
        <v>1.5953001949811085E-3</v>
      </c>
    </row>
    <row r="1059" spans="2:5" x14ac:dyDescent="0.3">
      <c r="B1059" s="55">
        <v>45415</v>
      </c>
      <c r="C1059" s="54">
        <v>4612.3500000000004</v>
      </c>
      <c r="D1059" s="56">
        <f t="shared" si="19"/>
        <v>0.12397650843162111</v>
      </c>
      <c r="E1059" s="64">
        <v>1.5852162300082906E-3</v>
      </c>
    </row>
    <row r="1060" spans="2:5" x14ac:dyDescent="0.3">
      <c r="B1060" s="55">
        <v>46168</v>
      </c>
      <c r="C1060" s="54">
        <v>4103.6000000000004</v>
      </c>
      <c r="D1060" s="56">
        <f t="shared" si="19"/>
        <v>-5.4774957387017875E-2</v>
      </c>
      <c r="E1060" s="64">
        <v>1.5620423703994746E-3</v>
      </c>
    </row>
    <row r="1061" spans="2:5" x14ac:dyDescent="0.3">
      <c r="B1061" s="55">
        <v>46156</v>
      </c>
      <c r="C1061" s="54">
        <v>4341.3999999999996</v>
      </c>
      <c r="D1061" s="56">
        <f t="shared" si="19"/>
        <v>6.6447222972806808E-2</v>
      </c>
      <c r="E1061" s="64">
        <v>1.5456663667612336E-3</v>
      </c>
    </row>
    <row r="1062" spans="2:5" x14ac:dyDescent="0.3">
      <c r="B1062" s="55">
        <v>46210</v>
      </c>
      <c r="C1062" s="54">
        <v>4070.9</v>
      </c>
      <c r="D1062" s="56">
        <f t="shared" si="19"/>
        <v>0.84282836513433357</v>
      </c>
      <c r="E1062" s="64">
        <v>1.5253278224716116E-3</v>
      </c>
    </row>
    <row r="1063" spans="2:5" x14ac:dyDescent="0.3">
      <c r="B1063" s="55">
        <v>44138</v>
      </c>
      <c r="C1063" s="54">
        <v>2209.0500000000002</v>
      </c>
      <c r="D1063" s="56">
        <f t="shared" si="19"/>
        <v>0.13197540353574189</v>
      </c>
      <c r="E1063" s="64">
        <v>1.4960897653859551E-3</v>
      </c>
    </row>
    <row r="1064" spans="2:5" x14ac:dyDescent="0.3">
      <c r="B1064" s="55">
        <v>43857</v>
      </c>
      <c r="C1064" s="54">
        <v>1951.5</v>
      </c>
      <c r="D1064" s="56">
        <f t="shared" si="19"/>
        <v>-0.44823783875482415</v>
      </c>
      <c r="E1064" s="64">
        <v>1.4882479729037001E-3</v>
      </c>
    </row>
    <row r="1065" spans="2:5" x14ac:dyDescent="0.3">
      <c r="B1065" s="55">
        <v>45082</v>
      </c>
      <c r="C1065" s="54">
        <v>3536.85</v>
      </c>
      <c r="D1065" s="56">
        <f t="shared" si="19"/>
        <v>-0.15254582484725054</v>
      </c>
      <c r="E1065" s="64">
        <v>1.4865783214406125E-3</v>
      </c>
    </row>
    <row r="1066" spans="2:5" x14ac:dyDescent="0.3">
      <c r="B1066" s="55">
        <v>44872</v>
      </c>
      <c r="C1066" s="54">
        <v>4173.5</v>
      </c>
      <c r="D1066" s="56">
        <f t="shared" si="19"/>
        <v>-0.11179450072358899</v>
      </c>
      <c r="E1066" s="64">
        <v>1.4757579756918826E-3</v>
      </c>
    </row>
    <row r="1067" spans="2:5" x14ac:dyDescent="0.3">
      <c r="B1067" s="55">
        <v>45891</v>
      </c>
      <c r="C1067" s="54">
        <v>4698.8</v>
      </c>
      <c r="D1067" s="56">
        <f t="shared" si="19"/>
        <v>2.2026718467777662</v>
      </c>
      <c r="E1067" s="64">
        <v>1.4706195784224274E-3</v>
      </c>
    </row>
    <row r="1068" spans="2:5" x14ac:dyDescent="0.3">
      <c r="B1068" s="55">
        <v>43228</v>
      </c>
      <c r="C1068" s="54">
        <v>1467.15</v>
      </c>
      <c r="D1068" s="56">
        <f t="shared" si="19"/>
        <v>-0.65535183640869632</v>
      </c>
      <c r="E1068" s="64">
        <v>1.4675767918088667E-3</v>
      </c>
    </row>
    <row r="1069" spans="2:5" x14ac:dyDescent="0.3">
      <c r="B1069" s="55">
        <v>44796</v>
      </c>
      <c r="C1069" s="54">
        <v>4256.95</v>
      </c>
      <c r="D1069" s="56">
        <f t="shared" si="19"/>
        <v>0.99011243308945529</v>
      </c>
      <c r="E1069" s="64">
        <v>1.4585661353878621E-3</v>
      </c>
    </row>
    <row r="1070" spans="2:5" x14ac:dyDescent="0.3">
      <c r="B1070" s="55">
        <v>44091</v>
      </c>
      <c r="C1070" s="54">
        <v>2139.0500000000002</v>
      </c>
      <c r="D1070" s="56">
        <f t="shared" si="19"/>
        <v>0.10628119262496449</v>
      </c>
      <c r="E1070" s="64">
        <v>1.4513448348512092E-3</v>
      </c>
    </row>
    <row r="1071" spans="2:5" x14ac:dyDescent="0.3">
      <c r="B1071" s="55">
        <v>43845</v>
      </c>
      <c r="C1071" s="54">
        <v>1933.55</v>
      </c>
      <c r="D1071" s="56">
        <f t="shared" si="19"/>
        <v>0.23073740492027617</v>
      </c>
      <c r="E1071" s="64">
        <v>1.4502136475462724E-3</v>
      </c>
    </row>
    <row r="1072" spans="2:5" x14ac:dyDescent="0.3">
      <c r="B1072" s="55">
        <v>43719</v>
      </c>
      <c r="C1072" s="54">
        <v>1571.05</v>
      </c>
      <c r="D1072" s="56">
        <f t="shared" si="19"/>
        <v>5.2488778723119189E-2</v>
      </c>
      <c r="E1072" s="64">
        <v>1.4342172361039296E-3</v>
      </c>
    </row>
    <row r="1073" spans="2:5" x14ac:dyDescent="0.3">
      <c r="B1073" s="55">
        <v>43693</v>
      </c>
      <c r="C1073" s="54">
        <v>1492.7</v>
      </c>
      <c r="D1073" s="56">
        <f t="shared" si="19"/>
        <v>-0.65779066701819144</v>
      </c>
      <c r="E1073" s="64">
        <v>1.4088286596003474E-3</v>
      </c>
    </row>
    <row r="1074" spans="2:5" x14ac:dyDescent="0.3">
      <c r="B1074" s="55">
        <v>44460</v>
      </c>
      <c r="C1074" s="54">
        <v>4361.95</v>
      </c>
      <c r="D1074" s="56">
        <f t="shared" si="19"/>
        <v>7.0312116602051278E-2</v>
      </c>
      <c r="E1074" s="64">
        <v>1.3889207741224485E-3</v>
      </c>
    </row>
    <row r="1075" spans="2:5" x14ac:dyDescent="0.3">
      <c r="B1075" s="55">
        <v>45272</v>
      </c>
      <c r="C1075" s="54">
        <v>4075.4</v>
      </c>
      <c r="D1075" s="56">
        <f t="shared" si="19"/>
        <v>1.9652211874272409</v>
      </c>
      <c r="E1075" s="64">
        <v>1.3882916641072551E-3</v>
      </c>
    </row>
    <row r="1076" spans="2:5" x14ac:dyDescent="0.3">
      <c r="B1076" s="55">
        <v>43383</v>
      </c>
      <c r="C1076" s="54">
        <v>1374.4</v>
      </c>
      <c r="D1076" s="56">
        <f t="shared" si="19"/>
        <v>-0.71492574462789338</v>
      </c>
      <c r="E1076" s="64">
        <v>1.3843351548270544E-3</v>
      </c>
    </row>
    <row r="1077" spans="2:5" x14ac:dyDescent="0.3">
      <c r="B1077" s="55">
        <v>44539</v>
      </c>
      <c r="C1077" s="54">
        <v>4821.2</v>
      </c>
      <c r="D1077" s="56">
        <f t="shared" si="19"/>
        <v>0.31346373889827284</v>
      </c>
      <c r="E1077" s="64">
        <v>1.3708303908941399E-3</v>
      </c>
    </row>
    <row r="1078" spans="2:5" x14ac:dyDescent="0.3">
      <c r="B1078" s="55">
        <v>46049</v>
      </c>
      <c r="C1078" s="54">
        <v>3670.6</v>
      </c>
      <c r="D1078" s="56">
        <f t="shared" si="19"/>
        <v>0.14813888020018773</v>
      </c>
      <c r="E1078" s="64">
        <v>1.364033173286705E-3</v>
      </c>
    </row>
    <row r="1079" spans="2:5" x14ac:dyDescent="0.3">
      <c r="B1079" s="55">
        <v>44351</v>
      </c>
      <c r="C1079" s="54">
        <v>3197</v>
      </c>
      <c r="D1079" s="56">
        <f t="shared" si="19"/>
        <v>-0.24520729058456892</v>
      </c>
      <c r="E1079" s="64">
        <v>1.3468224386883332E-3</v>
      </c>
    </row>
    <row r="1080" spans="2:5" x14ac:dyDescent="0.3">
      <c r="B1080" s="55">
        <v>44859</v>
      </c>
      <c r="C1080" s="54">
        <v>4235.6000000000004</v>
      </c>
      <c r="D1080" s="56">
        <f t="shared" si="19"/>
        <v>0.4716397686013587</v>
      </c>
      <c r="E1080" s="64">
        <v>1.33571318809933E-3</v>
      </c>
    </row>
    <row r="1081" spans="2:5" x14ac:dyDescent="0.3">
      <c r="B1081" s="55">
        <v>44322</v>
      </c>
      <c r="C1081" s="54">
        <v>2878.15</v>
      </c>
      <c r="D1081" s="56">
        <f t="shared" si="19"/>
        <v>-0.25884867446920823</v>
      </c>
      <c r="E1081" s="64">
        <v>1.3046200946285058E-3</v>
      </c>
    </row>
    <row r="1082" spans="2:5" x14ac:dyDescent="0.3">
      <c r="B1082" s="55">
        <v>44755</v>
      </c>
      <c r="C1082" s="54">
        <v>3883.35</v>
      </c>
      <c r="D1082" s="56">
        <f t="shared" si="19"/>
        <v>-0.21783135442158386</v>
      </c>
      <c r="E1082" s="64">
        <v>1.2762995049504511E-3</v>
      </c>
    </row>
    <row r="1083" spans="2:5" x14ac:dyDescent="0.3">
      <c r="B1083" s="55">
        <v>45532</v>
      </c>
      <c r="C1083" s="54">
        <v>4964.8500000000004</v>
      </c>
      <c r="D1083" s="56">
        <f t="shared" si="19"/>
        <v>0.35075905974534782</v>
      </c>
      <c r="E1083" s="64">
        <v>1.2705327162174651E-3</v>
      </c>
    </row>
    <row r="1084" spans="2:5" x14ac:dyDescent="0.3">
      <c r="B1084" s="55">
        <v>45198</v>
      </c>
      <c r="C1084" s="54">
        <v>3675.6</v>
      </c>
      <c r="D1084" s="56">
        <f t="shared" si="19"/>
        <v>0.91967410038126074</v>
      </c>
      <c r="E1084" s="64">
        <v>1.2394274117757398E-3</v>
      </c>
    </row>
    <row r="1085" spans="2:5" x14ac:dyDescent="0.3">
      <c r="B1085" s="55">
        <v>43852</v>
      </c>
      <c r="C1085" s="54">
        <v>1914.7</v>
      </c>
      <c r="D1085" s="56">
        <f t="shared" si="19"/>
        <v>0.16176202900309455</v>
      </c>
      <c r="E1085" s="64">
        <v>1.2288545506837778E-3</v>
      </c>
    </row>
    <row r="1086" spans="2:5" x14ac:dyDescent="0.3">
      <c r="B1086" s="55">
        <v>43455</v>
      </c>
      <c r="C1086" s="54">
        <v>1648.1</v>
      </c>
      <c r="D1086" s="56">
        <f t="shared" si="19"/>
        <v>-0.53012116892373484</v>
      </c>
      <c r="E1086" s="64">
        <v>1.2149930137901332E-3</v>
      </c>
    </row>
    <row r="1087" spans="2:5" x14ac:dyDescent="0.3">
      <c r="B1087" s="55">
        <v>45076</v>
      </c>
      <c r="C1087" s="54">
        <v>3507.5</v>
      </c>
      <c r="D1087" s="56">
        <f t="shared" si="19"/>
        <v>-0.15363640750929008</v>
      </c>
      <c r="E1087" s="64">
        <v>1.1988696371991736E-3</v>
      </c>
    </row>
    <row r="1088" spans="2:5" x14ac:dyDescent="0.3">
      <c r="B1088" s="55">
        <v>46178</v>
      </c>
      <c r="C1088" s="54">
        <v>4144.2</v>
      </c>
      <c r="D1088" s="56">
        <f t="shared" si="19"/>
        <v>-9.8067380517106395E-2</v>
      </c>
      <c r="E1088" s="64">
        <v>1.1837750344261266E-3</v>
      </c>
    </row>
    <row r="1089" spans="2:5" x14ac:dyDescent="0.3">
      <c r="B1089" s="55">
        <v>46134</v>
      </c>
      <c r="C1089" s="54">
        <v>4594.8</v>
      </c>
      <c r="D1089" s="56">
        <f t="shared" si="19"/>
        <v>0.36563038697021932</v>
      </c>
      <c r="E1089" s="64">
        <v>1.1766243953459377E-3</v>
      </c>
    </row>
    <row r="1090" spans="2:5" x14ac:dyDescent="0.3">
      <c r="B1090" s="55">
        <v>44383</v>
      </c>
      <c r="C1090" s="54">
        <v>3364.6</v>
      </c>
      <c r="D1090" s="56">
        <f t="shared" si="19"/>
        <v>1.1325305022975756</v>
      </c>
      <c r="E1090" s="64">
        <v>1.17536786038408E-3</v>
      </c>
    </row>
    <row r="1091" spans="2:5" x14ac:dyDescent="0.3">
      <c r="B1091" s="55">
        <v>43469</v>
      </c>
      <c r="C1091" s="54">
        <v>1577.75</v>
      </c>
      <c r="D1091" s="56">
        <f t="shared" si="19"/>
        <v>0.73055829768564218</v>
      </c>
      <c r="E1091" s="64">
        <v>1.1739323561139603E-3</v>
      </c>
    </row>
    <row r="1092" spans="2:5" x14ac:dyDescent="0.3">
      <c r="B1092" s="55">
        <v>42935</v>
      </c>
      <c r="C1092" s="54">
        <v>911.7</v>
      </c>
      <c r="D1092" s="56">
        <f t="shared" ref="D1092:D1155" si="20">C1092/C1093-1</f>
        <v>-0.17511875141370725</v>
      </c>
      <c r="E1092" s="64">
        <v>1.1530225662987892E-3</v>
      </c>
    </row>
    <row r="1093" spans="2:5" x14ac:dyDescent="0.3">
      <c r="B1093" s="55">
        <v>43014</v>
      </c>
      <c r="C1093" s="54">
        <v>1105.25</v>
      </c>
      <c r="D1093" s="56">
        <f t="shared" si="20"/>
        <v>-0.70935125042732794</v>
      </c>
      <c r="E1093" s="64">
        <v>1.1322463768115298E-3</v>
      </c>
    </row>
    <row r="1094" spans="2:5" x14ac:dyDescent="0.3">
      <c r="B1094" s="55">
        <v>45242</v>
      </c>
      <c r="C1094" s="54">
        <v>3802.7</v>
      </c>
      <c r="D1094" s="56">
        <f t="shared" si="20"/>
        <v>0.13128458380436725</v>
      </c>
      <c r="E1094" s="64">
        <v>1.1320556023588502E-3</v>
      </c>
    </row>
    <row r="1095" spans="2:5" x14ac:dyDescent="0.3">
      <c r="B1095" s="55">
        <v>45007</v>
      </c>
      <c r="C1095" s="54">
        <v>3361.4</v>
      </c>
      <c r="D1095" s="56">
        <f t="shared" si="20"/>
        <v>1.8953873982514318</v>
      </c>
      <c r="E1095" s="64">
        <v>1.1317607815106712E-3</v>
      </c>
    </row>
    <row r="1096" spans="2:5" x14ac:dyDescent="0.3">
      <c r="B1096" s="55">
        <v>43052</v>
      </c>
      <c r="C1096" s="54">
        <v>1160.95</v>
      </c>
      <c r="D1096" s="56">
        <f t="shared" si="20"/>
        <v>-0.66282818308550184</v>
      </c>
      <c r="E1096" s="64">
        <v>1.121027896348048E-3</v>
      </c>
    </row>
    <row r="1097" spans="2:5" x14ac:dyDescent="0.3">
      <c r="B1097" s="55">
        <v>44987</v>
      </c>
      <c r="C1097" s="54">
        <v>3443.2</v>
      </c>
      <c r="D1097" s="56">
        <f t="shared" si="20"/>
        <v>-0.15244307692307701</v>
      </c>
      <c r="E1097" s="64">
        <v>1.1193975605856554E-3</v>
      </c>
    </row>
    <row r="1098" spans="2:5" x14ac:dyDescent="0.3">
      <c r="B1098" s="55">
        <v>45974</v>
      </c>
      <c r="C1098" s="54">
        <v>4062.5</v>
      </c>
      <c r="D1098" s="56">
        <f t="shared" si="20"/>
        <v>2.0530192011422987</v>
      </c>
      <c r="E1098" s="64">
        <v>1.1089206505667804E-3</v>
      </c>
    </row>
    <row r="1099" spans="2:5" x14ac:dyDescent="0.3">
      <c r="B1099" s="55">
        <v>43641</v>
      </c>
      <c r="C1099" s="54">
        <v>1330.65</v>
      </c>
      <c r="D1099" s="56">
        <f t="shared" si="20"/>
        <v>-0.57826762170385393</v>
      </c>
      <c r="E1099" s="64">
        <v>1.0908817333734611E-3</v>
      </c>
    </row>
    <row r="1100" spans="2:5" x14ac:dyDescent="0.3">
      <c r="B1100" s="55">
        <v>44265</v>
      </c>
      <c r="C1100" s="54">
        <v>3155.2</v>
      </c>
      <c r="D1100" s="56">
        <f t="shared" si="20"/>
        <v>-0.18031849946743572</v>
      </c>
      <c r="E1100" s="64">
        <v>1.0628678395228075E-3</v>
      </c>
    </row>
    <row r="1101" spans="2:5" x14ac:dyDescent="0.3">
      <c r="B1101" s="55">
        <v>46077</v>
      </c>
      <c r="C1101" s="54">
        <v>3849.3</v>
      </c>
      <c r="D1101" s="56">
        <f t="shared" si="20"/>
        <v>5.3650124544931899E-2</v>
      </c>
      <c r="E1101" s="64">
        <v>1.0402309312667057E-3</v>
      </c>
    </row>
    <row r="1102" spans="2:5" x14ac:dyDescent="0.3">
      <c r="B1102" s="55">
        <v>45237</v>
      </c>
      <c r="C1102" s="54">
        <v>3653.3</v>
      </c>
      <c r="D1102" s="56">
        <f t="shared" si="20"/>
        <v>5.7639974523768345E-2</v>
      </c>
      <c r="E1102" s="64">
        <v>1.0275239413077841E-3</v>
      </c>
    </row>
    <row r="1103" spans="2:5" x14ac:dyDescent="0.3">
      <c r="B1103" s="55">
        <v>45027</v>
      </c>
      <c r="C1103" s="54">
        <v>3454.2</v>
      </c>
      <c r="D1103" s="56">
        <f t="shared" si="20"/>
        <v>0.48714857708701076</v>
      </c>
      <c r="E1103" s="64">
        <v>1.0142869562697054E-3</v>
      </c>
    </row>
    <row r="1104" spans="2:5" x14ac:dyDescent="0.3">
      <c r="B1104" s="55">
        <v>44022</v>
      </c>
      <c r="C1104" s="54">
        <v>2322.6999999999998</v>
      </c>
      <c r="D1104" s="56">
        <f t="shared" si="20"/>
        <v>0.17376253884832105</v>
      </c>
      <c r="E1104" s="64">
        <v>1.0127782446613942E-3</v>
      </c>
    </row>
    <row r="1105" spans="2:5" x14ac:dyDescent="0.3">
      <c r="B1105" s="55">
        <v>43775</v>
      </c>
      <c r="C1105" s="54">
        <v>1978.85</v>
      </c>
      <c r="D1105" s="56">
        <f t="shared" si="20"/>
        <v>-0.46802247432657673</v>
      </c>
      <c r="E1105" s="64">
        <v>1.0117105496116885E-3</v>
      </c>
    </row>
    <row r="1106" spans="2:5" x14ac:dyDescent="0.3">
      <c r="B1106" s="55">
        <v>46024</v>
      </c>
      <c r="C1106" s="54">
        <v>3719.8</v>
      </c>
      <c r="D1106" s="56">
        <f t="shared" si="20"/>
        <v>-7.6388285391500776E-2</v>
      </c>
      <c r="E1106" s="64">
        <v>9.9566750087465294E-4</v>
      </c>
    </row>
    <row r="1107" spans="2:5" x14ac:dyDescent="0.3">
      <c r="B1107" s="55">
        <v>45287</v>
      </c>
      <c r="C1107" s="54">
        <v>4027.45</v>
      </c>
      <c r="D1107" s="56">
        <f t="shared" si="20"/>
        <v>-1.1122705788472187E-2</v>
      </c>
      <c r="E1107" s="64">
        <v>9.941716685928359E-4</v>
      </c>
    </row>
    <row r="1108" spans="2:5" x14ac:dyDescent="0.3">
      <c r="B1108" s="55">
        <v>44928</v>
      </c>
      <c r="C1108" s="54">
        <v>4072.75</v>
      </c>
      <c r="D1108" s="56">
        <f t="shared" si="20"/>
        <v>1.7529741787211028</v>
      </c>
      <c r="E1108" s="64">
        <v>9.8310291858672016E-4</v>
      </c>
    </row>
    <row r="1109" spans="2:5" x14ac:dyDescent="0.3">
      <c r="B1109" s="55">
        <v>43551</v>
      </c>
      <c r="C1109" s="54">
        <v>1479.4</v>
      </c>
      <c r="D1109" s="56">
        <f t="shared" si="20"/>
        <v>-0.58267983074753171</v>
      </c>
      <c r="E1109" s="64">
        <v>9.8108867011736933E-4</v>
      </c>
    </row>
    <row r="1110" spans="2:5" x14ac:dyDescent="0.3">
      <c r="B1110" s="55">
        <v>44974</v>
      </c>
      <c r="C1110" s="54">
        <v>3545</v>
      </c>
      <c r="D1110" s="56">
        <f t="shared" si="20"/>
        <v>-9.4114941353844572E-2</v>
      </c>
      <c r="E1110" s="64">
        <v>9.3175593641481314E-4</v>
      </c>
    </row>
    <row r="1111" spans="2:5" x14ac:dyDescent="0.3">
      <c r="B1111" s="55">
        <v>45995</v>
      </c>
      <c r="C1111" s="54">
        <v>3913.3</v>
      </c>
      <c r="D1111" s="56">
        <f t="shared" si="20"/>
        <v>2.125888649253135</v>
      </c>
      <c r="E1111" s="64">
        <v>9.2078676113271918E-4</v>
      </c>
    </row>
    <row r="1112" spans="2:5" x14ac:dyDescent="0.3">
      <c r="B1112" s="55">
        <v>43598</v>
      </c>
      <c r="C1112" s="54">
        <v>1251.9000000000001</v>
      </c>
      <c r="D1112" s="56">
        <f t="shared" si="20"/>
        <v>0.35033976917268905</v>
      </c>
      <c r="E1112" s="64">
        <v>9.1944833100154888E-4</v>
      </c>
    </row>
    <row r="1113" spans="2:5" x14ac:dyDescent="0.3">
      <c r="B1113" s="55">
        <v>42968</v>
      </c>
      <c r="C1113" s="54">
        <v>927.1</v>
      </c>
      <c r="D1113" s="56">
        <f t="shared" si="20"/>
        <v>-0.75795629585149993</v>
      </c>
      <c r="E1113" s="64">
        <v>9.1767881241566762E-4</v>
      </c>
    </row>
    <row r="1114" spans="2:5" x14ac:dyDescent="0.3">
      <c r="B1114" s="55">
        <v>46036</v>
      </c>
      <c r="C1114" s="54">
        <v>3830.3</v>
      </c>
      <c r="D1114" s="56">
        <f t="shared" si="20"/>
        <v>-4.578859520191314E-2</v>
      </c>
      <c r="E1114" s="64">
        <v>8.8844756852801687E-4</v>
      </c>
    </row>
    <row r="1115" spans="2:5" x14ac:dyDescent="0.3">
      <c r="B1115" s="55">
        <v>45370</v>
      </c>
      <c r="C1115" s="54">
        <v>4014.1</v>
      </c>
      <c r="D1115" s="56">
        <f t="shared" si="20"/>
        <v>0.67233262508853042</v>
      </c>
      <c r="E1115" s="64">
        <v>8.8516537631999626E-4</v>
      </c>
    </row>
    <row r="1116" spans="2:5" x14ac:dyDescent="0.3">
      <c r="B1116" s="55">
        <v>44147</v>
      </c>
      <c r="C1116" s="54">
        <v>2400.3000000000002</v>
      </c>
      <c r="D1116" s="56">
        <f t="shared" si="20"/>
        <v>-0.38575120915116301</v>
      </c>
      <c r="E1116" s="64">
        <v>8.756567425569628E-4</v>
      </c>
    </row>
    <row r="1117" spans="2:5" x14ac:dyDescent="0.3">
      <c r="B1117" s="55">
        <v>44893</v>
      </c>
      <c r="C1117" s="54">
        <v>3907.7</v>
      </c>
      <c r="D1117" s="56">
        <f t="shared" si="20"/>
        <v>1.4896944984231149</v>
      </c>
      <c r="E1117" s="64">
        <v>8.3238356234560662E-4</v>
      </c>
    </row>
    <row r="1118" spans="2:5" x14ac:dyDescent="0.3">
      <c r="B1118" s="55">
        <v>43721</v>
      </c>
      <c r="C1118" s="54">
        <v>1569.55</v>
      </c>
      <c r="D1118" s="56">
        <f t="shared" si="20"/>
        <v>0.1013226677893555</v>
      </c>
      <c r="E1118" s="64">
        <v>8.2894946596523411E-4</v>
      </c>
    </row>
    <row r="1119" spans="2:5" x14ac:dyDescent="0.3">
      <c r="B1119" s="55">
        <v>43411</v>
      </c>
      <c r="C1119" s="54">
        <v>1425.15</v>
      </c>
      <c r="D1119" s="56">
        <f t="shared" si="20"/>
        <v>-9.3646654795217499E-2</v>
      </c>
      <c r="E1119" s="64">
        <v>8.0758426966287544E-4</v>
      </c>
    </row>
    <row r="1120" spans="2:5" x14ac:dyDescent="0.3">
      <c r="B1120" s="55">
        <v>43473</v>
      </c>
      <c r="C1120" s="54">
        <v>1572.4</v>
      </c>
      <c r="D1120" s="56">
        <f t="shared" si="20"/>
        <v>-0.55667080184955453</v>
      </c>
      <c r="E1120" s="64">
        <v>7.9559558285335896E-4</v>
      </c>
    </row>
    <row r="1121" spans="2:5" x14ac:dyDescent="0.3">
      <c r="B1121" s="55">
        <v>45085</v>
      </c>
      <c r="C1121" s="54">
        <v>3546.8</v>
      </c>
      <c r="D1121" s="56">
        <f t="shared" si="20"/>
        <v>-0.13696863518018343</v>
      </c>
      <c r="E1121" s="64">
        <v>7.75948420592254E-4</v>
      </c>
    </row>
    <row r="1122" spans="2:5" x14ac:dyDescent="0.3">
      <c r="B1122" s="55">
        <v>44656</v>
      </c>
      <c r="C1122" s="54">
        <v>4109.7</v>
      </c>
      <c r="D1122" s="56">
        <f t="shared" si="20"/>
        <v>3.1913825139356256E-2</v>
      </c>
      <c r="E1122" s="64">
        <v>7.4269781939051427E-4</v>
      </c>
    </row>
    <row r="1123" spans="2:5" x14ac:dyDescent="0.3">
      <c r="B1123" s="55">
        <v>44454</v>
      </c>
      <c r="C1123" s="54">
        <v>3982.6</v>
      </c>
      <c r="D1123" s="56">
        <f t="shared" si="20"/>
        <v>0.7784625002790988</v>
      </c>
      <c r="E1123" s="64">
        <v>7.2869814307607861E-4</v>
      </c>
    </row>
    <row r="1124" spans="2:5" x14ac:dyDescent="0.3">
      <c r="B1124" s="55">
        <v>44085</v>
      </c>
      <c r="C1124" s="54">
        <v>2239.35</v>
      </c>
      <c r="D1124" s="56">
        <f t="shared" si="20"/>
        <v>-0.48338985396913281</v>
      </c>
      <c r="E1124" s="64">
        <v>7.1500391017753628E-4</v>
      </c>
    </row>
    <row r="1125" spans="2:5" x14ac:dyDescent="0.3">
      <c r="B1125" s="55">
        <v>46155</v>
      </c>
      <c r="C1125" s="54">
        <v>4334.7</v>
      </c>
      <c r="D1125" s="56">
        <f t="shared" si="20"/>
        <v>3.079520593550833E-2</v>
      </c>
      <c r="E1125" s="64">
        <v>6.9256873744727443E-4</v>
      </c>
    </row>
    <row r="1126" spans="2:5" x14ac:dyDescent="0.3">
      <c r="B1126" s="55">
        <v>45944</v>
      </c>
      <c r="C1126" s="54">
        <v>4205.2</v>
      </c>
      <c r="D1126" s="56">
        <f t="shared" si="20"/>
        <v>0.15220429076362452</v>
      </c>
      <c r="E1126" s="64">
        <v>6.1866463617743506E-4</v>
      </c>
    </row>
    <row r="1127" spans="2:5" x14ac:dyDescent="0.3">
      <c r="B1127" s="55">
        <v>45233</v>
      </c>
      <c r="C1127" s="54">
        <v>3649.7</v>
      </c>
      <c r="D1127" s="56">
        <f t="shared" si="20"/>
        <v>1.4600296575896468</v>
      </c>
      <c r="E1127" s="64">
        <v>6.1686931966176139E-4</v>
      </c>
    </row>
    <row r="1128" spans="2:5" x14ac:dyDescent="0.3">
      <c r="B1128" s="55">
        <v>43678</v>
      </c>
      <c r="C1128" s="54">
        <v>1483.6</v>
      </c>
      <c r="D1128" s="56">
        <f t="shared" si="20"/>
        <v>-0.64302213666987496</v>
      </c>
      <c r="E1128" s="64">
        <v>6.07000741889685E-4</v>
      </c>
    </row>
    <row r="1129" spans="2:5" x14ac:dyDescent="0.3">
      <c r="B1129" s="55">
        <v>45964</v>
      </c>
      <c r="C1129" s="54">
        <v>4156</v>
      </c>
      <c r="D1129" s="56">
        <f t="shared" si="20"/>
        <v>0.12656203410045808</v>
      </c>
      <c r="E1129" s="64">
        <v>6.0190201035270618E-4</v>
      </c>
    </row>
    <row r="1130" spans="2:5" x14ac:dyDescent="0.3">
      <c r="B1130" s="55">
        <v>45191</v>
      </c>
      <c r="C1130" s="54">
        <v>3689.1</v>
      </c>
      <c r="D1130" s="56">
        <f t="shared" si="20"/>
        <v>7.6066917036530235E-3</v>
      </c>
      <c r="E1130" s="64">
        <v>5.831378239467E-4</v>
      </c>
    </row>
    <row r="1131" spans="2:5" x14ac:dyDescent="0.3">
      <c r="B1131" s="55">
        <v>45623</v>
      </c>
      <c r="C1131" s="54">
        <v>3661.25</v>
      </c>
      <c r="D1131" s="56">
        <f t="shared" si="20"/>
        <v>-0.10502578894619763</v>
      </c>
      <c r="E1131" s="64">
        <v>5.7390377546706617E-4</v>
      </c>
    </row>
    <row r="1132" spans="2:5" x14ac:dyDescent="0.3">
      <c r="B1132" s="55">
        <v>44664</v>
      </c>
      <c r="C1132" s="54">
        <v>4090.9</v>
      </c>
      <c r="D1132" s="56">
        <f t="shared" si="20"/>
        <v>-8.6210170097278271E-2</v>
      </c>
      <c r="E1132" s="64">
        <v>5.3806833467850979E-4</v>
      </c>
    </row>
    <row r="1133" spans="2:5" x14ac:dyDescent="0.3">
      <c r="B1133" s="55">
        <v>45441</v>
      </c>
      <c r="C1133" s="54">
        <v>4476.8500000000004</v>
      </c>
      <c r="D1133" s="56">
        <f t="shared" si="20"/>
        <v>1.8078587556447565</v>
      </c>
      <c r="E1133" s="64">
        <v>5.3637877281009771E-4</v>
      </c>
    </row>
    <row r="1134" spans="2:5" x14ac:dyDescent="0.3">
      <c r="B1134" s="55">
        <v>43262</v>
      </c>
      <c r="C1134" s="54">
        <v>1594.4</v>
      </c>
      <c r="D1134" s="56">
        <f t="shared" si="20"/>
        <v>-0.12460537513382919</v>
      </c>
      <c r="E1134" s="64">
        <v>5.3340026983783595E-4</v>
      </c>
    </row>
    <row r="1135" spans="2:5" x14ac:dyDescent="0.3">
      <c r="B1135" s="55">
        <v>43748</v>
      </c>
      <c r="C1135" s="54">
        <v>1821.35</v>
      </c>
      <c r="D1135" s="56">
        <f t="shared" si="20"/>
        <v>0.25045484192097756</v>
      </c>
      <c r="E1135" s="64">
        <v>5.2186332674120095E-4</v>
      </c>
    </row>
    <row r="1136" spans="2:5" x14ac:dyDescent="0.3">
      <c r="B1136" s="55">
        <v>43525</v>
      </c>
      <c r="C1136" s="54">
        <v>1456.55</v>
      </c>
      <c r="D1136" s="56">
        <f t="shared" si="20"/>
        <v>-1.5545267142036412E-2</v>
      </c>
      <c r="E1136" s="64">
        <v>5.1518065668365587E-4</v>
      </c>
    </row>
    <row r="1137" spans="2:5" x14ac:dyDescent="0.3">
      <c r="B1137" s="55">
        <v>43543</v>
      </c>
      <c r="C1137" s="54">
        <v>1479.55</v>
      </c>
      <c r="D1137" s="56">
        <f t="shared" si="20"/>
        <v>-0.61042944785276076</v>
      </c>
      <c r="E1137" s="64">
        <v>5.0716797403294045E-4</v>
      </c>
    </row>
    <row r="1138" spans="2:5" x14ac:dyDescent="0.3">
      <c r="B1138" s="55">
        <v>45187</v>
      </c>
      <c r="C1138" s="54">
        <v>3797.9</v>
      </c>
      <c r="D1138" s="56">
        <f t="shared" si="20"/>
        <v>-3.2825710502190075E-2</v>
      </c>
      <c r="E1138" s="64">
        <v>5.0052687038992794E-4</v>
      </c>
    </row>
    <row r="1139" spans="2:5" x14ac:dyDescent="0.3">
      <c r="B1139" s="55">
        <v>44757</v>
      </c>
      <c r="C1139" s="54">
        <v>3926.8</v>
      </c>
      <c r="D1139" s="56">
        <f t="shared" si="20"/>
        <v>1.9365557343855588E-2</v>
      </c>
      <c r="E1139" s="64">
        <v>4.9683427392133162E-4</v>
      </c>
    </row>
    <row r="1140" spans="2:5" x14ac:dyDescent="0.3">
      <c r="B1140" s="55">
        <v>45349</v>
      </c>
      <c r="C1140" s="54">
        <v>3852.2</v>
      </c>
      <c r="D1140" s="56">
        <f t="shared" si="20"/>
        <v>1.8019056624359022</v>
      </c>
      <c r="E1140" s="64">
        <v>4.8047580090115893E-4</v>
      </c>
    </row>
    <row r="1141" spans="2:5" x14ac:dyDescent="0.3">
      <c r="B1141" s="55">
        <v>43496</v>
      </c>
      <c r="C1141" s="54">
        <v>1374.85</v>
      </c>
      <c r="D1141" s="56">
        <f t="shared" si="20"/>
        <v>0.82789337233264626</v>
      </c>
      <c r="E1141" s="64">
        <v>4.7300247416659502E-4</v>
      </c>
    </row>
    <row r="1142" spans="2:5" x14ac:dyDescent="0.3">
      <c r="B1142" s="55">
        <v>42870</v>
      </c>
      <c r="C1142" s="54">
        <v>752.15</v>
      </c>
      <c r="D1142" s="56">
        <f t="shared" si="20"/>
        <v>-0.78524725902238468</v>
      </c>
      <c r="E1142" s="64">
        <v>4.655493482308426E-4</v>
      </c>
    </row>
    <row r="1143" spans="2:5" x14ac:dyDescent="0.3">
      <c r="B1143" s="55">
        <v>44410</v>
      </c>
      <c r="C1143" s="54">
        <v>3502.4</v>
      </c>
      <c r="D1143" s="56">
        <f t="shared" si="20"/>
        <v>-3.6129839833859423E-3</v>
      </c>
      <c r="E1143" s="64">
        <v>4.570383912247955E-4</v>
      </c>
    </row>
    <row r="1144" spans="2:5" x14ac:dyDescent="0.3">
      <c r="B1144" s="55">
        <v>44951</v>
      </c>
      <c r="C1144" s="54">
        <v>3515.1</v>
      </c>
      <c r="D1144" s="56">
        <f t="shared" si="20"/>
        <v>1.2515372790161412</v>
      </c>
      <c r="E1144" s="64">
        <v>4.5538636687059153E-4</v>
      </c>
    </row>
    <row r="1145" spans="2:5" x14ac:dyDescent="0.3">
      <c r="B1145" s="55">
        <v>43350</v>
      </c>
      <c r="C1145" s="54">
        <v>1561.2</v>
      </c>
      <c r="D1145" s="56">
        <f t="shared" si="20"/>
        <v>-0.55436302914395008</v>
      </c>
      <c r="E1145" s="64">
        <v>4.4857417494403862E-4</v>
      </c>
    </row>
    <row r="1146" spans="2:5" x14ac:dyDescent="0.3">
      <c r="B1146" s="55">
        <v>45075</v>
      </c>
      <c r="C1146" s="54">
        <v>3503.3</v>
      </c>
      <c r="D1146" s="56">
        <f t="shared" si="20"/>
        <v>-0.30113608027369665</v>
      </c>
      <c r="E1146" s="64">
        <v>4.4263582494474818E-4</v>
      </c>
    </row>
    <row r="1147" spans="2:5" x14ac:dyDescent="0.3">
      <c r="B1147" s="55">
        <v>45495</v>
      </c>
      <c r="C1147" s="54">
        <v>5012.8500000000004</v>
      </c>
      <c r="D1147" s="56">
        <f t="shared" si="20"/>
        <v>0.22830854426502678</v>
      </c>
      <c r="E1147" s="64">
        <v>4.2908176502298723E-4</v>
      </c>
    </row>
    <row r="1148" spans="2:5" x14ac:dyDescent="0.3">
      <c r="B1148" s="55">
        <v>46213</v>
      </c>
      <c r="C1148" s="54">
        <v>4081.1</v>
      </c>
      <c r="D1148" s="56">
        <f t="shared" si="20"/>
        <v>6.0549362022816355E-2</v>
      </c>
      <c r="E1148" s="64">
        <v>4.1672795018876663E-4</v>
      </c>
    </row>
    <row r="1149" spans="2:5" x14ac:dyDescent="0.3">
      <c r="B1149" s="55">
        <v>46232</v>
      </c>
      <c r="C1149" s="54">
        <v>3848.1</v>
      </c>
      <c r="D1149" s="56">
        <f t="shared" si="20"/>
        <v>-3.8864050753053436E-2</v>
      </c>
      <c r="E1149" s="64">
        <v>3.8995476524728012E-4</v>
      </c>
    </row>
    <row r="1150" spans="2:5" x14ac:dyDescent="0.3">
      <c r="B1150" s="55">
        <v>46064</v>
      </c>
      <c r="C1150" s="54">
        <v>4003.7</v>
      </c>
      <c r="D1150" s="56">
        <f t="shared" si="20"/>
        <v>0.72547245027689788</v>
      </c>
      <c r="E1150" s="64">
        <v>3.7479386337513354E-4</v>
      </c>
    </row>
    <row r="1151" spans="2:5" x14ac:dyDescent="0.3">
      <c r="B1151" s="55">
        <v>44021</v>
      </c>
      <c r="C1151" s="54">
        <v>2320.35</v>
      </c>
      <c r="D1151" s="56">
        <f t="shared" si="20"/>
        <v>0.73659394529057343</v>
      </c>
      <c r="E1151" s="64">
        <v>3.4489448384378285E-4</v>
      </c>
    </row>
    <row r="1152" spans="2:5" x14ac:dyDescent="0.3">
      <c r="B1152" s="55">
        <v>43636</v>
      </c>
      <c r="C1152" s="54">
        <v>1336.15</v>
      </c>
      <c r="D1152" s="56">
        <f t="shared" si="20"/>
        <v>-0.68948408087380897</v>
      </c>
      <c r="E1152" s="64">
        <v>3.3690199895186623E-4</v>
      </c>
    </row>
    <row r="1153" spans="2:5" x14ac:dyDescent="0.3">
      <c r="B1153" s="55">
        <v>45937</v>
      </c>
      <c r="C1153" s="54">
        <v>4303</v>
      </c>
      <c r="D1153" s="56">
        <f t="shared" si="20"/>
        <v>-1.0645391212379063E-2</v>
      </c>
      <c r="E1153" s="64">
        <v>3.2546029384405983E-4</v>
      </c>
    </row>
    <row r="1154" spans="2:5" x14ac:dyDescent="0.3">
      <c r="B1154" s="55">
        <v>44824</v>
      </c>
      <c r="C1154" s="54">
        <v>4349.3</v>
      </c>
      <c r="D1154" s="56">
        <f t="shared" si="20"/>
        <v>3.6238444677404003E-2</v>
      </c>
      <c r="E1154" s="64">
        <v>2.9898804047845395E-4</v>
      </c>
    </row>
    <row r="1155" spans="2:5" x14ac:dyDescent="0.3">
      <c r="B1155" s="55">
        <v>45873</v>
      </c>
      <c r="C1155" s="54">
        <v>4197.2</v>
      </c>
      <c r="D1155" s="56">
        <f t="shared" si="20"/>
        <v>5.2299052299052295E-2</v>
      </c>
      <c r="E1155" s="64">
        <v>2.8598665395618283E-4</v>
      </c>
    </row>
    <row r="1156" spans="2:5" x14ac:dyDescent="0.3">
      <c r="B1156" s="55">
        <v>45986</v>
      </c>
      <c r="C1156" s="54">
        <v>3988.6</v>
      </c>
      <c r="D1156" s="56">
        <f t="shared" ref="D1156:D1219" si="21">C1156/C1157-1</f>
        <v>-0.1338639102724184</v>
      </c>
      <c r="E1156" s="64">
        <v>2.7586206896557108E-4</v>
      </c>
    </row>
    <row r="1157" spans="2:5" x14ac:dyDescent="0.3">
      <c r="B1157" s="55">
        <v>45414</v>
      </c>
      <c r="C1157" s="54">
        <v>4605.05</v>
      </c>
      <c r="D1157" s="56">
        <f t="shared" si="21"/>
        <v>2.0897044516756687</v>
      </c>
      <c r="E1157" s="64">
        <v>2.7151483557052991E-4</v>
      </c>
    </row>
    <row r="1158" spans="2:5" x14ac:dyDescent="0.3">
      <c r="B1158" s="55">
        <v>43683</v>
      </c>
      <c r="C1158" s="54">
        <v>1490.45</v>
      </c>
      <c r="D1158" s="56">
        <f t="shared" si="21"/>
        <v>-0.62285229889420279</v>
      </c>
      <c r="E1158" s="64">
        <v>2.6844736753806053E-4</v>
      </c>
    </row>
    <row r="1159" spans="2:5" x14ac:dyDescent="0.3">
      <c r="B1159" s="55">
        <v>46220</v>
      </c>
      <c r="C1159" s="54">
        <v>3951.9</v>
      </c>
      <c r="D1159" s="56">
        <f t="shared" si="21"/>
        <v>8.7374633703413362E-2</v>
      </c>
      <c r="E1159" s="64">
        <v>2.5310688703839013E-4</v>
      </c>
    </row>
    <row r="1160" spans="2:5" x14ac:dyDescent="0.3">
      <c r="B1160" s="55">
        <v>44425</v>
      </c>
      <c r="C1160" s="54">
        <v>3634.35</v>
      </c>
      <c r="D1160" s="56">
        <f t="shared" si="21"/>
        <v>-0.10371402500678195</v>
      </c>
      <c r="E1160" s="64">
        <v>2.3393422320072688E-4</v>
      </c>
    </row>
    <row r="1161" spans="2:5" x14ac:dyDescent="0.3">
      <c r="B1161" s="55">
        <v>46245</v>
      </c>
      <c r="C1161" s="54">
        <v>4054.9</v>
      </c>
      <c r="D1161" s="56">
        <f t="shared" si="21"/>
        <v>1.2065681713057437</v>
      </c>
      <c r="E1161" s="64">
        <v>2.2200296003949127E-4</v>
      </c>
    </row>
    <row r="1162" spans="2:5" x14ac:dyDescent="0.3">
      <c r="B1162" s="55">
        <v>43794</v>
      </c>
      <c r="C1162" s="54">
        <v>1837.65</v>
      </c>
      <c r="D1162" s="56">
        <f t="shared" si="21"/>
        <v>0.24266296997565595</v>
      </c>
      <c r="E1162" s="64">
        <v>2.1771669614922828E-4</v>
      </c>
    </row>
    <row r="1163" spans="2:5" x14ac:dyDescent="0.3">
      <c r="B1163" s="55">
        <v>43542</v>
      </c>
      <c r="C1163" s="54">
        <v>1478.8</v>
      </c>
      <c r="D1163" s="56">
        <f t="shared" si="21"/>
        <v>-0.60960929250263995</v>
      </c>
      <c r="E1163" s="64">
        <v>2.0290835306058241E-4</v>
      </c>
    </row>
    <row r="1164" spans="2:5" x14ac:dyDescent="0.3">
      <c r="B1164" s="55">
        <v>46020</v>
      </c>
      <c r="C1164" s="54">
        <v>3788</v>
      </c>
      <c r="D1164" s="56">
        <f t="shared" si="21"/>
        <v>-0.10885265956195445</v>
      </c>
      <c r="E1164" s="64">
        <v>1.584200242910061E-4</v>
      </c>
    </row>
    <row r="1165" spans="2:5" x14ac:dyDescent="0.3">
      <c r="B1165" s="55">
        <v>44783</v>
      </c>
      <c r="C1165" s="54">
        <v>4250.7</v>
      </c>
      <c r="D1165" s="56">
        <f t="shared" si="21"/>
        <v>-7.1382538312816046E-2</v>
      </c>
      <c r="E1165" s="64">
        <v>1.5293937718374728E-4</v>
      </c>
    </row>
    <row r="1166" spans="2:5" x14ac:dyDescent="0.3">
      <c r="B1166" s="55">
        <v>44809</v>
      </c>
      <c r="C1166" s="54">
        <v>4577.45</v>
      </c>
      <c r="D1166" s="56">
        <f t="shared" si="21"/>
        <v>2.1271006968165049</v>
      </c>
      <c r="E1166" s="64">
        <v>1.4202062576473828E-4</v>
      </c>
    </row>
    <row r="1167" spans="2:5" x14ac:dyDescent="0.3">
      <c r="B1167" s="55">
        <v>43663</v>
      </c>
      <c r="C1167" s="54">
        <v>1463.8</v>
      </c>
      <c r="D1167" s="56">
        <f t="shared" si="21"/>
        <v>-0.65099423012731861</v>
      </c>
      <c r="E1167" s="64">
        <v>1.3664935774815312E-4</v>
      </c>
    </row>
    <row r="1168" spans="2:5" x14ac:dyDescent="0.3">
      <c r="B1168" s="55">
        <v>44868</v>
      </c>
      <c r="C1168" s="54">
        <v>4194.2</v>
      </c>
      <c r="D1168" s="56">
        <f t="shared" si="21"/>
        <v>1.6137787056367427</v>
      </c>
      <c r="E1168" s="64">
        <v>1.3115066827240618E-4</v>
      </c>
    </row>
    <row r="1169" spans="2:5" x14ac:dyDescent="0.3">
      <c r="B1169" s="55">
        <v>43346</v>
      </c>
      <c r="C1169" s="54">
        <v>1604.65</v>
      </c>
      <c r="D1169" s="56">
        <f t="shared" si="21"/>
        <v>0.45066220675315272</v>
      </c>
      <c r="E1169" s="64">
        <v>9.3487067622355369E-5</v>
      </c>
    </row>
    <row r="1170" spans="2:5" x14ac:dyDescent="0.3">
      <c r="B1170" s="55">
        <v>43059</v>
      </c>
      <c r="C1170" s="54">
        <v>1106.1500000000001</v>
      </c>
      <c r="D1170" s="56">
        <f t="shared" si="21"/>
        <v>-0.75263599262033876</v>
      </c>
      <c r="E1170" s="64">
        <v>9.0411825866887341E-5</v>
      </c>
    </row>
    <row r="1171" spans="2:5" x14ac:dyDescent="0.3">
      <c r="B1171" s="55">
        <v>44844</v>
      </c>
      <c r="C1171" s="54">
        <v>4471.75</v>
      </c>
      <c r="D1171" s="56">
        <f t="shared" si="21"/>
        <v>-1.0992049010826177E-2</v>
      </c>
      <c r="E1171" s="64">
        <v>6.7092330228391006E-5</v>
      </c>
    </row>
    <row r="1172" spans="2:5" x14ac:dyDescent="0.3">
      <c r="B1172" s="55">
        <v>44491</v>
      </c>
      <c r="C1172" s="54">
        <v>4521.45</v>
      </c>
      <c r="D1172" s="56">
        <f t="shared" si="21"/>
        <v>2.4401963022141064</v>
      </c>
      <c r="E1172" s="64">
        <v>4.4235554326643722E-5</v>
      </c>
    </row>
    <row r="1173" spans="2:5" x14ac:dyDescent="0.3">
      <c r="B1173" s="55">
        <v>43164</v>
      </c>
      <c r="C1173" s="54">
        <v>1314.3</v>
      </c>
      <c r="D1173" s="56">
        <f t="shared" si="21"/>
        <v>-0.70686175017564201</v>
      </c>
      <c r="E1173" s="64">
        <v>3.8044512079116188E-5</v>
      </c>
    </row>
    <row r="1174" spans="2:5" x14ac:dyDescent="0.3">
      <c r="B1174" s="55">
        <v>44581</v>
      </c>
      <c r="C1174" s="54">
        <v>4483.55</v>
      </c>
      <c r="D1174" s="56">
        <f t="shared" si="21"/>
        <v>1.9990301003344482</v>
      </c>
      <c r="E1174" s="64">
        <v>3.345675157251371E-5</v>
      </c>
    </row>
    <row r="1175" spans="2:5" x14ac:dyDescent="0.3">
      <c r="B1175" s="55">
        <v>43237</v>
      </c>
      <c r="C1175" s="54">
        <v>1495</v>
      </c>
      <c r="D1175" s="56">
        <f t="shared" si="21"/>
        <v>-0.62395613240768688</v>
      </c>
      <c r="E1175" s="64">
        <v>3.3445934646714193E-5</v>
      </c>
    </row>
    <row r="1176" spans="2:5" x14ac:dyDescent="0.3">
      <c r="B1176" s="55">
        <v>46224</v>
      </c>
      <c r="C1176" s="54">
        <v>3975.6</v>
      </c>
      <c r="D1176" s="56">
        <f t="shared" si="21"/>
        <v>0.17020619011876903</v>
      </c>
      <c r="E1176" s="64">
        <v>2.5154068670651952E-5</v>
      </c>
    </row>
    <row r="1177" spans="2:5" x14ac:dyDescent="0.3">
      <c r="B1177" s="55">
        <v>44399</v>
      </c>
      <c r="C1177" s="54">
        <v>3397.35</v>
      </c>
      <c r="D1177" s="56">
        <f t="shared" si="21"/>
        <v>-0.15955025604235218</v>
      </c>
      <c r="E1177" s="64">
        <v>1.4717569834843403E-5</v>
      </c>
    </row>
    <row r="1178" spans="2:5" x14ac:dyDescent="0.3">
      <c r="B1178" s="55">
        <v>45806</v>
      </c>
      <c r="C1178" s="54">
        <v>4042.3</v>
      </c>
      <c r="D1178" s="56">
        <f t="shared" si="21"/>
        <v>-5.0501491555680844E-2</v>
      </c>
      <c r="E1178" s="64">
        <v>0</v>
      </c>
    </row>
    <row r="1179" spans="2:5" x14ac:dyDescent="0.3">
      <c r="B1179" s="55">
        <v>44474</v>
      </c>
      <c r="C1179" s="54">
        <v>4257.3</v>
      </c>
      <c r="D1179" s="56">
        <f t="shared" si="21"/>
        <v>2.0140176991150445</v>
      </c>
      <c r="E1179" s="64">
        <v>-1.1744394987522888E-5</v>
      </c>
    </row>
    <row r="1180" spans="2:5" x14ac:dyDescent="0.3">
      <c r="B1180" s="55">
        <v>43424</v>
      </c>
      <c r="C1180" s="54">
        <v>1412.5</v>
      </c>
      <c r="D1180" s="56">
        <f t="shared" si="21"/>
        <v>-0.61296598210738318</v>
      </c>
      <c r="E1180" s="64">
        <v>-3.5396977098089977E-5</v>
      </c>
    </row>
    <row r="1181" spans="2:5" x14ac:dyDescent="0.3">
      <c r="B1181" s="55">
        <v>45236</v>
      </c>
      <c r="C1181" s="54">
        <v>3649.55</v>
      </c>
      <c r="D1181" s="56">
        <f t="shared" si="21"/>
        <v>0.14244795742682737</v>
      </c>
      <c r="E1181" s="64">
        <v>-4.1099268432875924E-5</v>
      </c>
    </row>
    <row r="1182" spans="2:5" x14ac:dyDescent="0.3">
      <c r="B1182" s="55">
        <v>44357</v>
      </c>
      <c r="C1182" s="54">
        <v>3194.5</v>
      </c>
      <c r="D1182" s="56">
        <f t="shared" si="21"/>
        <v>1.1398666979267844</v>
      </c>
      <c r="E1182" s="64">
        <v>-6.2603687357110083E-5</v>
      </c>
    </row>
    <row r="1183" spans="2:5" x14ac:dyDescent="0.3">
      <c r="B1183" s="55">
        <v>43557</v>
      </c>
      <c r="C1183" s="54">
        <v>1492.85</v>
      </c>
      <c r="D1183" s="56">
        <f t="shared" si="21"/>
        <v>-0.30108382686860646</v>
      </c>
      <c r="E1183" s="64">
        <v>-6.698147962103107E-5</v>
      </c>
    </row>
    <row r="1184" spans="2:5" x14ac:dyDescent="0.3">
      <c r="B1184" s="55">
        <v>44090</v>
      </c>
      <c r="C1184" s="54">
        <v>2135.9499999999998</v>
      </c>
      <c r="D1184" s="56">
        <f t="shared" si="21"/>
        <v>-0.45990264871357234</v>
      </c>
      <c r="E1184" s="64">
        <v>-9.3626383915079714E-5</v>
      </c>
    </row>
    <row r="1185" spans="2:5" x14ac:dyDescent="0.3">
      <c r="B1185" s="55">
        <v>44888</v>
      </c>
      <c r="C1185" s="54">
        <v>3954.75</v>
      </c>
      <c r="D1185" s="56">
        <f t="shared" si="21"/>
        <v>3.9524137499217336</v>
      </c>
      <c r="E1185" s="64">
        <v>-1.1377427184466882E-4</v>
      </c>
    </row>
    <row r="1186" spans="2:5" x14ac:dyDescent="0.3">
      <c r="B1186" s="55">
        <v>42900</v>
      </c>
      <c r="C1186" s="54">
        <v>798.55</v>
      </c>
      <c r="D1186" s="56">
        <f t="shared" si="21"/>
        <v>2.3716428434074732E-2</v>
      </c>
      <c r="E1186" s="64">
        <v>-1.2521129405873577E-4</v>
      </c>
    </row>
    <row r="1187" spans="2:5" x14ac:dyDescent="0.3">
      <c r="B1187" s="55">
        <v>42864</v>
      </c>
      <c r="C1187" s="54">
        <v>780.05</v>
      </c>
      <c r="D1187" s="56">
        <f t="shared" si="21"/>
        <v>9.1284275321768416E-2</v>
      </c>
      <c r="E1187" s="64">
        <v>-1.2818047811324895E-4</v>
      </c>
    </row>
    <row r="1188" spans="2:5" x14ac:dyDescent="0.3">
      <c r="B1188" s="55">
        <v>42884</v>
      </c>
      <c r="C1188" s="54">
        <v>714.8</v>
      </c>
      <c r="D1188" s="56">
        <f t="shared" si="21"/>
        <v>-0.82521304299984111</v>
      </c>
      <c r="E1188" s="64">
        <v>-1.3987970345508138E-4</v>
      </c>
    </row>
    <row r="1189" spans="2:5" x14ac:dyDescent="0.3">
      <c r="B1189" s="55">
        <v>44915</v>
      </c>
      <c r="C1189" s="54">
        <v>4089.55</v>
      </c>
      <c r="D1189" s="56">
        <f t="shared" si="21"/>
        <v>7.0184620618367832E-2</v>
      </c>
      <c r="E1189" s="64">
        <v>-1.5891643440413272E-4</v>
      </c>
    </row>
    <row r="1190" spans="2:5" x14ac:dyDescent="0.3">
      <c r="B1190" s="55">
        <v>45302</v>
      </c>
      <c r="C1190" s="54">
        <v>3821.35</v>
      </c>
      <c r="D1190" s="56">
        <f t="shared" si="21"/>
        <v>-0.22934123887023428</v>
      </c>
      <c r="E1190" s="64">
        <v>-1.7006802721086789E-4</v>
      </c>
    </row>
    <row r="1191" spans="2:5" x14ac:dyDescent="0.3">
      <c r="B1191" s="55">
        <v>45531</v>
      </c>
      <c r="C1191" s="54">
        <v>4958.55</v>
      </c>
      <c r="D1191" s="56">
        <f t="shared" si="21"/>
        <v>0.44106193147141748</v>
      </c>
      <c r="E1191" s="64">
        <v>-1.7139170060886944E-4</v>
      </c>
    </row>
    <row r="1192" spans="2:5" x14ac:dyDescent="0.3">
      <c r="B1192" s="55">
        <v>44964</v>
      </c>
      <c r="C1192" s="54">
        <v>3440.9</v>
      </c>
      <c r="D1192" s="56">
        <f t="shared" si="21"/>
        <v>-0.19501696104807575</v>
      </c>
      <c r="E1192" s="64">
        <v>-1.7434258317594598E-4</v>
      </c>
    </row>
    <row r="1193" spans="2:5" x14ac:dyDescent="0.3">
      <c r="B1193" s="55">
        <v>45951</v>
      </c>
      <c r="C1193" s="54">
        <v>4274.5</v>
      </c>
      <c r="D1193" s="56">
        <f t="shared" si="21"/>
        <v>5.0310215615209763E-2</v>
      </c>
      <c r="E1193" s="64">
        <v>-1.8712137159970776E-4</v>
      </c>
    </row>
    <row r="1194" spans="2:5" x14ac:dyDescent="0.3">
      <c r="B1194" s="55">
        <v>45271</v>
      </c>
      <c r="C1194" s="54">
        <v>4069.75</v>
      </c>
      <c r="D1194" s="56">
        <f t="shared" si="21"/>
        <v>-4.2456825561150047E-2</v>
      </c>
      <c r="E1194" s="64">
        <v>-2.2109491113220248E-4</v>
      </c>
    </row>
    <row r="1195" spans="2:5" x14ac:dyDescent="0.3">
      <c r="B1195" s="55">
        <v>44469</v>
      </c>
      <c r="C1195" s="54">
        <v>4250.2</v>
      </c>
      <c r="D1195" s="56">
        <f t="shared" si="21"/>
        <v>0.11302571623107949</v>
      </c>
      <c r="E1195" s="64">
        <v>-2.3522770041395358E-4</v>
      </c>
    </row>
    <row r="1196" spans="2:5" x14ac:dyDescent="0.3">
      <c r="B1196" s="55">
        <v>46013</v>
      </c>
      <c r="C1196" s="54">
        <v>3818.6</v>
      </c>
      <c r="D1196" s="56">
        <f t="shared" si="21"/>
        <v>7.2339230553215339E-2</v>
      </c>
      <c r="E1196" s="64">
        <v>-2.3563293624817572E-4</v>
      </c>
    </row>
    <row r="1197" spans="2:5" x14ac:dyDescent="0.3">
      <c r="B1197" s="55">
        <v>45658</v>
      </c>
      <c r="C1197" s="54">
        <v>3561</v>
      </c>
      <c r="D1197" s="56">
        <f t="shared" si="21"/>
        <v>6.2683716557990987E-2</v>
      </c>
      <c r="E1197" s="64">
        <v>-2.3864003256734989E-4</v>
      </c>
    </row>
    <row r="1198" spans="2:5" x14ac:dyDescent="0.3">
      <c r="B1198" s="55">
        <v>44999</v>
      </c>
      <c r="C1198" s="54">
        <v>3350.95</v>
      </c>
      <c r="D1198" s="56">
        <f t="shared" si="21"/>
        <v>-3.1419363230384634E-2</v>
      </c>
      <c r="E1198" s="64">
        <v>-2.386812858954368E-4</v>
      </c>
    </row>
    <row r="1199" spans="2:5" x14ac:dyDescent="0.3">
      <c r="B1199" s="55">
        <v>45650</v>
      </c>
      <c r="C1199" s="54">
        <v>3459.65</v>
      </c>
      <c r="D1199" s="56">
        <f t="shared" si="21"/>
        <v>-0.28689800166956958</v>
      </c>
      <c r="E1199" s="64">
        <v>-2.6007426565144431E-4</v>
      </c>
    </row>
    <row r="1200" spans="2:5" x14ac:dyDescent="0.3">
      <c r="B1200" s="55">
        <v>45481</v>
      </c>
      <c r="C1200" s="54">
        <v>4851.55</v>
      </c>
      <c r="D1200" s="56">
        <f t="shared" si="21"/>
        <v>3.457301667508843</v>
      </c>
      <c r="E1200" s="64">
        <v>-3.1938348684346085E-4</v>
      </c>
    </row>
    <row r="1201" spans="2:5" x14ac:dyDescent="0.3">
      <c r="B1201" s="55">
        <v>42990</v>
      </c>
      <c r="C1201" s="54">
        <v>1088.45</v>
      </c>
      <c r="D1201" s="56">
        <f t="shared" si="21"/>
        <v>-0.28462044035491285</v>
      </c>
      <c r="E1201" s="64">
        <v>-3.2145481263767817E-4</v>
      </c>
    </row>
    <row r="1202" spans="2:5" x14ac:dyDescent="0.3">
      <c r="B1202" s="55">
        <v>43301</v>
      </c>
      <c r="C1202" s="54">
        <v>1521.5</v>
      </c>
      <c r="D1202" s="56">
        <f t="shared" si="21"/>
        <v>-0.62234880921354729</v>
      </c>
      <c r="E1202" s="64">
        <v>-3.2851511169518233E-4</v>
      </c>
    </row>
    <row r="1203" spans="2:5" x14ac:dyDescent="0.3">
      <c r="B1203" s="55">
        <v>44673</v>
      </c>
      <c r="C1203" s="54">
        <v>4028.85</v>
      </c>
      <c r="D1203" s="56">
        <f t="shared" si="21"/>
        <v>0.95068632435180489</v>
      </c>
      <c r="E1203" s="64">
        <v>-3.4737299174991687E-4</v>
      </c>
    </row>
    <row r="1204" spans="2:5" x14ac:dyDescent="0.3">
      <c r="B1204" s="55">
        <v>44112</v>
      </c>
      <c r="C1204" s="54">
        <v>2065.35</v>
      </c>
      <c r="D1204" s="56">
        <f t="shared" si="21"/>
        <v>-0.47868393154626687</v>
      </c>
      <c r="E1204" s="64">
        <v>-3.6300275882095168E-4</v>
      </c>
    </row>
    <row r="1205" spans="2:5" x14ac:dyDescent="0.3">
      <c r="B1205" s="55">
        <v>45993</v>
      </c>
      <c r="C1205" s="54">
        <v>3961.8</v>
      </c>
      <c r="D1205" s="56">
        <f t="shared" si="21"/>
        <v>-0.17407438292194799</v>
      </c>
      <c r="E1205" s="64">
        <v>-3.7847248505029629E-4</v>
      </c>
    </row>
    <row r="1206" spans="2:5" x14ac:dyDescent="0.3">
      <c r="B1206" s="55">
        <v>45422</v>
      </c>
      <c r="C1206" s="54">
        <v>4796.8</v>
      </c>
      <c r="D1206" s="56">
        <f t="shared" si="21"/>
        <v>0.38401835047679511</v>
      </c>
      <c r="E1206" s="64">
        <v>-3.8552509559963699E-4</v>
      </c>
    </row>
    <row r="1207" spans="2:5" x14ac:dyDescent="0.3">
      <c r="B1207" s="55">
        <v>45041</v>
      </c>
      <c r="C1207" s="54">
        <v>3465.85</v>
      </c>
      <c r="D1207" s="56">
        <f t="shared" si="21"/>
        <v>0.80058186352183291</v>
      </c>
      <c r="E1207" s="64">
        <v>-3.8936317489612904E-4</v>
      </c>
    </row>
    <row r="1208" spans="2:5" x14ac:dyDescent="0.3">
      <c r="B1208" s="55">
        <v>43756</v>
      </c>
      <c r="C1208" s="54">
        <v>1924.85</v>
      </c>
      <c r="D1208" s="56">
        <f t="shared" si="21"/>
        <v>-0.49911525150277136</v>
      </c>
      <c r="E1208" s="64">
        <v>-3.894889904445531E-4</v>
      </c>
    </row>
    <row r="1209" spans="2:5" x14ac:dyDescent="0.3">
      <c r="B1209" s="55">
        <v>45254</v>
      </c>
      <c r="C1209" s="54">
        <v>3842.9</v>
      </c>
      <c r="D1209" s="56">
        <f t="shared" si="21"/>
        <v>1.7688594279126737</v>
      </c>
      <c r="E1209" s="64">
        <v>-3.9017792113205108E-4</v>
      </c>
    </row>
    <row r="1210" spans="2:5" x14ac:dyDescent="0.3">
      <c r="B1210" s="55">
        <v>43420</v>
      </c>
      <c r="C1210" s="54">
        <v>1387.9</v>
      </c>
      <c r="D1210" s="56">
        <f t="shared" si="21"/>
        <v>-0.58123887397037088</v>
      </c>
      <c r="E1210" s="64">
        <v>-3.9612517555542848E-4</v>
      </c>
    </row>
    <row r="1211" spans="2:5" x14ac:dyDescent="0.3">
      <c r="B1211" s="55">
        <v>44379</v>
      </c>
      <c r="C1211" s="54">
        <v>3314.3</v>
      </c>
      <c r="D1211" s="56">
        <f t="shared" si="21"/>
        <v>9.5057159849335937E-2</v>
      </c>
      <c r="E1211" s="64">
        <v>-4.0715998371354534E-4</v>
      </c>
    </row>
    <row r="1212" spans="2:5" x14ac:dyDescent="0.3">
      <c r="B1212" s="55">
        <v>44336</v>
      </c>
      <c r="C1212" s="54">
        <v>3026.6</v>
      </c>
      <c r="D1212" s="56">
        <f t="shared" si="21"/>
        <v>-0.29834241335342526</v>
      </c>
      <c r="E1212" s="64">
        <v>-4.2934046699039108E-4</v>
      </c>
    </row>
    <row r="1213" spans="2:5" x14ac:dyDescent="0.3">
      <c r="B1213" s="55">
        <v>45835</v>
      </c>
      <c r="C1213" s="54">
        <v>4313.5</v>
      </c>
      <c r="D1213" s="56">
        <f t="shared" si="21"/>
        <v>5.7697023196508379E-2</v>
      </c>
      <c r="E1213" s="64">
        <v>-4.402836353524231E-4</v>
      </c>
    </row>
    <row r="1214" spans="2:5" x14ac:dyDescent="0.3">
      <c r="B1214" s="55">
        <v>45819</v>
      </c>
      <c r="C1214" s="54">
        <v>4078.2</v>
      </c>
      <c r="D1214" s="56">
        <f t="shared" si="21"/>
        <v>3.7525122751672635E-2</v>
      </c>
      <c r="E1214" s="64">
        <v>-4.4117647058827814E-4</v>
      </c>
    </row>
    <row r="1215" spans="2:5" x14ac:dyDescent="0.3">
      <c r="B1215" s="55">
        <v>45596</v>
      </c>
      <c r="C1215" s="54">
        <v>3930.7</v>
      </c>
      <c r="D1215" s="56">
        <f t="shared" si="21"/>
        <v>3.7055603192401421E-2</v>
      </c>
      <c r="E1215" s="64">
        <v>-4.4501519409023693E-4</v>
      </c>
    </row>
    <row r="1216" spans="2:5" x14ac:dyDescent="0.3">
      <c r="B1216" s="55">
        <v>45246</v>
      </c>
      <c r="C1216" s="54">
        <v>3790.25</v>
      </c>
      <c r="D1216" s="56">
        <f t="shared" si="21"/>
        <v>0.13872615292173651</v>
      </c>
      <c r="E1216" s="64">
        <v>-4.4831814765489142E-4</v>
      </c>
    </row>
    <row r="1217" spans="2:5" x14ac:dyDescent="0.3">
      <c r="B1217" s="55">
        <v>44392</v>
      </c>
      <c r="C1217" s="54">
        <v>3328.5</v>
      </c>
      <c r="D1217" s="56">
        <f t="shared" si="21"/>
        <v>-0.16209344476890541</v>
      </c>
      <c r="E1217" s="64">
        <v>-4.6545847659951178E-4</v>
      </c>
    </row>
    <row r="1218" spans="2:5" x14ac:dyDescent="0.3">
      <c r="B1218" s="55">
        <v>45786</v>
      </c>
      <c r="C1218" s="54">
        <v>3972.4</v>
      </c>
      <c r="D1218" s="56">
        <f t="shared" si="21"/>
        <v>3.8735124524598206</v>
      </c>
      <c r="E1218" s="64">
        <v>-4.7807161009483234E-4</v>
      </c>
    </row>
    <row r="1219" spans="2:5" x14ac:dyDescent="0.3">
      <c r="B1219" s="55">
        <v>42916</v>
      </c>
      <c r="C1219" s="54">
        <v>815.1</v>
      </c>
      <c r="D1219" s="56">
        <f t="shared" si="21"/>
        <v>-0.79337355505982554</v>
      </c>
      <c r="E1219" s="64">
        <v>-4.9049662783562376E-4</v>
      </c>
    </row>
    <row r="1220" spans="2:5" x14ac:dyDescent="0.3">
      <c r="B1220" s="55">
        <v>46092</v>
      </c>
      <c r="C1220" s="54">
        <v>3944.8</v>
      </c>
      <c r="D1220" s="56">
        <f t="shared" ref="D1220:D1283" si="22">C1220/C1221-1</f>
        <v>0.1268281535648994</v>
      </c>
      <c r="E1220" s="64">
        <v>-5.0673963717440262E-4</v>
      </c>
    </row>
    <row r="1221" spans="2:5" x14ac:dyDescent="0.3">
      <c r="B1221" s="55">
        <v>44407</v>
      </c>
      <c r="C1221" s="54">
        <v>3500.8</v>
      </c>
      <c r="D1221" s="56">
        <f t="shared" si="22"/>
        <v>2.062549208293238</v>
      </c>
      <c r="E1221" s="64">
        <v>-5.1390395706041314E-4</v>
      </c>
    </row>
    <row r="1222" spans="2:5" x14ac:dyDescent="0.3">
      <c r="B1222" s="55">
        <v>43034</v>
      </c>
      <c r="C1222" s="54">
        <v>1143.0999999999999</v>
      </c>
      <c r="D1222" s="56">
        <f t="shared" si="22"/>
        <v>-0.7051890442048796</v>
      </c>
      <c r="E1222" s="64">
        <v>-5.2461309784046506E-4</v>
      </c>
    </row>
    <row r="1223" spans="2:5" x14ac:dyDescent="0.3">
      <c r="B1223" s="55">
        <v>44936</v>
      </c>
      <c r="C1223" s="54">
        <v>3877.4</v>
      </c>
      <c r="D1223" s="56">
        <f t="shared" si="22"/>
        <v>7.1168831168830771E-3</v>
      </c>
      <c r="E1223" s="64">
        <v>-5.5418798572004491E-4</v>
      </c>
    </row>
    <row r="1224" spans="2:5" x14ac:dyDescent="0.3">
      <c r="B1224" s="55">
        <v>45350</v>
      </c>
      <c r="C1224" s="54">
        <v>3850</v>
      </c>
      <c r="D1224" s="56">
        <f t="shared" si="22"/>
        <v>-6.9688768606224527E-2</v>
      </c>
      <c r="E1224" s="64">
        <v>-5.7110222729861437E-4</v>
      </c>
    </row>
    <row r="1225" spans="2:5" x14ac:dyDescent="0.3">
      <c r="B1225" s="55">
        <v>45803</v>
      </c>
      <c r="C1225" s="54">
        <v>4138.3999999999996</v>
      </c>
      <c r="D1225" s="56">
        <f t="shared" si="22"/>
        <v>0.11026452755271765</v>
      </c>
      <c r="E1225" s="64">
        <v>-5.7959814528607545E-4</v>
      </c>
    </row>
    <row r="1226" spans="2:5" x14ac:dyDescent="0.3">
      <c r="B1226" s="55">
        <v>45328</v>
      </c>
      <c r="C1226" s="54">
        <v>3727.4</v>
      </c>
      <c r="D1226" s="56">
        <f t="shared" si="22"/>
        <v>-0.2230617711123386</v>
      </c>
      <c r="E1226" s="64">
        <v>-5.8987558987555477E-4</v>
      </c>
    </row>
    <row r="1227" spans="2:5" x14ac:dyDescent="0.3">
      <c r="B1227" s="55">
        <v>45406</v>
      </c>
      <c r="C1227" s="54">
        <v>4797.55</v>
      </c>
      <c r="D1227" s="56">
        <f t="shared" si="22"/>
        <v>1.0342824432336171</v>
      </c>
      <c r="E1227" s="64">
        <v>-6.2492839362160435E-4</v>
      </c>
    </row>
    <row r="1228" spans="2:5" x14ac:dyDescent="0.3">
      <c r="B1228" s="55">
        <v>44006</v>
      </c>
      <c r="C1228" s="54">
        <v>2358.35</v>
      </c>
      <c r="D1228" s="56">
        <f t="shared" si="22"/>
        <v>-0.17266843240778107</v>
      </c>
      <c r="E1228" s="64">
        <v>-6.5680749184293674E-4</v>
      </c>
    </row>
    <row r="1229" spans="2:5" x14ac:dyDescent="0.3">
      <c r="B1229" s="55">
        <v>44327</v>
      </c>
      <c r="C1229" s="54">
        <v>2850.55</v>
      </c>
      <c r="D1229" s="56">
        <f t="shared" si="22"/>
        <v>1.2790725564661205</v>
      </c>
      <c r="E1229" s="64">
        <v>-6.6609405949258349E-4</v>
      </c>
    </row>
    <row r="1230" spans="2:5" x14ac:dyDescent="0.3">
      <c r="B1230" s="55">
        <v>43595</v>
      </c>
      <c r="C1230" s="54">
        <v>1250.75</v>
      </c>
      <c r="D1230" s="56">
        <f t="shared" si="22"/>
        <v>-0.66932370981387479</v>
      </c>
      <c r="E1230" s="64">
        <v>-6.791307126876589E-4</v>
      </c>
    </row>
    <row r="1231" spans="2:5" x14ac:dyDescent="0.3">
      <c r="B1231" s="55">
        <v>45177</v>
      </c>
      <c r="C1231" s="54">
        <v>3782.4</v>
      </c>
      <c r="D1231" s="56">
        <f t="shared" si="22"/>
        <v>0.58368748299034912</v>
      </c>
      <c r="E1231" s="64">
        <v>-7.1332329396844862E-4</v>
      </c>
    </row>
    <row r="1232" spans="2:5" x14ac:dyDescent="0.3">
      <c r="B1232" s="55">
        <v>43992</v>
      </c>
      <c r="C1232" s="54">
        <v>2388.35</v>
      </c>
      <c r="D1232" s="56">
        <f t="shared" si="22"/>
        <v>-0.3419435719402657</v>
      </c>
      <c r="E1232" s="64">
        <v>-7.3218693778498434E-4</v>
      </c>
    </row>
    <row r="1233" spans="2:5" x14ac:dyDescent="0.3">
      <c r="B1233" s="55">
        <v>45089</v>
      </c>
      <c r="C1233" s="54">
        <v>3629.4</v>
      </c>
      <c r="D1233" s="56">
        <f t="shared" si="22"/>
        <v>1.4785904527760705</v>
      </c>
      <c r="E1233" s="64">
        <v>-7.4337160320470108E-4</v>
      </c>
    </row>
    <row r="1234" spans="2:5" x14ac:dyDescent="0.3">
      <c r="B1234" s="55">
        <v>43511</v>
      </c>
      <c r="C1234" s="54">
        <v>1464.3</v>
      </c>
      <c r="D1234" s="56">
        <f t="shared" si="22"/>
        <v>0.83507738580111512</v>
      </c>
      <c r="E1234" s="64">
        <v>-7.5064828715720733E-4</v>
      </c>
    </row>
    <row r="1235" spans="2:5" x14ac:dyDescent="0.3">
      <c r="B1235" s="55">
        <v>42901</v>
      </c>
      <c r="C1235" s="54">
        <v>797.95</v>
      </c>
      <c r="D1235" s="56">
        <f t="shared" si="22"/>
        <v>-0.63116781067276806</v>
      </c>
      <c r="E1235" s="64">
        <v>-7.5136184334090306E-4</v>
      </c>
    </row>
    <row r="1236" spans="2:5" x14ac:dyDescent="0.3">
      <c r="B1236" s="55">
        <v>44048</v>
      </c>
      <c r="C1236" s="54">
        <v>2163.4499999999998</v>
      </c>
      <c r="D1236" s="56">
        <f t="shared" si="22"/>
        <v>-0.50815591147283823</v>
      </c>
      <c r="E1236" s="64">
        <v>-7.6208951087708421E-4</v>
      </c>
    </row>
    <row r="1237" spans="2:5" x14ac:dyDescent="0.3">
      <c r="B1237" s="55">
        <v>44790</v>
      </c>
      <c r="C1237" s="54">
        <v>4398.6499999999996</v>
      </c>
      <c r="D1237" s="56">
        <f t="shared" si="22"/>
        <v>2.8244142068425853</v>
      </c>
      <c r="E1237" s="64">
        <v>-7.8371686240674698E-4</v>
      </c>
    </row>
    <row r="1238" spans="2:5" x14ac:dyDescent="0.3">
      <c r="B1238" s="55">
        <v>43095</v>
      </c>
      <c r="C1238" s="54">
        <v>1150.1500000000001</v>
      </c>
      <c r="D1238" s="56">
        <f t="shared" si="22"/>
        <v>-0.67701488345970229</v>
      </c>
      <c r="E1238" s="64">
        <v>-8.2529754148186196E-4</v>
      </c>
    </row>
    <row r="1239" spans="2:5" x14ac:dyDescent="0.3">
      <c r="B1239" s="55">
        <v>44420</v>
      </c>
      <c r="C1239" s="54">
        <v>3561</v>
      </c>
      <c r="D1239" s="56">
        <f t="shared" si="22"/>
        <v>0.7373274137678687</v>
      </c>
      <c r="E1239" s="64">
        <v>-8.2773327347462899E-4</v>
      </c>
    </row>
    <row r="1240" spans="2:5" x14ac:dyDescent="0.3">
      <c r="B1240" s="55">
        <v>44041</v>
      </c>
      <c r="C1240" s="54">
        <v>2049.6999999999998</v>
      </c>
      <c r="D1240" s="56">
        <f t="shared" si="22"/>
        <v>-0.44236471964523771</v>
      </c>
      <c r="E1240" s="64">
        <v>-8.2870234961507361E-4</v>
      </c>
    </row>
    <row r="1241" spans="2:5" x14ac:dyDescent="0.3">
      <c r="B1241" s="55">
        <v>45128</v>
      </c>
      <c r="C1241" s="54">
        <v>3675.7</v>
      </c>
      <c r="D1241" s="56">
        <f t="shared" si="22"/>
        <v>4.850696378830083</v>
      </c>
      <c r="E1241" s="64">
        <v>-8.4266608676752952E-4</v>
      </c>
    </row>
    <row r="1242" spans="2:5" x14ac:dyDescent="0.3">
      <c r="B1242" s="55">
        <v>42823</v>
      </c>
      <c r="C1242" s="54">
        <v>628.25</v>
      </c>
      <c r="D1242" s="56">
        <f t="shared" si="22"/>
        <v>-0.57657961246840772</v>
      </c>
      <c r="E1242" s="64">
        <v>-8.7468193384221404E-4</v>
      </c>
    </row>
    <row r="1243" spans="2:5" x14ac:dyDescent="0.3">
      <c r="B1243" s="55">
        <v>43271</v>
      </c>
      <c r="C1243" s="54">
        <v>1483.75</v>
      </c>
      <c r="D1243" s="56">
        <f t="shared" si="22"/>
        <v>-0.65543466901989011</v>
      </c>
      <c r="E1243" s="64">
        <v>-8.7539140096293266E-4</v>
      </c>
    </row>
    <row r="1244" spans="2:5" x14ac:dyDescent="0.3">
      <c r="B1244" s="55">
        <v>44848</v>
      </c>
      <c r="C1244" s="54">
        <v>4306.1499999999996</v>
      </c>
      <c r="D1244" s="56">
        <f t="shared" si="22"/>
        <v>-0.1880474031055257</v>
      </c>
      <c r="E1244" s="64">
        <v>-8.8168076195782596E-4</v>
      </c>
    </row>
    <row r="1245" spans="2:5" x14ac:dyDescent="0.3">
      <c r="B1245" s="55">
        <v>45541</v>
      </c>
      <c r="C1245" s="54">
        <v>5303.45</v>
      </c>
      <c r="D1245" s="56">
        <f t="shared" si="22"/>
        <v>2.6050914281829924</v>
      </c>
      <c r="E1245" s="64">
        <v>-8.8543089400261454E-4</v>
      </c>
    </row>
    <row r="1246" spans="2:5" x14ac:dyDescent="0.3">
      <c r="B1246" s="55">
        <v>43553</v>
      </c>
      <c r="C1246" s="54">
        <v>1471.1</v>
      </c>
      <c r="D1246" s="56">
        <f t="shared" si="22"/>
        <v>-0.63278500287062234</v>
      </c>
      <c r="E1246" s="64">
        <v>-9.5076400679128259E-4</v>
      </c>
    </row>
    <row r="1247" spans="2:5" x14ac:dyDescent="0.3">
      <c r="B1247" s="55">
        <v>44649</v>
      </c>
      <c r="C1247" s="54">
        <v>4006.1</v>
      </c>
      <c r="D1247" s="56">
        <f t="shared" si="22"/>
        <v>0.16811243457596459</v>
      </c>
      <c r="E1247" s="64">
        <v>-9.8502512437503853E-4</v>
      </c>
    </row>
    <row r="1248" spans="2:5" x14ac:dyDescent="0.3">
      <c r="B1248" s="55">
        <v>45070</v>
      </c>
      <c r="C1248" s="54">
        <v>3429.55</v>
      </c>
      <c r="D1248" s="56">
        <f t="shared" si="22"/>
        <v>6.1462183887814881E-3</v>
      </c>
      <c r="E1248" s="64">
        <v>-9.9040184098209139E-4</v>
      </c>
    </row>
    <row r="1249" spans="2:5" x14ac:dyDescent="0.3">
      <c r="B1249" s="55">
        <v>44739</v>
      </c>
      <c r="C1249" s="54">
        <v>3408.6</v>
      </c>
      <c r="D1249" s="56">
        <f t="shared" si="22"/>
        <v>0.84823098820658793</v>
      </c>
      <c r="E1249" s="64">
        <v>-9.9648300117238797E-4</v>
      </c>
    </row>
    <row r="1250" spans="2:5" x14ac:dyDescent="0.3">
      <c r="B1250" s="55">
        <v>43797</v>
      </c>
      <c r="C1250" s="54">
        <v>1844.25</v>
      </c>
      <c r="D1250" s="56">
        <f t="shared" si="22"/>
        <v>-0.54731222385861567</v>
      </c>
      <c r="E1250" s="64">
        <v>-1.0291688107684216E-3</v>
      </c>
    </row>
    <row r="1251" spans="2:5" x14ac:dyDescent="0.3">
      <c r="B1251" s="55">
        <v>45820</v>
      </c>
      <c r="C1251" s="54">
        <v>4074</v>
      </c>
      <c r="D1251" s="56">
        <f t="shared" si="22"/>
        <v>0.16559853513389799</v>
      </c>
      <c r="E1251" s="64">
        <v>-1.029866117404743E-3</v>
      </c>
    </row>
    <row r="1252" spans="2:5" x14ac:dyDescent="0.3">
      <c r="B1252" s="55">
        <v>44970</v>
      </c>
      <c r="C1252" s="54">
        <v>3495.2</v>
      </c>
      <c r="D1252" s="56">
        <f t="shared" si="22"/>
        <v>-0.10889019197919592</v>
      </c>
      <c r="E1252" s="64">
        <v>-1.0431999085414034E-3</v>
      </c>
    </row>
    <row r="1253" spans="2:5" x14ac:dyDescent="0.3">
      <c r="B1253" s="55">
        <v>45602</v>
      </c>
      <c r="C1253" s="54">
        <v>3922.3</v>
      </c>
      <c r="D1253" s="56">
        <f t="shared" si="22"/>
        <v>1.6675961505763937</v>
      </c>
      <c r="E1253" s="64">
        <v>-1.0823751130126791E-3</v>
      </c>
    </row>
    <row r="1254" spans="2:5" x14ac:dyDescent="0.3">
      <c r="B1254" s="55">
        <v>43530</v>
      </c>
      <c r="C1254" s="54">
        <v>1470.35</v>
      </c>
      <c r="D1254" s="56">
        <f t="shared" si="22"/>
        <v>-0.69326490805353025</v>
      </c>
      <c r="E1254" s="64">
        <v>-1.0869934440709272E-3</v>
      </c>
    </row>
    <row r="1255" spans="2:5" x14ac:dyDescent="0.3">
      <c r="B1255" s="55">
        <v>45435</v>
      </c>
      <c r="C1255" s="54">
        <v>4793.55</v>
      </c>
      <c r="D1255" s="56">
        <f t="shared" si="22"/>
        <v>0.25620430304777386</v>
      </c>
      <c r="E1255" s="64">
        <v>-1.0940235058765069E-3</v>
      </c>
    </row>
    <row r="1256" spans="2:5" x14ac:dyDescent="0.3">
      <c r="B1256" s="55">
        <v>45113</v>
      </c>
      <c r="C1256" s="54">
        <v>3815.9</v>
      </c>
      <c r="D1256" s="56">
        <f t="shared" si="22"/>
        <v>7.7420447807550197E-2</v>
      </c>
      <c r="E1256" s="64">
        <v>-1.0994476584381685E-3</v>
      </c>
    </row>
    <row r="1257" spans="2:5" x14ac:dyDescent="0.3">
      <c r="B1257" s="55">
        <v>44973</v>
      </c>
      <c r="C1257" s="54">
        <v>3541.7</v>
      </c>
      <c r="D1257" s="56">
        <f t="shared" si="22"/>
        <v>-6.7593360449657136E-2</v>
      </c>
      <c r="E1257" s="64">
        <v>-1.099954873646225E-3</v>
      </c>
    </row>
    <row r="1258" spans="2:5" x14ac:dyDescent="0.3">
      <c r="B1258" s="55">
        <v>45243</v>
      </c>
      <c r="C1258" s="54">
        <v>3798.45</v>
      </c>
      <c r="D1258" s="56">
        <f t="shared" si="22"/>
        <v>0.25689090367625167</v>
      </c>
      <c r="E1258" s="64">
        <v>-1.1176269492728652E-3</v>
      </c>
    </row>
    <row r="1259" spans="2:5" x14ac:dyDescent="0.3">
      <c r="B1259" s="55">
        <v>44344</v>
      </c>
      <c r="C1259" s="54">
        <v>3022.1</v>
      </c>
      <c r="D1259" s="56">
        <f t="shared" si="22"/>
        <v>-0.13582682794315293</v>
      </c>
      <c r="E1259" s="64">
        <v>-1.1237811931912312E-3</v>
      </c>
    </row>
    <row r="1260" spans="2:5" x14ac:dyDescent="0.3">
      <c r="B1260" s="55">
        <v>45033</v>
      </c>
      <c r="C1260" s="54">
        <v>3497.1</v>
      </c>
      <c r="D1260" s="56">
        <f t="shared" si="22"/>
        <v>2.8402240158128809</v>
      </c>
      <c r="E1260" s="64">
        <v>-1.1282329586839168E-3</v>
      </c>
    </row>
    <row r="1261" spans="2:5" x14ac:dyDescent="0.3">
      <c r="B1261" s="55">
        <v>42934</v>
      </c>
      <c r="C1261" s="54">
        <v>910.65</v>
      </c>
      <c r="D1261" s="56">
        <f t="shared" si="22"/>
        <v>-0.6797601673905016</v>
      </c>
      <c r="E1261" s="64">
        <v>-1.1516946363936409E-3</v>
      </c>
    </row>
    <row r="1262" spans="2:5" x14ac:dyDescent="0.3">
      <c r="B1262" s="55">
        <v>44292</v>
      </c>
      <c r="C1262" s="54">
        <v>2843.65</v>
      </c>
      <c r="D1262" s="56">
        <f t="shared" si="22"/>
        <v>-0.2657569263342715</v>
      </c>
      <c r="E1262" s="64">
        <v>-1.1591352148789813E-3</v>
      </c>
    </row>
    <row r="1263" spans="2:5" x14ac:dyDescent="0.3">
      <c r="B1263" s="55">
        <v>44937</v>
      </c>
      <c r="C1263" s="54">
        <v>3872.9</v>
      </c>
      <c r="D1263" s="56">
        <f t="shared" si="22"/>
        <v>-1.5268437178199479E-2</v>
      </c>
      <c r="E1263" s="64">
        <v>-1.1605715169958897E-3</v>
      </c>
    </row>
    <row r="1264" spans="2:5" x14ac:dyDescent="0.3">
      <c r="B1264" s="55">
        <v>44447</v>
      </c>
      <c r="C1264" s="54">
        <v>3932.95</v>
      </c>
      <c r="D1264" s="56">
        <f t="shared" si="22"/>
        <v>-0.22827345328964155</v>
      </c>
      <c r="E1264" s="64">
        <v>-1.1682391334714159E-3</v>
      </c>
    </row>
    <row r="1265" spans="2:5" x14ac:dyDescent="0.3">
      <c r="B1265" s="55">
        <v>45565</v>
      </c>
      <c r="C1265" s="54">
        <v>5096.3</v>
      </c>
      <c r="D1265" s="56">
        <f t="shared" si="22"/>
        <v>2.46392523364486</v>
      </c>
      <c r="E1265" s="64">
        <v>-1.1759402622346649E-3</v>
      </c>
    </row>
    <row r="1266" spans="2:5" x14ac:dyDescent="0.3">
      <c r="B1266" s="55">
        <v>43202</v>
      </c>
      <c r="C1266" s="54">
        <v>1471.25</v>
      </c>
      <c r="D1266" s="56">
        <f t="shared" si="22"/>
        <v>-0.57497977813727763</v>
      </c>
      <c r="E1266" s="64">
        <v>-1.1880515953835991E-3</v>
      </c>
    </row>
    <row r="1267" spans="2:5" x14ac:dyDescent="0.3">
      <c r="B1267" s="55">
        <v>45042</v>
      </c>
      <c r="C1267" s="54">
        <v>3461.6</v>
      </c>
      <c r="D1267" s="56">
        <f t="shared" si="22"/>
        <v>0.32018840220438194</v>
      </c>
      <c r="E1267" s="64">
        <v>-1.2262504147612097E-3</v>
      </c>
    </row>
    <row r="1268" spans="2:5" x14ac:dyDescent="0.3">
      <c r="B1268" s="55">
        <v>44175</v>
      </c>
      <c r="C1268" s="54">
        <v>2622.05</v>
      </c>
      <c r="D1268" s="56">
        <f t="shared" si="22"/>
        <v>-0.3088591913121409</v>
      </c>
      <c r="E1268" s="64">
        <v>-1.2379537576657773E-3</v>
      </c>
    </row>
    <row r="1269" spans="2:5" x14ac:dyDescent="0.3">
      <c r="B1269" s="55">
        <v>45209</v>
      </c>
      <c r="C1269" s="54">
        <v>3793.8</v>
      </c>
      <c r="D1269" s="56">
        <f t="shared" si="22"/>
        <v>2.0344331133773248</v>
      </c>
      <c r="E1269" s="64">
        <v>-1.2636234402146895E-3</v>
      </c>
    </row>
    <row r="1270" spans="2:5" x14ac:dyDescent="0.3">
      <c r="B1270" s="55">
        <v>43599</v>
      </c>
      <c r="C1270" s="54">
        <v>1250.25</v>
      </c>
      <c r="D1270" s="56">
        <f t="shared" si="22"/>
        <v>-0.6660211032456258</v>
      </c>
      <c r="E1270" s="64">
        <v>-1.3179966450995728E-3</v>
      </c>
    </row>
    <row r="1271" spans="2:5" x14ac:dyDescent="0.3">
      <c r="B1271" s="55">
        <v>45695</v>
      </c>
      <c r="C1271" s="54">
        <v>3743.5</v>
      </c>
      <c r="D1271" s="56">
        <f t="shared" si="22"/>
        <v>2.3737249432548513E-2</v>
      </c>
      <c r="E1271" s="64">
        <v>-1.3205458256079217E-3</v>
      </c>
    </row>
    <row r="1272" spans="2:5" x14ac:dyDescent="0.3">
      <c r="B1272" s="55">
        <v>46043</v>
      </c>
      <c r="C1272" s="54">
        <v>3656.7</v>
      </c>
      <c r="D1272" s="56">
        <f t="shared" si="22"/>
        <v>1.2912371941476861</v>
      </c>
      <c r="E1272" s="64">
        <v>-1.338212803146166E-3</v>
      </c>
    </row>
    <row r="1273" spans="2:5" x14ac:dyDescent="0.3">
      <c r="B1273" s="55">
        <v>43292</v>
      </c>
      <c r="C1273" s="54">
        <v>1595.95</v>
      </c>
      <c r="D1273" s="56">
        <f t="shared" si="22"/>
        <v>-0.18830739497507887</v>
      </c>
      <c r="E1273" s="64">
        <v>-1.3453476002752707E-3</v>
      </c>
    </row>
    <row r="1274" spans="2:5" x14ac:dyDescent="0.3">
      <c r="B1274" s="55">
        <v>43780</v>
      </c>
      <c r="C1274" s="54">
        <v>1966.2</v>
      </c>
      <c r="D1274" s="56">
        <f t="shared" si="22"/>
        <v>1.5393258426966296</v>
      </c>
      <c r="E1274" s="64">
        <v>-1.3459633796377712E-3</v>
      </c>
    </row>
    <row r="1275" spans="2:5" x14ac:dyDescent="0.3">
      <c r="B1275" s="55">
        <v>42893</v>
      </c>
      <c r="C1275" s="54">
        <v>774.3</v>
      </c>
      <c r="D1275" s="56">
        <f t="shared" si="22"/>
        <v>-0.78935770831633068</v>
      </c>
      <c r="E1275" s="64">
        <v>-1.3542271232347414E-3</v>
      </c>
    </row>
    <row r="1276" spans="2:5" x14ac:dyDescent="0.3">
      <c r="B1276" s="55">
        <v>45314</v>
      </c>
      <c r="C1276" s="54">
        <v>3675.9</v>
      </c>
      <c r="D1276" s="56">
        <f t="shared" si="22"/>
        <v>-0.13572293476599684</v>
      </c>
      <c r="E1276" s="64">
        <v>-1.3854930725346604E-3</v>
      </c>
    </row>
    <row r="1277" spans="2:5" x14ac:dyDescent="0.3">
      <c r="B1277" s="55">
        <v>44776</v>
      </c>
      <c r="C1277" s="54">
        <v>4253.1499999999996</v>
      </c>
      <c r="D1277" s="56">
        <f t="shared" si="22"/>
        <v>0.13243693004060431</v>
      </c>
      <c r="E1277" s="64">
        <v>-1.397008757718976E-3</v>
      </c>
    </row>
    <row r="1278" spans="2:5" x14ac:dyDescent="0.3">
      <c r="B1278" s="55">
        <v>45173</v>
      </c>
      <c r="C1278" s="54">
        <v>3755.75</v>
      </c>
      <c r="D1278" s="56">
        <f t="shared" si="22"/>
        <v>2.3288278307112784</v>
      </c>
      <c r="E1278" s="64">
        <v>-1.4091809468100847E-3</v>
      </c>
    </row>
    <row r="1279" spans="2:5" x14ac:dyDescent="0.3">
      <c r="B1279" s="55">
        <v>43067</v>
      </c>
      <c r="C1279" s="54">
        <v>1128.25</v>
      </c>
      <c r="D1279" s="56">
        <f t="shared" si="22"/>
        <v>-0.58423923057080729</v>
      </c>
      <c r="E1279" s="64">
        <v>-1.41611718369683E-3</v>
      </c>
    </row>
    <row r="1280" spans="2:5" x14ac:dyDescent="0.3">
      <c r="B1280" s="55">
        <v>44309</v>
      </c>
      <c r="C1280" s="54">
        <v>2713.7</v>
      </c>
      <c r="D1280" s="56">
        <f t="shared" si="22"/>
        <v>1.4684586346477464</v>
      </c>
      <c r="E1280" s="64">
        <v>-1.4350897851045374E-3</v>
      </c>
    </row>
    <row r="1281" spans="2:5" x14ac:dyDescent="0.3">
      <c r="B1281" s="55">
        <v>43012</v>
      </c>
      <c r="C1281" s="54">
        <v>1099.3499999999999</v>
      </c>
      <c r="D1281" s="56">
        <f t="shared" si="22"/>
        <v>-0.71273093104079022</v>
      </c>
      <c r="E1281" s="64">
        <v>-1.4532903401608399E-3</v>
      </c>
    </row>
    <row r="1282" spans="2:5" x14ac:dyDescent="0.3">
      <c r="B1282" s="55">
        <v>46035</v>
      </c>
      <c r="C1282" s="54">
        <v>3826.9</v>
      </c>
      <c r="D1282" s="56">
        <f t="shared" si="22"/>
        <v>1.6049281873255739</v>
      </c>
      <c r="E1282" s="64">
        <v>-1.4611872146118587E-3</v>
      </c>
    </row>
    <row r="1283" spans="2:5" x14ac:dyDescent="0.3">
      <c r="B1283" s="55">
        <v>43203</v>
      </c>
      <c r="C1283" s="54">
        <v>1469.1</v>
      </c>
      <c r="D1283" s="56">
        <f t="shared" si="22"/>
        <v>-0.25598237573117932</v>
      </c>
      <c r="E1283" s="64">
        <v>-1.461342395921883E-3</v>
      </c>
    </row>
    <row r="1284" spans="2:5" x14ac:dyDescent="0.3">
      <c r="B1284" s="55">
        <v>44118</v>
      </c>
      <c r="C1284" s="54">
        <v>1974.55</v>
      </c>
      <c r="D1284" s="56">
        <f t="shared" ref="D1284:D1347" si="23">C1284/C1285-1</f>
        <v>-0.48148002258373712</v>
      </c>
      <c r="E1284" s="64">
        <v>-1.4665351842019225E-3</v>
      </c>
    </row>
    <row r="1285" spans="2:5" x14ac:dyDescent="0.3">
      <c r="B1285" s="55">
        <v>45183</v>
      </c>
      <c r="C1285" s="54">
        <v>3808.05</v>
      </c>
      <c r="D1285" s="56">
        <f t="shared" si="23"/>
        <v>1.5875178365155942</v>
      </c>
      <c r="E1285" s="64">
        <v>-1.4815009046331706E-3</v>
      </c>
    </row>
    <row r="1286" spans="2:5" x14ac:dyDescent="0.3">
      <c r="B1286" s="55">
        <v>43501</v>
      </c>
      <c r="C1286" s="54">
        <v>1471.7</v>
      </c>
      <c r="D1286" s="56">
        <f t="shared" si="23"/>
        <v>-0.35760274122089086</v>
      </c>
      <c r="E1286" s="64">
        <v>-1.4926385779225892E-3</v>
      </c>
    </row>
    <row r="1287" spans="2:5" x14ac:dyDescent="0.3">
      <c r="B1287" s="55">
        <v>44011</v>
      </c>
      <c r="C1287" s="54">
        <v>2290.9499999999998</v>
      </c>
      <c r="D1287" s="56">
        <f t="shared" si="23"/>
        <v>-0.46322633552015002</v>
      </c>
      <c r="E1287" s="64">
        <v>-1.5036610878662593E-3</v>
      </c>
    </row>
    <row r="1288" spans="2:5" x14ac:dyDescent="0.3">
      <c r="B1288" s="55">
        <v>45953</v>
      </c>
      <c r="C1288" s="54">
        <v>4268</v>
      </c>
      <c r="D1288" s="56">
        <f t="shared" si="23"/>
        <v>-9.9976803525864133E-2</v>
      </c>
      <c r="E1288" s="64">
        <v>-1.5206456895543452E-3</v>
      </c>
    </row>
    <row r="1289" spans="2:5" x14ac:dyDescent="0.3">
      <c r="B1289" s="55">
        <v>44546</v>
      </c>
      <c r="C1289" s="54">
        <v>4742.1000000000004</v>
      </c>
      <c r="D1289" s="56">
        <f t="shared" si="23"/>
        <v>0.18558427921396081</v>
      </c>
      <c r="E1289" s="64">
        <v>-1.5475476107759123E-3</v>
      </c>
    </row>
    <row r="1290" spans="2:5" x14ac:dyDescent="0.3">
      <c r="B1290" s="55">
        <v>45784</v>
      </c>
      <c r="C1290" s="54">
        <v>3999.8</v>
      </c>
      <c r="D1290" s="56">
        <f t="shared" si="23"/>
        <v>1.4779605365052815</v>
      </c>
      <c r="E1290" s="64">
        <v>-1.5726017822819127E-3</v>
      </c>
    </row>
    <row r="1291" spans="2:5" x14ac:dyDescent="0.3">
      <c r="B1291" s="55">
        <v>43332</v>
      </c>
      <c r="C1291" s="54">
        <v>1614.15</v>
      </c>
      <c r="D1291" s="56">
        <f t="shared" si="23"/>
        <v>0.48121128699242943</v>
      </c>
      <c r="E1291" s="64">
        <v>-1.577287066246047E-3</v>
      </c>
    </row>
    <row r="1292" spans="2:5" x14ac:dyDescent="0.3">
      <c r="B1292" s="55">
        <v>42992</v>
      </c>
      <c r="C1292" s="54">
        <v>1089.75</v>
      </c>
      <c r="D1292" s="56">
        <f t="shared" si="23"/>
        <v>-0.74251284777600568</v>
      </c>
      <c r="E1292" s="64">
        <v>-1.6032982134677187E-3</v>
      </c>
    </row>
    <row r="1293" spans="2:5" x14ac:dyDescent="0.3">
      <c r="B1293" s="55">
        <v>44778</v>
      </c>
      <c r="C1293" s="54">
        <v>4232.25</v>
      </c>
      <c r="D1293" s="56">
        <f t="shared" si="23"/>
        <v>-7.7116814583833015E-2</v>
      </c>
      <c r="E1293" s="64">
        <v>-1.615909037295693E-3</v>
      </c>
    </row>
    <row r="1294" spans="2:5" x14ac:dyDescent="0.3">
      <c r="B1294" s="55">
        <v>46142</v>
      </c>
      <c r="C1294" s="54">
        <v>4585.8999999999996</v>
      </c>
      <c r="D1294" s="56">
        <f t="shared" si="23"/>
        <v>0.26868066506210742</v>
      </c>
      <c r="E1294" s="64">
        <v>-1.6327774633169145E-3</v>
      </c>
    </row>
    <row r="1295" spans="2:5" x14ac:dyDescent="0.3">
      <c r="B1295" s="55">
        <v>45677</v>
      </c>
      <c r="C1295" s="54">
        <v>3614.7</v>
      </c>
      <c r="D1295" s="56">
        <f t="shared" si="23"/>
        <v>-0.24672564158669619</v>
      </c>
      <c r="E1295" s="64">
        <v>-1.6433513319432658E-3</v>
      </c>
    </row>
    <row r="1296" spans="2:5" x14ac:dyDescent="0.3">
      <c r="B1296" s="55">
        <v>45421</v>
      </c>
      <c r="C1296" s="54">
        <v>4798.6499999999996</v>
      </c>
      <c r="D1296" s="56">
        <f t="shared" si="23"/>
        <v>0.159878661896935</v>
      </c>
      <c r="E1296" s="64">
        <v>-1.6851302855360739E-3</v>
      </c>
    </row>
    <row r="1297" spans="2:5" x14ac:dyDescent="0.3">
      <c r="B1297" s="55">
        <v>46163</v>
      </c>
      <c r="C1297" s="54">
        <v>4137.2</v>
      </c>
      <c r="D1297" s="56">
        <f t="shared" si="23"/>
        <v>-0.10987757912175389</v>
      </c>
      <c r="E1297" s="64">
        <v>-1.6891076685487949E-3</v>
      </c>
    </row>
    <row r="1298" spans="2:5" x14ac:dyDescent="0.3">
      <c r="B1298" s="55">
        <v>44553</v>
      </c>
      <c r="C1298" s="54">
        <v>4647.8999999999996</v>
      </c>
      <c r="D1298" s="56">
        <f t="shared" si="23"/>
        <v>0.22572818734424227</v>
      </c>
      <c r="E1298" s="64">
        <v>-1.7075292374111317E-3</v>
      </c>
    </row>
    <row r="1299" spans="2:5" x14ac:dyDescent="0.3">
      <c r="B1299" s="55">
        <v>45245</v>
      </c>
      <c r="C1299" s="54">
        <v>3791.95</v>
      </c>
      <c r="D1299" s="56">
        <f t="shared" si="23"/>
        <v>1.608122979572185</v>
      </c>
      <c r="E1299" s="64">
        <v>-1.7112243151812256E-3</v>
      </c>
    </row>
    <row r="1300" spans="2:5" x14ac:dyDescent="0.3">
      <c r="B1300" s="55">
        <v>43231</v>
      </c>
      <c r="C1300" s="54">
        <v>1453.9</v>
      </c>
      <c r="D1300" s="56">
        <f t="shared" si="23"/>
        <v>-0.5873119500425773</v>
      </c>
      <c r="E1300" s="64">
        <v>-1.7508325036904582E-3</v>
      </c>
    </row>
    <row r="1301" spans="2:5" x14ac:dyDescent="0.3">
      <c r="B1301" s="55">
        <v>44417</v>
      </c>
      <c r="C1301" s="54">
        <v>3523</v>
      </c>
      <c r="D1301" s="56">
        <f t="shared" si="23"/>
        <v>3.8666214602650406E-2</v>
      </c>
      <c r="E1301" s="64">
        <v>-1.7567720729909642E-3</v>
      </c>
    </row>
    <row r="1302" spans="2:5" x14ac:dyDescent="0.3">
      <c r="B1302" s="55">
        <v>44995</v>
      </c>
      <c r="C1302" s="54">
        <v>3391.85</v>
      </c>
      <c r="D1302" s="56">
        <f t="shared" si="23"/>
        <v>1.1628248047186354</v>
      </c>
      <c r="E1302" s="64">
        <v>-1.7658225054077992E-3</v>
      </c>
    </row>
    <row r="1303" spans="2:5" x14ac:dyDescent="0.3">
      <c r="B1303" s="55">
        <v>43720</v>
      </c>
      <c r="C1303" s="54">
        <v>1568.25</v>
      </c>
      <c r="D1303" s="56">
        <f t="shared" si="23"/>
        <v>-0.61264387689571698</v>
      </c>
      <c r="E1303" s="64">
        <v>-1.7822475414531747E-3</v>
      </c>
    </row>
    <row r="1304" spans="2:5" x14ac:dyDescent="0.3">
      <c r="B1304" s="55">
        <v>45856</v>
      </c>
      <c r="C1304" s="54">
        <v>4048.6</v>
      </c>
      <c r="D1304" s="56">
        <f t="shared" si="23"/>
        <v>6.2917601963795811E-2</v>
      </c>
      <c r="E1304" s="64">
        <v>-1.7998471362706825E-3</v>
      </c>
    </row>
    <row r="1305" spans="2:5" x14ac:dyDescent="0.3">
      <c r="B1305" s="55">
        <v>45114</v>
      </c>
      <c r="C1305" s="54">
        <v>3808.95</v>
      </c>
      <c r="D1305" s="56">
        <f t="shared" si="23"/>
        <v>-8.2954135066811152E-2</v>
      </c>
      <c r="E1305" s="64">
        <v>-1.8213265546791479E-3</v>
      </c>
    </row>
    <row r="1306" spans="2:5" x14ac:dyDescent="0.3">
      <c r="B1306" s="55">
        <v>45961</v>
      </c>
      <c r="C1306" s="54">
        <v>4153.5</v>
      </c>
      <c r="D1306" s="56">
        <f t="shared" si="23"/>
        <v>2.818432544242703</v>
      </c>
      <c r="E1306" s="64">
        <v>-1.8264401240057904E-3</v>
      </c>
    </row>
    <row r="1307" spans="2:5" x14ac:dyDescent="0.3">
      <c r="B1307" s="55">
        <v>42993</v>
      </c>
      <c r="C1307" s="54">
        <v>1087.75</v>
      </c>
      <c r="D1307" s="56">
        <f t="shared" si="23"/>
        <v>0.50751853648395828</v>
      </c>
      <c r="E1307" s="64">
        <v>-1.8352833218627795E-3</v>
      </c>
    </row>
    <row r="1308" spans="2:5" x14ac:dyDescent="0.3">
      <c r="B1308" s="55">
        <v>42877</v>
      </c>
      <c r="C1308" s="54">
        <v>721.55</v>
      </c>
      <c r="D1308" s="56">
        <f t="shared" si="23"/>
        <v>-0.80549115807634242</v>
      </c>
      <c r="E1308" s="64">
        <v>-1.8674782127542366E-3</v>
      </c>
    </row>
    <row r="1309" spans="2:5" x14ac:dyDescent="0.3">
      <c r="B1309" s="55">
        <v>45625</v>
      </c>
      <c r="C1309" s="54">
        <v>3709.6</v>
      </c>
      <c r="D1309" s="56">
        <f t="shared" si="23"/>
        <v>-0.21346789924518694</v>
      </c>
      <c r="E1309" s="64">
        <v>-1.8700138569373026E-3</v>
      </c>
    </row>
    <row r="1310" spans="2:5" x14ac:dyDescent="0.3">
      <c r="B1310" s="55">
        <v>45895</v>
      </c>
      <c r="C1310" s="54">
        <v>4716.3999999999996</v>
      </c>
      <c r="D1310" s="56">
        <f t="shared" si="23"/>
        <v>0.1415708580418733</v>
      </c>
      <c r="E1310" s="64">
        <v>-1.8834782976743236E-3</v>
      </c>
    </row>
    <row r="1311" spans="2:5" x14ac:dyDescent="0.3">
      <c r="B1311" s="55">
        <v>45758</v>
      </c>
      <c r="C1311" s="54">
        <v>4131.5</v>
      </c>
      <c r="D1311" s="56">
        <f t="shared" si="23"/>
        <v>7.2161681172140391E-3</v>
      </c>
      <c r="E1311" s="64">
        <v>-1.8843765854130723E-3</v>
      </c>
    </row>
    <row r="1312" spans="2:5" x14ac:dyDescent="0.3">
      <c r="B1312" s="55">
        <v>44657</v>
      </c>
      <c r="C1312" s="54">
        <v>4101.8999999999996</v>
      </c>
      <c r="D1312" s="56">
        <f t="shared" si="23"/>
        <v>1.185407176536402</v>
      </c>
      <c r="E1312" s="64">
        <v>-1.8979487553836272E-3</v>
      </c>
    </row>
    <row r="1313" spans="2:5" x14ac:dyDescent="0.3">
      <c r="B1313" s="55">
        <v>43840</v>
      </c>
      <c r="C1313" s="54">
        <v>1876.95</v>
      </c>
      <c r="D1313" s="56">
        <f t="shared" si="23"/>
        <v>0.30953045419660929</v>
      </c>
      <c r="E1313" s="64">
        <v>-1.9143335726249378E-3</v>
      </c>
    </row>
    <row r="1314" spans="2:5" x14ac:dyDescent="0.3">
      <c r="B1314" s="55">
        <v>43515</v>
      </c>
      <c r="C1314" s="54">
        <v>1433.3</v>
      </c>
      <c r="D1314" s="56">
        <f t="shared" si="23"/>
        <v>-0.67177338096546668</v>
      </c>
      <c r="E1314" s="64">
        <v>-1.9149751053236796E-3</v>
      </c>
    </row>
    <row r="1315" spans="2:5" x14ac:dyDescent="0.3">
      <c r="B1315" s="55">
        <v>45775</v>
      </c>
      <c r="C1315" s="54">
        <v>4366.8</v>
      </c>
      <c r="D1315" s="56">
        <f t="shared" si="23"/>
        <v>0.11877433900389445</v>
      </c>
      <c r="E1315" s="64">
        <v>-1.9199122325835871E-3</v>
      </c>
    </row>
    <row r="1316" spans="2:5" x14ac:dyDescent="0.3">
      <c r="B1316" s="55">
        <v>46108</v>
      </c>
      <c r="C1316" s="54">
        <v>3903.2</v>
      </c>
      <c r="D1316" s="56">
        <f t="shared" si="23"/>
        <v>-3.6770149548393416E-2</v>
      </c>
      <c r="E1316" s="64">
        <v>-1.9433364017593657E-3</v>
      </c>
    </row>
    <row r="1317" spans="2:5" x14ac:dyDescent="0.3">
      <c r="B1317" s="55">
        <v>45590</v>
      </c>
      <c r="C1317" s="54">
        <v>4052.2</v>
      </c>
      <c r="D1317" s="56">
        <f t="shared" si="23"/>
        <v>1.6832207654615279</v>
      </c>
      <c r="E1317" s="64">
        <v>-1.9457648826384233E-3</v>
      </c>
    </row>
    <row r="1318" spans="2:5" x14ac:dyDescent="0.3">
      <c r="B1318" s="55">
        <v>43444</v>
      </c>
      <c r="C1318" s="54">
        <v>1510.2</v>
      </c>
      <c r="D1318" s="56">
        <f t="shared" si="23"/>
        <v>0.37534720641136565</v>
      </c>
      <c r="E1318" s="64">
        <v>-1.94957538908902E-3</v>
      </c>
    </row>
    <row r="1319" spans="2:5" x14ac:dyDescent="0.3">
      <c r="B1319" s="55">
        <v>43047</v>
      </c>
      <c r="C1319" s="54">
        <v>1098.05</v>
      </c>
      <c r="D1319" s="56">
        <f t="shared" si="23"/>
        <v>-0.74430653874813713</v>
      </c>
      <c r="E1319" s="64">
        <v>-1.954190147246071E-3</v>
      </c>
    </row>
    <row r="1320" spans="2:5" x14ac:dyDescent="0.3">
      <c r="B1320" s="55">
        <v>45938</v>
      </c>
      <c r="C1320" s="54">
        <v>4294.3999999999996</v>
      </c>
      <c r="D1320" s="56">
        <f t="shared" si="23"/>
        <v>0.29700996677740843</v>
      </c>
      <c r="E1320" s="64">
        <v>-1.9986056239833516E-3</v>
      </c>
    </row>
    <row r="1321" spans="2:5" x14ac:dyDescent="0.3">
      <c r="B1321" s="55">
        <v>44368</v>
      </c>
      <c r="C1321" s="54">
        <v>3311</v>
      </c>
      <c r="D1321" s="56">
        <f t="shared" si="23"/>
        <v>1.175784458682438</v>
      </c>
      <c r="E1321" s="64">
        <v>-2.0194713204930714E-3</v>
      </c>
    </row>
    <row r="1322" spans="2:5" x14ac:dyDescent="0.3">
      <c r="B1322" s="55">
        <v>43713</v>
      </c>
      <c r="C1322" s="54">
        <v>1521.75</v>
      </c>
      <c r="D1322" s="56">
        <f t="shared" si="23"/>
        <v>0.32389403627821989</v>
      </c>
      <c r="E1322" s="64">
        <v>-2.0329868511655969E-3</v>
      </c>
    </row>
    <row r="1323" spans="2:5" x14ac:dyDescent="0.3">
      <c r="B1323" s="55">
        <v>43041</v>
      </c>
      <c r="C1323" s="54">
        <v>1149.45</v>
      </c>
      <c r="D1323" s="56">
        <f t="shared" si="23"/>
        <v>-0.68664467586282096</v>
      </c>
      <c r="E1323" s="64">
        <v>-2.0402847716616268E-3</v>
      </c>
    </row>
    <row r="1324" spans="2:5" x14ac:dyDescent="0.3">
      <c r="B1324" s="55">
        <v>45131</v>
      </c>
      <c r="C1324" s="54">
        <v>3668.2</v>
      </c>
      <c r="D1324" s="56">
        <f t="shared" si="23"/>
        <v>-9.9507800321586903E-2</v>
      </c>
      <c r="E1324" s="64">
        <v>-2.0404276736404325E-3</v>
      </c>
    </row>
    <row r="1325" spans="2:5" x14ac:dyDescent="0.3">
      <c r="B1325" s="55">
        <v>44599</v>
      </c>
      <c r="C1325" s="54">
        <v>4073.55</v>
      </c>
      <c r="D1325" s="56">
        <f t="shared" si="23"/>
        <v>0.11815486810683207</v>
      </c>
      <c r="E1325" s="64">
        <v>-2.0456160121511413E-3</v>
      </c>
    </row>
    <row r="1326" spans="2:5" x14ac:dyDescent="0.3">
      <c r="B1326" s="55">
        <v>44428</v>
      </c>
      <c r="C1326" s="54">
        <v>3643.1</v>
      </c>
      <c r="D1326" s="56">
        <f t="shared" si="23"/>
        <v>-0.19020627722948347</v>
      </c>
      <c r="E1326" s="64">
        <v>-2.0544568016216402E-3</v>
      </c>
    </row>
    <row r="1327" spans="2:5" x14ac:dyDescent="0.3">
      <c r="B1327" s="55">
        <v>45771</v>
      </c>
      <c r="C1327" s="54">
        <v>4498.8</v>
      </c>
      <c r="D1327" s="56">
        <f t="shared" si="23"/>
        <v>0.32739289507848479</v>
      </c>
      <c r="E1327" s="64">
        <v>-2.0629533506355546E-3</v>
      </c>
    </row>
    <row r="1328" spans="2:5" x14ac:dyDescent="0.3">
      <c r="B1328" s="55">
        <v>44385</v>
      </c>
      <c r="C1328" s="54">
        <v>3389.2</v>
      </c>
      <c r="D1328" s="56">
        <f t="shared" si="23"/>
        <v>1.6133086591101855</v>
      </c>
      <c r="E1328" s="64">
        <v>-2.1198916499823861E-3</v>
      </c>
    </row>
    <row r="1329" spans="2:5" x14ac:dyDescent="0.3">
      <c r="B1329" s="55">
        <v>43627</v>
      </c>
      <c r="C1329" s="54">
        <v>1296.9000000000001</v>
      </c>
      <c r="D1329" s="56">
        <f t="shared" si="23"/>
        <v>-0.65199774599511628</v>
      </c>
      <c r="E1329" s="64">
        <v>-2.1543433099945331E-3</v>
      </c>
    </row>
    <row r="1330" spans="2:5" x14ac:dyDescent="0.3">
      <c r="B1330" s="55">
        <v>44719</v>
      </c>
      <c r="C1330" s="54">
        <v>3726.7</v>
      </c>
      <c r="D1330" s="56">
        <f t="shared" si="23"/>
        <v>-0.19970364961936149</v>
      </c>
      <c r="E1330" s="64">
        <v>-2.1554320905013968E-3</v>
      </c>
    </row>
    <row r="1331" spans="2:5" x14ac:dyDescent="0.3">
      <c r="B1331" s="55">
        <v>45456</v>
      </c>
      <c r="C1331" s="54">
        <v>4656.6499999999996</v>
      </c>
      <c r="D1331" s="56">
        <f t="shared" si="23"/>
        <v>0.14874065668401704</v>
      </c>
      <c r="E1331" s="64">
        <v>-2.164247067016789E-3</v>
      </c>
    </row>
    <row r="1332" spans="2:5" x14ac:dyDescent="0.3">
      <c r="B1332" s="55">
        <v>45975</v>
      </c>
      <c r="C1332" s="54">
        <v>4053.7</v>
      </c>
      <c r="D1332" s="56">
        <f t="shared" si="23"/>
        <v>2.2109786526199056</v>
      </c>
      <c r="E1332" s="64">
        <v>-2.1661538461539287E-3</v>
      </c>
    </row>
    <row r="1333" spans="2:5" x14ac:dyDescent="0.3">
      <c r="B1333" s="55">
        <v>43588</v>
      </c>
      <c r="C1333" s="54">
        <v>1262.45</v>
      </c>
      <c r="D1333" s="56">
        <f t="shared" si="23"/>
        <v>-0.43694668064134867</v>
      </c>
      <c r="E1333" s="64">
        <v>-2.1735693961428826E-3</v>
      </c>
    </row>
    <row r="1334" spans="2:5" x14ac:dyDescent="0.3">
      <c r="B1334" s="55">
        <v>43896</v>
      </c>
      <c r="C1334" s="54">
        <v>2242.15</v>
      </c>
      <c r="D1334" s="56">
        <f t="shared" si="23"/>
        <v>-0.35778936212871992</v>
      </c>
      <c r="E1334" s="64">
        <v>-2.2472410110357943E-3</v>
      </c>
    </row>
    <row r="1335" spans="2:5" x14ac:dyDescent="0.3">
      <c r="B1335" s="55">
        <v>44984</v>
      </c>
      <c r="C1335" s="54">
        <v>3491.3</v>
      </c>
      <c r="D1335" s="56">
        <f t="shared" si="23"/>
        <v>3.652585287846482</v>
      </c>
      <c r="E1335" s="64">
        <v>-2.2576588934613007E-3</v>
      </c>
    </row>
    <row r="1336" spans="2:5" x14ac:dyDescent="0.3">
      <c r="B1336" s="55">
        <v>42871</v>
      </c>
      <c r="C1336" s="54">
        <v>750.4</v>
      </c>
      <c r="D1336" s="56">
        <f t="shared" si="23"/>
        <v>-0.43496103309363354</v>
      </c>
      <c r="E1336" s="64">
        <v>-2.32666356444855E-3</v>
      </c>
    </row>
    <row r="1337" spans="2:5" x14ac:dyDescent="0.3">
      <c r="B1337" s="55">
        <v>43580</v>
      </c>
      <c r="C1337" s="54">
        <v>1328.05</v>
      </c>
      <c r="D1337" s="56">
        <f t="shared" si="23"/>
        <v>-0.42010348667117881</v>
      </c>
      <c r="E1337" s="64">
        <v>-2.3288134319949805E-3</v>
      </c>
    </row>
    <row r="1338" spans="2:5" x14ac:dyDescent="0.3">
      <c r="B1338" s="55">
        <v>44015</v>
      </c>
      <c r="C1338" s="54">
        <v>2290.15</v>
      </c>
      <c r="D1338" s="56">
        <f t="shared" si="23"/>
        <v>0.25542703650915466</v>
      </c>
      <c r="E1338" s="64">
        <v>-2.3306469178827616E-3</v>
      </c>
    </row>
    <row r="1339" spans="2:5" x14ac:dyDescent="0.3">
      <c r="B1339" s="55">
        <v>43832</v>
      </c>
      <c r="C1339" s="54">
        <v>1824.2</v>
      </c>
      <c r="D1339" s="56">
        <f t="shared" si="23"/>
        <v>-0.63092299599401125</v>
      </c>
      <c r="E1339" s="64">
        <v>-2.3516543614984231E-3</v>
      </c>
    </row>
    <row r="1340" spans="2:5" x14ac:dyDescent="0.3">
      <c r="B1340" s="55">
        <v>45568</v>
      </c>
      <c r="C1340" s="54">
        <v>4942.6000000000004</v>
      </c>
      <c r="D1340" s="56">
        <f t="shared" si="23"/>
        <v>2.3120686189104069</v>
      </c>
      <c r="E1340" s="64">
        <v>-2.3716531936580632E-3</v>
      </c>
    </row>
    <row r="1341" spans="2:5" x14ac:dyDescent="0.3">
      <c r="B1341" s="55">
        <v>43223</v>
      </c>
      <c r="C1341" s="54">
        <v>1492.3</v>
      </c>
      <c r="D1341" s="56">
        <f t="shared" si="23"/>
        <v>-0.60381766533039527</v>
      </c>
      <c r="E1341" s="64">
        <v>-2.3732326102215984E-3</v>
      </c>
    </row>
    <row r="1342" spans="2:5" x14ac:dyDescent="0.3">
      <c r="B1342" s="55">
        <v>46041</v>
      </c>
      <c r="C1342" s="54">
        <v>3766.7</v>
      </c>
      <c r="D1342" s="56">
        <f t="shared" si="23"/>
        <v>2.3465416907289769</v>
      </c>
      <c r="E1342" s="64">
        <v>-2.3836639563524775E-3</v>
      </c>
    </row>
    <row r="1343" spans="2:5" x14ac:dyDescent="0.3">
      <c r="B1343" s="55">
        <v>43068</v>
      </c>
      <c r="C1343" s="54">
        <v>1125.55</v>
      </c>
      <c r="D1343" s="56">
        <f t="shared" si="23"/>
        <v>-0.13678196180688718</v>
      </c>
      <c r="E1343" s="64">
        <v>-2.3930866385996064E-3</v>
      </c>
    </row>
    <row r="1344" spans="2:5" x14ac:dyDescent="0.3">
      <c r="B1344" s="55">
        <v>43615</v>
      </c>
      <c r="C1344" s="54">
        <v>1303.9000000000001</v>
      </c>
      <c r="D1344" s="56">
        <f t="shared" si="23"/>
        <v>-0.16443447612944562</v>
      </c>
      <c r="E1344" s="64">
        <v>-2.4100072682757823E-3</v>
      </c>
    </row>
    <row r="1345" spans="2:5" x14ac:dyDescent="0.3">
      <c r="B1345" s="55">
        <v>43349</v>
      </c>
      <c r="C1345" s="54">
        <v>1560.5</v>
      </c>
      <c r="D1345" s="56">
        <f t="shared" si="23"/>
        <v>-0.61564039408866988</v>
      </c>
      <c r="E1345" s="64">
        <v>-2.4292015598030847E-3</v>
      </c>
    </row>
    <row r="1346" spans="2:5" x14ac:dyDescent="0.3">
      <c r="B1346" s="55">
        <v>46248</v>
      </c>
      <c r="C1346" s="54">
        <v>4060</v>
      </c>
      <c r="D1346" s="56">
        <f t="shared" si="23"/>
        <v>0.31128480072346765</v>
      </c>
      <c r="E1346" s="64">
        <v>-2.4570024570024218E-3</v>
      </c>
    </row>
    <row r="1347" spans="2:5" x14ac:dyDescent="0.3">
      <c r="B1347" s="55">
        <v>44342</v>
      </c>
      <c r="C1347" s="54">
        <v>3096.2</v>
      </c>
      <c r="D1347" s="56">
        <f t="shared" si="23"/>
        <v>-0.13452319389509293</v>
      </c>
      <c r="E1347" s="64">
        <v>-2.4646809607423714E-3</v>
      </c>
    </row>
    <row r="1348" spans="2:5" x14ac:dyDescent="0.3">
      <c r="B1348" s="55">
        <v>44707</v>
      </c>
      <c r="C1348" s="54">
        <v>3577.45</v>
      </c>
      <c r="D1348" s="56">
        <f t="shared" ref="D1348:D1411" si="24">C1348/C1349-1</f>
        <v>0.12182693363019181</v>
      </c>
      <c r="E1348" s="64">
        <v>-2.5094452731809769E-3</v>
      </c>
    </row>
    <row r="1349" spans="2:5" x14ac:dyDescent="0.3">
      <c r="B1349" s="55">
        <v>44354</v>
      </c>
      <c r="C1349" s="54">
        <v>3188.95</v>
      </c>
      <c r="D1349" s="56">
        <f t="shared" si="24"/>
        <v>3.4763475575519367</v>
      </c>
      <c r="E1349" s="64">
        <v>-2.5179856115108423E-3</v>
      </c>
    </row>
    <row r="1350" spans="2:5" x14ac:dyDescent="0.3">
      <c r="B1350" s="55">
        <v>42880</v>
      </c>
      <c r="C1350" s="54">
        <v>712.4</v>
      </c>
      <c r="D1350" s="56">
        <f t="shared" si="24"/>
        <v>-0.78782463664522284</v>
      </c>
      <c r="E1350" s="64">
        <v>-2.5203024362924209E-3</v>
      </c>
    </row>
    <row r="1351" spans="2:5" x14ac:dyDescent="0.3">
      <c r="B1351" s="55">
        <v>45006</v>
      </c>
      <c r="C1351" s="54">
        <v>3357.6</v>
      </c>
      <c r="D1351" s="56">
        <f t="shared" si="24"/>
        <v>-0.20352029984225073</v>
      </c>
      <c r="E1351" s="64">
        <v>-2.5251775051245984E-3</v>
      </c>
    </row>
    <row r="1352" spans="2:5" x14ac:dyDescent="0.3">
      <c r="B1352" s="55">
        <v>44855</v>
      </c>
      <c r="C1352" s="54">
        <v>4215.55</v>
      </c>
      <c r="D1352" s="56">
        <f t="shared" si="24"/>
        <v>2.1122240120144742E-2</v>
      </c>
      <c r="E1352" s="64">
        <v>-2.5317953268263471E-3</v>
      </c>
    </row>
    <row r="1353" spans="2:5" x14ac:dyDescent="0.3">
      <c r="B1353" s="55">
        <v>44876</v>
      </c>
      <c r="C1353" s="54">
        <v>4128.3500000000004</v>
      </c>
      <c r="D1353" s="56">
        <f t="shared" si="24"/>
        <v>0.24522297796612746</v>
      </c>
      <c r="E1353" s="64">
        <v>-2.536936588665939E-3</v>
      </c>
    </row>
    <row r="1354" spans="2:5" x14ac:dyDescent="0.3">
      <c r="B1354" s="55">
        <v>44372</v>
      </c>
      <c r="C1354" s="54">
        <v>3315.35</v>
      </c>
      <c r="D1354" s="56">
        <f t="shared" si="24"/>
        <v>-0.27936573490414296</v>
      </c>
      <c r="E1354" s="64">
        <v>-2.5422708947591133E-3</v>
      </c>
    </row>
    <row r="1355" spans="2:5" x14ac:dyDescent="0.3">
      <c r="B1355" s="55">
        <v>45418</v>
      </c>
      <c r="C1355" s="54">
        <v>4600.6000000000004</v>
      </c>
      <c r="D1355" s="56">
        <f t="shared" si="24"/>
        <v>0.27311720836273579</v>
      </c>
      <c r="E1355" s="64">
        <v>-2.5475083200537929E-3</v>
      </c>
    </row>
    <row r="1356" spans="2:5" x14ac:dyDescent="0.3">
      <c r="B1356" s="55">
        <v>45618</v>
      </c>
      <c r="C1356" s="54">
        <v>3613.65</v>
      </c>
      <c r="D1356" s="56">
        <f t="shared" si="24"/>
        <v>2.4349798029905667E-2</v>
      </c>
      <c r="E1356" s="64">
        <v>-2.5532032349775413E-3</v>
      </c>
    </row>
    <row r="1357" spans="2:5" x14ac:dyDescent="0.3">
      <c r="B1357" s="55">
        <v>45083</v>
      </c>
      <c r="C1357" s="54">
        <v>3527.75</v>
      </c>
      <c r="D1357" s="56">
        <f t="shared" si="24"/>
        <v>1.3179145175597093</v>
      </c>
      <c r="E1357" s="64">
        <v>-2.572910923561933E-3</v>
      </c>
    </row>
    <row r="1358" spans="2:5" x14ac:dyDescent="0.3">
      <c r="B1358" s="55">
        <v>43284</v>
      </c>
      <c r="C1358" s="54">
        <v>1521.95</v>
      </c>
      <c r="D1358" s="56">
        <f t="shared" si="24"/>
        <v>-0.59062054496059391</v>
      </c>
      <c r="E1358" s="64">
        <v>-2.5886362146929631E-3</v>
      </c>
    </row>
    <row r="1359" spans="2:5" x14ac:dyDescent="0.3">
      <c r="B1359" s="55">
        <v>45329</v>
      </c>
      <c r="C1359" s="54">
        <v>3717.7</v>
      </c>
      <c r="D1359" s="56">
        <f t="shared" si="24"/>
        <v>0.83490449632298502</v>
      </c>
      <c r="E1359" s="64">
        <v>-2.6023501636530666E-3</v>
      </c>
    </row>
    <row r="1360" spans="2:5" x14ac:dyDescent="0.3">
      <c r="B1360" s="55">
        <v>44039</v>
      </c>
      <c r="C1360" s="54">
        <v>2026.1</v>
      </c>
      <c r="D1360" s="56">
        <f t="shared" si="24"/>
        <v>-0.56620598845985026</v>
      </c>
      <c r="E1360" s="64">
        <v>-2.6090381018017972E-3</v>
      </c>
    </row>
    <row r="1361" spans="2:5" x14ac:dyDescent="0.3">
      <c r="B1361" s="55">
        <v>45430</v>
      </c>
      <c r="C1361" s="54">
        <v>4670.6499999999996</v>
      </c>
      <c r="D1361" s="56">
        <f t="shared" si="24"/>
        <v>3.0863079615048115</v>
      </c>
      <c r="E1361" s="64">
        <v>-2.6159004035960498E-3</v>
      </c>
    </row>
    <row r="1362" spans="2:5" x14ac:dyDescent="0.3">
      <c r="B1362" s="55">
        <v>43089</v>
      </c>
      <c r="C1362" s="54">
        <v>1143</v>
      </c>
      <c r="D1362" s="56">
        <f t="shared" si="24"/>
        <v>-0.12551164836846329</v>
      </c>
      <c r="E1362" s="64">
        <v>-2.6178010471203939E-3</v>
      </c>
    </row>
    <row r="1363" spans="2:5" x14ac:dyDescent="0.3">
      <c r="B1363" s="55">
        <v>43614</v>
      </c>
      <c r="C1363" s="54">
        <v>1307.05</v>
      </c>
      <c r="D1363" s="56">
        <f t="shared" si="24"/>
        <v>-7.9639474703376512E-2</v>
      </c>
      <c r="E1363" s="64">
        <v>-2.632582983594034E-3</v>
      </c>
    </row>
    <row r="1364" spans="2:5" x14ac:dyDescent="0.3">
      <c r="B1364" s="55">
        <v>43671</v>
      </c>
      <c r="C1364" s="54">
        <v>1420.15</v>
      </c>
      <c r="D1364" s="56">
        <f t="shared" si="24"/>
        <v>-0.64465157012385843</v>
      </c>
      <c r="E1364" s="64">
        <v>-2.6336119109487965E-3</v>
      </c>
    </row>
    <row r="1365" spans="2:5" x14ac:dyDescent="0.3">
      <c r="B1365" s="55">
        <v>45989</v>
      </c>
      <c r="C1365" s="54">
        <v>3996.5</v>
      </c>
      <c r="D1365" s="56">
        <f t="shared" si="24"/>
        <v>1.6846471635374329</v>
      </c>
      <c r="E1365" s="64">
        <v>-2.6453045843627399E-3</v>
      </c>
    </row>
    <row r="1366" spans="2:5" x14ac:dyDescent="0.3">
      <c r="B1366" s="55">
        <v>43209</v>
      </c>
      <c r="C1366" s="54">
        <v>1488.65</v>
      </c>
      <c r="D1366" s="56">
        <f t="shared" si="24"/>
        <v>-9.5650325010631088E-2</v>
      </c>
      <c r="E1366" s="64">
        <v>-2.679797675275486E-3</v>
      </c>
    </row>
    <row r="1367" spans="2:5" x14ac:dyDescent="0.3">
      <c r="B1367" s="55">
        <v>43454</v>
      </c>
      <c r="C1367" s="54">
        <v>1646.1</v>
      </c>
      <c r="D1367" s="56">
        <f t="shared" si="24"/>
        <v>0.81049274087109535</v>
      </c>
      <c r="E1367" s="64">
        <v>-2.7262813522355156E-3</v>
      </c>
    </row>
    <row r="1368" spans="2:5" x14ac:dyDescent="0.3">
      <c r="B1368" s="55">
        <v>42936</v>
      </c>
      <c r="C1368" s="54">
        <v>909.2</v>
      </c>
      <c r="D1368" s="56">
        <f t="shared" si="24"/>
        <v>-0.41861431722991327</v>
      </c>
      <c r="E1368" s="64">
        <v>-2.742130086651362E-3</v>
      </c>
    </row>
    <row r="1369" spans="2:5" x14ac:dyDescent="0.3">
      <c r="B1369" s="55">
        <v>43290</v>
      </c>
      <c r="C1369" s="54">
        <v>1563.85</v>
      </c>
      <c r="D1369" s="56">
        <f t="shared" si="24"/>
        <v>-0.59280571793102554</v>
      </c>
      <c r="E1369" s="64">
        <v>-2.8056751155747239E-3</v>
      </c>
    </row>
    <row r="1370" spans="2:5" x14ac:dyDescent="0.3">
      <c r="B1370" s="55">
        <v>45345</v>
      </c>
      <c r="C1370" s="54">
        <v>3840.55</v>
      </c>
      <c r="D1370" s="56">
        <f t="shared" si="24"/>
        <v>9.7503822138397256E-2</v>
      </c>
      <c r="E1370" s="64">
        <v>-2.8301029482401541E-3</v>
      </c>
    </row>
    <row r="1371" spans="2:5" x14ac:dyDescent="0.3">
      <c r="B1371" s="55">
        <v>45154</v>
      </c>
      <c r="C1371" s="54">
        <v>3499.35</v>
      </c>
      <c r="D1371" s="56">
        <f t="shared" si="24"/>
        <v>3.3654565868263466</v>
      </c>
      <c r="E1371" s="64">
        <v>-2.8353232838458364E-3</v>
      </c>
    </row>
    <row r="1372" spans="2:5" x14ac:dyDescent="0.3">
      <c r="B1372" s="55">
        <v>42909</v>
      </c>
      <c r="C1372" s="54">
        <v>801.6</v>
      </c>
      <c r="D1372" s="56">
        <f t="shared" si="24"/>
        <v>-0.74790867350147816</v>
      </c>
      <c r="E1372" s="64">
        <v>-2.8610523696976919E-3</v>
      </c>
    </row>
    <row r="1373" spans="2:5" x14ac:dyDescent="0.3">
      <c r="B1373" s="55">
        <v>44355</v>
      </c>
      <c r="C1373" s="54">
        <v>3179.8</v>
      </c>
      <c r="D1373" s="56">
        <f t="shared" si="24"/>
        <v>-0.19590340118851934</v>
      </c>
      <c r="E1373" s="64">
        <v>-2.8692829928345098E-3</v>
      </c>
    </row>
    <row r="1374" spans="2:5" x14ac:dyDescent="0.3">
      <c r="B1374" s="55">
        <v>45281</v>
      </c>
      <c r="C1374" s="54">
        <v>3954.5</v>
      </c>
      <c r="D1374" s="56">
        <f t="shared" si="24"/>
        <v>-9.9079600856609051E-2</v>
      </c>
      <c r="E1374" s="64">
        <v>-2.8745051564588175E-3</v>
      </c>
    </row>
    <row r="1375" spans="2:5" x14ac:dyDescent="0.3">
      <c r="B1375" s="55">
        <v>46153</v>
      </c>
      <c r="C1375" s="54">
        <v>4389.3999999999996</v>
      </c>
      <c r="D1375" s="56">
        <f t="shared" si="24"/>
        <v>8.0893398015218221E-2</v>
      </c>
      <c r="E1375" s="64">
        <v>-2.8849867108881044E-3</v>
      </c>
    </row>
    <row r="1376" spans="2:5" x14ac:dyDescent="0.3">
      <c r="B1376" s="55">
        <v>44929</v>
      </c>
      <c r="C1376" s="54">
        <v>4060.9</v>
      </c>
      <c r="D1376" s="56">
        <f t="shared" si="24"/>
        <v>5.2810328735870549E-2</v>
      </c>
      <c r="E1376" s="64">
        <v>-2.9095819777791299E-3</v>
      </c>
    </row>
    <row r="1377" spans="2:5" x14ac:dyDescent="0.3">
      <c r="B1377" s="55">
        <v>45111</v>
      </c>
      <c r="C1377" s="54">
        <v>3857.2</v>
      </c>
      <c r="D1377" s="56">
        <f t="shared" si="24"/>
        <v>-1.113556907937352E-3</v>
      </c>
      <c r="E1377" s="64">
        <v>-2.9468024608385601E-3</v>
      </c>
    </row>
    <row r="1378" spans="2:5" x14ac:dyDescent="0.3">
      <c r="B1378" s="55">
        <v>45204</v>
      </c>
      <c r="C1378" s="54">
        <v>3861.5</v>
      </c>
      <c r="D1378" s="56">
        <f t="shared" si="24"/>
        <v>-3.6335504479548808E-2</v>
      </c>
      <c r="E1378" s="64">
        <v>-2.9564027420957428E-3</v>
      </c>
    </row>
    <row r="1379" spans="2:5" x14ac:dyDescent="0.3">
      <c r="B1379" s="55">
        <v>45988</v>
      </c>
      <c r="C1379" s="54">
        <v>4007.1</v>
      </c>
      <c r="D1379" s="56">
        <f t="shared" si="24"/>
        <v>2.2172621437173823</v>
      </c>
      <c r="E1379" s="64">
        <v>-2.9857430768082116E-3</v>
      </c>
    </row>
    <row r="1380" spans="2:5" x14ac:dyDescent="0.3">
      <c r="B1380" s="55">
        <v>43111</v>
      </c>
      <c r="C1380" s="54">
        <v>1245.5</v>
      </c>
      <c r="D1380" s="56">
        <f t="shared" si="24"/>
        <v>-0.68909912383614991</v>
      </c>
      <c r="E1380" s="64">
        <v>-3.0417033538781002E-3</v>
      </c>
    </row>
    <row r="1381" spans="2:5" x14ac:dyDescent="0.3">
      <c r="B1381" s="55">
        <v>45783</v>
      </c>
      <c r="C1381" s="54">
        <v>4006.1</v>
      </c>
      <c r="D1381" s="56">
        <f t="shared" si="24"/>
        <v>0.37199904106305004</v>
      </c>
      <c r="E1381" s="64">
        <v>-3.0609197690623091E-3</v>
      </c>
    </row>
    <row r="1382" spans="2:5" x14ac:dyDescent="0.3">
      <c r="B1382" s="55">
        <v>44302</v>
      </c>
      <c r="C1382" s="54">
        <v>2919.9</v>
      </c>
      <c r="D1382" s="56">
        <f t="shared" si="24"/>
        <v>-0.23851871169644023</v>
      </c>
      <c r="E1382" s="64">
        <v>-3.0728259756221954E-3</v>
      </c>
    </row>
    <row r="1383" spans="2:5" x14ac:dyDescent="0.3">
      <c r="B1383" s="55">
        <v>45356</v>
      </c>
      <c r="C1383" s="54">
        <v>3834.5</v>
      </c>
      <c r="D1383" s="56">
        <f t="shared" si="24"/>
        <v>1.3051174341496941E-2</v>
      </c>
      <c r="E1383" s="64">
        <v>-3.0808428770132679E-3</v>
      </c>
    </row>
    <row r="1384" spans="2:5" x14ac:dyDescent="0.3">
      <c r="B1384" s="55">
        <v>45176</v>
      </c>
      <c r="C1384" s="54">
        <v>3785.1</v>
      </c>
      <c r="D1384" s="56">
        <f t="shared" si="24"/>
        <v>8.502221585208547E-2</v>
      </c>
      <c r="E1384" s="64">
        <v>-3.0815423514539697E-3</v>
      </c>
    </row>
    <row r="1385" spans="2:5" x14ac:dyDescent="0.3">
      <c r="B1385" s="55">
        <v>44405</v>
      </c>
      <c r="C1385" s="54">
        <v>3488.5</v>
      </c>
      <c r="D1385" s="56">
        <f t="shared" si="24"/>
        <v>0.52522735222105643</v>
      </c>
      <c r="E1385" s="64">
        <v>-3.114819683374348E-3</v>
      </c>
    </row>
    <row r="1386" spans="2:5" x14ac:dyDescent="0.3">
      <c r="B1386" s="55">
        <v>43868</v>
      </c>
      <c r="C1386" s="54">
        <v>2287.1999999999998</v>
      </c>
      <c r="D1386" s="56">
        <f t="shared" si="24"/>
        <v>1.8046597179644386</v>
      </c>
      <c r="E1386" s="64">
        <v>-3.1163510362411939E-3</v>
      </c>
    </row>
    <row r="1387" spans="2:5" x14ac:dyDescent="0.3">
      <c r="B1387" s="55">
        <v>42915</v>
      </c>
      <c r="C1387" s="54">
        <v>815.5</v>
      </c>
      <c r="D1387" s="56">
        <f t="shared" si="24"/>
        <v>-0.81045903544450903</v>
      </c>
      <c r="E1387" s="64">
        <v>-3.1171688772079209E-3</v>
      </c>
    </row>
    <row r="1388" spans="2:5" x14ac:dyDescent="0.3">
      <c r="B1388" s="55">
        <v>45947</v>
      </c>
      <c r="C1388" s="54">
        <v>4302.5</v>
      </c>
      <c r="D1388" s="56">
        <f t="shared" si="24"/>
        <v>0.13342992623814531</v>
      </c>
      <c r="E1388" s="64">
        <v>-3.1509927944209926E-3</v>
      </c>
    </row>
    <row r="1389" spans="2:5" x14ac:dyDescent="0.3">
      <c r="B1389" s="55">
        <v>45184</v>
      </c>
      <c r="C1389" s="54">
        <v>3796</v>
      </c>
      <c r="D1389" s="56">
        <f t="shared" si="24"/>
        <v>-0.28972382306713562</v>
      </c>
      <c r="E1389" s="64">
        <v>-3.1643492075997814E-3</v>
      </c>
    </row>
    <row r="1390" spans="2:5" x14ac:dyDescent="0.3">
      <c r="B1390" s="55">
        <v>45545</v>
      </c>
      <c r="C1390" s="54">
        <v>5344.4</v>
      </c>
      <c r="D1390" s="56">
        <f t="shared" si="24"/>
        <v>2.7379961531736314</v>
      </c>
      <c r="E1390" s="64">
        <v>-3.1708135934643833E-3</v>
      </c>
    </row>
    <row r="1391" spans="2:5" x14ac:dyDescent="0.3">
      <c r="B1391" s="55">
        <v>43685</v>
      </c>
      <c r="C1391" s="54">
        <v>1429.75</v>
      </c>
      <c r="D1391" s="56">
        <f t="shared" si="24"/>
        <v>-0.6254159134376065</v>
      </c>
      <c r="E1391" s="64">
        <v>-3.1722791605660605E-3</v>
      </c>
    </row>
    <row r="1392" spans="2:5" x14ac:dyDescent="0.3">
      <c r="B1392" s="55">
        <v>45636</v>
      </c>
      <c r="C1392" s="54">
        <v>3816.9</v>
      </c>
      <c r="D1392" s="56">
        <f t="shared" si="24"/>
        <v>2.6269090126909145E-2</v>
      </c>
      <c r="E1392" s="64">
        <v>-3.173110823833647E-3</v>
      </c>
    </row>
    <row r="1393" spans="2:5" x14ac:dyDescent="0.3">
      <c r="B1393" s="55">
        <v>45331</v>
      </c>
      <c r="C1393" s="54">
        <v>3719.2</v>
      </c>
      <c r="D1393" s="56">
        <f t="shared" si="24"/>
        <v>0.89759942855685071</v>
      </c>
      <c r="E1393" s="64">
        <v>-3.1760496375016212E-3</v>
      </c>
    </row>
    <row r="1394" spans="2:5" x14ac:dyDescent="0.3">
      <c r="B1394" s="55">
        <v>43782</v>
      </c>
      <c r="C1394" s="54">
        <v>1959.95</v>
      </c>
      <c r="D1394" s="56">
        <f t="shared" si="24"/>
        <v>-0.5102696084555608</v>
      </c>
      <c r="E1394" s="64">
        <v>-3.1787203743260939E-3</v>
      </c>
    </row>
    <row r="1395" spans="2:5" x14ac:dyDescent="0.3">
      <c r="B1395" s="55">
        <v>44601</v>
      </c>
      <c r="C1395" s="54">
        <v>4002.1</v>
      </c>
      <c r="D1395" s="56">
        <f t="shared" si="24"/>
        <v>9.9372313101762089E-2</v>
      </c>
      <c r="E1395" s="64">
        <v>-3.2129514321295183E-3</v>
      </c>
    </row>
    <row r="1396" spans="2:5" x14ac:dyDescent="0.3">
      <c r="B1396" s="55">
        <v>45145</v>
      </c>
      <c r="C1396" s="54">
        <v>3640.35</v>
      </c>
      <c r="D1396" s="56">
        <f t="shared" si="24"/>
        <v>2.2344291426032874</v>
      </c>
      <c r="E1396" s="64">
        <v>-3.2173270173324608E-3</v>
      </c>
    </row>
    <row r="1397" spans="2:5" x14ac:dyDescent="0.3">
      <c r="B1397" s="55">
        <v>43045</v>
      </c>
      <c r="C1397" s="54">
        <v>1125.5</v>
      </c>
      <c r="D1397" s="56">
        <f t="shared" si="24"/>
        <v>-0.72854989448296648</v>
      </c>
      <c r="E1397" s="64">
        <v>-3.2325200371962071E-3</v>
      </c>
    </row>
    <row r="1398" spans="2:5" x14ac:dyDescent="0.3">
      <c r="B1398" s="55">
        <v>44659</v>
      </c>
      <c r="C1398" s="54">
        <v>4146.25</v>
      </c>
      <c r="D1398" s="56">
        <f t="shared" si="24"/>
        <v>-2.8389651778600422E-2</v>
      </c>
      <c r="E1398" s="64">
        <v>-3.2334062552586973E-3</v>
      </c>
    </row>
    <row r="1399" spans="2:5" x14ac:dyDescent="0.3">
      <c r="B1399" s="55">
        <v>45869</v>
      </c>
      <c r="C1399" s="54">
        <v>4267.3999999999996</v>
      </c>
      <c r="D1399" s="56">
        <f t="shared" si="24"/>
        <v>6.6759453657614376E-3</v>
      </c>
      <c r="E1399" s="64">
        <v>-3.2699584248143676E-3</v>
      </c>
    </row>
    <row r="1400" spans="2:5" x14ac:dyDescent="0.3">
      <c r="B1400" s="55">
        <v>44777</v>
      </c>
      <c r="C1400" s="54">
        <v>4239.1000000000004</v>
      </c>
      <c r="D1400" s="56">
        <f t="shared" si="24"/>
        <v>2.69791076023902</v>
      </c>
      <c r="E1400" s="64">
        <v>-3.3034339254432998E-3</v>
      </c>
    </row>
    <row r="1401" spans="2:5" x14ac:dyDescent="0.3">
      <c r="B1401" s="55">
        <v>43096</v>
      </c>
      <c r="C1401" s="54">
        <v>1146.3499999999999</v>
      </c>
      <c r="D1401" s="56">
        <f t="shared" si="24"/>
        <v>2.8670136396266921E-2</v>
      </c>
      <c r="E1401" s="64">
        <v>-3.3039168804070984E-3</v>
      </c>
    </row>
    <row r="1402" spans="2:5" x14ac:dyDescent="0.3">
      <c r="B1402" s="55">
        <v>43070</v>
      </c>
      <c r="C1402" s="54">
        <v>1114.4000000000001</v>
      </c>
      <c r="D1402" s="56">
        <f t="shared" si="24"/>
        <v>0.76287273590128946</v>
      </c>
      <c r="E1402" s="64">
        <v>-3.3091852249349518E-3</v>
      </c>
    </row>
    <row r="1403" spans="2:5" x14ac:dyDescent="0.3">
      <c r="B1403" s="55">
        <v>42830</v>
      </c>
      <c r="C1403" s="54">
        <v>632.15</v>
      </c>
      <c r="D1403" s="56">
        <f t="shared" si="24"/>
        <v>-0.84090651700663155</v>
      </c>
      <c r="E1403" s="64">
        <v>-3.3109972408357224E-3</v>
      </c>
    </row>
    <row r="1404" spans="2:5" x14ac:dyDescent="0.3">
      <c r="B1404" s="55">
        <v>45586</v>
      </c>
      <c r="C1404" s="54">
        <v>3973.45</v>
      </c>
      <c r="D1404" s="56">
        <f t="shared" si="24"/>
        <v>6.2334572093147411E-2</v>
      </c>
      <c r="E1404" s="64">
        <v>-3.3235508064314301E-3</v>
      </c>
    </row>
    <row r="1405" spans="2:5" x14ac:dyDescent="0.3">
      <c r="B1405" s="55">
        <v>45139</v>
      </c>
      <c r="C1405" s="54">
        <v>3740.3</v>
      </c>
      <c r="D1405" s="56">
        <f t="shared" si="24"/>
        <v>-0.16478535142075579</v>
      </c>
      <c r="E1405" s="64">
        <v>-3.3308463014282141E-3</v>
      </c>
    </row>
    <row r="1406" spans="2:5" x14ac:dyDescent="0.3">
      <c r="B1406" s="55">
        <v>44818</v>
      </c>
      <c r="C1406" s="54">
        <v>4478.25</v>
      </c>
      <c r="D1406" s="56">
        <f t="shared" si="24"/>
        <v>0.18240745630247668</v>
      </c>
      <c r="E1406" s="64">
        <v>-3.3383408446002738E-3</v>
      </c>
    </row>
    <row r="1407" spans="2:5" x14ac:dyDescent="0.3">
      <c r="B1407" s="55">
        <v>46017</v>
      </c>
      <c r="C1407" s="54">
        <v>3787.4</v>
      </c>
      <c r="D1407" s="56">
        <f t="shared" si="24"/>
        <v>1.2943510525518702</v>
      </c>
      <c r="E1407" s="64">
        <v>-3.3682437766432427E-3</v>
      </c>
    </row>
    <row r="1408" spans="2:5" x14ac:dyDescent="0.3">
      <c r="B1408" s="55">
        <v>43315</v>
      </c>
      <c r="C1408" s="54">
        <v>1650.75</v>
      </c>
      <c r="D1408" s="56">
        <f t="shared" si="24"/>
        <v>-0.60120550327950051</v>
      </c>
      <c r="E1408" s="64">
        <v>-3.3809279439731554E-3</v>
      </c>
    </row>
    <row r="1409" spans="2:5" x14ac:dyDescent="0.3">
      <c r="B1409" s="55">
        <v>44852</v>
      </c>
      <c r="C1409" s="54">
        <v>4139.3500000000004</v>
      </c>
      <c r="D1409" s="56">
        <f t="shared" si="24"/>
        <v>-4.6737903875826103E-2</v>
      </c>
      <c r="E1409" s="64">
        <v>-3.3947682047452687E-3</v>
      </c>
    </row>
    <row r="1410" spans="2:5" x14ac:dyDescent="0.3">
      <c r="B1410" s="55">
        <v>45768</v>
      </c>
      <c r="C1410" s="54">
        <v>4342.3</v>
      </c>
      <c r="D1410" s="56">
        <f t="shared" si="24"/>
        <v>-1.3248193428168964E-2</v>
      </c>
      <c r="E1410" s="64">
        <v>-3.3967547221775973E-3</v>
      </c>
    </row>
    <row r="1411" spans="2:5" x14ac:dyDescent="0.3">
      <c r="B1411" s="55">
        <v>46122</v>
      </c>
      <c r="C1411" s="54">
        <v>4400.6000000000004</v>
      </c>
      <c r="D1411" s="56">
        <f t="shared" si="24"/>
        <v>0.30287778304121282</v>
      </c>
      <c r="E1411" s="64">
        <v>-3.3970468339523663E-3</v>
      </c>
    </row>
    <row r="1412" spans="2:5" x14ac:dyDescent="0.3">
      <c r="B1412" s="55">
        <v>44386</v>
      </c>
      <c r="C1412" s="54">
        <v>3377.6</v>
      </c>
      <c r="D1412" s="56">
        <f t="shared" ref="D1412:D1475" si="25">C1412/C1413-1</f>
        <v>2.0588661474370582</v>
      </c>
      <c r="E1412" s="64">
        <v>-3.4226366104095352E-3</v>
      </c>
    </row>
    <row r="1413" spans="2:5" x14ac:dyDescent="0.3">
      <c r="B1413" s="55">
        <v>43083</v>
      </c>
      <c r="C1413" s="54">
        <v>1104.2</v>
      </c>
      <c r="D1413" s="56">
        <f t="shared" si="25"/>
        <v>-0.75940210049243906</v>
      </c>
      <c r="E1413" s="64">
        <v>-3.4296028880865803E-3</v>
      </c>
    </row>
    <row r="1414" spans="2:5" x14ac:dyDescent="0.3">
      <c r="B1414" s="55">
        <v>46133</v>
      </c>
      <c r="C1414" s="54">
        <v>4589.3999999999996</v>
      </c>
      <c r="D1414" s="56">
        <f t="shared" si="25"/>
        <v>8.353007838322779E-2</v>
      </c>
      <c r="E1414" s="64">
        <v>-3.4309041952576003E-3</v>
      </c>
    </row>
    <row r="1415" spans="2:5" x14ac:dyDescent="0.3">
      <c r="B1415" s="55">
        <v>44470</v>
      </c>
      <c r="C1415" s="54">
        <v>4235.6000000000004</v>
      </c>
      <c r="D1415" s="56">
        <f t="shared" si="25"/>
        <v>4.3765401675702309E-2</v>
      </c>
      <c r="E1415" s="64">
        <v>-3.4351324643544512E-3</v>
      </c>
    </row>
    <row r="1416" spans="2:5" x14ac:dyDescent="0.3">
      <c r="B1416" s="55">
        <v>45973</v>
      </c>
      <c r="C1416" s="54">
        <v>4058</v>
      </c>
      <c r="D1416" s="56">
        <f t="shared" si="25"/>
        <v>-0.13657737398668046</v>
      </c>
      <c r="E1416" s="64">
        <v>-3.4870585924070552E-3</v>
      </c>
    </row>
    <row r="1417" spans="2:5" x14ac:dyDescent="0.3">
      <c r="B1417" s="55">
        <v>45897</v>
      </c>
      <c r="C1417" s="54">
        <v>4699.8999999999996</v>
      </c>
      <c r="D1417" s="56">
        <f t="shared" si="25"/>
        <v>0.13013682160290463</v>
      </c>
      <c r="E1417" s="64">
        <v>-3.498431006699998E-3</v>
      </c>
    </row>
    <row r="1418" spans="2:5" x14ac:dyDescent="0.3">
      <c r="B1418" s="55">
        <v>44874</v>
      </c>
      <c r="C1418" s="54">
        <v>4158.7</v>
      </c>
      <c r="D1418" s="56">
        <f t="shared" si="25"/>
        <v>0.19410227696901838</v>
      </c>
      <c r="E1418" s="64">
        <v>-3.5461842578172753E-3</v>
      </c>
    </row>
    <row r="1419" spans="2:5" x14ac:dyDescent="0.3">
      <c r="B1419" s="55">
        <v>44971</v>
      </c>
      <c r="C1419" s="54">
        <v>3482.7</v>
      </c>
      <c r="D1419" s="56">
        <f t="shared" si="25"/>
        <v>1.5023890784982932</v>
      </c>
      <c r="E1419" s="64">
        <v>-3.5763332570382111E-3</v>
      </c>
    </row>
    <row r="1420" spans="2:5" x14ac:dyDescent="0.3">
      <c r="B1420" s="55">
        <v>43416</v>
      </c>
      <c r="C1420" s="54">
        <v>1391.75</v>
      </c>
      <c r="D1420" s="56">
        <f t="shared" si="25"/>
        <v>-0.41957210776545173</v>
      </c>
      <c r="E1420" s="64">
        <v>-3.5797386790764607E-3</v>
      </c>
    </row>
    <row r="1421" spans="2:5" x14ac:dyDescent="0.3">
      <c r="B1421" s="55">
        <v>43994</v>
      </c>
      <c r="C1421" s="54">
        <v>2397.8000000000002</v>
      </c>
      <c r="D1421" s="56">
        <f t="shared" si="25"/>
        <v>-0.3760360149368307</v>
      </c>
      <c r="E1421" s="64">
        <v>-3.6152088094743018E-3</v>
      </c>
    </row>
    <row r="1422" spans="2:5" x14ac:dyDescent="0.3">
      <c r="B1422" s="55">
        <v>45216</v>
      </c>
      <c r="C1422" s="54">
        <v>3842.85</v>
      </c>
      <c r="D1422" s="56">
        <f t="shared" si="25"/>
        <v>5.3326206726420411E-2</v>
      </c>
      <c r="E1422" s="64">
        <v>-3.616988176726843E-3</v>
      </c>
    </row>
    <row r="1423" spans="2:5" x14ac:dyDescent="0.3">
      <c r="B1423" s="55">
        <v>44726</v>
      </c>
      <c r="C1423" s="54">
        <v>3648.3</v>
      </c>
      <c r="D1423" s="56">
        <f t="shared" si="25"/>
        <v>4.1008421863819589E-3</v>
      </c>
      <c r="E1423" s="64">
        <v>-3.6322918942538474E-3</v>
      </c>
    </row>
    <row r="1424" spans="2:5" x14ac:dyDescent="0.3">
      <c r="B1424" s="55">
        <v>45230</v>
      </c>
      <c r="C1424" s="54">
        <v>3633.4</v>
      </c>
      <c r="D1424" s="56">
        <f t="shared" si="25"/>
        <v>-0.10441212718757698</v>
      </c>
      <c r="E1424" s="64">
        <v>-3.6334718165987878E-3</v>
      </c>
    </row>
    <row r="1425" spans="2:5" x14ac:dyDescent="0.3">
      <c r="B1425" s="55">
        <v>46175</v>
      </c>
      <c r="C1425" s="54">
        <v>4057</v>
      </c>
      <c r="D1425" s="56">
        <f t="shared" si="25"/>
        <v>9.6516122057352938E-2</v>
      </c>
      <c r="E1425" s="64">
        <v>-3.634756127511185E-3</v>
      </c>
    </row>
    <row r="1426" spans="2:5" x14ac:dyDescent="0.3">
      <c r="B1426" s="55">
        <v>45141</v>
      </c>
      <c r="C1426" s="54">
        <v>3699.9</v>
      </c>
      <c r="D1426" s="56">
        <f t="shared" si="25"/>
        <v>-0.21173061763640622</v>
      </c>
      <c r="E1426" s="64">
        <v>-3.6354823073194709E-3</v>
      </c>
    </row>
    <row r="1427" spans="2:5" x14ac:dyDescent="0.3">
      <c r="B1427" s="55">
        <v>44531</v>
      </c>
      <c r="C1427" s="54">
        <v>4693.7</v>
      </c>
      <c r="D1427" s="56">
        <f t="shared" si="25"/>
        <v>0.19393076081703242</v>
      </c>
      <c r="E1427" s="64">
        <v>-3.6511070071535423E-3</v>
      </c>
    </row>
    <row r="1428" spans="2:5" x14ac:dyDescent="0.3">
      <c r="B1428" s="55">
        <v>44761</v>
      </c>
      <c r="C1428" s="54">
        <v>3931.3</v>
      </c>
      <c r="D1428" s="56">
        <f t="shared" si="25"/>
        <v>-2.9116862590141124E-2</v>
      </c>
      <c r="E1428" s="64">
        <v>-3.6621681556103791E-3</v>
      </c>
    </row>
    <row r="1429" spans="2:5" x14ac:dyDescent="0.3">
      <c r="B1429" s="55">
        <v>45791</v>
      </c>
      <c r="C1429" s="54">
        <v>4049.2</v>
      </c>
      <c r="D1429" s="56">
        <f t="shared" si="25"/>
        <v>2.2772277227722793E-3</v>
      </c>
      <c r="E1429" s="64">
        <v>-3.6662483698728376E-3</v>
      </c>
    </row>
    <row r="1430" spans="2:5" x14ac:dyDescent="0.3">
      <c r="B1430" s="55">
        <v>46246</v>
      </c>
      <c r="C1430" s="54">
        <v>4040</v>
      </c>
      <c r="D1430" s="56">
        <f t="shared" si="25"/>
        <v>1.717245090126446</v>
      </c>
      <c r="E1430" s="64">
        <v>-3.6745665737749622E-3</v>
      </c>
    </row>
    <row r="1431" spans="2:5" x14ac:dyDescent="0.3">
      <c r="B1431" s="55">
        <v>43224</v>
      </c>
      <c r="C1431" s="54">
        <v>1486.8</v>
      </c>
      <c r="D1431" s="56">
        <f t="shared" si="25"/>
        <v>-0.67867562836333772</v>
      </c>
      <c r="E1431" s="64">
        <v>-3.6855860081752567E-3</v>
      </c>
    </row>
    <row r="1432" spans="2:5" x14ac:dyDescent="0.3">
      <c r="B1432" s="55">
        <v>45400</v>
      </c>
      <c r="C1432" s="54">
        <v>4627.1000000000004</v>
      </c>
      <c r="D1432" s="56">
        <f t="shared" si="25"/>
        <v>-7.5079457093169544E-2</v>
      </c>
      <c r="E1432" s="64">
        <v>-3.703464461813355E-3</v>
      </c>
    </row>
    <row r="1433" spans="2:5" x14ac:dyDescent="0.3">
      <c r="B1433" s="55">
        <v>45523</v>
      </c>
      <c r="C1433" s="54">
        <v>5002.7</v>
      </c>
      <c r="D1433" s="56">
        <f t="shared" si="25"/>
        <v>0.17932578972182922</v>
      </c>
      <c r="E1433" s="64">
        <v>-3.7042200227033195E-3</v>
      </c>
    </row>
    <row r="1434" spans="2:5" x14ac:dyDescent="0.3">
      <c r="B1434" s="55">
        <v>45875</v>
      </c>
      <c r="C1434" s="54">
        <v>4242</v>
      </c>
      <c r="D1434" s="56">
        <f t="shared" si="25"/>
        <v>0.15188790680623998</v>
      </c>
      <c r="E1434" s="64">
        <v>-3.7108365822725586E-3</v>
      </c>
    </row>
    <row r="1435" spans="2:5" x14ac:dyDescent="0.3">
      <c r="B1435" s="55">
        <v>45702</v>
      </c>
      <c r="C1435" s="54">
        <v>3682.65</v>
      </c>
      <c r="D1435" s="56">
        <f t="shared" si="25"/>
        <v>-6.3224969474969361E-2</v>
      </c>
      <c r="E1435" s="64">
        <v>-3.7467875016907737E-3</v>
      </c>
    </row>
    <row r="1436" spans="2:5" x14ac:dyDescent="0.3">
      <c r="B1436" s="55">
        <v>46240</v>
      </c>
      <c r="C1436" s="54">
        <v>3931.2</v>
      </c>
      <c r="D1436" s="56">
        <f t="shared" si="25"/>
        <v>0.91057542768273714</v>
      </c>
      <c r="E1436" s="64">
        <v>-3.7506335529651214E-3</v>
      </c>
    </row>
    <row r="1437" spans="2:5" x14ac:dyDescent="0.3">
      <c r="B1437" s="55">
        <v>44113</v>
      </c>
      <c r="C1437" s="54">
        <v>2057.6</v>
      </c>
      <c r="D1437" s="56">
        <f t="shared" si="25"/>
        <v>-0.46893792747451291</v>
      </c>
      <c r="E1437" s="64">
        <v>-3.7523906359696602E-3</v>
      </c>
    </row>
    <row r="1438" spans="2:5" x14ac:dyDescent="0.3">
      <c r="B1438" s="55">
        <v>45604</v>
      </c>
      <c r="C1438" s="54">
        <v>3874.5</v>
      </c>
      <c r="D1438" s="56">
        <f t="shared" si="25"/>
        <v>1.8506787330316739</v>
      </c>
      <c r="E1438" s="64">
        <v>-3.7540819212671384E-3</v>
      </c>
    </row>
    <row r="1439" spans="2:5" x14ac:dyDescent="0.3">
      <c r="B1439" s="55">
        <v>43194</v>
      </c>
      <c r="C1439" s="54">
        <v>1359.15</v>
      </c>
      <c r="D1439" s="56">
        <f t="shared" si="25"/>
        <v>-0.64541292182465659</v>
      </c>
      <c r="E1439" s="64">
        <v>-3.7748295829361789E-3</v>
      </c>
    </row>
    <row r="1440" spans="2:5" x14ac:dyDescent="0.3">
      <c r="B1440" s="55">
        <v>44435</v>
      </c>
      <c r="C1440" s="54">
        <v>3833.05</v>
      </c>
      <c r="D1440" s="56">
        <f t="shared" si="25"/>
        <v>-0.23040396739348679</v>
      </c>
      <c r="E1440" s="64">
        <v>-3.8333593222100726E-3</v>
      </c>
    </row>
    <row r="1441" spans="2:5" x14ac:dyDescent="0.3">
      <c r="B1441" s="55">
        <v>45538</v>
      </c>
      <c r="C1441" s="54">
        <v>4980.6000000000004</v>
      </c>
      <c r="D1441" s="56">
        <f t="shared" si="25"/>
        <v>1.1826069808716233</v>
      </c>
      <c r="E1441" s="64">
        <v>-3.8501155034651457E-3</v>
      </c>
    </row>
    <row r="1442" spans="2:5" x14ac:dyDescent="0.3">
      <c r="B1442" s="55">
        <v>44140</v>
      </c>
      <c r="C1442" s="54">
        <v>2281.9499999999998</v>
      </c>
      <c r="D1442" s="56">
        <f t="shared" si="25"/>
        <v>0.11458714924170255</v>
      </c>
      <c r="E1442" s="64">
        <v>-3.863279203771719E-3</v>
      </c>
    </row>
    <row r="1443" spans="2:5" x14ac:dyDescent="0.3">
      <c r="B1443" s="55">
        <v>44098</v>
      </c>
      <c r="C1443" s="54">
        <v>2047.35</v>
      </c>
      <c r="D1443" s="56">
        <f t="shared" si="25"/>
        <v>0.42364925943953824</v>
      </c>
      <c r="E1443" s="64">
        <v>-3.8680484600789322E-3</v>
      </c>
    </row>
    <row r="1444" spans="2:5" x14ac:dyDescent="0.3">
      <c r="B1444" s="55">
        <v>43433</v>
      </c>
      <c r="C1444" s="54">
        <v>1438.1</v>
      </c>
      <c r="D1444" s="56">
        <f t="shared" si="25"/>
        <v>-0.54196260789247375</v>
      </c>
      <c r="E1444" s="64">
        <v>-3.8789222137564083E-3</v>
      </c>
    </row>
    <row r="1445" spans="2:5" x14ac:dyDescent="0.3">
      <c r="B1445" s="55">
        <v>44251</v>
      </c>
      <c r="C1445" s="54">
        <v>3139.7</v>
      </c>
      <c r="D1445" s="56">
        <f t="shared" si="25"/>
        <v>1.7275649378855009</v>
      </c>
      <c r="E1445" s="64">
        <v>-3.8864829708593618E-3</v>
      </c>
    </row>
    <row r="1446" spans="2:5" x14ac:dyDescent="0.3">
      <c r="B1446" s="55">
        <v>43091</v>
      </c>
      <c r="C1446" s="54">
        <v>1151.0999999999999</v>
      </c>
      <c r="D1446" s="56">
        <f t="shared" si="25"/>
        <v>-1.5227992129352552E-2</v>
      </c>
      <c r="E1446" s="64">
        <v>-3.8940809968847079E-3</v>
      </c>
    </row>
    <row r="1447" spans="2:5" x14ac:dyDescent="0.3">
      <c r="B1447" s="55">
        <v>43150</v>
      </c>
      <c r="C1447" s="54">
        <v>1168.9000000000001</v>
      </c>
      <c r="D1447" s="56">
        <f t="shared" si="25"/>
        <v>-0.21898907560217817</v>
      </c>
      <c r="E1447" s="64">
        <v>-3.9198977417980174E-3</v>
      </c>
    </row>
    <row r="1448" spans="2:5" x14ac:dyDescent="0.3">
      <c r="B1448" s="55">
        <v>43440</v>
      </c>
      <c r="C1448" s="54">
        <v>1496.65</v>
      </c>
      <c r="D1448" s="56">
        <f t="shared" si="25"/>
        <v>-0.30269993244345039</v>
      </c>
      <c r="E1448" s="64">
        <v>-3.9266580147082619E-3</v>
      </c>
    </row>
    <row r="1449" spans="2:5" x14ac:dyDescent="0.3">
      <c r="B1449" s="55">
        <v>44027</v>
      </c>
      <c r="C1449" s="54">
        <v>2146.35</v>
      </c>
      <c r="D1449" s="56">
        <f t="shared" si="25"/>
        <v>-0.44141834743005859</v>
      </c>
      <c r="E1449" s="64">
        <v>-3.9445901106806014E-3</v>
      </c>
    </row>
    <row r="1450" spans="2:5" x14ac:dyDescent="0.3">
      <c r="B1450" s="55">
        <v>44932</v>
      </c>
      <c r="C1450" s="54">
        <v>3842.5</v>
      </c>
      <c r="D1450" s="56">
        <f t="shared" si="25"/>
        <v>3.194640030566017</v>
      </c>
      <c r="E1450" s="64">
        <v>-3.9659909793147152E-3</v>
      </c>
    </row>
    <row r="1451" spans="2:5" x14ac:dyDescent="0.3">
      <c r="B1451" s="55">
        <v>42948</v>
      </c>
      <c r="C1451" s="54">
        <v>916.05</v>
      </c>
      <c r="D1451" s="56">
        <f t="shared" si="25"/>
        <v>-0.37867534845864281</v>
      </c>
      <c r="E1451" s="64">
        <v>-3.9686854409047845E-3</v>
      </c>
    </row>
    <row r="1452" spans="2:5" x14ac:dyDescent="0.3">
      <c r="B1452" s="55">
        <v>43216</v>
      </c>
      <c r="C1452" s="54">
        <v>1474.35</v>
      </c>
      <c r="D1452" s="56">
        <f t="shared" si="25"/>
        <v>0.61963089091508294</v>
      </c>
      <c r="E1452" s="64">
        <v>-3.9858132072285724E-3</v>
      </c>
    </row>
    <row r="1453" spans="2:5" x14ac:dyDescent="0.3">
      <c r="B1453" s="55">
        <v>42928</v>
      </c>
      <c r="C1453" s="54">
        <v>910.3</v>
      </c>
      <c r="D1453" s="56">
        <f t="shared" si="25"/>
        <v>-0.61793838663644762</v>
      </c>
      <c r="E1453" s="64">
        <v>-3.9936539197987786E-3</v>
      </c>
    </row>
    <row r="1454" spans="2:5" x14ac:dyDescent="0.3">
      <c r="B1454" s="55">
        <v>44155</v>
      </c>
      <c r="C1454" s="54">
        <v>2382.6</v>
      </c>
      <c r="D1454" s="56">
        <f t="shared" si="25"/>
        <v>-0.40713645864437153</v>
      </c>
      <c r="E1454" s="64">
        <v>-4.013042387760235E-3</v>
      </c>
    </row>
    <row r="1455" spans="2:5" x14ac:dyDescent="0.3">
      <c r="B1455" s="55">
        <v>46227</v>
      </c>
      <c r="C1455" s="54">
        <v>4018.8</v>
      </c>
      <c r="D1455" s="56">
        <f t="shared" si="25"/>
        <v>1.5977182379367183</v>
      </c>
      <c r="E1455" s="64">
        <v>-4.0148698884757694E-3</v>
      </c>
    </row>
    <row r="1456" spans="2:5" x14ac:dyDescent="0.3">
      <c r="B1456" s="55">
        <v>43706</v>
      </c>
      <c r="C1456" s="54">
        <v>1547.05</v>
      </c>
      <c r="D1456" s="56">
        <f t="shared" si="25"/>
        <v>-0.45615453570738052</v>
      </c>
      <c r="E1456" s="64">
        <v>-4.0236914955256164E-3</v>
      </c>
    </row>
    <row r="1457" spans="2:5" x14ac:dyDescent="0.3">
      <c r="B1457" s="55">
        <v>44330</v>
      </c>
      <c r="C1457" s="54">
        <v>2844.65</v>
      </c>
      <c r="D1457" s="56">
        <f t="shared" si="25"/>
        <v>-0.27348069825945931</v>
      </c>
      <c r="E1457" s="64">
        <v>-4.0263991737128357E-3</v>
      </c>
    </row>
    <row r="1458" spans="2:5" x14ac:dyDescent="0.3">
      <c r="B1458" s="55">
        <v>44762</v>
      </c>
      <c r="C1458" s="54">
        <v>3915.45</v>
      </c>
      <c r="D1458" s="56">
        <f t="shared" si="25"/>
        <v>0.73996800426609766</v>
      </c>
      <c r="E1458" s="64">
        <v>-4.0317452242262242E-3</v>
      </c>
    </row>
    <row r="1459" spans="2:5" x14ac:dyDescent="0.3">
      <c r="B1459" s="55">
        <v>44067</v>
      </c>
      <c r="C1459" s="54">
        <v>2250.3000000000002</v>
      </c>
      <c r="D1459" s="56">
        <f t="shared" si="25"/>
        <v>2.6625976562500004</v>
      </c>
      <c r="E1459" s="64">
        <v>-4.0496581026354672E-3</v>
      </c>
    </row>
    <row r="1460" spans="2:5" x14ac:dyDescent="0.3">
      <c r="B1460" s="55">
        <v>42821</v>
      </c>
      <c r="C1460" s="54">
        <v>614.4</v>
      </c>
      <c r="D1460" s="56">
        <f t="shared" si="25"/>
        <v>-0.85904053961043436</v>
      </c>
      <c r="E1460" s="64">
        <v>-4.0525206678554415E-3</v>
      </c>
    </row>
    <row r="1461" spans="2:5" x14ac:dyDescent="0.3">
      <c r="B1461" s="55">
        <v>46147</v>
      </c>
      <c r="C1461" s="54">
        <v>4358.7</v>
      </c>
      <c r="D1461" s="56">
        <f t="shared" si="25"/>
        <v>1.3965360824742268</v>
      </c>
      <c r="E1461" s="64">
        <v>-4.0671769678967129E-3</v>
      </c>
    </row>
    <row r="1462" spans="2:5" x14ac:dyDescent="0.3">
      <c r="B1462" s="55">
        <v>43790</v>
      </c>
      <c r="C1462" s="54">
        <v>1818.75</v>
      </c>
      <c r="D1462" s="56">
        <f t="shared" si="25"/>
        <v>-0.60708807708094792</v>
      </c>
      <c r="E1462" s="64">
        <v>-4.0795093637060464E-3</v>
      </c>
    </row>
    <row r="1463" spans="2:5" x14ac:dyDescent="0.3">
      <c r="B1463" s="55">
        <v>44554</v>
      </c>
      <c r="C1463" s="54">
        <v>4628.8999999999996</v>
      </c>
      <c r="D1463" s="56">
        <f t="shared" si="25"/>
        <v>0.38704022773241431</v>
      </c>
      <c r="E1463" s="64">
        <v>-4.0878676391488122E-3</v>
      </c>
    </row>
    <row r="1464" spans="2:5" x14ac:dyDescent="0.3">
      <c r="B1464" s="55">
        <v>45000</v>
      </c>
      <c r="C1464" s="54">
        <v>3337.25</v>
      </c>
      <c r="D1464" s="56">
        <f t="shared" si="25"/>
        <v>-0.1372713759451949</v>
      </c>
      <c r="E1464" s="64">
        <v>-4.0883928438203432E-3</v>
      </c>
    </row>
    <row r="1465" spans="2:5" x14ac:dyDescent="0.3">
      <c r="B1465" s="55">
        <v>45353</v>
      </c>
      <c r="C1465" s="54">
        <v>3868.25</v>
      </c>
      <c r="D1465" s="56">
        <f t="shared" si="25"/>
        <v>-0.27296050220371959</v>
      </c>
      <c r="E1465" s="64">
        <v>-4.0935597234916798E-3</v>
      </c>
    </row>
    <row r="1466" spans="2:5" x14ac:dyDescent="0.3">
      <c r="B1466" s="55">
        <v>45555</v>
      </c>
      <c r="C1466" s="54">
        <v>5320.55</v>
      </c>
      <c r="D1466" s="56">
        <f t="shared" si="25"/>
        <v>2.8234702310373327</v>
      </c>
      <c r="E1466" s="64">
        <v>-4.1085634066447829E-3</v>
      </c>
    </row>
    <row r="1467" spans="2:5" x14ac:dyDescent="0.3">
      <c r="B1467" s="55">
        <v>43489</v>
      </c>
      <c r="C1467" s="54">
        <v>1391.55</v>
      </c>
      <c r="D1467" s="56">
        <f t="shared" si="25"/>
        <v>-0.10603237826031087</v>
      </c>
      <c r="E1467" s="64">
        <v>-4.1150790810849935E-3</v>
      </c>
    </row>
    <row r="1468" spans="2:5" x14ac:dyDescent="0.3">
      <c r="B1468" s="55">
        <v>43307</v>
      </c>
      <c r="C1468" s="54">
        <v>1556.6</v>
      </c>
      <c r="D1468" s="56">
        <f t="shared" si="25"/>
        <v>-0.61308924598883963</v>
      </c>
      <c r="E1468" s="64">
        <v>-4.126547455295726E-3</v>
      </c>
    </row>
    <row r="1469" spans="2:5" x14ac:dyDescent="0.3">
      <c r="B1469" s="55">
        <v>45754</v>
      </c>
      <c r="C1469" s="54">
        <v>4023.15</v>
      </c>
      <c r="D1469" s="56">
        <f t="shared" si="25"/>
        <v>2.410460729877506</v>
      </c>
      <c r="E1469" s="64">
        <v>-4.1461422312433216E-3</v>
      </c>
    </row>
    <row r="1470" spans="2:5" x14ac:dyDescent="0.3">
      <c r="B1470" s="55">
        <v>43131</v>
      </c>
      <c r="C1470" s="54">
        <v>1179.6500000000001</v>
      </c>
      <c r="D1470" s="56">
        <f t="shared" si="25"/>
        <v>-0.2491805365496611</v>
      </c>
      <c r="E1470" s="64">
        <v>-4.1786256964374546E-3</v>
      </c>
    </row>
    <row r="1471" spans="2:5" x14ac:dyDescent="0.3">
      <c r="B1471" s="55">
        <v>43472</v>
      </c>
      <c r="C1471" s="54">
        <v>1571.15</v>
      </c>
      <c r="D1471" s="56">
        <f t="shared" si="25"/>
        <v>0.20394636015325673</v>
      </c>
      <c r="E1471" s="64">
        <v>-4.1831722389478188E-3</v>
      </c>
    </row>
    <row r="1472" spans="2:5" x14ac:dyDescent="0.3">
      <c r="B1472" s="55">
        <v>43629</v>
      </c>
      <c r="C1472" s="54">
        <v>1305</v>
      </c>
      <c r="D1472" s="56">
        <f t="shared" si="25"/>
        <v>-0.64923126545532739</v>
      </c>
      <c r="E1472" s="64">
        <v>-4.1968714231209736E-3</v>
      </c>
    </row>
    <row r="1473" spans="2:5" x14ac:dyDescent="0.3">
      <c r="B1473" s="55">
        <v>45169</v>
      </c>
      <c r="C1473" s="54">
        <v>3720.4</v>
      </c>
      <c r="D1473" s="56">
        <f t="shared" si="25"/>
        <v>-2.553759920375076E-2</v>
      </c>
      <c r="E1473" s="64">
        <v>-4.2555469314562444E-3</v>
      </c>
    </row>
    <row r="1474" spans="2:5" x14ac:dyDescent="0.3">
      <c r="B1474" s="55">
        <v>46097</v>
      </c>
      <c r="C1474" s="54">
        <v>3817.9</v>
      </c>
      <c r="D1474" s="56">
        <f t="shared" si="25"/>
        <v>0.70320306923625986</v>
      </c>
      <c r="E1474" s="64">
        <v>-4.2771822757740052E-3</v>
      </c>
    </row>
    <row r="1475" spans="2:5" x14ac:dyDescent="0.3">
      <c r="B1475" s="55">
        <v>44075</v>
      </c>
      <c r="C1475" s="54">
        <v>2241.6</v>
      </c>
      <c r="D1475" s="56">
        <f t="shared" si="25"/>
        <v>-0.44462613349189828</v>
      </c>
      <c r="E1475" s="64">
        <v>-4.2865074958357008E-3</v>
      </c>
    </row>
    <row r="1476" spans="2:5" x14ac:dyDescent="0.3">
      <c r="B1476" s="55">
        <v>45978</v>
      </c>
      <c r="C1476" s="54">
        <v>4036.2</v>
      </c>
      <c r="D1476" s="56">
        <f t="shared" ref="D1476:D1539" si="26">C1476/C1477-1</f>
        <v>-0.23808624904435149</v>
      </c>
      <c r="E1476" s="64">
        <v>-4.3170436884821806E-3</v>
      </c>
    </row>
    <row r="1477" spans="2:5" x14ac:dyDescent="0.3">
      <c r="B1477" s="55">
        <v>45558</v>
      </c>
      <c r="C1477" s="54">
        <v>5297.45</v>
      </c>
      <c r="D1477" s="56">
        <f t="shared" si="26"/>
        <v>0.23873494680229146</v>
      </c>
      <c r="E1477" s="64">
        <v>-4.3416564077022324E-3</v>
      </c>
    </row>
    <row r="1478" spans="2:5" x14ac:dyDescent="0.3">
      <c r="B1478" s="55">
        <v>44623</v>
      </c>
      <c r="C1478" s="54">
        <v>4276.5</v>
      </c>
      <c r="D1478" s="56">
        <f t="shared" si="26"/>
        <v>2.3010420686993438</v>
      </c>
      <c r="E1478" s="64">
        <v>-4.342106794873235E-3</v>
      </c>
    </row>
    <row r="1479" spans="2:5" x14ac:dyDescent="0.3">
      <c r="B1479" s="55">
        <v>43585</v>
      </c>
      <c r="C1479" s="54">
        <v>1295.5</v>
      </c>
      <c r="D1479" s="56">
        <f t="shared" si="26"/>
        <v>1.8172679116883472E-3</v>
      </c>
      <c r="E1479" s="64">
        <v>-4.3423125696500087E-3</v>
      </c>
    </row>
    <row r="1480" spans="2:5" x14ac:dyDescent="0.3">
      <c r="B1480" s="55">
        <v>43167</v>
      </c>
      <c r="C1480" s="54">
        <v>1293.1500000000001</v>
      </c>
      <c r="D1480" s="56">
        <f t="shared" si="26"/>
        <v>-0.72688969144015703</v>
      </c>
      <c r="E1480" s="64">
        <v>-4.3501693871265124E-3</v>
      </c>
    </row>
    <row r="1481" spans="2:5" x14ac:dyDescent="0.3">
      <c r="B1481" s="55">
        <v>45901</v>
      </c>
      <c r="C1481" s="54">
        <v>4734.8999999999996</v>
      </c>
      <c r="D1481" s="56">
        <f t="shared" si="26"/>
        <v>0.16486868811119981</v>
      </c>
      <c r="E1481" s="64">
        <v>-4.3527630582893551E-3</v>
      </c>
    </row>
    <row r="1482" spans="2:5" x14ac:dyDescent="0.3">
      <c r="B1482" s="55">
        <v>45292</v>
      </c>
      <c r="C1482" s="54">
        <v>4064.75</v>
      </c>
      <c r="D1482" s="56">
        <f t="shared" si="26"/>
        <v>0.76471226691557947</v>
      </c>
      <c r="E1482" s="64">
        <v>-4.3844071865087875E-3</v>
      </c>
    </row>
    <row r="1483" spans="2:5" x14ac:dyDescent="0.3">
      <c r="B1483" s="55">
        <v>43963</v>
      </c>
      <c r="C1483" s="54">
        <v>2303.35</v>
      </c>
      <c r="D1483" s="56">
        <f t="shared" si="26"/>
        <v>0.2226173730725336</v>
      </c>
      <c r="E1483" s="64">
        <v>-4.408808973223044E-3</v>
      </c>
    </row>
    <row r="1484" spans="2:5" x14ac:dyDescent="0.3">
      <c r="B1484" s="55">
        <v>43763</v>
      </c>
      <c r="C1484" s="54">
        <v>1883.95</v>
      </c>
      <c r="D1484" s="56">
        <f t="shared" si="26"/>
        <v>-0.5115377634888123</v>
      </c>
      <c r="E1484" s="64">
        <v>-4.4126195634941467E-3</v>
      </c>
    </row>
    <row r="1485" spans="2:5" x14ac:dyDescent="0.3">
      <c r="B1485" s="55">
        <v>44714</v>
      </c>
      <c r="C1485" s="54">
        <v>3856.9</v>
      </c>
      <c r="D1485" s="56">
        <f t="shared" si="26"/>
        <v>1.0382074723880992</v>
      </c>
      <c r="E1485" s="64">
        <v>-4.426891754107487E-3</v>
      </c>
    </row>
    <row r="1486" spans="2:5" x14ac:dyDescent="0.3">
      <c r="B1486" s="55">
        <v>43762</v>
      </c>
      <c r="C1486" s="54">
        <v>1892.3</v>
      </c>
      <c r="D1486" s="56">
        <f t="shared" si="26"/>
        <v>-0.58475785038730776</v>
      </c>
      <c r="E1486" s="64">
        <v>-4.4456135735894131E-3</v>
      </c>
    </row>
    <row r="1487" spans="2:5" x14ac:dyDescent="0.3">
      <c r="B1487" s="55">
        <v>44810</v>
      </c>
      <c r="C1487" s="54">
        <v>4557.1000000000004</v>
      </c>
      <c r="D1487" s="56">
        <f t="shared" si="26"/>
        <v>2.207418355855856</v>
      </c>
      <c r="E1487" s="64">
        <v>-4.4457066707445092E-3</v>
      </c>
    </row>
    <row r="1488" spans="2:5" x14ac:dyDescent="0.3">
      <c r="B1488" s="55">
        <v>43369</v>
      </c>
      <c r="C1488" s="54">
        <v>1420.8</v>
      </c>
      <c r="D1488" s="56">
        <f t="shared" si="26"/>
        <v>-0.6484821494841535</v>
      </c>
      <c r="E1488" s="64">
        <v>-4.4494271800442631E-3</v>
      </c>
    </row>
    <row r="1489" spans="2:5" x14ac:dyDescent="0.3">
      <c r="B1489" s="55">
        <v>46251</v>
      </c>
      <c r="C1489" s="54">
        <v>4041.9</v>
      </c>
      <c r="D1489" s="56">
        <f t="shared" si="26"/>
        <v>3.0755106724810632E-2</v>
      </c>
      <c r="E1489" s="64">
        <v>-4.4581280788177358E-3</v>
      </c>
    </row>
    <row r="1490" spans="2:5" x14ac:dyDescent="0.3">
      <c r="B1490" s="55">
        <v>44445</v>
      </c>
      <c r="C1490" s="54">
        <v>3921.3</v>
      </c>
      <c r="D1490" s="56">
        <f t="shared" si="26"/>
        <v>0.16760957598856607</v>
      </c>
      <c r="E1490" s="64">
        <v>-4.4682525578206844E-3</v>
      </c>
    </row>
    <row r="1491" spans="2:5" x14ac:dyDescent="0.3">
      <c r="B1491" s="55">
        <v>45009</v>
      </c>
      <c r="C1491" s="54">
        <v>3358.4</v>
      </c>
      <c r="D1491" s="56">
        <f t="shared" si="26"/>
        <v>-5.2984801060260045E-2</v>
      </c>
      <c r="E1491" s="64">
        <v>-4.4760634356010298E-3</v>
      </c>
    </row>
    <row r="1492" spans="2:5" x14ac:dyDescent="0.3">
      <c r="B1492" s="55">
        <v>44956</v>
      </c>
      <c r="C1492" s="54">
        <v>3546.3</v>
      </c>
      <c r="D1492" s="56">
        <f t="shared" si="26"/>
        <v>-7.3008155583437873E-2</v>
      </c>
      <c r="E1492" s="64">
        <v>-4.5054528611729872E-3</v>
      </c>
    </row>
    <row r="1493" spans="2:5" x14ac:dyDescent="0.3">
      <c r="B1493" s="55">
        <v>46006</v>
      </c>
      <c r="C1493" s="54">
        <v>3825.6</v>
      </c>
      <c r="D1493" s="56">
        <f t="shared" si="26"/>
        <v>-0.12779006406602689</v>
      </c>
      <c r="E1493" s="64">
        <v>-4.5277127244340853E-3</v>
      </c>
    </row>
    <row r="1494" spans="2:5" x14ac:dyDescent="0.3">
      <c r="B1494" s="55">
        <v>44813</v>
      </c>
      <c r="C1494" s="54">
        <v>4386.1000000000004</v>
      </c>
      <c r="D1494" s="56">
        <f t="shared" si="26"/>
        <v>2.7350762156178154</v>
      </c>
      <c r="E1494" s="64">
        <v>-4.5278650945858034E-3</v>
      </c>
    </row>
    <row r="1495" spans="2:5" x14ac:dyDescent="0.3">
      <c r="B1495" s="55">
        <v>43132</v>
      </c>
      <c r="C1495" s="54">
        <v>1174.3</v>
      </c>
      <c r="D1495" s="56">
        <f t="shared" si="26"/>
        <v>-0.71920133907221429</v>
      </c>
      <c r="E1495" s="64">
        <v>-4.5352435044293538E-3</v>
      </c>
    </row>
    <row r="1496" spans="2:5" x14ac:dyDescent="0.3">
      <c r="B1496" s="55">
        <v>44910</v>
      </c>
      <c r="C1496" s="54">
        <v>4182</v>
      </c>
      <c r="D1496" s="56">
        <f t="shared" si="26"/>
        <v>2.7094199042043638</v>
      </c>
      <c r="E1496" s="64">
        <v>-4.5464283163934027E-3</v>
      </c>
    </row>
    <row r="1497" spans="2:5" x14ac:dyDescent="0.3">
      <c r="B1497" s="55">
        <v>43080</v>
      </c>
      <c r="C1497" s="54">
        <v>1127.4000000000001</v>
      </c>
      <c r="D1497" s="56">
        <f t="shared" si="26"/>
        <v>-0.46323231842311985</v>
      </c>
      <c r="E1497" s="64">
        <v>-4.5472606065956045E-3</v>
      </c>
    </row>
    <row r="1498" spans="2:5" x14ac:dyDescent="0.3">
      <c r="B1498" s="55">
        <v>44035</v>
      </c>
      <c r="C1498" s="54">
        <v>2100.35</v>
      </c>
      <c r="D1498" s="56">
        <f t="shared" si="26"/>
        <v>-0.43716000750328265</v>
      </c>
      <c r="E1498" s="64">
        <v>-4.5734597156398271E-3</v>
      </c>
    </row>
    <row r="1499" spans="2:5" x14ac:dyDescent="0.3">
      <c r="B1499" s="55">
        <v>45310</v>
      </c>
      <c r="C1499" s="54">
        <v>3731.7</v>
      </c>
      <c r="D1499" s="56">
        <f t="shared" si="26"/>
        <v>-0.1530509186232567</v>
      </c>
      <c r="E1499" s="64">
        <v>-4.5747362524507507E-3</v>
      </c>
    </row>
    <row r="1500" spans="2:5" x14ac:dyDescent="0.3">
      <c r="B1500" s="55">
        <v>44812</v>
      </c>
      <c r="C1500" s="54">
        <v>4406.05</v>
      </c>
      <c r="D1500" s="56">
        <f t="shared" si="26"/>
        <v>4.2691341784262136</v>
      </c>
      <c r="E1500" s="64">
        <v>-4.5749271400492564E-3</v>
      </c>
    </row>
    <row r="1501" spans="2:5" x14ac:dyDescent="0.3">
      <c r="B1501" s="55">
        <v>42920</v>
      </c>
      <c r="C1501" s="54">
        <v>836.2</v>
      </c>
      <c r="D1501" s="56">
        <f t="shared" si="26"/>
        <v>-0.6863112878418427</v>
      </c>
      <c r="E1501" s="64">
        <v>-4.5830605321111051E-3</v>
      </c>
    </row>
    <row r="1502" spans="2:5" x14ac:dyDescent="0.3">
      <c r="B1502" s="55">
        <v>44194</v>
      </c>
      <c r="C1502" s="54">
        <v>2665.7</v>
      </c>
      <c r="D1502" s="56">
        <f t="shared" si="26"/>
        <v>-0.37817537148055702</v>
      </c>
      <c r="E1502" s="64">
        <v>-4.5929798356983964E-3</v>
      </c>
    </row>
    <row r="1503" spans="2:5" x14ac:dyDescent="0.3">
      <c r="B1503" s="55">
        <v>46192</v>
      </c>
      <c r="C1503" s="54">
        <v>4286.8999999999996</v>
      </c>
      <c r="D1503" s="56">
        <f t="shared" si="26"/>
        <v>0.14332577677023584</v>
      </c>
      <c r="E1503" s="64">
        <v>-4.5974876355446836E-3</v>
      </c>
    </row>
    <row r="1504" spans="2:5" x14ac:dyDescent="0.3">
      <c r="B1504" s="55">
        <v>45219</v>
      </c>
      <c r="C1504" s="54">
        <v>3749.5</v>
      </c>
      <c r="D1504" s="56">
        <f t="shared" si="26"/>
        <v>-2.6731922703515654E-3</v>
      </c>
      <c r="E1504" s="64">
        <v>-4.6059705058603129E-3</v>
      </c>
    </row>
    <row r="1505" spans="2:5" x14ac:dyDescent="0.3">
      <c r="B1505" s="55">
        <v>45609</v>
      </c>
      <c r="C1505" s="54">
        <v>3759.55</v>
      </c>
      <c r="D1505" s="56">
        <f t="shared" si="26"/>
        <v>3.7206805625313919</v>
      </c>
      <c r="E1505" s="64">
        <v>-4.6200688377018295E-3</v>
      </c>
    </row>
    <row r="1506" spans="2:5" x14ac:dyDescent="0.3">
      <c r="B1506" s="55">
        <v>42905</v>
      </c>
      <c r="C1506" s="54">
        <v>796.4</v>
      </c>
      <c r="D1506" s="56">
        <f t="shared" si="26"/>
        <v>-0.60964611312616412</v>
      </c>
      <c r="E1506" s="64">
        <v>-4.6244219472566517E-3</v>
      </c>
    </row>
    <row r="1507" spans="2:5" x14ac:dyDescent="0.3">
      <c r="B1507" s="55">
        <v>44042</v>
      </c>
      <c r="C1507" s="54">
        <v>2040.2</v>
      </c>
      <c r="D1507" s="56">
        <f t="shared" si="26"/>
        <v>-0.46974737498700481</v>
      </c>
      <c r="E1507" s="64">
        <v>-4.6348246084791933E-3</v>
      </c>
    </row>
    <row r="1508" spans="2:5" x14ac:dyDescent="0.3">
      <c r="B1508" s="55">
        <v>46080</v>
      </c>
      <c r="C1508" s="54">
        <v>3847.6</v>
      </c>
      <c r="D1508" s="56">
        <f t="shared" si="26"/>
        <v>2.1310574927778005</v>
      </c>
      <c r="E1508" s="64">
        <v>-4.6564569536423628E-3</v>
      </c>
    </row>
    <row r="1509" spans="2:5" x14ac:dyDescent="0.3">
      <c r="B1509" s="55">
        <v>43115</v>
      </c>
      <c r="C1509" s="54">
        <v>1228.8499999999999</v>
      </c>
      <c r="D1509" s="56">
        <f t="shared" si="26"/>
        <v>-0.58288216425383144</v>
      </c>
      <c r="E1509" s="64">
        <v>-4.6573789081484351E-3</v>
      </c>
    </row>
    <row r="1510" spans="2:5" x14ac:dyDescent="0.3">
      <c r="B1510" s="55">
        <v>44232</v>
      </c>
      <c r="C1510" s="54">
        <v>2946.05</v>
      </c>
      <c r="D1510" s="56">
        <f t="shared" si="26"/>
        <v>1.0007130730050937</v>
      </c>
      <c r="E1510" s="64">
        <v>-4.6623984323529433E-3</v>
      </c>
    </row>
    <row r="1511" spans="2:5" x14ac:dyDescent="0.3">
      <c r="B1511" s="55">
        <v>43552</v>
      </c>
      <c r="C1511" s="54">
        <v>1472.5</v>
      </c>
      <c r="D1511" s="56">
        <f t="shared" si="26"/>
        <v>0.10241820768136556</v>
      </c>
      <c r="E1511" s="64">
        <v>-4.6640529944572684E-3</v>
      </c>
    </row>
    <row r="1512" spans="2:5" x14ac:dyDescent="0.3">
      <c r="B1512" s="55">
        <v>43635</v>
      </c>
      <c r="C1512" s="54">
        <v>1335.7</v>
      </c>
      <c r="D1512" s="56">
        <f t="shared" si="26"/>
        <v>-0.67997987445493313</v>
      </c>
      <c r="E1512" s="64">
        <v>-4.6944858420268076E-3</v>
      </c>
    </row>
    <row r="1513" spans="2:5" x14ac:dyDescent="0.3">
      <c r="B1513" s="55">
        <v>45581</v>
      </c>
      <c r="C1513" s="54">
        <v>4173.8</v>
      </c>
      <c r="D1513" s="56">
        <f t="shared" si="26"/>
        <v>0.10042447731287418</v>
      </c>
      <c r="E1513" s="64">
        <v>-4.709613573225524E-3</v>
      </c>
    </row>
    <row r="1514" spans="2:5" x14ac:dyDescent="0.3">
      <c r="B1514" s="55">
        <v>45250</v>
      </c>
      <c r="C1514" s="54">
        <v>3792.9</v>
      </c>
      <c r="D1514" s="56">
        <f t="shared" si="26"/>
        <v>-8.358602027133144E-2</v>
      </c>
      <c r="E1514" s="64">
        <v>-4.7232937101472361E-3</v>
      </c>
    </row>
    <row r="1515" spans="2:5" x14ac:dyDescent="0.3">
      <c r="B1515" s="55">
        <v>44875</v>
      </c>
      <c r="C1515" s="54">
        <v>4138.8500000000004</v>
      </c>
      <c r="D1515" s="56">
        <f t="shared" si="26"/>
        <v>1.0165478863614297E-2</v>
      </c>
      <c r="E1515" s="64">
        <v>-4.7731262173273947E-3</v>
      </c>
    </row>
    <row r="1516" spans="2:5" x14ac:dyDescent="0.3">
      <c r="B1516" s="55">
        <v>46167</v>
      </c>
      <c r="C1516" s="54">
        <v>4097.2</v>
      </c>
      <c r="D1516" s="56">
        <f t="shared" si="26"/>
        <v>2.0391276935059151</v>
      </c>
      <c r="E1516" s="64">
        <v>-4.8093271799855009E-3</v>
      </c>
    </row>
    <row r="1517" spans="2:5" x14ac:dyDescent="0.3">
      <c r="B1517" s="55">
        <v>43159</v>
      </c>
      <c r="C1517" s="54">
        <v>1348.15</v>
      </c>
      <c r="D1517" s="56">
        <f t="shared" si="26"/>
        <v>-0.41241718967921892</v>
      </c>
      <c r="E1517" s="64">
        <v>-4.8350188233556857E-3</v>
      </c>
    </row>
    <row r="1518" spans="2:5" x14ac:dyDescent="0.3">
      <c r="B1518" s="55">
        <v>44008</v>
      </c>
      <c r="C1518" s="54">
        <v>2294.4</v>
      </c>
      <c r="D1518" s="56">
        <f t="shared" si="26"/>
        <v>0.58190843905129608</v>
      </c>
      <c r="E1518" s="64">
        <v>-4.8361562317017492E-3</v>
      </c>
    </row>
    <row r="1519" spans="2:5" x14ac:dyDescent="0.3">
      <c r="B1519" s="55">
        <v>43532</v>
      </c>
      <c r="C1519" s="54">
        <v>1450.4</v>
      </c>
      <c r="D1519" s="56">
        <f t="shared" si="26"/>
        <v>-0.47543355214380001</v>
      </c>
      <c r="E1519" s="64">
        <v>-4.8372156849291192E-3</v>
      </c>
    </row>
    <row r="1520" spans="2:5" x14ac:dyDescent="0.3">
      <c r="B1520" s="55">
        <v>44216</v>
      </c>
      <c r="C1520" s="54">
        <v>2764.95</v>
      </c>
      <c r="D1520" s="56">
        <f t="shared" si="26"/>
        <v>2.7541751527494904</v>
      </c>
      <c r="E1520" s="64">
        <v>-4.8409156348978577E-3</v>
      </c>
    </row>
    <row r="1521" spans="2:5" x14ac:dyDescent="0.3">
      <c r="B1521" s="55">
        <v>42853</v>
      </c>
      <c r="C1521" s="54">
        <v>736.5</v>
      </c>
      <c r="D1521" s="56">
        <f t="shared" si="26"/>
        <v>-0.82110760262326932</v>
      </c>
      <c r="E1521" s="64">
        <v>-4.8642075395217699E-3</v>
      </c>
    </row>
    <row r="1522" spans="2:5" x14ac:dyDescent="0.3">
      <c r="B1522" s="55">
        <v>46164</v>
      </c>
      <c r="C1522" s="54">
        <v>4117</v>
      </c>
      <c r="D1522" s="56">
        <f t="shared" si="26"/>
        <v>4.8503138887827646E-2</v>
      </c>
      <c r="E1522" s="64">
        <v>-4.8825292468335224E-3</v>
      </c>
    </row>
    <row r="1523" spans="2:5" x14ac:dyDescent="0.3">
      <c r="B1523" s="55">
        <v>45601</v>
      </c>
      <c r="C1523" s="54">
        <v>3926.55</v>
      </c>
      <c r="D1523" s="56">
        <f t="shared" si="26"/>
        <v>-5.1307388263910347E-3</v>
      </c>
      <c r="E1523" s="64">
        <v>-4.8912148206342598E-3</v>
      </c>
    </row>
    <row r="1524" spans="2:5" x14ac:dyDescent="0.3">
      <c r="B1524" s="55">
        <v>46091</v>
      </c>
      <c r="C1524" s="54">
        <v>3946.8</v>
      </c>
      <c r="D1524" s="56">
        <f t="shared" si="26"/>
        <v>0.47712344916633942</v>
      </c>
      <c r="E1524" s="64">
        <v>-4.8913317533154643E-3</v>
      </c>
    </row>
    <row r="1525" spans="2:5" x14ac:dyDescent="0.3">
      <c r="B1525" s="55">
        <v>44179</v>
      </c>
      <c r="C1525" s="54">
        <v>2671.95</v>
      </c>
      <c r="D1525" s="56">
        <f t="shared" si="26"/>
        <v>-0.35495201883034588</v>
      </c>
      <c r="E1525" s="64">
        <v>-4.8973967450002265E-3</v>
      </c>
    </row>
    <row r="1526" spans="2:5" x14ac:dyDescent="0.3">
      <c r="B1526" s="55">
        <v>44603</v>
      </c>
      <c r="C1526" s="54">
        <v>4142.25</v>
      </c>
      <c r="D1526" s="56">
        <f t="shared" si="26"/>
        <v>1.8267990582454705</v>
      </c>
      <c r="E1526" s="64">
        <v>-4.912676868378707E-3</v>
      </c>
    </row>
    <row r="1527" spans="2:5" x14ac:dyDescent="0.3">
      <c r="B1527" s="55">
        <v>43567</v>
      </c>
      <c r="C1527" s="54">
        <v>1465.35</v>
      </c>
      <c r="D1527" s="56">
        <f t="shared" si="26"/>
        <v>-0.44220703831293662</v>
      </c>
      <c r="E1527" s="64">
        <v>-4.9232649735162504E-3</v>
      </c>
    </row>
    <row r="1528" spans="2:5" x14ac:dyDescent="0.3">
      <c r="B1528" s="55">
        <v>44181</v>
      </c>
      <c r="C1528" s="54">
        <v>2627.05</v>
      </c>
      <c r="D1528" s="56">
        <f t="shared" si="26"/>
        <v>-0.28216793726261702</v>
      </c>
      <c r="E1528" s="64">
        <v>-4.9241491638415402E-3</v>
      </c>
    </row>
    <row r="1529" spans="2:5" x14ac:dyDescent="0.3">
      <c r="B1529" s="55">
        <v>45055</v>
      </c>
      <c r="C1529" s="54">
        <v>3659.7</v>
      </c>
      <c r="D1529" s="56">
        <f t="shared" si="26"/>
        <v>2.4175654853620956</v>
      </c>
      <c r="E1529" s="64">
        <v>-4.9349484073575312E-3</v>
      </c>
    </row>
    <row r="1530" spans="2:5" x14ac:dyDescent="0.3">
      <c r="B1530" s="55">
        <v>42986</v>
      </c>
      <c r="C1530" s="54">
        <v>1070.8499999999999</v>
      </c>
      <c r="D1530" s="56">
        <f t="shared" si="26"/>
        <v>-0.32557626905151782</v>
      </c>
      <c r="E1530" s="64">
        <v>-4.971194945177615E-3</v>
      </c>
    </row>
    <row r="1531" spans="2:5" x14ac:dyDescent="0.3">
      <c r="B1531" s="55">
        <v>43475</v>
      </c>
      <c r="C1531" s="54">
        <v>1587.8</v>
      </c>
      <c r="D1531" s="56">
        <f t="shared" si="26"/>
        <v>-0.54610294012549487</v>
      </c>
      <c r="E1531" s="64">
        <v>-4.9819833933887336E-3</v>
      </c>
    </row>
    <row r="1532" spans="2:5" x14ac:dyDescent="0.3">
      <c r="B1532" s="55">
        <v>45645</v>
      </c>
      <c r="C1532" s="54">
        <v>3498.15</v>
      </c>
      <c r="D1532" s="56">
        <f t="shared" si="26"/>
        <v>-0.17779579748977581</v>
      </c>
      <c r="E1532" s="64">
        <v>-4.9918935062718273E-3</v>
      </c>
    </row>
    <row r="1533" spans="2:5" x14ac:dyDescent="0.3">
      <c r="B1533" s="55">
        <v>44574</v>
      </c>
      <c r="C1533" s="54">
        <v>4254.6000000000004</v>
      </c>
      <c r="D1533" s="56">
        <f t="shared" si="26"/>
        <v>-7.6131329801094272E-2</v>
      </c>
      <c r="E1533" s="64">
        <v>-5.0279460255840958E-3</v>
      </c>
    </row>
    <row r="1534" spans="2:5" x14ac:dyDescent="0.3">
      <c r="B1534" s="55">
        <v>46132</v>
      </c>
      <c r="C1534" s="54">
        <v>4605.2</v>
      </c>
      <c r="D1534" s="56">
        <f t="shared" si="26"/>
        <v>1.3536145963764596</v>
      </c>
      <c r="E1534" s="64">
        <v>-5.0340283029060018E-3</v>
      </c>
    </row>
    <row r="1535" spans="2:5" x14ac:dyDescent="0.3">
      <c r="B1535" s="55">
        <v>43773</v>
      </c>
      <c r="C1535" s="54">
        <v>1956.65</v>
      </c>
      <c r="D1535" s="56">
        <f t="shared" si="26"/>
        <v>-0.42260420509037255</v>
      </c>
      <c r="E1535" s="64">
        <v>-5.0594935421538478E-3</v>
      </c>
    </row>
    <row r="1536" spans="2:5" x14ac:dyDescent="0.3">
      <c r="B1536" s="55">
        <v>44743</v>
      </c>
      <c r="C1536" s="54">
        <v>3388.75</v>
      </c>
      <c r="D1536" s="56">
        <f t="shared" si="26"/>
        <v>-0.2935099862402536</v>
      </c>
      <c r="E1536" s="64">
        <v>-5.093802295880856E-3</v>
      </c>
    </row>
    <row r="1537" spans="2:5" x14ac:dyDescent="0.3">
      <c r="B1537" s="55">
        <v>44540</v>
      </c>
      <c r="C1537" s="54">
        <v>4796.6000000000004</v>
      </c>
      <c r="D1537" s="56">
        <f t="shared" si="26"/>
        <v>0.33985111523903977</v>
      </c>
      <c r="E1537" s="64">
        <v>-5.1024641168172513E-3</v>
      </c>
    </row>
    <row r="1538" spans="2:5" x14ac:dyDescent="0.3">
      <c r="B1538" s="55">
        <v>45681</v>
      </c>
      <c r="C1538" s="54">
        <v>3579.95</v>
      </c>
      <c r="D1538" s="56">
        <f t="shared" si="26"/>
        <v>1.2896293690639888</v>
      </c>
      <c r="E1538" s="64">
        <v>-5.1134547778843853E-3</v>
      </c>
    </row>
    <row r="1539" spans="2:5" x14ac:dyDescent="0.3">
      <c r="B1539" s="55">
        <v>43328</v>
      </c>
      <c r="C1539" s="54">
        <v>1563.55</v>
      </c>
      <c r="D1539" s="56">
        <f t="shared" si="26"/>
        <v>0.16717676918483138</v>
      </c>
      <c r="E1539" s="64">
        <v>-5.1221684907101217E-3</v>
      </c>
    </row>
    <row r="1540" spans="2:5" x14ac:dyDescent="0.3">
      <c r="B1540" s="55">
        <v>43180</v>
      </c>
      <c r="C1540" s="54">
        <v>1339.6</v>
      </c>
      <c r="D1540" s="56">
        <f t="shared" ref="D1540:D1603" si="27">C1540/C1541-1</f>
        <v>-0.63264914373466064</v>
      </c>
      <c r="E1540" s="64">
        <v>-5.1243965837356464E-3</v>
      </c>
    </row>
    <row r="1541" spans="2:5" x14ac:dyDescent="0.3">
      <c r="B1541" s="55">
        <v>45229</v>
      </c>
      <c r="C1541" s="54">
        <v>3646.65</v>
      </c>
      <c r="D1541" s="56">
        <f t="shared" si="27"/>
        <v>1.29674067076051</v>
      </c>
      <c r="E1541" s="64">
        <v>-5.1289746143037274E-3</v>
      </c>
    </row>
    <row r="1542" spans="2:5" x14ac:dyDescent="0.3">
      <c r="B1542" s="55">
        <v>43293</v>
      </c>
      <c r="C1542" s="54">
        <v>1587.75</v>
      </c>
      <c r="D1542" s="56">
        <f t="shared" si="27"/>
        <v>0.94148936170212782</v>
      </c>
      <c r="E1542" s="64">
        <v>-5.1380055766158117E-3</v>
      </c>
    </row>
    <row r="1543" spans="2:5" x14ac:dyDescent="0.3">
      <c r="B1543" s="55">
        <v>42907</v>
      </c>
      <c r="C1543" s="54">
        <v>817.8</v>
      </c>
      <c r="D1543" s="56">
        <f t="shared" si="27"/>
        <v>-0.82848514083177793</v>
      </c>
      <c r="E1543" s="64">
        <v>-5.1700018247065049E-3</v>
      </c>
    </row>
    <row r="1544" spans="2:5" x14ac:dyDescent="0.3">
      <c r="B1544" s="55">
        <v>45477</v>
      </c>
      <c r="C1544" s="54">
        <v>4768.1000000000004</v>
      </c>
      <c r="D1544" s="56">
        <f t="shared" si="27"/>
        <v>0.29099597926002163</v>
      </c>
      <c r="E1544" s="64">
        <v>-5.1743203488492373E-3</v>
      </c>
    </row>
    <row r="1545" spans="2:5" x14ac:dyDescent="0.3">
      <c r="B1545" s="55">
        <v>45134</v>
      </c>
      <c r="C1545" s="54">
        <v>3693.35</v>
      </c>
      <c r="D1545" s="56">
        <f t="shared" si="27"/>
        <v>7.611616581865821E-3</v>
      </c>
      <c r="E1545" s="64">
        <v>-5.1984431605457404E-3</v>
      </c>
    </row>
    <row r="1546" spans="2:5" x14ac:dyDescent="0.3">
      <c r="B1546" s="55">
        <v>45226</v>
      </c>
      <c r="C1546" s="54">
        <v>3665.45</v>
      </c>
      <c r="D1546" s="56">
        <f t="shared" si="27"/>
        <v>-0.12078436075797561</v>
      </c>
      <c r="E1546" s="64">
        <v>-5.2108069965940418E-3</v>
      </c>
    </row>
    <row r="1547" spans="2:5" x14ac:dyDescent="0.3">
      <c r="B1547" s="55">
        <v>45848</v>
      </c>
      <c r="C1547" s="54">
        <v>4169</v>
      </c>
      <c r="D1547" s="56">
        <f t="shared" si="27"/>
        <v>1.3011942800908782E-2</v>
      </c>
      <c r="E1547" s="64">
        <v>-5.2256078646590876E-3</v>
      </c>
    </row>
    <row r="1548" spans="2:5" x14ac:dyDescent="0.3">
      <c r="B1548" s="55">
        <v>45267</v>
      </c>
      <c r="C1548" s="54">
        <v>4115.45</v>
      </c>
      <c r="D1548" s="56">
        <f t="shared" si="27"/>
        <v>-1.800329284879143E-2</v>
      </c>
      <c r="E1548" s="64">
        <v>-5.2451566899918145E-3</v>
      </c>
    </row>
    <row r="1549" spans="2:5" x14ac:dyDescent="0.3">
      <c r="B1549" s="55">
        <v>45847</v>
      </c>
      <c r="C1549" s="54">
        <v>4190.8999999999996</v>
      </c>
      <c r="D1549" s="56">
        <f t="shared" si="27"/>
        <v>0.2579241205426821</v>
      </c>
      <c r="E1549" s="64">
        <v>-5.2456681699502017E-3</v>
      </c>
    </row>
    <row r="1550" spans="2:5" x14ac:dyDescent="0.3">
      <c r="B1550" s="55">
        <v>44396</v>
      </c>
      <c r="C1550" s="54">
        <v>3331.6</v>
      </c>
      <c r="D1550" s="56">
        <f t="shared" si="27"/>
        <v>1.3968345323741005</v>
      </c>
      <c r="E1550" s="64">
        <v>-5.2549862653767931E-3</v>
      </c>
    </row>
    <row r="1551" spans="2:5" x14ac:dyDescent="0.3">
      <c r="B1551" s="55">
        <v>43480</v>
      </c>
      <c r="C1551" s="54">
        <v>1390</v>
      </c>
      <c r="D1551" s="56">
        <f t="shared" si="27"/>
        <v>-0.64069689293284393</v>
      </c>
      <c r="E1551" s="64">
        <v>-5.295548876484979E-3</v>
      </c>
    </row>
    <row r="1552" spans="2:5" x14ac:dyDescent="0.3">
      <c r="B1552" s="55">
        <v>45110</v>
      </c>
      <c r="C1552" s="54">
        <v>3868.6</v>
      </c>
      <c r="D1552" s="56">
        <f t="shared" si="27"/>
        <v>0.31054575019478969</v>
      </c>
      <c r="E1552" s="64">
        <v>-5.296719119613269E-3</v>
      </c>
    </row>
    <row r="1553" spans="2:5" x14ac:dyDescent="0.3">
      <c r="B1553" s="55">
        <v>44238</v>
      </c>
      <c r="C1553" s="54">
        <v>2951.9</v>
      </c>
      <c r="D1553" s="56">
        <f t="shared" si="27"/>
        <v>-0.2559048171208187</v>
      </c>
      <c r="E1553" s="64">
        <v>-5.3239882737472488E-3</v>
      </c>
    </row>
    <row r="1554" spans="2:5" x14ac:dyDescent="0.3">
      <c r="B1554" s="55">
        <v>45264</v>
      </c>
      <c r="C1554" s="54">
        <v>3967.1</v>
      </c>
      <c r="D1554" s="56">
        <f t="shared" si="27"/>
        <v>7.5546638832029833E-2</v>
      </c>
      <c r="E1554" s="64">
        <v>-5.3404874134992397E-3</v>
      </c>
    </row>
    <row r="1555" spans="2:5" x14ac:dyDescent="0.3">
      <c r="B1555" s="55">
        <v>45638</v>
      </c>
      <c r="C1555" s="54">
        <v>3688.45</v>
      </c>
      <c r="D1555" s="56">
        <f t="shared" si="27"/>
        <v>-0.11740566150606602</v>
      </c>
      <c r="E1555" s="64">
        <v>-5.3528571043336415E-3</v>
      </c>
    </row>
    <row r="1556" spans="2:5" x14ac:dyDescent="0.3">
      <c r="B1556" s="55">
        <v>45817</v>
      </c>
      <c r="C1556" s="54">
        <v>4179.1000000000004</v>
      </c>
      <c r="D1556" s="56">
        <f t="shared" si="27"/>
        <v>1.2855345911949687</v>
      </c>
      <c r="E1556" s="64">
        <v>-5.3551028179741333E-3</v>
      </c>
    </row>
    <row r="1557" spans="2:5" x14ac:dyDescent="0.3">
      <c r="B1557" s="55">
        <v>43831</v>
      </c>
      <c r="C1557" s="54">
        <v>1828.5</v>
      </c>
      <c r="D1557" s="56">
        <f t="shared" si="27"/>
        <v>-0.22204731109598375</v>
      </c>
      <c r="E1557" s="64">
        <v>-5.3580656567029372E-3</v>
      </c>
    </row>
    <row r="1558" spans="2:5" x14ac:dyDescent="0.3">
      <c r="B1558" s="55">
        <v>44004</v>
      </c>
      <c r="C1558" s="54">
        <v>2350.4</v>
      </c>
      <c r="D1558" s="56">
        <f t="shared" si="27"/>
        <v>-0.35228384429900106</v>
      </c>
      <c r="E1558" s="64">
        <v>-5.3953409643907602E-3</v>
      </c>
    </row>
    <row r="1559" spans="2:5" x14ac:dyDescent="0.3">
      <c r="B1559" s="55">
        <v>45147</v>
      </c>
      <c r="C1559" s="54">
        <v>3628.75</v>
      </c>
      <c r="D1559" s="56">
        <f t="shared" si="27"/>
        <v>1.7221409549529274</v>
      </c>
      <c r="E1559" s="64">
        <v>-5.3995532349353503E-3</v>
      </c>
    </row>
    <row r="1560" spans="2:5" x14ac:dyDescent="0.3">
      <c r="B1560" s="55">
        <v>43620</v>
      </c>
      <c r="C1560" s="54">
        <v>1333.05</v>
      </c>
      <c r="D1560" s="56">
        <f t="shared" si="27"/>
        <v>-0.64978260012873224</v>
      </c>
      <c r="E1560" s="64">
        <v>-5.4092367380437212E-3</v>
      </c>
    </row>
    <row r="1561" spans="2:5" x14ac:dyDescent="0.3">
      <c r="B1561" s="55">
        <v>45119</v>
      </c>
      <c r="C1561" s="54">
        <v>3806.35</v>
      </c>
      <c r="D1561" s="56">
        <f t="shared" si="27"/>
        <v>-6.0601199437301023E-2</v>
      </c>
      <c r="E1561" s="64">
        <v>-5.4218598939144158E-3</v>
      </c>
    </row>
    <row r="1562" spans="2:5" x14ac:dyDescent="0.3">
      <c r="B1562" s="55">
        <v>45821</v>
      </c>
      <c r="C1562" s="54">
        <v>4051.9</v>
      </c>
      <c r="D1562" s="56">
        <f t="shared" si="27"/>
        <v>5.3727927599927172E-2</v>
      </c>
      <c r="E1562" s="64">
        <v>-5.4246440844378796E-3</v>
      </c>
    </row>
    <row r="1563" spans="2:5" x14ac:dyDescent="0.3">
      <c r="B1563" s="55">
        <v>46076</v>
      </c>
      <c r="C1563" s="54">
        <v>3845.3</v>
      </c>
      <c r="D1563" s="56">
        <f t="shared" si="27"/>
        <v>1.4601260356354566</v>
      </c>
      <c r="E1563" s="64">
        <v>-5.4572729153734567E-3</v>
      </c>
    </row>
    <row r="1564" spans="2:5" x14ac:dyDescent="0.3">
      <c r="B1564" s="55">
        <v>43306</v>
      </c>
      <c r="C1564" s="54">
        <v>1563.05</v>
      </c>
      <c r="D1564" s="56">
        <f t="shared" si="27"/>
        <v>-0.62899359126513177</v>
      </c>
      <c r="E1564" s="64">
        <v>-5.4719562243502606E-3</v>
      </c>
    </row>
    <row r="1565" spans="2:5" x14ac:dyDescent="0.3">
      <c r="B1565" s="55">
        <v>45846</v>
      </c>
      <c r="C1565" s="54">
        <v>4213</v>
      </c>
      <c r="D1565" s="56">
        <f t="shared" si="27"/>
        <v>-8.7947177572116675E-2</v>
      </c>
      <c r="E1565" s="64">
        <v>-5.5000826192668217E-3</v>
      </c>
    </row>
    <row r="1566" spans="2:5" x14ac:dyDescent="0.3">
      <c r="B1566" s="55">
        <v>45387</v>
      </c>
      <c r="C1566" s="54">
        <v>4619.25</v>
      </c>
      <c r="D1566" s="56">
        <f t="shared" si="27"/>
        <v>0.16496223345901151</v>
      </c>
      <c r="E1566" s="64">
        <v>-5.5542997384312454E-3</v>
      </c>
    </row>
    <row r="1567" spans="2:5" x14ac:dyDescent="0.3">
      <c r="B1567" s="55">
        <v>45594</v>
      </c>
      <c r="C1567" s="54">
        <v>3965.15</v>
      </c>
      <c r="D1567" s="56">
        <f t="shared" si="27"/>
        <v>5.2517146235711474</v>
      </c>
      <c r="E1567" s="64">
        <v>-5.6050156739811952E-3</v>
      </c>
    </row>
    <row r="1568" spans="2:5" x14ac:dyDescent="0.3">
      <c r="B1568" s="55">
        <v>42828</v>
      </c>
      <c r="C1568" s="54">
        <v>634.25</v>
      </c>
      <c r="D1568" s="56">
        <f t="shared" si="27"/>
        <v>-0.70339973812196033</v>
      </c>
      <c r="E1568" s="64">
        <v>-5.6439601787254823E-3</v>
      </c>
    </row>
    <row r="1569" spans="2:5" x14ac:dyDescent="0.3">
      <c r="B1569" s="55">
        <v>44050</v>
      </c>
      <c r="C1569" s="54">
        <v>2138.4</v>
      </c>
      <c r="D1569" s="56">
        <f t="shared" si="27"/>
        <v>-0.44404435373795936</v>
      </c>
      <c r="E1569" s="64">
        <v>-5.6497175141243527E-3</v>
      </c>
    </row>
    <row r="1570" spans="2:5" x14ac:dyDescent="0.3">
      <c r="B1570" s="55">
        <v>45355</v>
      </c>
      <c r="C1570" s="54">
        <v>3846.35</v>
      </c>
      <c r="D1570" s="56">
        <f t="shared" si="27"/>
        <v>1.0096397502547085</v>
      </c>
      <c r="E1570" s="64">
        <v>-5.6614748271182069E-3</v>
      </c>
    </row>
    <row r="1571" spans="2:5" x14ac:dyDescent="0.3">
      <c r="B1571" s="55">
        <v>43760</v>
      </c>
      <c r="C1571" s="54">
        <v>1913.95</v>
      </c>
      <c r="D1571" s="56">
        <f t="shared" si="27"/>
        <v>-0.52401143994031329</v>
      </c>
      <c r="E1571" s="64">
        <v>-5.6627789178377297E-3</v>
      </c>
    </row>
    <row r="1572" spans="2:5" x14ac:dyDescent="0.3">
      <c r="B1572" s="55">
        <v>45862</v>
      </c>
      <c r="C1572" s="54">
        <v>4021</v>
      </c>
      <c r="D1572" s="56">
        <f t="shared" si="27"/>
        <v>1.1329301930829621</v>
      </c>
      <c r="E1572" s="64">
        <v>-5.6628502188481589E-3</v>
      </c>
    </row>
    <row r="1573" spans="2:5" x14ac:dyDescent="0.3">
      <c r="B1573" s="55">
        <v>43741</v>
      </c>
      <c r="C1573" s="54">
        <v>1885.2</v>
      </c>
      <c r="D1573" s="56">
        <f t="shared" si="27"/>
        <v>-0.57635003033776033</v>
      </c>
      <c r="E1573" s="64">
        <v>-5.6962025316456E-3</v>
      </c>
    </row>
    <row r="1574" spans="2:5" x14ac:dyDescent="0.3">
      <c r="B1574" s="55">
        <v>45931</v>
      </c>
      <c r="C1574" s="54">
        <v>4449.8999999999996</v>
      </c>
      <c r="D1574" s="56">
        <f t="shared" si="27"/>
        <v>0.1955508389194125</v>
      </c>
      <c r="E1574" s="64">
        <v>-5.6978147204719276E-3</v>
      </c>
    </row>
    <row r="1575" spans="2:5" x14ac:dyDescent="0.3">
      <c r="B1575" s="55">
        <v>45698</v>
      </c>
      <c r="C1575" s="54">
        <v>3722.05</v>
      </c>
      <c r="D1575" s="56">
        <f t="shared" si="27"/>
        <v>1.3793709646487247</v>
      </c>
      <c r="E1575" s="64">
        <v>-5.7299318819286071E-3</v>
      </c>
    </row>
    <row r="1576" spans="2:5" x14ac:dyDescent="0.3">
      <c r="B1576" s="55">
        <v>43348</v>
      </c>
      <c r="C1576" s="54">
        <v>1564.3</v>
      </c>
      <c r="D1576" s="56">
        <f t="shared" si="27"/>
        <v>1.4640466251870521</v>
      </c>
      <c r="E1576" s="64">
        <v>-5.7836532350324932E-3</v>
      </c>
    </row>
    <row r="1577" spans="2:5" x14ac:dyDescent="0.3">
      <c r="B1577" s="55">
        <v>42817</v>
      </c>
      <c r="C1577" s="54">
        <v>634.85</v>
      </c>
      <c r="D1577" s="56">
        <f t="shared" si="27"/>
        <v>-0.83576935016556286</v>
      </c>
      <c r="E1577" s="64">
        <v>-5.7943778874010032E-3</v>
      </c>
    </row>
    <row r="1578" spans="2:5" x14ac:dyDescent="0.3">
      <c r="B1578" s="55">
        <v>46079</v>
      </c>
      <c r="C1578" s="54">
        <v>3865.6</v>
      </c>
      <c r="D1578" s="56">
        <f t="shared" si="27"/>
        <v>-8.7505606307390904E-2</v>
      </c>
      <c r="E1578" s="64">
        <v>-5.8124582068823649E-3</v>
      </c>
    </row>
    <row r="1579" spans="2:5" x14ac:dyDescent="0.3">
      <c r="B1579" s="55">
        <v>45845</v>
      </c>
      <c r="C1579" s="54">
        <v>4236.3</v>
      </c>
      <c r="D1579" s="56">
        <f t="shared" si="27"/>
        <v>2.830116179196239</v>
      </c>
      <c r="E1579" s="64">
        <v>-5.8200934031119589E-3</v>
      </c>
    </row>
    <row r="1580" spans="2:5" x14ac:dyDescent="0.3">
      <c r="B1580" s="55">
        <v>43056</v>
      </c>
      <c r="C1580" s="54">
        <v>1106.05</v>
      </c>
      <c r="D1580" s="56">
        <f t="shared" si="27"/>
        <v>-0.65169813103241969</v>
      </c>
      <c r="E1580" s="64">
        <v>-5.8871112708969164E-3</v>
      </c>
    </row>
    <row r="1581" spans="2:5" x14ac:dyDescent="0.3">
      <c r="B1581" s="55">
        <v>44358</v>
      </c>
      <c r="C1581" s="54">
        <v>3175.55</v>
      </c>
      <c r="D1581" s="56">
        <f t="shared" si="27"/>
        <v>0.4766222594220082</v>
      </c>
      <c r="E1581" s="64">
        <v>-5.9320707465956302E-3</v>
      </c>
    </row>
    <row r="1582" spans="2:5" x14ac:dyDescent="0.3">
      <c r="B1582" s="55">
        <v>44049</v>
      </c>
      <c r="C1582" s="54">
        <v>2150.5500000000002</v>
      </c>
      <c r="D1582" s="56">
        <f t="shared" si="27"/>
        <v>-0.46195896922692015</v>
      </c>
      <c r="E1582" s="64">
        <v>-5.9626984677250139E-3</v>
      </c>
    </row>
    <row r="1583" spans="2:5" x14ac:dyDescent="0.3">
      <c r="B1583" s="55">
        <v>45863</v>
      </c>
      <c r="C1583" s="54">
        <v>3997</v>
      </c>
      <c r="D1583" s="56">
        <f t="shared" si="27"/>
        <v>-4.9035235897313956E-2</v>
      </c>
      <c r="E1583" s="64">
        <v>-5.9686645113156134E-3</v>
      </c>
    </row>
    <row r="1584" spans="2:5" x14ac:dyDescent="0.3">
      <c r="B1584" s="55">
        <v>45827</v>
      </c>
      <c r="C1584" s="54">
        <v>4203.1000000000004</v>
      </c>
      <c r="D1584" s="56">
        <f t="shared" si="27"/>
        <v>3.8918344394596627E-2</v>
      </c>
      <c r="E1584" s="64">
        <v>-5.9833506763785627E-3</v>
      </c>
    </row>
    <row r="1585" spans="2:5" x14ac:dyDescent="0.3">
      <c r="B1585" s="55">
        <v>45275</v>
      </c>
      <c r="C1585" s="54">
        <v>4045.65</v>
      </c>
      <c r="D1585" s="56">
        <f t="shared" si="27"/>
        <v>2.4601864522750598</v>
      </c>
      <c r="E1585" s="64">
        <v>-5.9950123462857441E-3</v>
      </c>
    </row>
    <row r="1586" spans="2:5" x14ac:dyDescent="0.3">
      <c r="B1586" s="55">
        <v>43123</v>
      </c>
      <c r="C1586" s="54">
        <v>1169.2</v>
      </c>
      <c r="D1586" s="56">
        <f t="shared" si="27"/>
        <v>2.9044182362260251E-2</v>
      </c>
      <c r="E1586" s="64">
        <v>-6.0358752019041839E-3</v>
      </c>
    </row>
    <row r="1587" spans="2:5" x14ac:dyDescent="0.3">
      <c r="B1587" s="55">
        <v>43035</v>
      </c>
      <c r="C1587" s="54">
        <v>1136.2</v>
      </c>
      <c r="D1587" s="56">
        <f t="shared" si="27"/>
        <v>-0.71808200483840956</v>
      </c>
      <c r="E1587" s="64">
        <v>-6.0362173038228661E-3</v>
      </c>
    </row>
    <row r="1588" spans="2:5" x14ac:dyDescent="0.3">
      <c r="B1588" s="55">
        <v>44672</v>
      </c>
      <c r="C1588" s="54">
        <v>4030.25</v>
      </c>
      <c r="D1588" s="56">
        <f t="shared" si="27"/>
        <v>1.6843279605701342</v>
      </c>
      <c r="E1588" s="64">
        <v>-6.0545526289830232E-3</v>
      </c>
    </row>
    <row r="1589" spans="2:5" x14ac:dyDescent="0.3">
      <c r="B1589" s="55">
        <v>43537</v>
      </c>
      <c r="C1589" s="54">
        <v>1501.4</v>
      </c>
      <c r="D1589" s="56">
        <f t="shared" si="27"/>
        <v>-0.56840819259791586</v>
      </c>
      <c r="E1589" s="64">
        <v>-6.0902952469216176E-3</v>
      </c>
    </row>
    <row r="1590" spans="2:5" x14ac:dyDescent="0.3">
      <c r="B1590" s="55">
        <v>44980</v>
      </c>
      <c r="C1590" s="54">
        <v>3478.75</v>
      </c>
      <c r="D1590" s="56">
        <f t="shared" si="27"/>
        <v>-0.13543504734448386</v>
      </c>
      <c r="E1590" s="64">
        <v>-6.1140236846992657E-3</v>
      </c>
    </row>
    <row r="1591" spans="2:5" x14ac:dyDescent="0.3">
      <c r="B1591" s="55">
        <v>45859</v>
      </c>
      <c r="C1591" s="54">
        <v>4023.7</v>
      </c>
      <c r="D1591" s="56">
        <f t="shared" si="27"/>
        <v>0.43988978153124947</v>
      </c>
      <c r="E1591" s="64">
        <v>-6.1502741688485019E-3</v>
      </c>
    </row>
    <row r="1592" spans="2:5" x14ac:dyDescent="0.3">
      <c r="B1592" s="55">
        <v>44224</v>
      </c>
      <c r="C1592" s="54">
        <v>2794.45</v>
      </c>
      <c r="D1592" s="56">
        <f t="shared" si="27"/>
        <v>-1.5189159662384877E-2</v>
      </c>
      <c r="E1592" s="64">
        <v>-6.152751844936466E-3</v>
      </c>
    </row>
    <row r="1593" spans="2:5" x14ac:dyDescent="0.3">
      <c r="B1593" s="55">
        <v>44285</v>
      </c>
      <c r="C1593" s="54">
        <v>2837.55</v>
      </c>
      <c r="D1593" s="56">
        <f t="shared" si="27"/>
        <v>0.96744669786791482</v>
      </c>
      <c r="E1593" s="64">
        <v>-6.1817035584196267E-3</v>
      </c>
    </row>
    <row r="1594" spans="2:5" x14ac:dyDescent="0.3">
      <c r="B1594" s="55">
        <v>43508</v>
      </c>
      <c r="C1594" s="54">
        <v>1442.25</v>
      </c>
      <c r="D1594" s="56">
        <f t="shared" si="27"/>
        <v>0.99508922395905386</v>
      </c>
      <c r="E1594" s="64">
        <v>-6.2357886033210796E-3</v>
      </c>
    </row>
    <row r="1595" spans="2:5" x14ac:dyDescent="0.3">
      <c r="B1595" s="55">
        <v>42874</v>
      </c>
      <c r="C1595" s="54">
        <v>722.9</v>
      </c>
      <c r="D1595" s="56">
        <f t="shared" si="27"/>
        <v>-0.48214477595902439</v>
      </c>
      <c r="E1595" s="64">
        <v>-6.2547254106812833E-3</v>
      </c>
    </row>
    <row r="1596" spans="2:5" x14ac:dyDescent="0.3">
      <c r="B1596" s="55">
        <v>43371</v>
      </c>
      <c r="C1596" s="54">
        <v>1395.95</v>
      </c>
      <c r="D1596" s="56">
        <f t="shared" si="27"/>
        <v>-0.63112068282112943</v>
      </c>
      <c r="E1596" s="64">
        <v>-6.2644598683039288E-3</v>
      </c>
    </row>
    <row r="1597" spans="2:5" x14ac:dyDescent="0.3">
      <c r="B1597" s="55">
        <v>45324</v>
      </c>
      <c r="C1597" s="54">
        <v>3784.3</v>
      </c>
      <c r="D1597" s="56">
        <f t="shared" si="27"/>
        <v>1.4386518881299137</v>
      </c>
      <c r="E1597" s="64">
        <v>-6.2759308859827723E-3</v>
      </c>
    </row>
    <row r="1598" spans="2:5" x14ac:dyDescent="0.3">
      <c r="B1598" s="55">
        <v>43299</v>
      </c>
      <c r="C1598" s="54">
        <v>1551.8</v>
      </c>
      <c r="D1598" s="56">
        <f t="shared" si="27"/>
        <v>-0.63703131943957159</v>
      </c>
      <c r="E1598" s="64">
        <v>-6.3074312425960288E-3</v>
      </c>
    </row>
    <row r="1599" spans="2:5" x14ac:dyDescent="0.3">
      <c r="B1599" s="55">
        <v>45950</v>
      </c>
      <c r="C1599" s="54">
        <v>4275.3</v>
      </c>
      <c r="D1599" s="56">
        <f t="shared" si="27"/>
        <v>2.7482903734876385</v>
      </c>
      <c r="E1599" s="64">
        <v>-6.321905868680977E-3</v>
      </c>
    </row>
    <row r="1600" spans="2:5" x14ac:dyDescent="0.3">
      <c r="B1600" s="55">
        <v>43039</v>
      </c>
      <c r="C1600" s="54">
        <v>1140.5999999999999</v>
      </c>
      <c r="D1600" s="56">
        <f t="shared" si="27"/>
        <v>-0.36938132360258757</v>
      </c>
      <c r="E1600" s="64">
        <v>-6.3594389755207148E-3</v>
      </c>
    </row>
    <row r="1601" spans="2:5" x14ac:dyDescent="0.3">
      <c r="B1601" s="55">
        <v>43914</v>
      </c>
      <c r="C1601" s="54">
        <v>1808.7</v>
      </c>
      <c r="D1601" s="56">
        <f t="shared" si="27"/>
        <v>-0.54490098885338301</v>
      </c>
      <c r="E1601" s="64">
        <v>-6.372575949019299E-3</v>
      </c>
    </row>
    <row r="1602" spans="2:5" x14ac:dyDescent="0.3">
      <c r="B1602" s="55">
        <v>45785</v>
      </c>
      <c r="C1602" s="54">
        <v>3974.3</v>
      </c>
      <c r="D1602" s="56">
        <f t="shared" si="27"/>
        <v>-4.6324402797941144E-2</v>
      </c>
      <c r="E1602" s="64">
        <v>-6.3753187659383315E-3</v>
      </c>
    </row>
    <row r="1603" spans="2:5" x14ac:dyDescent="0.3">
      <c r="B1603" s="55">
        <v>44869</v>
      </c>
      <c r="C1603" s="54">
        <v>4167.3500000000004</v>
      </c>
      <c r="D1603" s="56">
        <f t="shared" si="27"/>
        <v>-0.1255717822820932</v>
      </c>
      <c r="E1603" s="64">
        <v>-6.4016975823755207E-3</v>
      </c>
    </row>
    <row r="1604" spans="2:5" x14ac:dyDescent="0.3">
      <c r="B1604" s="55">
        <v>44543</v>
      </c>
      <c r="C1604" s="54">
        <v>4765.8</v>
      </c>
      <c r="D1604" s="56">
        <f t="shared" ref="D1604:D1667" si="28">C1604/C1605-1</f>
        <v>9.4856302694755312E-2</v>
      </c>
      <c r="E1604" s="64">
        <v>-6.421215027311078E-3</v>
      </c>
    </row>
    <row r="1605" spans="2:5" x14ac:dyDescent="0.3">
      <c r="B1605" s="55">
        <v>44846</v>
      </c>
      <c r="C1605" s="54">
        <v>4352.8999999999996</v>
      </c>
      <c r="D1605" s="56">
        <f t="shared" si="28"/>
        <v>1.6789549804597348</v>
      </c>
      <c r="E1605" s="64">
        <v>-6.4367396315995196E-3</v>
      </c>
    </row>
    <row r="1606" spans="2:5" x14ac:dyDescent="0.3">
      <c r="B1606" s="55">
        <v>43319</v>
      </c>
      <c r="C1606" s="54">
        <v>1624.85</v>
      </c>
      <c r="D1606" s="56">
        <f t="shared" si="28"/>
        <v>-0.276751535653877</v>
      </c>
      <c r="E1606" s="64">
        <v>-6.5421417871663889E-3</v>
      </c>
    </row>
    <row r="1607" spans="2:5" x14ac:dyDescent="0.3">
      <c r="B1607" s="55">
        <v>44082</v>
      </c>
      <c r="C1607" s="54">
        <v>2246.6</v>
      </c>
      <c r="D1607" s="56">
        <f t="shared" si="28"/>
        <v>-0.27733011660635309</v>
      </c>
      <c r="E1607" s="64">
        <v>-6.5446183779960254E-3</v>
      </c>
    </row>
    <row r="1608" spans="2:5" x14ac:dyDescent="0.3">
      <c r="B1608" s="55">
        <v>44270</v>
      </c>
      <c r="C1608" s="54">
        <v>3108.75</v>
      </c>
      <c r="D1608" s="56">
        <f t="shared" si="28"/>
        <v>1.7803863697343711</v>
      </c>
      <c r="E1608" s="64">
        <v>-6.5828366913256442E-3</v>
      </c>
    </row>
    <row r="1609" spans="2:5" x14ac:dyDescent="0.3">
      <c r="B1609" s="55">
        <v>43069</v>
      </c>
      <c r="C1609" s="54">
        <v>1118.0999999999999</v>
      </c>
      <c r="D1609" s="56">
        <f t="shared" si="28"/>
        <v>-0.72707300998364532</v>
      </c>
      <c r="E1609" s="64">
        <v>-6.6189862733775362E-3</v>
      </c>
    </row>
    <row r="1610" spans="2:5" x14ac:dyDescent="0.3">
      <c r="B1610" s="55">
        <v>44629</v>
      </c>
      <c r="C1610" s="54">
        <v>4096.7</v>
      </c>
      <c r="D1610" s="56">
        <f t="shared" si="28"/>
        <v>0.16808280109489049</v>
      </c>
      <c r="E1610" s="64">
        <v>-6.6197866149370066E-3</v>
      </c>
    </row>
    <row r="1611" spans="2:5" x14ac:dyDescent="0.3">
      <c r="B1611" s="55">
        <v>45715</v>
      </c>
      <c r="C1611" s="54">
        <v>3507.2</v>
      </c>
      <c r="D1611" s="56">
        <f t="shared" si="28"/>
        <v>1.3001049317943338</v>
      </c>
      <c r="E1611" s="64">
        <v>-6.6699709693408549E-3</v>
      </c>
    </row>
    <row r="1612" spans="2:5" x14ac:dyDescent="0.3">
      <c r="B1612" s="55">
        <v>43360</v>
      </c>
      <c r="C1612" s="54">
        <v>1524.8</v>
      </c>
      <c r="D1612" s="56">
        <f t="shared" si="28"/>
        <v>-0.58385415245217109</v>
      </c>
      <c r="E1612" s="64">
        <v>-6.7420121812201694E-3</v>
      </c>
    </row>
    <row r="1613" spans="2:5" x14ac:dyDescent="0.3">
      <c r="B1613" s="55">
        <v>45194</v>
      </c>
      <c r="C1613" s="54">
        <v>3664.1</v>
      </c>
      <c r="D1613" s="56">
        <f t="shared" si="28"/>
        <v>3.5878670256057097</v>
      </c>
      <c r="E1613" s="64">
        <v>-6.7767206093627408E-3</v>
      </c>
    </row>
    <row r="1614" spans="2:5" x14ac:dyDescent="0.3">
      <c r="B1614" s="55">
        <v>42899</v>
      </c>
      <c r="C1614" s="54">
        <v>798.65</v>
      </c>
      <c r="D1614" s="56">
        <f t="shared" si="28"/>
        <v>-0.8032445616023256</v>
      </c>
      <c r="E1614" s="64">
        <v>-6.7777639597065287E-3</v>
      </c>
    </row>
    <row r="1615" spans="2:5" x14ac:dyDescent="0.3">
      <c r="B1615" s="55">
        <v>45825</v>
      </c>
      <c r="C1615" s="54">
        <v>4059.1</v>
      </c>
      <c r="D1615" s="56">
        <f t="shared" si="28"/>
        <v>-0.11516327331385967</v>
      </c>
      <c r="E1615" s="64">
        <v>-6.8265231220944189E-3</v>
      </c>
    </row>
    <row r="1616" spans="2:5" x14ac:dyDescent="0.3">
      <c r="B1616" s="55">
        <v>44551</v>
      </c>
      <c r="C1616" s="54">
        <v>4587.3999999999996</v>
      </c>
      <c r="D1616" s="56">
        <f t="shared" si="28"/>
        <v>1.4134683677495725</v>
      </c>
      <c r="E1616" s="64">
        <v>-6.8305567282608282E-3</v>
      </c>
    </row>
    <row r="1617" spans="2:5" x14ac:dyDescent="0.3">
      <c r="B1617" s="55">
        <v>43761</v>
      </c>
      <c r="C1617" s="54">
        <v>1900.75</v>
      </c>
      <c r="D1617" s="56">
        <f t="shared" si="28"/>
        <v>7.3627428829643016E-2</v>
      </c>
      <c r="E1617" s="64">
        <v>-6.8967318895478691E-3</v>
      </c>
    </row>
    <row r="1618" spans="2:5" x14ac:dyDescent="0.3">
      <c r="B1618" s="55">
        <v>43815</v>
      </c>
      <c r="C1618" s="54">
        <v>1770.4</v>
      </c>
      <c r="D1618" s="56">
        <f t="shared" si="28"/>
        <v>0.5978339350180506</v>
      </c>
      <c r="E1618" s="64">
        <v>-6.9274996494179675E-3</v>
      </c>
    </row>
    <row r="1619" spans="2:5" x14ac:dyDescent="0.3">
      <c r="B1619" s="55">
        <v>43082</v>
      </c>
      <c r="C1619" s="54">
        <v>1108</v>
      </c>
      <c r="D1619" s="56">
        <f t="shared" si="28"/>
        <v>-0.14188351920693931</v>
      </c>
      <c r="E1619" s="64">
        <v>-6.9460004481290971E-3</v>
      </c>
    </row>
    <row r="1620" spans="2:5" x14ac:dyDescent="0.3">
      <c r="B1620" s="55">
        <v>43157</v>
      </c>
      <c r="C1620" s="54">
        <v>1291.2</v>
      </c>
      <c r="D1620" s="56">
        <f t="shared" si="28"/>
        <v>-0.68806319909163394</v>
      </c>
      <c r="E1620" s="64">
        <v>-6.9601999615458432E-3</v>
      </c>
    </row>
    <row r="1621" spans="2:5" x14ac:dyDescent="0.3">
      <c r="B1621" s="55">
        <v>46177</v>
      </c>
      <c r="C1621" s="54">
        <v>4139.3</v>
      </c>
      <c r="D1621" s="56">
        <f t="shared" si="28"/>
        <v>1.6003894961678604</v>
      </c>
      <c r="E1621" s="64">
        <v>-6.9810958641204346E-3</v>
      </c>
    </row>
    <row r="1622" spans="2:5" x14ac:dyDescent="0.3">
      <c r="B1622" s="55">
        <v>43342</v>
      </c>
      <c r="C1622" s="54">
        <v>1591.8</v>
      </c>
      <c r="D1622" s="56">
        <f t="shared" si="28"/>
        <v>-0.63973384030418257</v>
      </c>
      <c r="E1622" s="64">
        <v>-7.0488428669452929E-3</v>
      </c>
    </row>
    <row r="1623" spans="2:5" x14ac:dyDescent="0.3">
      <c r="B1623" s="55">
        <v>45933</v>
      </c>
      <c r="C1623" s="54">
        <v>4418.3999999999996</v>
      </c>
      <c r="D1623" s="56">
        <f t="shared" si="28"/>
        <v>0.12718598925979308</v>
      </c>
      <c r="E1623" s="64">
        <v>-7.0788107597923311E-3</v>
      </c>
    </row>
    <row r="1624" spans="2:5" x14ac:dyDescent="0.3">
      <c r="B1624" s="55">
        <v>45692</v>
      </c>
      <c r="C1624" s="54">
        <v>3919.85</v>
      </c>
      <c r="D1624" s="56">
        <f t="shared" si="28"/>
        <v>-0.118134062250419</v>
      </c>
      <c r="E1624" s="64">
        <v>-7.0924680522309602E-3</v>
      </c>
    </row>
    <row r="1625" spans="2:5" x14ac:dyDescent="0.3">
      <c r="B1625" s="55">
        <v>45442</v>
      </c>
      <c r="C1625" s="54">
        <v>4444.95</v>
      </c>
      <c r="D1625" s="56">
        <f t="shared" si="28"/>
        <v>0.15936566726222301</v>
      </c>
      <c r="E1625" s="64">
        <v>-7.1255458637212721E-3</v>
      </c>
    </row>
    <row r="1626" spans="2:5" x14ac:dyDescent="0.3">
      <c r="B1626" s="55">
        <v>45205</v>
      </c>
      <c r="C1626" s="54">
        <v>3833.95</v>
      </c>
      <c r="D1626" s="56">
        <f t="shared" si="28"/>
        <v>7.366490240555601E-2</v>
      </c>
      <c r="E1626" s="64">
        <v>-7.1345332124822525E-3</v>
      </c>
    </row>
    <row r="1627" spans="2:5" x14ac:dyDescent="0.3">
      <c r="B1627" s="55">
        <v>45712</v>
      </c>
      <c r="C1627" s="54">
        <v>3570.9</v>
      </c>
      <c r="D1627" s="56">
        <f t="shared" si="28"/>
        <v>0.49845785862655001</v>
      </c>
      <c r="E1627" s="64">
        <v>-7.1732421386270229E-3</v>
      </c>
    </row>
    <row r="1628" spans="2:5" x14ac:dyDescent="0.3">
      <c r="B1628" s="55">
        <v>44148</v>
      </c>
      <c r="C1628" s="54">
        <v>2383.0500000000002</v>
      </c>
      <c r="D1628" s="56">
        <f t="shared" si="28"/>
        <v>-0.35825658426240103</v>
      </c>
      <c r="E1628" s="64">
        <v>-7.1866016747906825E-3</v>
      </c>
    </row>
    <row r="1629" spans="2:5" x14ac:dyDescent="0.3">
      <c r="B1629" s="55">
        <v>45140</v>
      </c>
      <c r="C1629" s="54">
        <v>3713.4</v>
      </c>
      <c r="D1629" s="56">
        <f t="shared" si="28"/>
        <v>6.0925960315986405E-2</v>
      </c>
      <c r="E1629" s="64">
        <v>-7.1919364756838355E-3</v>
      </c>
    </row>
    <row r="1630" spans="2:5" x14ac:dyDescent="0.3">
      <c r="B1630" s="55">
        <v>44979</v>
      </c>
      <c r="C1630" s="54">
        <v>3500.15</v>
      </c>
      <c r="D1630" s="56">
        <f t="shared" si="28"/>
        <v>-9.843391803827628E-2</v>
      </c>
      <c r="E1630" s="64">
        <v>-7.2186294531426665E-3</v>
      </c>
    </row>
    <row r="1631" spans="2:5" x14ac:dyDescent="0.3">
      <c r="B1631" s="55">
        <v>44886</v>
      </c>
      <c r="C1631" s="54">
        <v>3882.3</v>
      </c>
      <c r="D1631" s="56">
        <f t="shared" si="28"/>
        <v>1.2519141531322506</v>
      </c>
      <c r="E1631" s="64">
        <v>-7.2367411650385849E-3</v>
      </c>
    </row>
    <row r="1632" spans="2:5" x14ac:dyDescent="0.3">
      <c r="B1632" s="55">
        <v>43810</v>
      </c>
      <c r="C1632" s="54">
        <v>1724</v>
      </c>
      <c r="D1632" s="56">
        <f t="shared" si="28"/>
        <v>-0.57934290629155638</v>
      </c>
      <c r="E1632" s="64">
        <v>-7.2555568351951871E-3</v>
      </c>
    </row>
    <row r="1633" spans="2:5" x14ac:dyDescent="0.3">
      <c r="B1633" s="55">
        <v>44879</v>
      </c>
      <c r="C1633" s="54">
        <v>4098.3500000000004</v>
      </c>
      <c r="D1633" s="56">
        <f t="shared" si="28"/>
        <v>5.6085242353183906E-2</v>
      </c>
      <c r="E1633" s="64">
        <v>-7.2668257294076222E-3</v>
      </c>
    </row>
    <row r="1634" spans="2:5" x14ac:dyDescent="0.3">
      <c r="B1634" s="55">
        <v>46069</v>
      </c>
      <c r="C1634" s="54">
        <v>3880.7</v>
      </c>
      <c r="D1634" s="56">
        <f t="shared" si="28"/>
        <v>-4.9477061748352757E-2</v>
      </c>
      <c r="E1634" s="64">
        <v>-7.2904942187660415E-3</v>
      </c>
    </row>
    <row r="1635" spans="2:5" x14ac:dyDescent="0.3">
      <c r="B1635" s="55">
        <v>45799</v>
      </c>
      <c r="C1635" s="54">
        <v>4082.7</v>
      </c>
      <c r="D1635" s="56">
        <f t="shared" si="28"/>
        <v>0.1097912362726976</v>
      </c>
      <c r="E1635" s="64">
        <v>-7.294478080093425E-3</v>
      </c>
    </row>
    <row r="1636" spans="2:5" x14ac:dyDescent="0.3">
      <c r="B1636" s="55">
        <v>45127</v>
      </c>
      <c r="C1636" s="54">
        <v>3678.8</v>
      </c>
      <c r="D1636" s="56">
        <f t="shared" si="28"/>
        <v>3.2906558849955081E-2</v>
      </c>
      <c r="E1636" s="64">
        <v>-7.2992700729925808E-3</v>
      </c>
    </row>
    <row r="1637" spans="2:5" x14ac:dyDescent="0.3">
      <c r="B1637" s="55">
        <v>45679</v>
      </c>
      <c r="C1637" s="54">
        <v>3561.6</v>
      </c>
      <c r="D1637" s="56">
        <f t="shared" si="28"/>
        <v>-0.14554069453607632</v>
      </c>
      <c r="E1637" s="64">
        <v>-7.302525224371581E-3</v>
      </c>
    </row>
    <row r="1638" spans="2:5" x14ac:dyDescent="0.3">
      <c r="B1638" s="55">
        <v>44634</v>
      </c>
      <c r="C1638" s="54">
        <v>4168.25</v>
      </c>
      <c r="D1638" s="56">
        <f t="shared" si="28"/>
        <v>9.6850165780748343E-2</v>
      </c>
      <c r="E1638" s="64">
        <v>-7.3113516474355711E-3</v>
      </c>
    </row>
    <row r="1639" spans="2:5" x14ac:dyDescent="0.3">
      <c r="B1639" s="55">
        <v>46015</v>
      </c>
      <c r="C1639" s="54">
        <v>3800.2</v>
      </c>
      <c r="D1639" s="56">
        <f t="shared" si="28"/>
        <v>3.3351008144008709E-2</v>
      </c>
      <c r="E1639" s="64">
        <v>-7.3141424168016167E-3</v>
      </c>
    </row>
    <row r="1640" spans="2:5" x14ac:dyDescent="0.3">
      <c r="B1640" s="55">
        <v>45058</v>
      </c>
      <c r="C1640" s="54">
        <v>3677.55</v>
      </c>
      <c r="D1640" s="56">
        <f t="shared" si="28"/>
        <v>3.9369714055577933</v>
      </c>
      <c r="E1640" s="64">
        <v>-7.3151309840335799E-3</v>
      </c>
    </row>
    <row r="1641" spans="2:5" x14ac:dyDescent="0.3">
      <c r="B1641" s="55">
        <v>42872</v>
      </c>
      <c r="C1641" s="54">
        <v>744.9</v>
      </c>
      <c r="D1641" s="56">
        <f t="shared" si="28"/>
        <v>-0.47203912396342762</v>
      </c>
      <c r="E1641" s="64">
        <v>-7.3294243070362031E-3</v>
      </c>
    </row>
    <row r="1642" spans="2:5" x14ac:dyDescent="0.3">
      <c r="B1642" s="55">
        <v>43426</v>
      </c>
      <c r="C1642" s="54">
        <v>1410.9</v>
      </c>
      <c r="D1642" s="56">
        <f t="shared" si="28"/>
        <v>-0.70287459197641367</v>
      </c>
      <c r="E1642" s="64">
        <v>-7.352165195060878E-3</v>
      </c>
    </row>
    <row r="1643" spans="2:5" x14ac:dyDescent="0.3">
      <c r="B1643" s="55">
        <v>44508</v>
      </c>
      <c r="C1643" s="54">
        <v>4748.5</v>
      </c>
      <c r="D1643" s="56">
        <f t="shared" si="28"/>
        <v>0.17076357898370276</v>
      </c>
      <c r="E1643" s="64">
        <v>-7.3583209649433767E-3</v>
      </c>
    </row>
    <row r="1644" spans="2:5" x14ac:dyDescent="0.3">
      <c r="B1644" s="55">
        <v>45855</v>
      </c>
      <c r="C1644" s="54">
        <v>4055.9</v>
      </c>
      <c r="D1644" s="56">
        <f t="shared" si="28"/>
        <v>-0.13089409117694328</v>
      </c>
      <c r="E1644" s="64">
        <v>-7.3666177190405691E-3</v>
      </c>
    </row>
    <row r="1645" spans="2:5" x14ac:dyDescent="0.3">
      <c r="B1645" s="55">
        <v>45455</v>
      </c>
      <c r="C1645" s="54">
        <v>4666.75</v>
      </c>
      <c r="D1645" s="56">
        <f t="shared" si="28"/>
        <v>1.9611357868020303</v>
      </c>
      <c r="E1645" s="64">
        <v>-7.3807016984122065E-3</v>
      </c>
    </row>
    <row r="1646" spans="2:5" x14ac:dyDescent="0.3">
      <c r="B1646" s="55">
        <v>43294</v>
      </c>
      <c r="C1646" s="54">
        <v>1576</v>
      </c>
      <c r="D1646" s="56">
        <f t="shared" si="28"/>
        <v>-0.52673383282533304</v>
      </c>
      <c r="E1646" s="64">
        <v>-7.4004093843489382E-3</v>
      </c>
    </row>
    <row r="1647" spans="2:5" x14ac:dyDescent="0.3">
      <c r="B1647" s="55">
        <v>44391</v>
      </c>
      <c r="C1647" s="54">
        <v>3330.05</v>
      </c>
      <c r="D1647" s="56">
        <f t="shared" si="28"/>
        <v>-6.5078540646012484E-2</v>
      </c>
      <c r="E1647" s="64">
        <v>-7.4366616989567369E-3</v>
      </c>
    </row>
    <row r="1648" spans="2:5" x14ac:dyDescent="0.3">
      <c r="B1648" s="55">
        <v>45657</v>
      </c>
      <c r="C1648" s="54">
        <v>3561.85</v>
      </c>
      <c r="D1648" s="56">
        <f t="shared" si="28"/>
        <v>-7.232844640169489E-3</v>
      </c>
      <c r="E1648" s="64">
        <v>-7.4403310529322919E-3</v>
      </c>
    </row>
    <row r="1649" spans="2:5" x14ac:dyDescent="0.3">
      <c r="B1649" s="55">
        <v>45678</v>
      </c>
      <c r="C1649" s="54">
        <v>3587.8</v>
      </c>
      <c r="D1649" s="56">
        <f t="shared" si="28"/>
        <v>-0.2514968810631506</v>
      </c>
      <c r="E1649" s="64">
        <v>-7.4418347304062715E-3</v>
      </c>
    </row>
    <row r="1650" spans="2:5" x14ac:dyDescent="0.3">
      <c r="B1650" s="55">
        <v>45905</v>
      </c>
      <c r="C1650" s="54">
        <v>4793.3</v>
      </c>
      <c r="D1650" s="56">
        <f t="shared" si="28"/>
        <v>2.488065783728715</v>
      </c>
      <c r="E1650" s="64">
        <v>-7.4544965108814809E-3</v>
      </c>
    </row>
    <row r="1651" spans="2:5" x14ac:dyDescent="0.3">
      <c r="B1651" s="55">
        <v>43495</v>
      </c>
      <c r="C1651" s="54">
        <v>1374.2</v>
      </c>
      <c r="D1651" s="56">
        <f t="shared" si="28"/>
        <v>-0.617927544693747</v>
      </c>
      <c r="E1651" s="64">
        <v>-7.4753530027805715E-3</v>
      </c>
    </row>
    <row r="1652" spans="2:5" x14ac:dyDescent="0.3">
      <c r="B1652" s="55">
        <v>45709</v>
      </c>
      <c r="C1652" s="54">
        <v>3596.7</v>
      </c>
      <c r="D1652" s="56">
        <f t="shared" si="28"/>
        <v>-0.1121780235241846</v>
      </c>
      <c r="E1652" s="64">
        <v>-7.4783376566036619E-3</v>
      </c>
    </row>
    <row r="1653" spans="2:5" x14ac:dyDescent="0.3">
      <c r="B1653" s="55">
        <v>44608</v>
      </c>
      <c r="C1653" s="54">
        <v>4051.15</v>
      </c>
      <c r="D1653" s="56">
        <f t="shared" si="28"/>
        <v>0.23302034666950733</v>
      </c>
      <c r="E1653" s="64">
        <v>-7.4967844674465045E-3</v>
      </c>
    </row>
    <row r="1654" spans="2:5" x14ac:dyDescent="0.3">
      <c r="B1654" s="55">
        <v>44364</v>
      </c>
      <c r="C1654" s="54">
        <v>3285.55</v>
      </c>
      <c r="D1654" s="56">
        <f t="shared" si="28"/>
        <v>1.0588087852868378</v>
      </c>
      <c r="E1654" s="64">
        <v>-7.5066457225713146E-3</v>
      </c>
    </row>
    <row r="1655" spans="2:5" x14ac:dyDescent="0.3">
      <c r="B1655" s="55">
        <v>43264</v>
      </c>
      <c r="C1655" s="54">
        <v>1595.85</v>
      </c>
      <c r="D1655" s="56">
        <f t="shared" si="28"/>
        <v>-0.53570545364618949</v>
      </c>
      <c r="E1655" s="64">
        <v>-7.5251096116173422E-3</v>
      </c>
    </row>
    <row r="1656" spans="2:5" x14ac:dyDescent="0.3">
      <c r="B1656" s="55">
        <v>44991</v>
      </c>
      <c r="C1656" s="54">
        <v>3437.15</v>
      </c>
      <c r="D1656" s="56">
        <f t="shared" si="28"/>
        <v>-5.4255042101912787E-3</v>
      </c>
      <c r="E1656" s="64">
        <v>-7.5362737313217076E-3</v>
      </c>
    </row>
    <row r="1657" spans="2:5" x14ac:dyDescent="0.3">
      <c r="B1657" s="55">
        <v>45037</v>
      </c>
      <c r="C1657" s="54">
        <v>3455.9</v>
      </c>
      <c r="D1657" s="56">
        <f t="shared" si="28"/>
        <v>-0.24423207295470939</v>
      </c>
      <c r="E1657" s="64">
        <v>-7.5526965711331107E-3</v>
      </c>
    </row>
    <row r="1658" spans="2:5" x14ac:dyDescent="0.3">
      <c r="B1658" s="55">
        <v>45576</v>
      </c>
      <c r="C1658" s="54">
        <v>4572.7</v>
      </c>
      <c r="D1658" s="56">
        <f t="shared" si="28"/>
        <v>0.29369659933231484</v>
      </c>
      <c r="E1658" s="64">
        <v>-7.5529028757460592E-3</v>
      </c>
    </row>
    <row r="1659" spans="2:5" x14ac:dyDescent="0.3">
      <c r="B1659" s="55">
        <v>45163</v>
      </c>
      <c r="C1659" s="54">
        <v>3534.6</v>
      </c>
      <c r="D1659" s="56">
        <f t="shared" si="28"/>
        <v>0.710055879435884</v>
      </c>
      <c r="E1659" s="64">
        <v>-7.5529973325846322E-3</v>
      </c>
    </row>
    <row r="1660" spans="2:5" x14ac:dyDescent="0.3">
      <c r="B1660" s="55">
        <v>43924</v>
      </c>
      <c r="C1660" s="54">
        <v>2066.9499999999998</v>
      </c>
      <c r="D1660" s="56">
        <f t="shared" si="28"/>
        <v>-0.45803398185536748</v>
      </c>
      <c r="E1660" s="64">
        <v>-7.5622989388773876E-3</v>
      </c>
    </row>
    <row r="1661" spans="2:5" x14ac:dyDescent="0.3">
      <c r="B1661" s="55">
        <v>45666</v>
      </c>
      <c r="C1661" s="54">
        <v>3813.8</v>
      </c>
      <c r="D1661" s="56">
        <f t="shared" si="28"/>
        <v>2.0619405082092253</v>
      </c>
      <c r="E1661" s="64">
        <v>-7.5982305490501778E-3</v>
      </c>
    </row>
    <row r="1662" spans="2:5" x14ac:dyDescent="0.3">
      <c r="B1662" s="55">
        <v>43593</v>
      </c>
      <c r="C1662" s="54">
        <v>1245.55</v>
      </c>
      <c r="D1662" s="56">
        <f t="shared" si="28"/>
        <v>-0.18252223279624591</v>
      </c>
      <c r="E1662" s="64">
        <v>-7.6089554617161381E-3</v>
      </c>
    </row>
    <row r="1663" spans="2:5" x14ac:dyDescent="0.3">
      <c r="B1663" s="55">
        <v>43269</v>
      </c>
      <c r="C1663" s="54">
        <v>1523.65</v>
      </c>
      <c r="D1663" s="56">
        <f t="shared" si="28"/>
        <v>-0.16858561606460754</v>
      </c>
      <c r="E1663" s="64">
        <v>-7.6204122838439137E-3</v>
      </c>
    </row>
    <row r="1664" spans="2:5" x14ac:dyDescent="0.3">
      <c r="B1664" s="55">
        <v>43802</v>
      </c>
      <c r="C1664" s="54">
        <v>1832.6</v>
      </c>
      <c r="D1664" s="56">
        <f t="shared" si="28"/>
        <v>-0.63201542137708078</v>
      </c>
      <c r="E1664" s="64">
        <v>-7.6352412411329063E-3</v>
      </c>
    </row>
    <row r="1665" spans="2:5" x14ac:dyDescent="0.3">
      <c r="B1665" s="55">
        <v>45512</v>
      </c>
      <c r="C1665" s="54">
        <v>4980.1000000000004</v>
      </c>
      <c r="D1665" s="56">
        <f t="shared" si="28"/>
        <v>0.322086093154758</v>
      </c>
      <c r="E1665" s="64">
        <v>-7.6516887516189236E-3</v>
      </c>
    </row>
    <row r="1666" spans="2:5" x14ac:dyDescent="0.3">
      <c r="B1666" s="55">
        <v>45218</v>
      </c>
      <c r="C1666" s="54">
        <v>3766.85</v>
      </c>
      <c r="D1666" s="56">
        <f t="shared" si="28"/>
        <v>6.8428068981166268E-2</v>
      </c>
      <c r="E1666" s="64">
        <v>-7.666065148381751E-3</v>
      </c>
    </row>
    <row r="1667" spans="2:5" x14ac:dyDescent="0.3">
      <c r="B1667" s="55">
        <v>44978</v>
      </c>
      <c r="C1667" s="54">
        <v>3525.6</v>
      </c>
      <c r="D1667" s="56">
        <f t="shared" si="28"/>
        <v>2.8159399266149965E-3</v>
      </c>
      <c r="E1667" s="64">
        <v>-7.6698988136284507E-3</v>
      </c>
    </row>
    <row r="1668" spans="2:5" x14ac:dyDescent="0.3">
      <c r="B1668" s="55">
        <v>45644</v>
      </c>
      <c r="C1668" s="54">
        <v>3515.7</v>
      </c>
      <c r="D1668" s="56">
        <f t="shared" ref="D1668:D1731" si="29">C1668/C1669-1</f>
        <v>-8.1655042708251746E-2</v>
      </c>
      <c r="E1668" s="64">
        <v>-7.6913306707686591E-3</v>
      </c>
    </row>
    <row r="1669" spans="2:5" x14ac:dyDescent="0.3">
      <c r="B1669" s="55">
        <v>45307</v>
      </c>
      <c r="C1669" s="54">
        <v>3828.3</v>
      </c>
      <c r="D1669" s="56">
        <f t="shared" si="29"/>
        <v>0.30707774249718334</v>
      </c>
      <c r="E1669" s="64">
        <v>-7.7625866649386754E-3</v>
      </c>
    </row>
    <row r="1670" spans="2:5" x14ac:dyDescent="0.3">
      <c r="B1670" s="55">
        <v>44239</v>
      </c>
      <c r="C1670" s="54">
        <v>2928.9</v>
      </c>
      <c r="D1670" s="56">
        <f t="shared" si="29"/>
        <v>-0.19176003090678295</v>
      </c>
      <c r="E1670" s="64">
        <v>-7.7915918560926833E-3</v>
      </c>
    </row>
    <row r="1671" spans="2:5" x14ac:dyDescent="0.3">
      <c r="B1671" s="55">
        <v>45642</v>
      </c>
      <c r="C1671" s="54">
        <v>3623.8</v>
      </c>
      <c r="D1671" s="56">
        <f t="shared" si="29"/>
        <v>0.571602047011883</v>
      </c>
      <c r="E1671" s="64">
        <v>-7.8033020288584831E-3</v>
      </c>
    </row>
    <row r="1672" spans="2:5" x14ac:dyDescent="0.3">
      <c r="B1672" s="55">
        <v>43949</v>
      </c>
      <c r="C1672" s="54">
        <v>2305.8000000000002</v>
      </c>
      <c r="D1672" s="56">
        <f t="shared" si="29"/>
        <v>-0.43253020943568032</v>
      </c>
      <c r="E1672" s="64">
        <v>-7.8099787000579513E-3</v>
      </c>
    </row>
    <row r="1673" spans="2:5" x14ac:dyDescent="0.3">
      <c r="B1673" s="55">
        <v>44588</v>
      </c>
      <c r="C1673" s="54">
        <v>4063.3</v>
      </c>
      <c r="D1673" s="56">
        <f t="shared" si="29"/>
        <v>6.196748732423818E-2</v>
      </c>
      <c r="E1673" s="64">
        <v>-7.8501751944229925E-3</v>
      </c>
    </row>
    <row r="1674" spans="2:5" x14ac:dyDescent="0.3">
      <c r="B1674" s="55">
        <v>46008</v>
      </c>
      <c r="C1674" s="54">
        <v>3826.2</v>
      </c>
      <c r="D1674" s="56">
        <f t="shared" si="29"/>
        <v>-5.2592482543455721E-2</v>
      </c>
      <c r="E1674" s="64">
        <v>-7.9340385812073366E-3</v>
      </c>
    </row>
    <row r="1675" spans="2:5" x14ac:dyDescent="0.3">
      <c r="B1675" s="55">
        <v>46211</v>
      </c>
      <c r="C1675" s="54">
        <v>4038.6</v>
      </c>
      <c r="D1675" s="56">
        <f t="shared" si="29"/>
        <v>3.5538461538461519E-2</v>
      </c>
      <c r="E1675" s="64">
        <v>-7.9343634085828896E-3</v>
      </c>
    </row>
    <row r="1676" spans="2:5" x14ac:dyDescent="0.3">
      <c r="B1676" s="55">
        <v>46241</v>
      </c>
      <c r="C1676" s="54">
        <v>3900</v>
      </c>
      <c r="D1676" s="56">
        <f t="shared" si="29"/>
        <v>-0.15837631368825389</v>
      </c>
      <c r="E1676" s="64">
        <v>-7.9365079365079083E-3</v>
      </c>
    </row>
    <row r="1677" spans="2:5" x14ac:dyDescent="0.3">
      <c r="B1677" s="55">
        <v>45923</v>
      </c>
      <c r="C1677" s="54">
        <v>4633.8999999999996</v>
      </c>
      <c r="D1677" s="56">
        <f t="shared" si="29"/>
        <v>1.7976574999245329</v>
      </c>
      <c r="E1677" s="64">
        <v>-7.9851001883884942E-3</v>
      </c>
    </row>
    <row r="1678" spans="2:5" x14ac:dyDescent="0.3">
      <c r="B1678" s="55">
        <v>43314</v>
      </c>
      <c r="C1678" s="54">
        <v>1656.35</v>
      </c>
      <c r="D1678" s="56">
        <f t="shared" si="29"/>
        <v>-0.25996336341703152</v>
      </c>
      <c r="E1678" s="64">
        <v>-7.995448284123019E-3</v>
      </c>
    </row>
    <row r="1679" spans="2:5" x14ac:dyDescent="0.3">
      <c r="B1679" s="55">
        <v>43942</v>
      </c>
      <c r="C1679" s="54">
        <v>2238.1999999999998</v>
      </c>
      <c r="D1679" s="56">
        <f t="shared" si="29"/>
        <v>-0.26491066736731483</v>
      </c>
      <c r="E1679" s="64">
        <v>-8.0000000000001181E-3</v>
      </c>
    </row>
    <row r="1680" spans="2:5" x14ac:dyDescent="0.3">
      <c r="B1680" s="55">
        <v>44348</v>
      </c>
      <c r="C1680" s="54">
        <v>3044.8</v>
      </c>
      <c r="D1680" s="56">
        <f t="shared" si="29"/>
        <v>-0.14571496710295584</v>
      </c>
      <c r="E1680" s="64">
        <v>-8.0145956864533519E-3</v>
      </c>
    </row>
    <row r="1681" spans="2:5" x14ac:dyDescent="0.3">
      <c r="B1681" s="55">
        <v>44413</v>
      </c>
      <c r="C1681" s="54">
        <v>3564.15</v>
      </c>
      <c r="D1681" s="56">
        <f t="shared" si="29"/>
        <v>-0.23907172365204576</v>
      </c>
      <c r="E1681" s="64">
        <v>-8.0433058265262369E-3</v>
      </c>
    </row>
    <row r="1682" spans="2:5" x14ac:dyDescent="0.3">
      <c r="B1682" s="55">
        <v>44559</v>
      </c>
      <c r="C1682" s="54">
        <v>4683.95</v>
      </c>
      <c r="D1682" s="56">
        <f t="shared" si="29"/>
        <v>2.2058793333561479</v>
      </c>
      <c r="E1682" s="64">
        <v>-8.0475227395461202E-3</v>
      </c>
    </row>
    <row r="1683" spans="2:5" x14ac:dyDescent="0.3">
      <c r="B1683" s="55">
        <v>43517</v>
      </c>
      <c r="C1683" s="54">
        <v>1461.05</v>
      </c>
      <c r="D1683" s="56">
        <f t="shared" si="29"/>
        <v>-0.29284642563283481</v>
      </c>
      <c r="E1683" s="64">
        <v>-8.0790250857124546E-3</v>
      </c>
    </row>
    <row r="1684" spans="2:5" x14ac:dyDescent="0.3">
      <c r="B1684" s="55">
        <v>44111</v>
      </c>
      <c r="C1684" s="54">
        <v>2066.1</v>
      </c>
      <c r="D1684" s="56">
        <f t="shared" si="29"/>
        <v>-0.59150627242800802</v>
      </c>
      <c r="E1684" s="64">
        <v>-8.137106646504022E-3</v>
      </c>
    </row>
    <row r="1685" spans="2:5" x14ac:dyDescent="0.3">
      <c r="B1685" s="55">
        <v>45526</v>
      </c>
      <c r="C1685" s="54">
        <v>5057.8500000000004</v>
      </c>
      <c r="D1685" s="56">
        <f t="shared" si="29"/>
        <v>9.7742810634834587E-2</v>
      </c>
      <c r="E1685" s="64">
        <v>-8.1577425016422511E-3</v>
      </c>
    </row>
    <row r="1686" spans="2:5" x14ac:dyDescent="0.3">
      <c r="B1686" s="55">
        <v>45575</v>
      </c>
      <c r="C1686" s="54">
        <v>4607.5</v>
      </c>
      <c r="D1686" s="56">
        <f t="shared" si="29"/>
        <v>0.15958624855287651</v>
      </c>
      <c r="E1686" s="64">
        <v>-8.1586085159511823E-3</v>
      </c>
    </row>
    <row r="1687" spans="2:5" x14ac:dyDescent="0.3">
      <c r="B1687" s="55">
        <v>44650</v>
      </c>
      <c r="C1687" s="54">
        <v>3973.4</v>
      </c>
      <c r="D1687" s="56">
        <f t="shared" si="29"/>
        <v>1.083149837475097</v>
      </c>
      <c r="E1687" s="64">
        <v>-8.1625521080351815E-3</v>
      </c>
    </row>
    <row r="1688" spans="2:5" x14ac:dyDescent="0.3">
      <c r="B1688" s="55">
        <v>43823</v>
      </c>
      <c r="C1688" s="54">
        <v>1907.4</v>
      </c>
      <c r="D1688" s="56">
        <f t="shared" si="29"/>
        <v>-0.19205354117248397</v>
      </c>
      <c r="E1688" s="64">
        <v>-8.1639020331755185E-3</v>
      </c>
    </row>
    <row r="1689" spans="2:5" x14ac:dyDescent="0.3">
      <c r="B1689" s="55">
        <v>44160</v>
      </c>
      <c r="C1689" s="54">
        <v>2360.8000000000002</v>
      </c>
      <c r="D1689" s="56">
        <f t="shared" si="29"/>
        <v>-0.24559413296691002</v>
      </c>
      <c r="E1689" s="64">
        <v>-8.1714105661169212E-3</v>
      </c>
    </row>
    <row r="1690" spans="2:5" x14ac:dyDescent="0.3">
      <c r="B1690" s="55">
        <v>44267</v>
      </c>
      <c r="C1690" s="54">
        <v>3129.35</v>
      </c>
      <c r="D1690" s="56">
        <f t="shared" si="29"/>
        <v>0.71185142638330468</v>
      </c>
      <c r="E1690" s="64">
        <v>-8.1928245436104774E-3</v>
      </c>
    </row>
    <row r="1691" spans="2:5" x14ac:dyDescent="0.3">
      <c r="B1691" s="55">
        <v>43752</v>
      </c>
      <c r="C1691" s="54">
        <v>1828.05</v>
      </c>
      <c r="D1691" s="56">
        <f t="shared" si="29"/>
        <v>-0.535137128253379</v>
      </c>
      <c r="E1691" s="64">
        <v>-8.2194010416667407E-3</v>
      </c>
    </row>
    <row r="1692" spans="2:5" x14ac:dyDescent="0.3">
      <c r="B1692" s="55">
        <v>45595</v>
      </c>
      <c r="C1692" s="54">
        <v>3932.45</v>
      </c>
      <c r="D1692" s="56">
        <f t="shared" si="29"/>
        <v>1.7059693789781525</v>
      </c>
      <c r="E1692" s="64">
        <v>-8.2468506866071323E-3</v>
      </c>
    </row>
    <row r="1693" spans="2:5" x14ac:dyDescent="0.3">
      <c r="B1693" s="55">
        <v>43570</v>
      </c>
      <c r="C1693" s="54">
        <v>1453.25</v>
      </c>
      <c r="D1693" s="56">
        <f t="shared" si="29"/>
        <v>-0.24294123775786614</v>
      </c>
      <c r="E1693" s="64">
        <v>-8.25741290476667E-3</v>
      </c>
    </row>
    <row r="1694" spans="2:5" x14ac:dyDescent="0.3">
      <c r="B1694" s="55">
        <v>43819</v>
      </c>
      <c r="C1694" s="54">
        <v>1919.6</v>
      </c>
      <c r="D1694" s="56">
        <f t="shared" si="29"/>
        <v>-0.43739742086752642</v>
      </c>
      <c r="E1694" s="64">
        <v>-8.2661706964248793E-3</v>
      </c>
    </row>
    <row r="1695" spans="2:5" x14ac:dyDescent="0.3">
      <c r="B1695" s="55">
        <v>44736</v>
      </c>
      <c r="C1695" s="54">
        <v>3412</v>
      </c>
      <c r="D1695" s="56">
        <f t="shared" si="29"/>
        <v>1.3238549293376467</v>
      </c>
      <c r="E1695" s="64">
        <v>-8.2692671016871833E-3</v>
      </c>
    </row>
    <row r="1696" spans="2:5" x14ac:dyDescent="0.3">
      <c r="B1696" s="55">
        <v>43277</v>
      </c>
      <c r="C1696" s="54">
        <v>1468.25</v>
      </c>
      <c r="D1696" s="56">
        <f t="shared" si="29"/>
        <v>-0.66522259590719945</v>
      </c>
      <c r="E1696" s="64">
        <v>-8.2742316784869541E-3</v>
      </c>
    </row>
    <row r="1697" spans="2:5" x14ac:dyDescent="0.3">
      <c r="B1697" s="55">
        <v>44466</v>
      </c>
      <c r="C1697" s="54">
        <v>4385.75</v>
      </c>
      <c r="D1697" s="56">
        <f t="shared" si="29"/>
        <v>0.23915746051479103</v>
      </c>
      <c r="E1697" s="64">
        <v>-8.2761427747691796E-3</v>
      </c>
    </row>
    <row r="1698" spans="2:5" x14ac:dyDescent="0.3">
      <c r="B1698" s="55">
        <v>45161</v>
      </c>
      <c r="C1698" s="54">
        <v>3539.3</v>
      </c>
      <c r="D1698" s="56">
        <f t="shared" si="29"/>
        <v>2.1489834957071046</v>
      </c>
      <c r="E1698" s="64">
        <v>-8.293872061419405E-3</v>
      </c>
    </row>
    <row r="1699" spans="2:5" x14ac:dyDescent="0.3">
      <c r="B1699" s="55">
        <v>43075</v>
      </c>
      <c r="C1699" s="54">
        <v>1123.95</v>
      </c>
      <c r="D1699" s="56">
        <f t="shared" si="29"/>
        <v>-0.71641056695178262</v>
      </c>
      <c r="E1699" s="64">
        <v>-8.2939956765339939E-3</v>
      </c>
    </row>
    <row r="1700" spans="2:5" x14ac:dyDescent="0.3">
      <c r="B1700" s="55">
        <v>45992</v>
      </c>
      <c r="C1700" s="54">
        <v>3963.3</v>
      </c>
      <c r="D1700" s="56">
        <f t="shared" si="29"/>
        <v>0.1516199331686765</v>
      </c>
      <c r="E1700" s="64">
        <v>-8.3072688602526812E-3</v>
      </c>
    </row>
    <row r="1701" spans="2:5" x14ac:dyDescent="0.3">
      <c r="B1701" s="55">
        <v>44963</v>
      </c>
      <c r="C1701" s="54">
        <v>3441.5</v>
      </c>
      <c r="D1701" s="56">
        <f t="shared" si="29"/>
        <v>-5.2867679436371606E-2</v>
      </c>
      <c r="E1701" s="64">
        <v>-8.3132825219357498E-3</v>
      </c>
    </row>
    <row r="1702" spans="2:5" x14ac:dyDescent="0.3">
      <c r="B1702" s="55">
        <v>45195</v>
      </c>
      <c r="C1702" s="54">
        <v>3633.6</v>
      </c>
      <c r="D1702" s="56">
        <f t="shared" si="29"/>
        <v>0.66312705968509689</v>
      </c>
      <c r="E1702" s="64">
        <v>-8.3240086242187816E-3</v>
      </c>
    </row>
    <row r="1703" spans="2:5" x14ac:dyDescent="0.3">
      <c r="B1703" s="55">
        <v>44105</v>
      </c>
      <c r="C1703" s="54">
        <v>2184.8000000000002</v>
      </c>
      <c r="D1703" s="56">
        <f t="shared" si="29"/>
        <v>-0.2956007286444311</v>
      </c>
      <c r="E1703" s="64">
        <v>-8.3289835008963919E-3</v>
      </c>
    </row>
    <row r="1704" spans="2:5" x14ac:dyDescent="0.3">
      <c r="B1704" s="55">
        <v>44246</v>
      </c>
      <c r="C1704" s="54">
        <v>3101.65</v>
      </c>
      <c r="D1704" s="56">
        <f t="shared" si="29"/>
        <v>-0.33830055041174201</v>
      </c>
      <c r="E1704" s="64">
        <v>-8.34465670210216E-3</v>
      </c>
    </row>
    <row r="1705" spans="2:5" x14ac:dyDescent="0.3">
      <c r="B1705" s="55">
        <v>44566</v>
      </c>
      <c r="C1705" s="54">
        <v>4687.3999999999996</v>
      </c>
      <c r="D1705" s="56">
        <f t="shared" si="29"/>
        <v>1.5667506297229217</v>
      </c>
      <c r="E1705" s="64">
        <v>-8.3669173568580169E-3</v>
      </c>
    </row>
    <row r="1706" spans="2:5" x14ac:dyDescent="0.3">
      <c r="B1706" s="55">
        <v>43789</v>
      </c>
      <c r="C1706" s="54">
        <v>1826.2</v>
      </c>
      <c r="D1706" s="56">
        <f t="shared" si="29"/>
        <v>0.28244382022471903</v>
      </c>
      <c r="E1706" s="64">
        <v>-8.389216192001725E-3</v>
      </c>
    </row>
    <row r="1707" spans="2:5" x14ac:dyDescent="0.3">
      <c r="B1707" s="55">
        <v>43410</v>
      </c>
      <c r="C1707" s="54">
        <v>1424</v>
      </c>
      <c r="D1707" s="56">
        <f t="shared" si="29"/>
        <v>-0.6128751631143976</v>
      </c>
      <c r="E1707" s="64">
        <v>-8.3910727342362268E-3</v>
      </c>
    </row>
    <row r="1708" spans="2:5" x14ac:dyDescent="0.3">
      <c r="B1708" s="55">
        <v>45628</v>
      </c>
      <c r="C1708" s="54">
        <v>3678.4</v>
      </c>
      <c r="D1708" s="56">
        <f t="shared" si="29"/>
        <v>2.2288922238897335E-2</v>
      </c>
      <c r="E1708" s="64">
        <v>-8.4106103083889661E-3</v>
      </c>
    </row>
    <row r="1709" spans="2:5" x14ac:dyDescent="0.3">
      <c r="B1709" s="55">
        <v>45148</v>
      </c>
      <c r="C1709" s="54">
        <v>3598.2</v>
      </c>
      <c r="D1709" s="56">
        <f t="shared" si="29"/>
        <v>7.4394231199892413E-2</v>
      </c>
      <c r="E1709" s="64">
        <v>-8.418877023768534E-3</v>
      </c>
    </row>
    <row r="1710" spans="2:5" x14ac:dyDescent="0.3">
      <c r="B1710" s="55">
        <v>44389</v>
      </c>
      <c r="C1710" s="54">
        <v>3349.05</v>
      </c>
      <c r="D1710" s="56">
        <f t="shared" si="29"/>
        <v>-0.13886246175207628</v>
      </c>
      <c r="E1710" s="64">
        <v>-8.4527475130269369E-3</v>
      </c>
    </row>
    <row r="1711" spans="2:5" x14ac:dyDescent="0.3">
      <c r="B1711" s="55">
        <v>45603</v>
      </c>
      <c r="C1711" s="54">
        <v>3889.1</v>
      </c>
      <c r="D1711" s="56">
        <f t="shared" si="29"/>
        <v>-0.26608291974108822</v>
      </c>
      <c r="E1711" s="64">
        <v>-8.4644213854117023E-3</v>
      </c>
    </row>
    <row r="1712" spans="2:5" x14ac:dyDescent="0.3">
      <c r="B1712" s="55">
        <v>45546</v>
      </c>
      <c r="C1712" s="54">
        <v>5299.1</v>
      </c>
      <c r="D1712" s="56">
        <f t="shared" si="29"/>
        <v>0.59820849607166027</v>
      </c>
      <c r="E1712" s="64">
        <v>-8.4761619639247554E-3</v>
      </c>
    </row>
    <row r="1713" spans="2:5" x14ac:dyDescent="0.3">
      <c r="B1713" s="55">
        <v>44378</v>
      </c>
      <c r="C1713" s="54">
        <v>3315.65</v>
      </c>
      <c r="D1713" s="56">
        <f t="shared" si="29"/>
        <v>-0.1825320512820513</v>
      </c>
      <c r="E1713" s="64">
        <v>-8.5075207081127813E-3</v>
      </c>
    </row>
    <row r="1714" spans="2:5" x14ac:dyDescent="0.3">
      <c r="B1714" s="55">
        <v>44669</v>
      </c>
      <c r="C1714" s="54">
        <v>4056</v>
      </c>
      <c r="D1714" s="56">
        <f t="shared" si="29"/>
        <v>-0.12500404491473316</v>
      </c>
      <c r="E1714" s="64">
        <v>-8.531130069177939E-3</v>
      </c>
    </row>
    <row r="1715" spans="2:5" x14ac:dyDescent="0.3">
      <c r="B1715" s="55">
        <v>44498</v>
      </c>
      <c r="C1715" s="54">
        <v>4635.45</v>
      </c>
      <c r="D1715" s="56">
        <f t="shared" si="29"/>
        <v>1.3296645307199397</v>
      </c>
      <c r="E1715" s="64">
        <v>-8.5977350742677539E-3</v>
      </c>
    </row>
    <row r="1716" spans="2:5" x14ac:dyDescent="0.3">
      <c r="B1716" s="55">
        <v>44029</v>
      </c>
      <c r="C1716" s="54">
        <v>1989.75</v>
      </c>
      <c r="D1716" s="56">
        <f t="shared" si="29"/>
        <v>-0.50286078352988206</v>
      </c>
      <c r="E1716" s="64">
        <v>-8.6196158541141932E-3</v>
      </c>
    </row>
    <row r="1717" spans="2:5" x14ac:dyDescent="0.3">
      <c r="B1717" s="55">
        <v>44904</v>
      </c>
      <c r="C1717" s="54">
        <v>4002.4</v>
      </c>
      <c r="D1717" s="56">
        <f t="shared" si="29"/>
        <v>2.533972010065781</v>
      </c>
      <c r="E1717" s="64">
        <v>-8.6198355295749041E-3</v>
      </c>
    </row>
    <row r="1718" spans="2:5" x14ac:dyDescent="0.3">
      <c r="B1718" s="55">
        <v>43077</v>
      </c>
      <c r="C1718" s="54">
        <v>1132.55</v>
      </c>
      <c r="D1718" s="56">
        <f t="shared" si="29"/>
        <v>-0.73168044729796966</v>
      </c>
      <c r="E1718" s="64">
        <v>-8.6221988795519566E-3</v>
      </c>
    </row>
    <row r="1719" spans="2:5" x14ac:dyDescent="0.3">
      <c r="B1719" s="55">
        <v>45958</v>
      </c>
      <c r="C1719" s="54">
        <v>4220.8999999999996</v>
      </c>
      <c r="D1719" s="56">
        <f t="shared" si="29"/>
        <v>0.11353233699595022</v>
      </c>
      <c r="E1719" s="64">
        <v>-8.6897296789497647E-3</v>
      </c>
    </row>
    <row r="1720" spans="2:5" x14ac:dyDescent="0.3">
      <c r="B1720" s="55">
        <v>45614</v>
      </c>
      <c r="C1720" s="54">
        <v>3790.55</v>
      </c>
      <c r="D1720" s="56">
        <f t="shared" si="29"/>
        <v>9.0429204303549948E-2</v>
      </c>
      <c r="E1720" s="64">
        <v>-8.7085005949500971E-3</v>
      </c>
    </row>
    <row r="1721" spans="2:5" x14ac:dyDescent="0.3">
      <c r="B1721" s="55">
        <v>45035</v>
      </c>
      <c r="C1721" s="54">
        <v>3476.2</v>
      </c>
      <c r="D1721" s="56">
        <f t="shared" si="29"/>
        <v>1.8156487931313787</v>
      </c>
      <c r="E1721" s="64">
        <v>-8.7259039580245279E-3</v>
      </c>
    </row>
    <row r="1722" spans="2:5" x14ac:dyDescent="0.3">
      <c r="B1722" s="55">
        <v>43112</v>
      </c>
      <c r="C1722" s="54">
        <v>1234.5999999999999</v>
      </c>
      <c r="D1722" s="56">
        <f t="shared" si="29"/>
        <v>-0.68326128506740891</v>
      </c>
      <c r="E1722" s="64">
        <v>-8.7515054195103081E-3</v>
      </c>
    </row>
    <row r="1723" spans="2:5" x14ac:dyDescent="0.3">
      <c r="B1723" s="55">
        <v>45295</v>
      </c>
      <c r="C1723" s="54">
        <v>3897.85</v>
      </c>
      <c r="D1723" s="56">
        <f t="shared" si="29"/>
        <v>1.674431369858314</v>
      </c>
      <c r="E1723" s="64">
        <v>-8.7733797856244244E-3</v>
      </c>
    </row>
    <row r="1724" spans="2:5" x14ac:dyDescent="0.3">
      <c r="B1724" s="55">
        <v>43531</v>
      </c>
      <c r="C1724" s="54">
        <v>1457.45</v>
      </c>
      <c r="D1724" s="56">
        <f t="shared" si="29"/>
        <v>-0.636559729685922</v>
      </c>
      <c r="E1724" s="64">
        <v>-8.7734212942496281E-3</v>
      </c>
    </row>
    <row r="1725" spans="2:5" x14ac:dyDescent="0.3">
      <c r="B1725" s="55">
        <v>45278</v>
      </c>
      <c r="C1725" s="54">
        <v>4010.15</v>
      </c>
      <c r="D1725" s="56">
        <f t="shared" si="29"/>
        <v>1.6701401604687556</v>
      </c>
      <c r="E1725" s="64">
        <v>-8.7748569451139291E-3</v>
      </c>
    </row>
    <row r="1726" spans="2:5" x14ac:dyDescent="0.3">
      <c r="B1726" s="55">
        <v>43364</v>
      </c>
      <c r="C1726" s="54">
        <v>1501.85</v>
      </c>
      <c r="D1726" s="56">
        <f t="shared" si="29"/>
        <v>-0.17695574736265252</v>
      </c>
      <c r="E1726" s="64">
        <v>-8.7780087780089389E-3</v>
      </c>
    </row>
    <row r="1727" spans="2:5" x14ac:dyDescent="0.3">
      <c r="B1727" s="55">
        <v>43804</v>
      </c>
      <c r="C1727" s="54">
        <v>1824.75</v>
      </c>
      <c r="D1727" s="56">
        <f t="shared" si="29"/>
        <v>-0.52769509512100421</v>
      </c>
      <c r="E1727" s="64">
        <v>-8.7998044487900273E-3</v>
      </c>
    </row>
    <row r="1728" spans="2:5" x14ac:dyDescent="0.3">
      <c r="B1728" s="55">
        <v>45296</v>
      </c>
      <c r="C1728" s="54">
        <v>3863.5</v>
      </c>
      <c r="D1728" s="56">
        <f t="shared" si="29"/>
        <v>0.11131885517043005</v>
      </c>
      <c r="E1728" s="64">
        <v>-8.8125505086137368E-3</v>
      </c>
    </row>
    <row r="1729" spans="2:5" x14ac:dyDescent="0.3">
      <c r="B1729" s="55">
        <v>45671</v>
      </c>
      <c r="C1729" s="54">
        <v>3476.5</v>
      </c>
      <c r="D1729" s="56">
        <f t="shared" si="29"/>
        <v>1.962505325948019</v>
      </c>
      <c r="E1729" s="64">
        <v>-8.8240744700565088E-3</v>
      </c>
    </row>
    <row r="1730" spans="2:5" x14ac:dyDescent="0.3">
      <c r="B1730" s="55">
        <v>43147</v>
      </c>
      <c r="C1730" s="54">
        <v>1173.5</v>
      </c>
      <c r="D1730" s="56">
        <f t="shared" si="29"/>
        <v>-0.69787469587940731</v>
      </c>
      <c r="E1730" s="64">
        <v>-8.8263862494193379E-3</v>
      </c>
    </row>
    <row r="1731" spans="2:5" x14ac:dyDescent="0.3">
      <c r="B1731" s="55">
        <v>45352</v>
      </c>
      <c r="C1731" s="54">
        <v>3884.15</v>
      </c>
      <c r="D1731" s="56">
        <f t="shared" si="29"/>
        <v>-0.23553897931468826</v>
      </c>
      <c r="E1731" s="64">
        <v>-8.8672841868892016E-3</v>
      </c>
    </row>
    <row r="1732" spans="2:5" x14ac:dyDescent="0.3">
      <c r="B1732" s="55">
        <v>44518</v>
      </c>
      <c r="C1732" s="54">
        <v>5080.8999999999996</v>
      </c>
      <c r="D1732" s="56">
        <f t="shared" ref="D1732:D1795" si="30">C1732/C1733-1</f>
        <v>0.80702409531430597</v>
      </c>
      <c r="E1732" s="64">
        <v>-8.8756242197253199E-3</v>
      </c>
    </row>
    <row r="1733" spans="2:5" x14ac:dyDescent="0.3">
      <c r="B1733" s="55">
        <v>44223</v>
      </c>
      <c r="C1733" s="54">
        <v>2811.75</v>
      </c>
      <c r="D1733" s="56">
        <f t="shared" si="30"/>
        <v>0.90575437169581119</v>
      </c>
      <c r="E1733" s="64">
        <v>-8.9002467395136176E-3</v>
      </c>
    </row>
    <row r="1734" spans="2:5" x14ac:dyDescent="0.3">
      <c r="B1734" s="55">
        <v>43210</v>
      </c>
      <c r="C1734" s="54">
        <v>1475.4</v>
      </c>
      <c r="D1734" s="56">
        <f t="shared" si="30"/>
        <v>0.27189655172413807</v>
      </c>
      <c r="E1734" s="64">
        <v>-8.9006818258153819E-3</v>
      </c>
    </row>
    <row r="1735" spans="2:5" x14ac:dyDescent="0.3">
      <c r="B1735" s="55">
        <v>43102</v>
      </c>
      <c r="C1735" s="54">
        <v>1160</v>
      </c>
      <c r="D1735" s="56">
        <f t="shared" si="30"/>
        <v>-0.74726016950998975</v>
      </c>
      <c r="E1735" s="64">
        <v>-8.9705254164886838E-3</v>
      </c>
    </row>
    <row r="1736" spans="2:5" x14ac:dyDescent="0.3">
      <c r="B1736" s="55">
        <v>45911</v>
      </c>
      <c r="C1736" s="54">
        <v>4589.7</v>
      </c>
      <c r="D1736" s="56">
        <f t="shared" si="30"/>
        <v>0.6178004934790271</v>
      </c>
      <c r="E1736" s="64">
        <v>-8.9823591648133805E-3</v>
      </c>
    </row>
    <row r="1737" spans="2:5" x14ac:dyDescent="0.3">
      <c r="B1737" s="55">
        <v>44221</v>
      </c>
      <c r="C1737" s="54">
        <v>2837</v>
      </c>
      <c r="D1737" s="56">
        <f t="shared" si="30"/>
        <v>0.75861641457971718</v>
      </c>
      <c r="E1737" s="64">
        <v>-8.9948476115623288E-3</v>
      </c>
    </row>
    <row r="1738" spans="2:5" x14ac:dyDescent="0.3">
      <c r="B1738" s="55">
        <v>43321</v>
      </c>
      <c r="C1738" s="54">
        <v>1613.2</v>
      </c>
      <c r="D1738" s="56">
        <f t="shared" si="30"/>
        <v>-0.65264948431410552</v>
      </c>
      <c r="E1738" s="64">
        <v>-8.9996007003101397E-3</v>
      </c>
    </row>
    <row r="1739" spans="2:5" x14ac:dyDescent="0.3">
      <c r="B1739" s="55">
        <v>45398</v>
      </c>
      <c r="C1739" s="54">
        <v>4644.3</v>
      </c>
      <c r="D1739" s="56">
        <f t="shared" si="30"/>
        <v>0.10092330303066221</v>
      </c>
      <c r="E1739" s="64">
        <v>-9.0680208244431348E-3</v>
      </c>
    </row>
    <row r="1740" spans="2:5" x14ac:dyDescent="0.3">
      <c r="B1740" s="55">
        <v>44475</v>
      </c>
      <c r="C1740" s="54">
        <v>4218.55</v>
      </c>
      <c r="D1740" s="56">
        <f t="shared" si="30"/>
        <v>0.12389769548421481</v>
      </c>
      <c r="E1740" s="64">
        <v>-9.1020130129424448E-3</v>
      </c>
    </row>
    <row r="1741" spans="2:5" x14ac:dyDescent="0.3">
      <c r="B1741" s="55">
        <v>46021</v>
      </c>
      <c r="C1741" s="54">
        <v>3753.5</v>
      </c>
      <c r="D1741" s="56">
        <f t="shared" si="30"/>
        <v>2.2067492524562153</v>
      </c>
      <c r="E1741" s="64">
        <v>-9.1077085533263213E-3</v>
      </c>
    </row>
    <row r="1742" spans="2:5" x14ac:dyDescent="0.3">
      <c r="B1742" s="55">
        <v>43101</v>
      </c>
      <c r="C1742" s="54">
        <v>1170.5</v>
      </c>
      <c r="D1742" s="56">
        <f t="shared" si="30"/>
        <v>-0.20938872002701792</v>
      </c>
      <c r="E1742" s="64">
        <v>-9.1844076691919296E-3</v>
      </c>
    </row>
    <row r="1743" spans="2:5" x14ac:dyDescent="0.3">
      <c r="B1743" s="55">
        <v>43276</v>
      </c>
      <c r="C1743" s="54">
        <v>1480.5</v>
      </c>
      <c r="D1743" s="56">
        <f t="shared" si="30"/>
        <v>-9.4799914401883179E-2</v>
      </c>
      <c r="E1743" s="64">
        <v>-9.201940772962991E-3</v>
      </c>
    </row>
    <row r="1744" spans="2:5" x14ac:dyDescent="0.3">
      <c r="B1744" s="55">
        <v>43318</v>
      </c>
      <c r="C1744" s="54">
        <v>1635.55</v>
      </c>
      <c r="D1744" s="56">
        <f t="shared" si="30"/>
        <v>-0.56943347549097034</v>
      </c>
      <c r="E1744" s="64">
        <v>-9.2079357867635991E-3</v>
      </c>
    </row>
    <row r="1745" spans="2:5" x14ac:dyDescent="0.3">
      <c r="B1745" s="55">
        <v>45208</v>
      </c>
      <c r="C1745" s="54">
        <v>3798.6</v>
      </c>
      <c r="D1745" s="56">
        <f t="shared" si="30"/>
        <v>1.574013213620193</v>
      </c>
      <c r="E1745" s="64">
        <v>-9.2202558718814664E-3</v>
      </c>
    </row>
    <row r="1746" spans="2:5" x14ac:dyDescent="0.3">
      <c r="B1746" s="55">
        <v>43214</v>
      </c>
      <c r="C1746" s="54">
        <v>1475.75</v>
      </c>
      <c r="D1746" s="56">
        <f t="shared" si="30"/>
        <v>-0.51261600449156175</v>
      </c>
      <c r="E1746" s="64">
        <v>-9.2312856663310239E-3</v>
      </c>
    </row>
    <row r="1747" spans="2:5" x14ac:dyDescent="0.3">
      <c r="B1747" s="55">
        <v>44335</v>
      </c>
      <c r="C1747" s="54">
        <v>3027.9</v>
      </c>
      <c r="D1747" s="56">
        <f t="shared" si="30"/>
        <v>-0.12749434495079737</v>
      </c>
      <c r="E1747" s="64">
        <v>-9.2922815168667849E-3</v>
      </c>
    </row>
    <row r="1748" spans="2:5" x14ac:dyDescent="0.3">
      <c r="B1748" s="55">
        <v>44960</v>
      </c>
      <c r="C1748" s="54">
        <v>3470.35</v>
      </c>
      <c r="D1748" s="56">
        <f t="shared" si="30"/>
        <v>3.0220718113134648E-2</v>
      </c>
      <c r="E1748" s="64">
        <v>-9.2923006651631779E-3</v>
      </c>
    </row>
    <row r="1749" spans="2:5" x14ac:dyDescent="0.3">
      <c r="B1749" s="55">
        <v>45064</v>
      </c>
      <c r="C1749" s="54">
        <v>3368.55</v>
      </c>
      <c r="D1749" s="56">
        <f t="shared" si="30"/>
        <v>-0.11544824326453429</v>
      </c>
      <c r="E1749" s="64">
        <v>-9.3082759837656015E-3</v>
      </c>
    </row>
    <row r="1750" spans="2:5" x14ac:dyDescent="0.3">
      <c r="B1750" s="55">
        <v>46100</v>
      </c>
      <c r="C1750" s="54">
        <v>3808.2</v>
      </c>
      <c r="D1750" s="56">
        <f t="shared" si="30"/>
        <v>-0.20767318235251286</v>
      </c>
      <c r="E1750" s="64">
        <v>-9.3132154006243528E-3</v>
      </c>
    </row>
    <row r="1751" spans="2:5" x14ac:dyDescent="0.3">
      <c r="B1751" s="55">
        <v>45482</v>
      </c>
      <c r="C1751" s="54">
        <v>4806.3500000000004</v>
      </c>
      <c r="D1751" s="56">
        <f t="shared" si="30"/>
        <v>1.0362438569733943</v>
      </c>
      <c r="E1751" s="64">
        <v>-9.3166101555173242E-3</v>
      </c>
    </row>
    <row r="1752" spans="2:5" x14ac:dyDescent="0.3">
      <c r="B1752" s="55">
        <v>44158</v>
      </c>
      <c r="C1752" s="54">
        <v>2360.4</v>
      </c>
      <c r="D1752" s="56">
        <f t="shared" si="30"/>
        <v>0.6520156774916015</v>
      </c>
      <c r="E1752" s="64">
        <v>-9.3175522538402333E-3</v>
      </c>
    </row>
    <row r="1753" spans="2:5" x14ac:dyDescent="0.3">
      <c r="B1753" s="55">
        <v>43509</v>
      </c>
      <c r="C1753" s="54">
        <v>1428.8</v>
      </c>
      <c r="D1753" s="56">
        <f t="shared" si="30"/>
        <v>-0.66839185833313985</v>
      </c>
      <c r="E1753" s="64">
        <v>-9.3257063615878044E-3</v>
      </c>
    </row>
    <row r="1754" spans="2:5" x14ac:dyDescent="0.3">
      <c r="B1754" s="55">
        <v>44825</v>
      </c>
      <c r="C1754" s="54">
        <v>4308.7</v>
      </c>
      <c r="D1754" s="56">
        <f t="shared" si="30"/>
        <v>-8.2826003661288339E-2</v>
      </c>
      <c r="E1754" s="64">
        <v>-9.3348354907687447E-3</v>
      </c>
    </row>
    <row r="1755" spans="2:5" x14ac:dyDescent="0.3">
      <c r="B1755" s="55">
        <v>44547</v>
      </c>
      <c r="C1755" s="54">
        <v>4697.8</v>
      </c>
      <c r="D1755" s="56">
        <f t="shared" si="30"/>
        <v>4.7844221890125604E-2</v>
      </c>
      <c r="E1755" s="64">
        <v>-9.3418527656523587E-3</v>
      </c>
    </row>
    <row r="1756" spans="2:5" x14ac:dyDescent="0.3">
      <c r="B1756" s="55">
        <v>45383</v>
      </c>
      <c r="C1756" s="54">
        <v>4483.3</v>
      </c>
      <c r="D1756" s="56">
        <f t="shared" si="30"/>
        <v>2.0035842293906811</v>
      </c>
      <c r="E1756" s="64">
        <v>-9.346826940074271E-3</v>
      </c>
    </row>
    <row r="1757" spans="2:5" x14ac:dyDescent="0.3">
      <c r="B1757" s="55">
        <v>43208</v>
      </c>
      <c r="C1757" s="54">
        <v>1492.65</v>
      </c>
      <c r="D1757" s="56">
        <f t="shared" si="30"/>
        <v>-0.57185882082980766</v>
      </c>
      <c r="E1757" s="64">
        <v>-9.3907618794796255E-3</v>
      </c>
    </row>
    <row r="1758" spans="2:5" x14ac:dyDescent="0.3">
      <c r="B1758" s="55">
        <v>44734</v>
      </c>
      <c r="C1758" s="54">
        <v>3486.35</v>
      </c>
      <c r="D1758" s="56">
        <f t="shared" si="30"/>
        <v>-0.1296636085626911</v>
      </c>
      <c r="E1758" s="64">
        <v>-9.4330241081956867E-3</v>
      </c>
    </row>
    <row r="1759" spans="2:5" x14ac:dyDescent="0.3">
      <c r="B1759" s="55">
        <v>44897</v>
      </c>
      <c r="C1759" s="54">
        <v>4005.75</v>
      </c>
      <c r="D1759" s="56">
        <f t="shared" si="30"/>
        <v>3.5478542234332426</v>
      </c>
      <c r="E1759" s="64">
        <v>-9.4951967656986547E-3</v>
      </c>
    </row>
    <row r="1760" spans="2:5" x14ac:dyDescent="0.3">
      <c r="B1760" s="55">
        <v>42957</v>
      </c>
      <c r="C1760" s="54">
        <v>880.8</v>
      </c>
      <c r="D1760" s="56">
        <f t="shared" si="30"/>
        <v>-0.81014581784086137</v>
      </c>
      <c r="E1760" s="64">
        <v>-9.5023896542030251E-3</v>
      </c>
    </row>
    <row r="1761" spans="2:5" x14ac:dyDescent="0.3">
      <c r="B1761" s="55">
        <v>44560</v>
      </c>
      <c r="C1761" s="54">
        <v>4639.3500000000004</v>
      </c>
      <c r="D1761" s="56">
        <f t="shared" si="30"/>
        <v>0.21445773670846324</v>
      </c>
      <c r="E1761" s="64">
        <v>-9.5218779021978284E-3</v>
      </c>
    </row>
    <row r="1762" spans="2:5" x14ac:dyDescent="0.3">
      <c r="B1762" s="55">
        <v>44715</v>
      </c>
      <c r="C1762" s="54">
        <v>3820.1</v>
      </c>
      <c r="D1762" s="56">
        <f t="shared" si="30"/>
        <v>-0.11048758906533795</v>
      </c>
      <c r="E1762" s="64">
        <v>-9.541341491871802E-3</v>
      </c>
    </row>
    <row r="1763" spans="2:5" x14ac:dyDescent="0.3">
      <c r="B1763" s="55">
        <v>46198</v>
      </c>
      <c r="C1763" s="54">
        <v>4294.6000000000004</v>
      </c>
      <c r="D1763" s="56">
        <f t="shared" si="30"/>
        <v>1.1812733321482085</v>
      </c>
      <c r="E1763" s="64">
        <v>-9.5479704797046816E-3</v>
      </c>
    </row>
    <row r="1764" spans="2:5" x14ac:dyDescent="0.3">
      <c r="B1764" s="55">
        <v>43777</v>
      </c>
      <c r="C1764" s="54">
        <v>1968.85</v>
      </c>
      <c r="D1764" s="56">
        <f t="shared" si="30"/>
        <v>-0.47933305125085945</v>
      </c>
      <c r="E1764" s="64">
        <v>-9.5580652463717053E-3</v>
      </c>
    </row>
    <row r="1765" spans="2:5" x14ac:dyDescent="0.3">
      <c r="B1765" s="55">
        <v>46098</v>
      </c>
      <c r="C1765" s="54">
        <v>3781.4</v>
      </c>
      <c r="D1765" s="56">
        <f t="shared" si="30"/>
        <v>1.5575056643332998</v>
      </c>
      <c r="E1765" s="64">
        <v>-9.5602294455067183E-3</v>
      </c>
    </row>
    <row r="1766" spans="2:5" x14ac:dyDescent="0.3">
      <c r="B1766" s="55">
        <v>43558</v>
      </c>
      <c r="C1766" s="54">
        <v>1478.55</v>
      </c>
      <c r="D1766" s="56">
        <f t="shared" si="30"/>
        <v>0.64630887429016814</v>
      </c>
      <c r="E1766" s="64">
        <v>-9.5789932009243683E-3</v>
      </c>
    </row>
    <row r="1767" spans="2:5" x14ac:dyDescent="0.3">
      <c r="B1767" s="55">
        <v>42950</v>
      </c>
      <c r="C1767" s="54">
        <v>898.1</v>
      </c>
      <c r="D1767" s="56">
        <f t="shared" si="30"/>
        <v>-0.76490144237061852</v>
      </c>
      <c r="E1767" s="64">
        <v>-9.5941773268636288E-3</v>
      </c>
    </row>
    <row r="1768" spans="2:5" x14ac:dyDescent="0.3">
      <c r="B1768" s="55">
        <v>45112</v>
      </c>
      <c r="C1768" s="54">
        <v>3820.1</v>
      </c>
      <c r="D1768" s="56">
        <f t="shared" si="30"/>
        <v>-0.1825778082103845</v>
      </c>
      <c r="E1768" s="64">
        <v>-9.6183760240589056E-3</v>
      </c>
    </row>
    <row r="1769" spans="2:5" x14ac:dyDescent="0.3">
      <c r="B1769" s="55">
        <v>44529</v>
      </c>
      <c r="C1769" s="54">
        <v>4673.3500000000004</v>
      </c>
      <c r="D1769" s="56">
        <f t="shared" si="30"/>
        <v>0.16915590913639567</v>
      </c>
      <c r="E1769" s="64">
        <v>-9.6211920529800654E-3</v>
      </c>
    </row>
    <row r="1770" spans="2:5" x14ac:dyDescent="0.3">
      <c r="B1770" s="55">
        <v>45979</v>
      </c>
      <c r="C1770" s="54">
        <v>3997.2</v>
      </c>
      <c r="D1770" s="56">
        <f t="shared" si="30"/>
        <v>-0.14806368422174387</v>
      </c>
      <c r="E1770" s="64">
        <v>-9.6625538873197359E-3</v>
      </c>
    </row>
    <row r="1771" spans="2:5" x14ac:dyDescent="0.3">
      <c r="B1771" s="55">
        <v>45890</v>
      </c>
      <c r="C1771" s="54">
        <v>4691.8999999999996</v>
      </c>
      <c r="D1771" s="56">
        <f t="shared" si="30"/>
        <v>3.5596695821185618</v>
      </c>
      <c r="E1771" s="64">
        <v>-9.7089427805567841E-3</v>
      </c>
    </row>
    <row r="1772" spans="2:5" x14ac:dyDescent="0.3">
      <c r="B1772" s="55">
        <v>43003</v>
      </c>
      <c r="C1772" s="54">
        <v>1029</v>
      </c>
      <c r="D1772" s="56">
        <f t="shared" si="30"/>
        <v>-0.73686902265636989</v>
      </c>
      <c r="E1772" s="64">
        <v>-9.7675985180196712E-3</v>
      </c>
    </row>
    <row r="1773" spans="2:5" x14ac:dyDescent="0.3">
      <c r="B1773" s="55">
        <v>44883</v>
      </c>
      <c r="C1773" s="54">
        <v>3910.6</v>
      </c>
      <c r="D1773" s="56">
        <f t="shared" si="30"/>
        <v>7.0722558387865009E-2</v>
      </c>
      <c r="E1773" s="64">
        <v>-9.7741314696647708E-3</v>
      </c>
    </row>
    <row r="1774" spans="2:5" x14ac:dyDescent="0.3">
      <c r="B1774" s="55">
        <v>45639</v>
      </c>
      <c r="C1774" s="54">
        <v>3652.3</v>
      </c>
      <c r="D1774" s="56">
        <f t="shared" si="30"/>
        <v>3.4880426158903077E-2</v>
      </c>
      <c r="E1774" s="64">
        <v>-9.8008648619337668E-3</v>
      </c>
    </row>
    <row r="1775" spans="2:5" x14ac:dyDescent="0.3">
      <c r="B1775" s="55">
        <v>44414</v>
      </c>
      <c r="C1775" s="54">
        <v>3529.2</v>
      </c>
      <c r="D1775" s="56">
        <f t="shared" si="30"/>
        <v>-6.4071284608040791E-2</v>
      </c>
      <c r="E1775" s="64">
        <v>-9.8059845966079751E-3</v>
      </c>
    </row>
    <row r="1776" spans="2:5" x14ac:dyDescent="0.3">
      <c r="B1776" s="55">
        <v>46101</v>
      </c>
      <c r="C1776" s="54">
        <v>3770.8</v>
      </c>
      <c r="D1776" s="56">
        <f t="shared" si="30"/>
        <v>-0.27303573322023111</v>
      </c>
      <c r="E1776" s="64">
        <v>-9.8209127671865515E-3</v>
      </c>
    </row>
    <row r="1777" spans="2:5" x14ac:dyDescent="0.3">
      <c r="B1777" s="55">
        <v>45548</v>
      </c>
      <c r="C1777" s="54">
        <v>5187.05</v>
      </c>
      <c r="D1777" s="56">
        <f t="shared" si="30"/>
        <v>0.19278175086807559</v>
      </c>
      <c r="E1777" s="64">
        <v>-9.8309646753395041E-3</v>
      </c>
    </row>
    <row r="1778" spans="2:5" x14ac:dyDescent="0.3">
      <c r="B1778" s="55">
        <v>45841</v>
      </c>
      <c r="C1778" s="54">
        <v>4348.7</v>
      </c>
      <c r="D1778" s="56">
        <f t="shared" si="30"/>
        <v>9.0118319462548779E-2</v>
      </c>
      <c r="E1778" s="64">
        <v>-9.8362895330038613E-3</v>
      </c>
    </row>
    <row r="1779" spans="2:5" x14ac:dyDescent="0.3">
      <c r="B1779" s="55">
        <v>44676</v>
      </c>
      <c r="C1779" s="54">
        <v>3989.2</v>
      </c>
      <c r="D1779" s="56">
        <f t="shared" si="30"/>
        <v>-7.4420816946832336E-2</v>
      </c>
      <c r="E1779" s="64">
        <v>-9.841518051056819E-3</v>
      </c>
    </row>
    <row r="1780" spans="2:5" x14ac:dyDescent="0.3">
      <c r="B1780" s="55">
        <v>44847</v>
      </c>
      <c r="C1780" s="54">
        <v>4309.95</v>
      </c>
      <c r="D1780" s="56">
        <f t="shared" si="30"/>
        <v>1.7093823668081094</v>
      </c>
      <c r="E1780" s="64">
        <v>-9.8669852282385895E-3</v>
      </c>
    </row>
    <row r="1781" spans="2:5" x14ac:dyDescent="0.3">
      <c r="B1781" s="55">
        <v>43466</v>
      </c>
      <c r="C1781" s="54">
        <v>1590.75</v>
      </c>
      <c r="D1781" s="56">
        <f t="shared" si="30"/>
        <v>0.1701853759011327</v>
      </c>
      <c r="E1781" s="64">
        <v>-9.8963682195873925E-3</v>
      </c>
    </row>
    <row r="1782" spans="2:5" x14ac:dyDescent="0.3">
      <c r="B1782" s="55">
        <v>43658</v>
      </c>
      <c r="C1782" s="54">
        <v>1359.4</v>
      </c>
      <c r="D1782" s="56">
        <f t="shared" si="30"/>
        <v>-0.63738213052002612</v>
      </c>
      <c r="E1782" s="64">
        <v>-9.9053168244719325E-3</v>
      </c>
    </row>
    <row r="1783" spans="2:5" x14ac:dyDescent="0.3">
      <c r="B1783" s="55">
        <v>45309</v>
      </c>
      <c r="C1783" s="54">
        <v>3748.85</v>
      </c>
      <c r="D1783" s="56">
        <f t="shared" si="30"/>
        <v>-6.3279278378851056E-2</v>
      </c>
      <c r="E1783" s="64">
        <v>-9.9301456509395258E-3</v>
      </c>
    </row>
    <row r="1784" spans="2:5" x14ac:dyDescent="0.3">
      <c r="B1784" s="55">
        <v>45807</v>
      </c>
      <c r="C1784" s="54">
        <v>4002.1</v>
      </c>
      <c r="D1784" s="56">
        <f t="shared" si="30"/>
        <v>0.16162832885857337</v>
      </c>
      <c r="E1784" s="64">
        <v>-9.944833386933194E-3</v>
      </c>
    </row>
    <row r="1785" spans="2:5" x14ac:dyDescent="0.3">
      <c r="B1785" s="55">
        <v>44741</v>
      </c>
      <c r="C1785" s="54">
        <v>3445.25</v>
      </c>
      <c r="D1785" s="56">
        <f t="shared" si="30"/>
        <v>-6.2899496804025623E-2</v>
      </c>
      <c r="E1785" s="64">
        <v>-9.9714076351671288E-3</v>
      </c>
    </row>
    <row r="1786" spans="2:5" x14ac:dyDescent="0.3">
      <c r="B1786" s="55">
        <v>45125</v>
      </c>
      <c r="C1786" s="54">
        <v>3676.5</v>
      </c>
      <c r="D1786" s="56">
        <f t="shared" si="30"/>
        <v>-8.5083615369301202E-2</v>
      </c>
      <c r="E1786" s="64">
        <v>-9.9769762087490443E-3</v>
      </c>
    </row>
    <row r="1787" spans="2:5" x14ac:dyDescent="0.3">
      <c r="B1787" s="55">
        <v>45782</v>
      </c>
      <c r="C1787" s="54">
        <v>4018.4</v>
      </c>
      <c r="D1787" s="56">
        <f t="shared" si="30"/>
        <v>7.0873695852043506E-2</v>
      </c>
      <c r="E1787" s="64">
        <v>-1.0051241623965201E-2</v>
      </c>
    </row>
    <row r="1788" spans="2:5" x14ac:dyDescent="0.3">
      <c r="B1788" s="55">
        <v>45615</v>
      </c>
      <c r="C1788" s="54">
        <v>3752.45</v>
      </c>
      <c r="D1788" s="56">
        <f t="shared" si="30"/>
        <v>-0.15262064449111401</v>
      </c>
      <c r="E1788" s="64">
        <v>-1.0051311814908259E-2</v>
      </c>
    </row>
    <row r="1789" spans="2:5" x14ac:dyDescent="0.3">
      <c r="B1789" s="55">
        <v>46128</v>
      </c>
      <c r="C1789" s="54">
        <v>4428.3</v>
      </c>
      <c r="D1789" s="56">
        <f t="shared" si="30"/>
        <v>9.2328564380858458E-2</v>
      </c>
      <c r="E1789" s="64">
        <v>-1.005968747904229E-2</v>
      </c>
    </row>
    <row r="1790" spans="2:5" x14ac:dyDescent="0.3">
      <c r="B1790" s="55">
        <v>44642</v>
      </c>
      <c r="C1790" s="54">
        <v>4054</v>
      </c>
      <c r="D1790" s="56">
        <f t="shared" si="30"/>
        <v>1.7439168838200954</v>
      </c>
      <c r="E1790" s="64">
        <v>-1.0060558702871591E-2</v>
      </c>
    </row>
    <row r="1791" spans="2:5" x14ac:dyDescent="0.3">
      <c r="B1791" s="55">
        <v>43437</v>
      </c>
      <c r="C1791" s="54">
        <v>1477.45</v>
      </c>
      <c r="D1791" s="56">
        <f t="shared" si="30"/>
        <v>0.6293008381120424</v>
      </c>
      <c r="E1791" s="64">
        <v>-1.0083752093802301E-2</v>
      </c>
    </row>
    <row r="1792" spans="2:5" x14ac:dyDescent="0.3">
      <c r="B1792" s="55">
        <v>42949</v>
      </c>
      <c r="C1792" s="54">
        <v>906.8</v>
      </c>
      <c r="D1792" s="56">
        <f t="shared" si="30"/>
        <v>-0.25672131147540989</v>
      </c>
      <c r="E1792" s="64">
        <v>-1.0097702090497207E-2</v>
      </c>
    </row>
    <row r="1793" spans="2:5" x14ac:dyDescent="0.3">
      <c r="B1793" s="55">
        <v>43025</v>
      </c>
      <c r="C1793" s="54">
        <v>1220</v>
      </c>
      <c r="D1793" s="56">
        <f t="shared" si="30"/>
        <v>-0.53529120481468784</v>
      </c>
      <c r="E1793" s="64">
        <v>-1.0101829688831221E-2</v>
      </c>
    </row>
    <row r="1794" spans="2:5" x14ac:dyDescent="0.3">
      <c r="B1794" s="55">
        <v>44174</v>
      </c>
      <c r="C1794" s="54">
        <v>2625.3</v>
      </c>
      <c r="D1794" s="56">
        <f t="shared" si="30"/>
        <v>1.1212831286360703</v>
      </c>
      <c r="E1794" s="64">
        <v>-1.0105199653104968E-2</v>
      </c>
    </row>
    <row r="1795" spans="2:5" x14ac:dyDescent="0.3">
      <c r="B1795" s="55">
        <v>43600</v>
      </c>
      <c r="C1795" s="54">
        <v>1237.5999999999999</v>
      </c>
      <c r="D1795" s="56">
        <f t="shared" si="30"/>
        <v>-9.6426999559878768E-3</v>
      </c>
      <c r="E1795" s="64">
        <v>-1.011797640471912E-2</v>
      </c>
    </row>
    <row r="1796" spans="2:5" x14ac:dyDescent="0.3">
      <c r="B1796" s="55">
        <v>43591</v>
      </c>
      <c r="C1796" s="54">
        <v>1249.6500000000001</v>
      </c>
      <c r="D1796" s="56">
        <f t="shared" ref="D1796:D1859" si="31">C1796/C1797-1</f>
        <v>-0.68467070401211205</v>
      </c>
      <c r="E1796" s="64">
        <v>-1.0139015406550711E-2</v>
      </c>
    </row>
    <row r="1797" spans="2:5" x14ac:dyDescent="0.3">
      <c r="B1797" s="55">
        <v>46065</v>
      </c>
      <c r="C1797" s="54">
        <v>3963</v>
      </c>
      <c r="D1797" s="56">
        <f t="shared" si="31"/>
        <v>1.5215537810581234</v>
      </c>
      <c r="E1797" s="64">
        <v>-1.0165596822938716E-2</v>
      </c>
    </row>
    <row r="1798" spans="2:5" x14ac:dyDescent="0.3">
      <c r="B1798" s="55">
        <v>43476</v>
      </c>
      <c r="C1798" s="54">
        <v>1571.65</v>
      </c>
      <c r="D1798" s="56">
        <f t="shared" si="31"/>
        <v>-0.25742971887550192</v>
      </c>
      <c r="E1798" s="64">
        <v>-1.0171306209850073E-2</v>
      </c>
    </row>
    <row r="1799" spans="2:5" x14ac:dyDescent="0.3">
      <c r="B1799" s="55">
        <v>44053</v>
      </c>
      <c r="C1799" s="54">
        <v>2116.5</v>
      </c>
      <c r="D1799" s="56">
        <f t="shared" si="31"/>
        <v>-0.47104690975432983</v>
      </c>
      <c r="E1799" s="64">
        <v>-1.024130190796857E-2</v>
      </c>
    </row>
    <row r="1800" spans="2:5" x14ac:dyDescent="0.3">
      <c r="B1800" s="55">
        <v>44645</v>
      </c>
      <c r="C1800" s="54">
        <v>4001.3</v>
      </c>
      <c r="D1800" s="56">
        <f t="shared" si="31"/>
        <v>-1.7627851022562591E-2</v>
      </c>
      <c r="E1800" s="64">
        <v>-1.0277403316966915E-2</v>
      </c>
    </row>
    <row r="1801" spans="2:5" x14ac:dyDescent="0.3">
      <c r="B1801" s="55">
        <v>44610</v>
      </c>
      <c r="C1801" s="54">
        <v>4073.1</v>
      </c>
      <c r="D1801" s="56">
        <f t="shared" si="31"/>
        <v>2.818769923120195</v>
      </c>
      <c r="E1801" s="64">
        <v>-1.0278466248724194E-2</v>
      </c>
    </row>
    <row r="1802" spans="2:5" x14ac:dyDescent="0.3">
      <c r="B1802" s="55">
        <v>42984</v>
      </c>
      <c r="C1802" s="54">
        <v>1066.5999999999999</v>
      </c>
      <c r="D1802" s="56">
        <f t="shared" si="31"/>
        <v>-0.75684486492647896</v>
      </c>
      <c r="E1802" s="64">
        <v>-1.0299712350375967E-2</v>
      </c>
    </row>
    <row r="1803" spans="2:5" x14ac:dyDescent="0.3">
      <c r="B1803" s="55">
        <v>46149</v>
      </c>
      <c r="C1803" s="54">
        <v>4386.5</v>
      </c>
      <c r="D1803" s="56">
        <f t="shared" si="31"/>
        <v>0.97728143523631372</v>
      </c>
      <c r="E1803" s="64">
        <v>-1.0310906547538412E-2</v>
      </c>
    </row>
    <row r="1804" spans="2:5" x14ac:dyDescent="0.3">
      <c r="B1804" s="55">
        <v>44076</v>
      </c>
      <c r="C1804" s="54">
        <v>2218.4499999999998</v>
      </c>
      <c r="D1804" s="56">
        <f t="shared" si="31"/>
        <v>0.9883038315034729</v>
      </c>
      <c r="E1804" s="64">
        <v>-1.0327444682369791E-2</v>
      </c>
    </row>
    <row r="1805" spans="2:5" x14ac:dyDescent="0.3">
      <c r="B1805" s="55">
        <v>43081</v>
      </c>
      <c r="C1805" s="54">
        <v>1115.75</v>
      </c>
      <c r="D1805" s="56">
        <f t="shared" si="31"/>
        <v>-0.67857400072020169</v>
      </c>
      <c r="E1805" s="64">
        <v>-1.0333510732659312E-2</v>
      </c>
    </row>
    <row r="1806" spans="2:5" x14ac:dyDescent="0.3">
      <c r="B1806" s="55">
        <v>45077</v>
      </c>
      <c r="C1806" s="54">
        <v>3471.25</v>
      </c>
      <c r="D1806" s="56">
        <f t="shared" si="31"/>
        <v>0.19436750563421468</v>
      </c>
      <c r="E1806" s="64">
        <v>-1.0334996436208166E-2</v>
      </c>
    </row>
    <row r="1807" spans="2:5" x14ac:dyDescent="0.3">
      <c r="B1807" s="55">
        <v>44315</v>
      </c>
      <c r="C1807" s="54">
        <v>2906.35</v>
      </c>
      <c r="D1807" s="56">
        <f t="shared" si="31"/>
        <v>1.6285158722980917</v>
      </c>
      <c r="E1807" s="64">
        <v>-1.0368428221193215E-2</v>
      </c>
    </row>
    <row r="1808" spans="2:5" x14ac:dyDescent="0.3">
      <c r="B1808" s="55">
        <v>43137</v>
      </c>
      <c r="C1808" s="54">
        <v>1105.7</v>
      </c>
      <c r="D1808" s="56">
        <f t="shared" si="31"/>
        <v>-0.72438118503377624</v>
      </c>
      <c r="E1808" s="64">
        <v>-1.0382171305826415E-2</v>
      </c>
    </row>
    <row r="1809" spans="2:5" x14ac:dyDescent="0.3">
      <c r="B1809" s="55">
        <v>44881</v>
      </c>
      <c r="C1809" s="54">
        <v>4011.7</v>
      </c>
      <c r="D1809" s="56">
        <f t="shared" si="31"/>
        <v>-5.2937603054761251E-3</v>
      </c>
      <c r="E1809" s="64">
        <v>-1.0385317479895462E-2</v>
      </c>
    </row>
    <row r="1810" spans="2:5" x14ac:dyDescent="0.3">
      <c r="B1810" s="55">
        <v>45273</v>
      </c>
      <c r="C1810" s="54">
        <v>4033.05</v>
      </c>
      <c r="D1810" s="56">
        <f t="shared" si="31"/>
        <v>-6.1022315867897414E-2</v>
      </c>
      <c r="E1810" s="64">
        <v>-1.0391618000686997E-2</v>
      </c>
    </row>
    <row r="1811" spans="2:5" x14ac:dyDescent="0.3">
      <c r="B1811" s="55">
        <v>44622</v>
      </c>
      <c r="C1811" s="54">
        <v>4295.1499999999996</v>
      </c>
      <c r="D1811" s="56">
        <f t="shared" si="31"/>
        <v>-0.10206236215204845</v>
      </c>
      <c r="E1811" s="64">
        <v>-1.0413906712592458E-2</v>
      </c>
    </row>
    <row r="1812" spans="2:5" x14ac:dyDescent="0.3">
      <c r="B1812" s="55">
        <v>45468</v>
      </c>
      <c r="C1812" s="54">
        <v>4783.3500000000004</v>
      </c>
      <c r="D1812" s="56">
        <f t="shared" si="31"/>
        <v>5.463113092825294</v>
      </c>
      <c r="E1812" s="64">
        <v>-1.0416451165773499E-2</v>
      </c>
    </row>
    <row r="1813" spans="2:5" x14ac:dyDescent="0.3">
      <c r="B1813" s="55">
        <v>42852</v>
      </c>
      <c r="C1813" s="54">
        <v>740.1</v>
      </c>
      <c r="D1813" s="56">
        <f t="shared" si="31"/>
        <v>-0.7444008910224309</v>
      </c>
      <c r="E1813" s="64">
        <v>-1.0429201764941776E-2</v>
      </c>
    </row>
    <row r="1814" spans="2:5" x14ac:dyDescent="0.3">
      <c r="B1814" s="55">
        <v>44210</v>
      </c>
      <c r="C1814" s="54">
        <v>2895.55</v>
      </c>
      <c r="D1814" s="56">
        <f t="shared" si="31"/>
        <v>0.96949394640185016</v>
      </c>
      <c r="E1814" s="64">
        <v>-1.0440518095758744E-2</v>
      </c>
    </row>
    <row r="1815" spans="2:5" x14ac:dyDescent="0.3">
      <c r="B1815" s="55">
        <v>43700</v>
      </c>
      <c r="C1815" s="54">
        <v>1470.2</v>
      </c>
      <c r="D1815" s="56">
        <f t="shared" si="31"/>
        <v>-0.10929359020962071</v>
      </c>
      <c r="E1815" s="64">
        <v>-1.0466094565034445E-2</v>
      </c>
    </row>
    <row r="1816" spans="2:5" x14ac:dyDescent="0.3">
      <c r="B1816" s="55">
        <v>43453</v>
      </c>
      <c r="C1816" s="54">
        <v>1650.6</v>
      </c>
      <c r="D1816" s="56">
        <f t="shared" si="31"/>
        <v>0.58742065781881125</v>
      </c>
      <c r="E1816" s="64">
        <v>-1.0520636633396419E-2</v>
      </c>
    </row>
    <row r="1817" spans="2:5" x14ac:dyDescent="0.3">
      <c r="B1817" s="55">
        <v>42978</v>
      </c>
      <c r="C1817" s="54">
        <v>1039.8</v>
      </c>
      <c r="D1817" s="56">
        <f t="shared" si="31"/>
        <v>-0.71765280908029427</v>
      </c>
      <c r="E1817" s="64">
        <v>-1.0562375107051269E-2</v>
      </c>
    </row>
    <row r="1818" spans="2:5" x14ac:dyDescent="0.3">
      <c r="B1818" s="55">
        <v>45699</v>
      </c>
      <c r="C1818" s="54">
        <v>3682.7</v>
      </c>
      <c r="D1818" s="56">
        <f t="shared" si="31"/>
        <v>0.69272844272844281</v>
      </c>
      <c r="E1818" s="64">
        <v>-1.0572130949342506E-2</v>
      </c>
    </row>
    <row r="1819" spans="2:5" x14ac:dyDescent="0.3">
      <c r="B1819" s="55">
        <v>43957</v>
      </c>
      <c r="C1819" s="54">
        <v>2175.6</v>
      </c>
      <c r="D1819" s="56">
        <f t="shared" si="31"/>
        <v>-2.119044405452819E-2</v>
      </c>
      <c r="E1819" s="64">
        <v>-1.0618704381636701E-2</v>
      </c>
    </row>
    <row r="1820" spans="2:5" x14ac:dyDescent="0.3">
      <c r="B1820" s="55">
        <v>44083</v>
      </c>
      <c r="C1820" s="54">
        <v>2222.6999999999998</v>
      </c>
      <c r="D1820" s="56">
        <f t="shared" si="31"/>
        <v>0.50896130346232171</v>
      </c>
      <c r="E1820" s="64">
        <v>-1.0638297872340496E-2</v>
      </c>
    </row>
    <row r="1821" spans="2:5" x14ac:dyDescent="0.3">
      <c r="B1821" s="55">
        <v>43201</v>
      </c>
      <c r="C1821" s="54">
        <v>1473</v>
      </c>
      <c r="D1821" s="56">
        <f t="shared" si="31"/>
        <v>5.0379719756123764E-2</v>
      </c>
      <c r="E1821" s="64">
        <v>-1.0645800450011733E-2</v>
      </c>
    </row>
    <row r="1822" spans="2:5" x14ac:dyDescent="0.3">
      <c r="B1822" s="55">
        <v>43669</v>
      </c>
      <c r="C1822" s="54">
        <v>1402.35</v>
      </c>
      <c r="D1822" s="56">
        <f t="shared" si="31"/>
        <v>-3.452667814113608E-2</v>
      </c>
      <c r="E1822" s="64">
        <v>-1.0722725829776736E-2</v>
      </c>
    </row>
    <row r="1823" spans="2:5" x14ac:dyDescent="0.3">
      <c r="B1823" s="55">
        <v>43278</v>
      </c>
      <c r="C1823" s="54">
        <v>1452.5</v>
      </c>
      <c r="D1823" s="56">
        <f t="shared" si="31"/>
        <v>-0.64521250610649727</v>
      </c>
      <c r="E1823" s="64">
        <v>-1.0727056019070313E-2</v>
      </c>
    </row>
    <row r="1824" spans="2:5" x14ac:dyDescent="0.3">
      <c r="B1824" s="55">
        <v>45804</v>
      </c>
      <c r="C1824" s="54">
        <v>4094</v>
      </c>
      <c r="D1824" s="56">
        <f t="shared" si="31"/>
        <v>1.7359909112172955</v>
      </c>
      <c r="E1824" s="64">
        <v>-1.0728784071138531E-2</v>
      </c>
    </row>
    <row r="1825" spans="2:5" x14ac:dyDescent="0.3">
      <c r="B1825" s="55">
        <v>43503</v>
      </c>
      <c r="C1825" s="54">
        <v>1496.35</v>
      </c>
      <c r="D1825" s="56">
        <f t="shared" si="31"/>
        <v>-0.22486984899893814</v>
      </c>
      <c r="E1825" s="64">
        <v>-1.0775790830661491E-2</v>
      </c>
    </row>
    <row r="1826" spans="2:5" x14ac:dyDescent="0.3">
      <c r="B1826" s="55">
        <v>43858</v>
      </c>
      <c r="C1826" s="54">
        <v>1930.45</v>
      </c>
      <c r="D1826" s="56">
        <f t="shared" si="31"/>
        <v>-0.48763171165432484</v>
      </c>
      <c r="E1826" s="64">
        <v>-1.0786574429925699E-2</v>
      </c>
    </row>
    <row r="1827" spans="2:5" x14ac:dyDescent="0.3">
      <c r="B1827" s="55">
        <v>45117</v>
      </c>
      <c r="C1827" s="54">
        <v>3767.7</v>
      </c>
      <c r="D1827" s="56">
        <f t="shared" si="31"/>
        <v>-7.0575756080714425E-2</v>
      </c>
      <c r="E1827" s="64">
        <v>-1.0829756232032417E-2</v>
      </c>
    </row>
    <row r="1828" spans="2:5" x14ac:dyDescent="0.3">
      <c r="B1828" s="55">
        <v>44880</v>
      </c>
      <c r="C1828" s="54">
        <v>4053.8</v>
      </c>
      <c r="D1828" s="56">
        <f t="shared" si="31"/>
        <v>-0.19300061712420125</v>
      </c>
      <c r="E1828" s="64">
        <v>-1.087022826259354E-2</v>
      </c>
    </row>
    <row r="1829" spans="2:5" x14ac:dyDescent="0.3">
      <c r="B1829" s="55">
        <v>44515</v>
      </c>
      <c r="C1829" s="54">
        <v>5023.3</v>
      </c>
      <c r="D1829" s="56">
        <f t="shared" si="31"/>
        <v>0.23402896343335833</v>
      </c>
      <c r="E1829" s="64">
        <v>-1.0879089503893824E-2</v>
      </c>
    </row>
    <row r="1830" spans="2:5" x14ac:dyDescent="0.3">
      <c r="B1830" s="55">
        <v>45268</v>
      </c>
      <c r="C1830" s="54">
        <v>4070.65</v>
      </c>
      <c r="D1830" s="56">
        <f t="shared" si="31"/>
        <v>7.5057111542473853E-2</v>
      </c>
      <c r="E1830" s="64">
        <v>-1.0885808356315807E-2</v>
      </c>
    </row>
    <row r="1831" spans="2:5" x14ac:dyDescent="0.3">
      <c r="B1831" s="55">
        <v>45308</v>
      </c>
      <c r="C1831" s="54">
        <v>3786.45</v>
      </c>
      <c r="D1831" s="56">
        <f t="shared" si="31"/>
        <v>6.7935866414952084E-3</v>
      </c>
      <c r="E1831" s="64">
        <v>-1.0931745161037676E-2</v>
      </c>
    </row>
    <row r="1832" spans="2:5" x14ac:dyDescent="0.3">
      <c r="B1832" s="55">
        <v>46085</v>
      </c>
      <c r="C1832" s="54">
        <v>3760.9</v>
      </c>
      <c r="D1832" s="56">
        <f t="shared" si="31"/>
        <v>2.4902324718110531</v>
      </c>
      <c r="E1832" s="64">
        <v>-1.0940170940170968E-2</v>
      </c>
    </row>
    <row r="1833" spans="2:5" x14ac:dyDescent="0.3">
      <c r="B1833" s="55">
        <v>42997</v>
      </c>
      <c r="C1833" s="54">
        <v>1077.55</v>
      </c>
      <c r="D1833" s="56">
        <f t="shared" si="31"/>
        <v>-0.70466754371539775</v>
      </c>
      <c r="E1833" s="64">
        <v>-1.0968334098210186E-2</v>
      </c>
    </row>
    <row r="1834" spans="2:5" x14ac:dyDescent="0.3">
      <c r="B1834" s="55">
        <v>44944</v>
      </c>
      <c r="C1834" s="54">
        <v>3648.6</v>
      </c>
      <c r="D1834" s="56">
        <f t="shared" si="31"/>
        <v>3.3378177441053536E-2</v>
      </c>
      <c r="E1834" s="64">
        <v>-1.1165916851861968E-2</v>
      </c>
    </row>
    <row r="1835" spans="2:5" x14ac:dyDescent="0.3">
      <c r="B1835" s="55">
        <v>45713</v>
      </c>
      <c r="C1835" s="54">
        <v>3530.75</v>
      </c>
      <c r="D1835" s="56">
        <f t="shared" si="31"/>
        <v>1.6523061899038463</v>
      </c>
      <c r="E1835" s="64">
        <v>-1.1243664062281278E-2</v>
      </c>
    </row>
    <row r="1836" spans="2:5" x14ac:dyDescent="0.3">
      <c r="B1836" s="55">
        <v>43378</v>
      </c>
      <c r="C1836" s="54">
        <v>1331.2</v>
      </c>
      <c r="D1836" s="56">
        <f t="shared" si="31"/>
        <v>-0.67026652135143161</v>
      </c>
      <c r="E1836" s="64">
        <v>-1.1252646043005021E-2</v>
      </c>
    </row>
    <row r="1837" spans="2:5" x14ac:dyDescent="0.3">
      <c r="B1837" s="55">
        <v>44903</v>
      </c>
      <c r="C1837" s="54">
        <v>4037.2</v>
      </c>
      <c r="D1837" s="56">
        <f t="shared" si="31"/>
        <v>-5.2100208964335315E-2</v>
      </c>
      <c r="E1837" s="64">
        <v>-1.125356648665865E-2</v>
      </c>
    </row>
    <row r="1838" spans="2:5" x14ac:dyDescent="0.3">
      <c r="B1838" s="55">
        <v>44775</v>
      </c>
      <c r="C1838" s="54">
        <v>4259.1000000000004</v>
      </c>
      <c r="D1838" s="56">
        <f t="shared" si="31"/>
        <v>2.0319273892151632</v>
      </c>
      <c r="E1838" s="64">
        <v>-1.1270646408134244E-2</v>
      </c>
    </row>
    <row r="1839" spans="2:5" x14ac:dyDescent="0.3">
      <c r="B1839" s="55">
        <v>43370</v>
      </c>
      <c r="C1839" s="54">
        <v>1404.75</v>
      </c>
      <c r="D1839" s="56">
        <f t="shared" si="31"/>
        <v>-0.58757816857990075</v>
      </c>
      <c r="E1839" s="64">
        <v>-1.1296452702702631E-2</v>
      </c>
    </row>
    <row r="1840" spans="2:5" x14ac:dyDescent="0.3">
      <c r="B1840" s="55">
        <v>44742</v>
      </c>
      <c r="C1840" s="54">
        <v>3406.1</v>
      </c>
      <c r="D1840" s="56">
        <f t="shared" si="31"/>
        <v>-7.617407342112037E-2</v>
      </c>
      <c r="E1840" s="64">
        <v>-1.1363471446194096E-2</v>
      </c>
    </row>
    <row r="1841" spans="2:5" x14ac:dyDescent="0.3">
      <c r="B1841" s="55">
        <v>45190</v>
      </c>
      <c r="C1841" s="54">
        <v>3686.95</v>
      </c>
      <c r="D1841" s="56">
        <f t="shared" si="31"/>
        <v>-0.29618883087877379</v>
      </c>
      <c r="E1841" s="64">
        <v>-1.1382528020593252E-2</v>
      </c>
    </row>
    <row r="1842" spans="2:5" x14ac:dyDescent="0.3">
      <c r="B1842" s="55">
        <v>45547</v>
      </c>
      <c r="C1842" s="54">
        <v>5238.55</v>
      </c>
      <c r="D1842" s="56">
        <f t="shared" si="31"/>
        <v>0.34670557083729658</v>
      </c>
      <c r="E1842" s="64">
        <v>-1.1426468645619137E-2</v>
      </c>
    </row>
    <row r="1843" spans="2:5" x14ac:dyDescent="0.3">
      <c r="B1843" s="55">
        <v>46059</v>
      </c>
      <c r="C1843" s="54">
        <v>3889.9</v>
      </c>
      <c r="D1843" s="56">
        <f t="shared" si="31"/>
        <v>0.10845467757102556</v>
      </c>
      <c r="E1843" s="64">
        <v>-1.1436122900200796E-2</v>
      </c>
    </row>
    <row r="1844" spans="2:5" x14ac:dyDescent="0.3">
      <c r="B1844" s="55">
        <v>45152</v>
      </c>
      <c r="C1844" s="54">
        <v>3509.3</v>
      </c>
      <c r="D1844" s="56">
        <f t="shared" si="31"/>
        <v>-0.13093115403665179</v>
      </c>
      <c r="E1844" s="64">
        <v>-1.1478711567442734E-2</v>
      </c>
    </row>
    <row r="1845" spans="2:5" x14ac:dyDescent="0.3">
      <c r="B1845" s="55">
        <v>45982</v>
      </c>
      <c r="C1845" s="54">
        <v>4038</v>
      </c>
      <c r="D1845" s="56">
        <f t="shared" si="31"/>
        <v>2.0645467309224754</v>
      </c>
      <c r="E1845" s="64">
        <v>-1.15055079559363E-2</v>
      </c>
    </row>
    <row r="1846" spans="2:5" x14ac:dyDescent="0.3">
      <c r="B1846" s="55">
        <v>43622</v>
      </c>
      <c r="C1846" s="54">
        <v>1317.65</v>
      </c>
      <c r="D1846" s="56">
        <f t="shared" si="31"/>
        <v>-0.41682710394122457</v>
      </c>
      <c r="E1846" s="64">
        <v>-1.1552454896665454E-2</v>
      </c>
    </row>
    <row r="1847" spans="2:5" x14ac:dyDescent="0.3">
      <c r="B1847" s="55">
        <v>44064</v>
      </c>
      <c r="C1847" s="54">
        <v>2259.4499999999998</v>
      </c>
      <c r="D1847" s="56">
        <f t="shared" si="31"/>
        <v>0.26896183763443871</v>
      </c>
      <c r="E1847" s="64">
        <v>-1.1570934861542592E-2</v>
      </c>
    </row>
    <row r="1848" spans="2:5" x14ac:dyDescent="0.3">
      <c r="B1848" s="55">
        <v>43808</v>
      </c>
      <c r="C1848" s="54">
        <v>1780.55</v>
      </c>
      <c r="D1848" s="56">
        <f t="shared" si="31"/>
        <v>-0.61954059829059838</v>
      </c>
      <c r="E1848" s="64">
        <v>-1.1574331075829947E-2</v>
      </c>
    </row>
    <row r="1849" spans="2:5" x14ac:dyDescent="0.3">
      <c r="B1849" s="55">
        <v>45902</v>
      </c>
      <c r="C1849" s="54">
        <v>4680</v>
      </c>
      <c r="D1849" s="56">
        <f t="shared" si="31"/>
        <v>0.16740252937214706</v>
      </c>
      <c r="E1849" s="64">
        <v>-1.1594753849078043E-2</v>
      </c>
    </row>
    <row r="1850" spans="2:5" x14ac:dyDescent="0.3">
      <c r="B1850" s="55">
        <v>44670</v>
      </c>
      <c r="C1850" s="54">
        <v>4008.9</v>
      </c>
      <c r="D1850" s="56">
        <f t="shared" si="31"/>
        <v>0.7380503349157832</v>
      </c>
      <c r="E1850" s="64">
        <v>-1.1612426035502943E-2</v>
      </c>
    </row>
    <row r="1851" spans="2:5" x14ac:dyDescent="0.3">
      <c r="B1851" s="55">
        <v>43969</v>
      </c>
      <c r="C1851" s="54">
        <v>2306.5500000000002</v>
      </c>
      <c r="D1851" s="56">
        <f t="shared" si="31"/>
        <v>-0.51995379668459996</v>
      </c>
      <c r="E1851" s="64">
        <v>-1.1676236181335176E-2</v>
      </c>
    </row>
    <row r="1852" spans="2:5" x14ac:dyDescent="0.3">
      <c r="B1852" s="55">
        <v>45464</v>
      </c>
      <c r="C1852" s="54">
        <v>4804.8500000000004</v>
      </c>
      <c r="D1852" s="56">
        <f t="shared" si="31"/>
        <v>0.96766861869855458</v>
      </c>
      <c r="E1852" s="64">
        <v>-1.1693440566057034E-2</v>
      </c>
    </row>
    <row r="1853" spans="2:5" x14ac:dyDescent="0.3">
      <c r="B1853" s="55">
        <v>44169</v>
      </c>
      <c r="C1853" s="54">
        <v>2441.9</v>
      </c>
      <c r="D1853" s="56">
        <f t="shared" si="31"/>
        <v>-0.36992981731860874</v>
      </c>
      <c r="E1853" s="64">
        <v>-1.1716615739522762E-2</v>
      </c>
    </row>
    <row r="1854" spans="2:5" x14ac:dyDescent="0.3">
      <c r="B1854" s="55">
        <v>44918</v>
      </c>
      <c r="C1854" s="54">
        <v>3875.6</v>
      </c>
      <c r="D1854" s="56">
        <f t="shared" si="31"/>
        <v>1.9224194608809864E-2</v>
      </c>
      <c r="E1854" s="64">
        <v>-1.1717305657201971E-2</v>
      </c>
    </row>
    <row r="1855" spans="2:5" x14ac:dyDescent="0.3">
      <c r="B1855" s="55">
        <v>46083</v>
      </c>
      <c r="C1855" s="54">
        <v>3802.5</v>
      </c>
      <c r="D1855" s="56">
        <f t="shared" si="31"/>
        <v>3.4524975514201861E-2</v>
      </c>
      <c r="E1855" s="64">
        <v>-1.1721592681151916E-2</v>
      </c>
    </row>
    <row r="1856" spans="2:5" x14ac:dyDescent="0.3">
      <c r="B1856" s="55">
        <v>45334</v>
      </c>
      <c r="C1856" s="54">
        <v>3675.6</v>
      </c>
      <c r="D1856" s="56">
        <f t="shared" si="31"/>
        <v>1.5605907555122087</v>
      </c>
      <c r="E1856" s="64">
        <v>-1.1722951172295049E-2</v>
      </c>
    </row>
    <row r="1857" spans="2:5" x14ac:dyDescent="0.3">
      <c r="B1857" s="55">
        <v>43279</v>
      </c>
      <c r="C1857" s="54">
        <v>1435.45</v>
      </c>
      <c r="D1857" s="56">
        <f t="shared" si="31"/>
        <v>0.85446676571280933</v>
      </c>
      <c r="E1857" s="64">
        <v>-1.1738382099827804E-2</v>
      </c>
    </row>
    <row r="1858" spans="2:5" x14ac:dyDescent="0.3">
      <c r="B1858" s="55">
        <v>42842</v>
      </c>
      <c r="C1858" s="54">
        <v>774.05</v>
      </c>
      <c r="D1858" s="56">
        <f t="shared" si="31"/>
        <v>-0.41379832632814573</v>
      </c>
      <c r="E1858" s="64">
        <v>-1.1745930418129658E-2</v>
      </c>
    </row>
    <row r="1859" spans="2:5" x14ac:dyDescent="0.3">
      <c r="B1859" s="55">
        <v>43637</v>
      </c>
      <c r="C1859" s="54">
        <v>1320.45</v>
      </c>
      <c r="D1859" s="56">
        <f t="shared" si="31"/>
        <v>-0.64104550644266833</v>
      </c>
      <c r="E1859" s="64">
        <v>-1.1750177749504154E-2</v>
      </c>
    </row>
    <row r="1860" spans="2:5" x14ac:dyDescent="0.3">
      <c r="B1860" s="55">
        <v>45337</v>
      </c>
      <c r="C1860" s="54">
        <v>3678.6</v>
      </c>
      <c r="D1860" s="56">
        <f t="shared" ref="D1860:D1923" si="32">C1860/C1861-1</f>
        <v>-6.8685283171725953E-2</v>
      </c>
      <c r="E1860" s="64">
        <v>-1.1766602192134101E-2</v>
      </c>
    </row>
    <row r="1861" spans="2:5" x14ac:dyDescent="0.3">
      <c r="B1861" s="55">
        <v>45866</v>
      </c>
      <c r="C1861" s="54">
        <v>3949.9</v>
      </c>
      <c r="D1861" s="56">
        <f t="shared" si="32"/>
        <v>1.1672976680384086</v>
      </c>
      <c r="E1861" s="64">
        <v>-1.1783837878408754E-2</v>
      </c>
    </row>
    <row r="1862" spans="2:5" x14ac:dyDescent="0.3">
      <c r="B1862" s="55">
        <v>43798</v>
      </c>
      <c r="C1862" s="54">
        <v>1822.5</v>
      </c>
      <c r="D1862" s="56">
        <f t="shared" si="32"/>
        <v>-0.21592669075890558</v>
      </c>
      <c r="E1862" s="64">
        <v>-1.1793411956079747E-2</v>
      </c>
    </row>
    <row r="1863" spans="2:5" x14ac:dyDescent="0.3">
      <c r="B1863" s="55">
        <v>43965</v>
      </c>
      <c r="C1863" s="54">
        <v>2324.4</v>
      </c>
      <c r="D1863" s="56">
        <f t="shared" si="32"/>
        <v>-0.30651152383083458</v>
      </c>
      <c r="E1863" s="64">
        <v>-1.1797716982335338E-2</v>
      </c>
    </row>
    <row r="1864" spans="2:5" x14ac:dyDescent="0.3">
      <c r="B1864" s="55">
        <v>44998</v>
      </c>
      <c r="C1864" s="54">
        <v>3351.75</v>
      </c>
      <c r="D1864" s="56">
        <f t="shared" si="32"/>
        <v>0.48870727753225718</v>
      </c>
      <c r="E1864" s="64">
        <v>-1.1822456771378387E-2</v>
      </c>
    </row>
    <row r="1865" spans="2:5" x14ac:dyDescent="0.3">
      <c r="B1865" s="55">
        <v>44078</v>
      </c>
      <c r="C1865" s="54">
        <v>2251.4499999999998</v>
      </c>
      <c r="D1865" s="56">
        <f t="shared" si="32"/>
        <v>-0.44310325636617731</v>
      </c>
      <c r="E1865" s="64">
        <v>-1.182847612359561E-2</v>
      </c>
    </row>
    <row r="1866" spans="2:5" x14ac:dyDescent="0.3">
      <c r="B1866" s="55">
        <v>44644</v>
      </c>
      <c r="C1866" s="54">
        <v>4042.85</v>
      </c>
      <c r="D1866" s="56">
        <f t="shared" si="32"/>
        <v>-1.3602413810165359E-4</v>
      </c>
      <c r="E1866" s="64">
        <v>-1.1854277927823342E-2</v>
      </c>
    </row>
    <row r="1867" spans="2:5" x14ac:dyDescent="0.3">
      <c r="B1867" s="55">
        <v>46183</v>
      </c>
      <c r="C1867" s="54">
        <v>4043.4</v>
      </c>
      <c r="D1867" s="56">
        <f t="shared" si="32"/>
        <v>-6.5887353878852362E-2</v>
      </c>
      <c r="E1867" s="64">
        <v>-1.1876832844574747E-2</v>
      </c>
    </row>
    <row r="1868" spans="2:5" x14ac:dyDescent="0.3">
      <c r="B1868" s="55">
        <v>46204</v>
      </c>
      <c r="C1868" s="54">
        <v>4328.6000000000004</v>
      </c>
      <c r="D1868" s="56">
        <f t="shared" si="32"/>
        <v>0.63959015927728635</v>
      </c>
      <c r="E1868" s="64">
        <v>-1.1893076448969198E-2</v>
      </c>
    </row>
    <row r="1869" spans="2:5" x14ac:dyDescent="0.3">
      <c r="B1869" s="55">
        <v>44180</v>
      </c>
      <c r="C1869" s="54">
        <v>2640.05</v>
      </c>
      <c r="D1869" s="56">
        <f t="shared" si="32"/>
        <v>0.15318758599602522</v>
      </c>
      <c r="E1869" s="64">
        <v>-1.1938846161043348E-2</v>
      </c>
    </row>
    <row r="1870" spans="2:5" x14ac:dyDescent="0.3">
      <c r="B1870" s="55">
        <v>44013</v>
      </c>
      <c r="C1870" s="54">
        <v>2289.35</v>
      </c>
      <c r="D1870" s="56">
        <f t="shared" si="32"/>
        <v>2.2076878432072844E-2</v>
      </c>
      <c r="E1870" s="64">
        <v>-1.1997496925101991E-2</v>
      </c>
    </row>
    <row r="1871" spans="2:5" x14ac:dyDescent="0.3">
      <c r="B1871" s="55">
        <v>44134</v>
      </c>
      <c r="C1871" s="54">
        <v>2239.9</v>
      </c>
      <c r="D1871" s="56">
        <f t="shared" si="32"/>
        <v>-0.49950842382803762</v>
      </c>
      <c r="E1871" s="64">
        <v>-1.1997706320850399E-2</v>
      </c>
    </row>
    <row r="1872" spans="2:5" x14ac:dyDescent="0.3">
      <c r="B1872" s="55">
        <v>45930</v>
      </c>
      <c r="C1872" s="54">
        <v>4475.3999999999996</v>
      </c>
      <c r="D1872" s="56">
        <f t="shared" si="32"/>
        <v>-4.2828269866221791E-2</v>
      </c>
      <c r="E1872" s="64">
        <v>-1.2031170666019109E-2</v>
      </c>
    </row>
    <row r="1873" spans="2:5" x14ac:dyDescent="0.3">
      <c r="B1873" s="55">
        <v>44497</v>
      </c>
      <c r="C1873" s="54">
        <v>4675.6499999999996</v>
      </c>
      <c r="D1873" s="56">
        <f t="shared" si="32"/>
        <v>0.9638574458701723</v>
      </c>
      <c r="E1873" s="64">
        <v>-1.2117050496513904E-2</v>
      </c>
    </row>
    <row r="1874" spans="2:5" x14ac:dyDescent="0.3">
      <c r="B1874" s="55">
        <v>44070</v>
      </c>
      <c r="C1874" s="54">
        <v>2380.85</v>
      </c>
      <c r="D1874" s="56">
        <f t="shared" si="32"/>
        <v>-0.22473135786388798</v>
      </c>
      <c r="E1874" s="64">
        <v>-1.2136425874445078E-2</v>
      </c>
    </row>
    <row r="1875" spans="2:5" x14ac:dyDescent="0.3">
      <c r="B1875" s="55">
        <v>44271</v>
      </c>
      <c r="C1875" s="54">
        <v>3071</v>
      </c>
      <c r="D1875" s="56">
        <f t="shared" si="32"/>
        <v>-4.9402587754596605E-2</v>
      </c>
      <c r="E1875" s="64">
        <v>-1.2143144350623247E-2</v>
      </c>
    </row>
    <row r="1876" spans="2:5" x14ac:dyDescent="0.3">
      <c r="B1876" s="55">
        <v>44694</v>
      </c>
      <c r="C1876" s="54">
        <v>3230.6</v>
      </c>
      <c r="D1876" s="56">
        <f t="shared" si="32"/>
        <v>1.3180024395494008</v>
      </c>
      <c r="E1876" s="64">
        <v>-1.2184867525875664E-2</v>
      </c>
    </row>
    <row r="1877" spans="2:5" x14ac:dyDescent="0.3">
      <c r="B1877" s="55">
        <v>43430</v>
      </c>
      <c r="C1877" s="54">
        <v>1393.7</v>
      </c>
      <c r="D1877" s="56">
        <f t="shared" si="32"/>
        <v>-0.63284553273884003</v>
      </c>
      <c r="E1877" s="64">
        <v>-1.2190800198454865E-2</v>
      </c>
    </row>
    <row r="1878" spans="2:5" x14ac:dyDescent="0.3">
      <c r="B1878" s="55">
        <v>45217</v>
      </c>
      <c r="C1878" s="54">
        <v>3795.95</v>
      </c>
      <c r="D1878" s="56">
        <f t="shared" si="32"/>
        <v>0.77700536011047894</v>
      </c>
      <c r="E1878" s="64">
        <v>-1.2204483651456655E-2</v>
      </c>
    </row>
    <row r="1879" spans="2:5" x14ac:dyDescent="0.3">
      <c r="B1879" s="55">
        <v>44089</v>
      </c>
      <c r="C1879" s="54">
        <v>2136.15</v>
      </c>
      <c r="D1879" s="56">
        <f t="shared" si="32"/>
        <v>-0.44712322385278358</v>
      </c>
      <c r="E1879" s="64">
        <v>-1.2276321265085155E-2</v>
      </c>
    </row>
    <row r="1880" spans="2:5" x14ac:dyDescent="0.3">
      <c r="B1880" s="55">
        <v>44939</v>
      </c>
      <c r="C1880" s="54">
        <v>3863.7</v>
      </c>
      <c r="D1880" s="56">
        <f t="shared" si="32"/>
        <v>1.0564722163082818</v>
      </c>
      <c r="E1880" s="64">
        <v>-1.2296129658980637E-2</v>
      </c>
    </row>
    <row r="1881" spans="2:5" x14ac:dyDescent="0.3">
      <c r="B1881" s="55">
        <v>43734</v>
      </c>
      <c r="C1881" s="54">
        <v>1878.8</v>
      </c>
      <c r="D1881" s="56">
        <f t="shared" si="32"/>
        <v>-0.40390564271776896</v>
      </c>
      <c r="E1881" s="64">
        <v>-1.2301545578803585E-2</v>
      </c>
    </row>
    <row r="1882" spans="2:5" x14ac:dyDescent="0.3">
      <c r="B1882" s="55">
        <v>44264</v>
      </c>
      <c r="C1882" s="54">
        <v>3151.85</v>
      </c>
      <c r="D1882" s="56">
        <f t="shared" si="32"/>
        <v>-0.26781192649894303</v>
      </c>
      <c r="E1882" s="64">
        <v>-1.2315309527913154E-2</v>
      </c>
    </row>
    <row r="1883" spans="2:5" x14ac:dyDescent="0.3">
      <c r="B1883" s="55">
        <v>46160</v>
      </c>
      <c r="C1883" s="54">
        <v>4304.7</v>
      </c>
      <c r="D1883" s="56">
        <f t="shared" si="32"/>
        <v>0.22910658709990561</v>
      </c>
      <c r="E1883" s="64">
        <v>-1.2389015073301701E-2</v>
      </c>
    </row>
    <row r="1884" spans="2:5" x14ac:dyDescent="0.3">
      <c r="B1884" s="55">
        <v>44957</v>
      </c>
      <c r="C1884" s="54">
        <v>3502.3</v>
      </c>
      <c r="D1884" s="56">
        <f t="shared" si="32"/>
        <v>1.548331938734675</v>
      </c>
      <c r="E1884" s="64">
        <v>-1.2407297746947488E-2</v>
      </c>
    </row>
    <row r="1885" spans="2:5" x14ac:dyDescent="0.3">
      <c r="B1885" s="55">
        <v>43417</v>
      </c>
      <c r="C1885" s="54">
        <v>1374.35</v>
      </c>
      <c r="D1885" s="56">
        <f t="shared" si="32"/>
        <v>-0.65533542319749216</v>
      </c>
      <c r="E1885" s="64">
        <v>-1.2502245374528487E-2</v>
      </c>
    </row>
    <row r="1886" spans="2:5" x14ac:dyDescent="0.3">
      <c r="B1886" s="55">
        <v>45985</v>
      </c>
      <c r="C1886" s="54">
        <v>3987.5</v>
      </c>
      <c r="D1886" s="56">
        <f t="shared" si="32"/>
        <v>0.14608033340518789</v>
      </c>
      <c r="E1886" s="64">
        <v>-1.2506191183754289E-2</v>
      </c>
    </row>
    <row r="1887" spans="2:5" x14ac:dyDescent="0.3">
      <c r="B1887" s="55">
        <v>45062</v>
      </c>
      <c r="C1887" s="54">
        <v>3479.25</v>
      </c>
      <c r="D1887" s="56">
        <f t="shared" si="32"/>
        <v>0.81935838104949421</v>
      </c>
      <c r="E1887" s="64">
        <v>-1.2530510302548703E-2</v>
      </c>
    </row>
    <row r="1888" spans="2:5" x14ac:dyDescent="0.3">
      <c r="B1888" s="55">
        <v>43851</v>
      </c>
      <c r="C1888" s="54">
        <v>1912.35</v>
      </c>
      <c r="D1888" s="56">
        <f t="shared" si="32"/>
        <v>-3.2921186376393963E-2</v>
      </c>
      <c r="E1888" s="64">
        <v>-1.2547440167299251E-2</v>
      </c>
    </row>
    <row r="1889" spans="2:5" x14ac:dyDescent="0.3">
      <c r="B1889" s="55">
        <v>44117</v>
      </c>
      <c r="C1889" s="54">
        <v>1977.45</v>
      </c>
      <c r="D1889" s="56">
        <f t="shared" si="32"/>
        <v>0.33837563451776642</v>
      </c>
      <c r="E1889" s="64">
        <v>-1.2558673724158531E-2</v>
      </c>
    </row>
    <row r="1890" spans="2:5" x14ac:dyDescent="0.3">
      <c r="B1890" s="55">
        <v>43504</v>
      </c>
      <c r="C1890" s="54">
        <v>1477.5</v>
      </c>
      <c r="D1890" s="56">
        <f t="shared" si="32"/>
        <v>-0.63449026544294096</v>
      </c>
      <c r="E1890" s="64">
        <v>-1.2597320145687818E-2</v>
      </c>
    </row>
    <row r="1891" spans="2:5" x14ac:dyDescent="0.3">
      <c r="B1891" s="55">
        <v>45805</v>
      </c>
      <c r="C1891" s="54">
        <v>4042.3</v>
      </c>
      <c r="D1891" s="56">
        <f t="shared" si="32"/>
        <v>-4.0722371200075824E-2</v>
      </c>
      <c r="E1891" s="64">
        <v>-1.2628236443575913E-2</v>
      </c>
    </row>
    <row r="1892" spans="2:5" x14ac:dyDescent="0.3">
      <c r="B1892" s="55">
        <v>45954</v>
      </c>
      <c r="C1892" s="54">
        <v>4213.8999999999996</v>
      </c>
      <c r="D1892" s="56">
        <f t="shared" si="32"/>
        <v>4.8287291500244134E-3</v>
      </c>
      <c r="E1892" s="64">
        <v>-1.2675726335520276E-2</v>
      </c>
    </row>
    <row r="1893" spans="2:5" x14ac:dyDescent="0.3">
      <c r="B1893" s="55">
        <v>44867</v>
      </c>
      <c r="C1893" s="54">
        <v>4193.6499999999996</v>
      </c>
      <c r="D1893" s="56">
        <f t="shared" si="32"/>
        <v>3.0602701263494216</v>
      </c>
      <c r="E1893" s="64">
        <v>-1.2678045909358504E-2</v>
      </c>
    </row>
    <row r="1894" spans="2:5" x14ac:dyDescent="0.3">
      <c r="B1894" s="55">
        <v>42976</v>
      </c>
      <c r="C1894" s="54">
        <v>1032.8499999999999</v>
      </c>
      <c r="D1894" s="56">
        <f t="shared" si="32"/>
        <v>-0.31831831831831847</v>
      </c>
      <c r="E1894" s="64">
        <v>-1.2713282034125251E-2</v>
      </c>
    </row>
    <row r="1895" spans="2:5" x14ac:dyDescent="0.3">
      <c r="B1895" s="55">
        <v>43362</v>
      </c>
      <c r="C1895" s="54">
        <v>1515.15</v>
      </c>
      <c r="D1895" s="56">
        <f t="shared" si="32"/>
        <v>-0.66462658816237985</v>
      </c>
      <c r="E1895" s="64">
        <v>-1.2738645989444186E-2</v>
      </c>
    </row>
    <row r="1896" spans="2:5" x14ac:dyDescent="0.3">
      <c r="B1896" s="55">
        <v>45926</v>
      </c>
      <c r="C1896" s="54">
        <v>4517.8</v>
      </c>
      <c r="D1896" s="56">
        <f t="shared" si="32"/>
        <v>1.5079382702342623</v>
      </c>
      <c r="E1896" s="64">
        <v>-1.2761679996503572E-2</v>
      </c>
    </row>
    <row r="1897" spans="2:5" x14ac:dyDescent="0.3">
      <c r="B1897" s="55">
        <v>43805</v>
      </c>
      <c r="C1897" s="54">
        <v>1801.4</v>
      </c>
      <c r="D1897" s="56">
        <f t="shared" si="32"/>
        <v>-0.65344696568905647</v>
      </c>
      <c r="E1897" s="64">
        <v>-1.2796273462118091E-2</v>
      </c>
    </row>
    <row r="1898" spans="2:5" x14ac:dyDescent="0.3">
      <c r="B1898" s="55">
        <v>45561</v>
      </c>
      <c r="C1898" s="54">
        <v>5198.05</v>
      </c>
      <c r="D1898" s="56">
        <f t="shared" si="32"/>
        <v>0.32682858346202437</v>
      </c>
      <c r="E1898" s="64">
        <v>-1.2809799639160513E-2</v>
      </c>
    </row>
    <row r="1899" spans="2:5" x14ac:dyDescent="0.3">
      <c r="B1899" s="55">
        <v>44441</v>
      </c>
      <c r="C1899" s="54">
        <v>3917.65</v>
      </c>
      <c r="D1899" s="56">
        <f t="shared" si="32"/>
        <v>1.5999800902574997</v>
      </c>
      <c r="E1899" s="64">
        <v>-1.2838280501940136E-2</v>
      </c>
    </row>
    <row r="1900" spans="2:5" x14ac:dyDescent="0.3">
      <c r="B1900" s="55">
        <v>43354</v>
      </c>
      <c r="C1900" s="54">
        <v>1506.8</v>
      </c>
      <c r="D1900" s="56">
        <f t="shared" si="32"/>
        <v>-0.5874154595985871</v>
      </c>
      <c r="E1900" s="64">
        <v>-1.2840670859538883E-2</v>
      </c>
    </row>
    <row r="1901" spans="2:5" x14ac:dyDescent="0.3">
      <c r="B1901" s="55">
        <v>45142</v>
      </c>
      <c r="C1901" s="54">
        <v>3652.1</v>
      </c>
      <c r="D1901" s="56">
        <f t="shared" si="32"/>
        <v>-5.4227631749320215E-2</v>
      </c>
      <c r="E1901" s="64">
        <v>-1.2919268088326774E-2</v>
      </c>
    </row>
    <row r="1902" spans="2:5" x14ac:dyDescent="0.3">
      <c r="B1902" s="55">
        <v>45259</v>
      </c>
      <c r="C1902" s="54">
        <v>3861.5</v>
      </c>
      <c r="D1902" s="56">
        <f t="shared" si="32"/>
        <v>-0.10943265682656822</v>
      </c>
      <c r="E1902" s="64">
        <v>-1.29468450851834E-2</v>
      </c>
    </row>
    <row r="1903" spans="2:5" x14ac:dyDescent="0.3">
      <c r="B1903" s="55">
        <v>46197</v>
      </c>
      <c r="C1903" s="54">
        <v>4336</v>
      </c>
      <c r="D1903" s="56">
        <f t="shared" si="32"/>
        <v>2.1535692206989343</v>
      </c>
      <c r="E1903" s="64">
        <v>-1.2952719160463366E-2</v>
      </c>
    </row>
    <row r="1904" spans="2:5" x14ac:dyDescent="0.3">
      <c r="B1904" s="55">
        <v>43655</v>
      </c>
      <c r="C1904" s="54">
        <v>1374.95</v>
      </c>
      <c r="D1904" s="56">
        <f t="shared" si="32"/>
        <v>-0.5965995775143762</v>
      </c>
      <c r="E1904" s="64">
        <v>-1.2957645369705673E-2</v>
      </c>
    </row>
    <row r="1905" spans="2:5" x14ac:dyDescent="0.3">
      <c r="B1905" s="55">
        <v>45720</v>
      </c>
      <c r="C1905" s="54">
        <v>3408.4</v>
      </c>
      <c r="D1905" s="56">
        <f t="shared" si="32"/>
        <v>0.63625453061616377</v>
      </c>
      <c r="E1905" s="64">
        <v>-1.2973473879300257E-2</v>
      </c>
    </row>
    <row r="1906" spans="2:5" x14ac:dyDescent="0.3">
      <c r="B1906" s="55">
        <v>44110</v>
      </c>
      <c r="C1906" s="54">
        <v>2083.0500000000002</v>
      </c>
      <c r="D1906" s="56">
        <f t="shared" si="32"/>
        <v>-0.39633987306923224</v>
      </c>
      <c r="E1906" s="64">
        <v>-1.2983013101471097E-2</v>
      </c>
    </row>
    <row r="1907" spans="2:5" x14ac:dyDescent="0.3">
      <c r="B1907" s="55">
        <v>45026</v>
      </c>
      <c r="C1907" s="54">
        <v>3450.7</v>
      </c>
      <c r="D1907" s="56">
        <f t="shared" si="32"/>
        <v>-0.19937354988399081</v>
      </c>
      <c r="E1907" s="64">
        <v>-1.2985898572695276E-2</v>
      </c>
    </row>
    <row r="1908" spans="2:5" x14ac:dyDescent="0.3">
      <c r="B1908" s="55">
        <v>45776</v>
      </c>
      <c r="C1908" s="54">
        <v>4310</v>
      </c>
      <c r="D1908" s="56">
        <f t="shared" si="32"/>
        <v>7.4464637399346723E-2</v>
      </c>
      <c r="E1908" s="64">
        <v>-1.3007236420262025E-2</v>
      </c>
    </row>
    <row r="1909" spans="2:5" x14ac:dyDescent="0.3">
      <c r="B1909" s="55">
        <v>45852</v>
      </c>
      <c r="C1909" s="54">
        <v>4011.3</v>
      </c>
      <c r="D1909" s="56">
        <f t="shared" si="32"/>
        <v>1.766127641968072</v>
      </c>
      <c r="E1909" s="64">
        <v>-1.3016091727769186E-2</v>
      </c>
    </row>
    <row r="1910" spans="2:5" x14ac:dyDescent="0.3">
      <c r="B1910" s="55">
        <v>43523</v>
      </c>
      <c r="C1910" s="54">
        <v>1450.15</v>
      </c>
      <c r="D1910" s="56">
        <f t="shared" si="32"/>
        <v>0.92890396382016527</v>
      </c>
      <c r="E1910" s="64">
        <v>-1.3067002416034201E-2</v>
      </c>
    </row>
    <row r="1911" spans="2:5" x14ac:dyDescent="0.3">
      <c r="B1911" s="55">
        <v>42867</v>
      </c>
      <c r="C1911" s="54">
        <v>751.8</v>
      </c>
      <c r="D1911" s="56">
        <f t="shared" si="32"/>
        <v>-0.78720332866301534</v>
      </c>
      <c r="E1911" s="64">
        <v>-1.3126804935678638E-2</v>
      </c>
    </row>
    <row r="1912" spans="2:5" x14ac:dyDescent="0.3">
      <c r="B1912" s="55">
        <v>45684</v>
      </c>
      <c r="C1912" s="54">
        <v>3532.95</v>
      </c>
      <c r="D1912" s="56">
        <f t="shared" si="32"/>
        <v>-0.18439642634531483</v>
      </c>
      <c r="E1912" s="64">
        <v>-1.3128674981494171E-2</v>
      </c>
    </row>
    <row r="1913" spans="2:5" x14ac:dyDescent="0.3">
      <c r="B1913" s="55">
        <v>46154</v>
      </c>
      <c r="C1913" s="54">
        <v>4331.7</v>
      </c>
      <c r="D1913" s="56">
        <f t="shared" si="32"/>
        <v>0.10793667033276222</v>
      </c>
      <c r="E1913" s="64">
        <v>-1.3145304597439234E-2</v>
      </c>
    </row>
    <row r="1914" spans="2:5" x14ac:dyDescent="0.3">
      <c r="B1914" s="55">
        <v>45994</v>
      </c>
      <c r="C1914" s="54">
        <v>3909.7</v>
      </c>
      <c r="D1914" s="56">
        <f t="shared" si="32"/>
        <v>0.1363920417387261</v>
      </c>
      <c r="E1914" s="64">
        <v>-1.3150588116512818E-2</v>
      </c>
    </row>
    <row r="1915" spans="2:5" x14ac:dyDescent="0.3">
      <c r="B1915" s="55">
        <v>44735</v>
      </c>
      <c r="C1915" s="54">
        <v>3440.45</v>
      </c>
      <c r="D1915" s="56">
        <f t="shared" si="32"/>
        <v>0.57963728191000907</v>
      </c>
      <c r="E1915" s="64">
        <v>-1.3165631677829248E-2</v>
      </c>
    </row>
    <row r="1916" spans="2:5" x14ac:dyDescent="0.3">
      <c r="B1916" s="55">
        <v>44057</v>
      </c>
      <c r="C1916" s="54">
        <v>2178</v>
      </c>
      <c r="D1916" s="56">
        <f t="shared" si="32"/>
        <v>0.50440338456225176</v>
      </c>
      <c r="E1916" s="64">
        <v>-1.3184722033437457E-2</v>
      </c>
    </row>
    <row r="1917" spans="2:5" x14ac:dyDescent="0.3">
      <c r="B1917" s="55">
        <v>43229</v>
      </c>
      <c r="C1917" s="54">
        <v>1447.75</v>
      </c>
      <c r="D1917" s="56">
        <f t="shared" si="32"/>
        <v>-0.63308158248219581</v>
      </c>
      <c r="E1917" s="64">
        <v>-1.3222915175680749E-2</v>
      </c>
    </row>
    <row r="1918" spans="2:5" x14ac:dyDescent="0.3">
      <c r="B1918" s="55">
        <v>45742</v>
      </c>
      <c r="C1918" s="54">
        <v>3945.7</v>
      </c>
      <c r="D1918" s="56">
        <f t="shared" si="32"/>
        <v>2.2162536680795566</v>
      </c>
      <c r="E1918" s="64">
        <v>-1.3278983695108604E-2</v>
      </c>
    </row>
    <row r="1919" spans="2:5" x14ac:dyDescent="0.3">
      <c r="B1919" s="55">
        <v>43108</v>
      </c>
      <c r="C1919" s="54">
        <v>1226.8</v>
      </c>
      <c r="D1919" s="56">
        <f t="shared" si="32"/>
        <v>-0.65442740243095177</v>
      </c>
      <c r="E1919" s="64">
        <v>-1.335049059031701E-2</v>
      </c>
    </row>
    <row r="1920" spans="2:5" x14ac:dyDescent="0.3">
      <c r="B1920" s="55">
        <v>45149</v>
      </c>
      <c r="C1920" s="54">
        <v>3550.05</v>
      </c>
      <c r="D1920" s="56">
        <f t="shared" si="32"/>
        <v>-1.7926055023029908E-2</v>
      </c>
      <c r="E1920" s="64">
        <v>-1.3381690845422622E-2</v>
      </c>
    </row>
    <row r="1921" spans="2:5" x14ac:dyDescent="0.3">
      <c r="B1921" s="55">
        <v>44700</v>
      </c>
      <c r="C1921" s="54">
        <v>3614.85</v>
      </c>
      <c r="D1921" s="56">
        <f t="shared" si="32"/>
        <v>-4.6163385930656053E-2</v>
      </c>
      <c r="E1921" s="64">
        <v>-1.3427764359110861E-2</v>
      </c>
    </row>
    <row r="1922" spans="2:5" x14ac:dyDescent="0.3">
      <c r="B1922" s="55">
        <v>46030</v>
      </c>
      <c r="C1922" s="54">
        <v>3789.8</v>
      </c>
      <c r="D1922" s="56">
        <f t="shared" si="32"/>
        <v>-0.20205497478655421</v>
      </c>
      <c r="E1922" s="64">
        <v>-1.3483965014577159E-2</v>
      </c>
    </row>
    <row r="1923" spans="2:5" x14ac:dyDescent="0.3">
      <c r="B1923" s="55">
        <v>44545</v>
      </c>
      <c r="C1923" s="54">
        <v>4749.45</v>
      </c>
      <c r="D1923" s="56">
        <f t="shared" si="32"/>
        <v>1.0079693907749543</v>
      </c>
      <c r="E1923" s="64">
        <v>-1.3490777666999021E-2</v>
      </c>
    </row>
    <row r="1924" spans="2:5" x14ac:dyDescent="0.3">
      <c r="B1924" s="55">
        <v>43997</v>
      </c>
      <c r="C1924" s="54">
        <v>2365.3000000000002</v>
      </c>
      <c r="D1924" s="56">
        <f t="shared" ref="D1924:D1987" si="33">C1924/C1925-1</f>
        <v>-0.39494014120536158</v>
      </c>
      <c r="E1924" s="64">
        <v>-1.3554091250312816E-2</v>
      </c>
    </row>
    <row r="1925" spans="2:5" x14ac:dyDescent="0.3">
      <c r="B1925" s="55">
        <v>46066</v>
      </c>
      <c r="C1925" s="54">
        <v>3909.2</v>
      </c>
      <c r="D1925" s="56">
        <f t="shared" si="33"/>
        <v>6.1994023363216577E-2</v>
      </c>
      <c r="E1925" s="64">
        <v>-1.3575574060055606E-2</v>
      </c>
    </row>
    <row r="1926" spans="2:5" x14ac:dyDescent="0.3">
      <c r="B1926" s="55">
        <v>45311</v>
      </c>
      <c r="C1926" s="54">
        <v>3681</v>
      </c>
      <c r="D1926" s="56">
        <f t="shared" si="33"/>
        <v>-0.16186616270862264</v>
      </c>
      <c r="E1926" s="64">
        <v>-1.3586301149610014E-2</v>
      </c>
    </row>
    <row r="1927" spans="2:5" x14ac:dyDescent="0.3">
      <c r="B1927" s="55">
        <v>45840</v>
      </c>
      <c r="C1927" s="54">
        <v>4391.8999999999996</v>
      </c>
      <c r="D1927" s="56">
        <f t="shared" si="33"/>
        <v>0.86945047460945779</v>
      </c>
      <c r="E1927" s="64">
        <v>-1.3588177162878412E-2</v>
      </c>
    </row>
    <row r="1928" spans="2:5" x14ac:dyDescent="0.3">
      <c r="B1928" s="55">
        <v>43985</v>
      </c>
      <c r="C1928" s="54">
        <v>2349.3000000000002</v>
      </c>
      <c r="D1928" s="56">
        <f t="shared" si="33"/>
        <v>-0.32932712895029825</v>
      </c>
      <c r="E1928" s="64">
        <v>-1.3603728429273043E-2</v>
      </c>
    </row>
    <row r="1929" spans="2:5" x14ac:dyDescent="0.3">
      <c r="B1929" s="55">
        <v>44959</v>
      </c>
      <c r="C1929" s="54">
        <v>3502.9</v>
      </c>
      <c r="D1929" s="56">
        <f t="shared" si="33"/>
        <v>1.7503925879396989</v>
      </c>
      <c r="E1929" s="64">
        <v>-1.3642699255212776E-2</v>
      </c>
    </row>
    <row r="1930" spans="2:5" x14ac:dyDescent="0.3">
      <c r="B1930" s="55">
        <v>43403</v>
      </c>
      <c r="C1930" s="54">
        <v>1273.5999999999999</v>
      </c>
      <c r="D1930" s="56">
        <f t="shared" si="33"/>
        <v>-0.67886230111702273</v>
      </c>
      <c r="E1930" s="64">
        <v>-1.3668925459825787E-2</v>
      </c>
    </row>
    <row r="1931" spans="2:5" x14ac:dyDescent="0.3">
      <c r="B1931" s="55">
        <v>45280</v>
      </c>
      <c r="C1931" s="54">
        <v>3965.9</v>
      </c>
      <c r="D1931" s="56">
        <f t="shared" si="33"/>
        <v>0.16998554444346126</v>
      </c>
      <c r="E1931" s="64">
        <v>-1.3788901736978776E-2</v>
      </c>
    </row>
    <row r="1932" spans="2:5" x14ac:dyDescent="0.3">
      <c r="B1932" s="55">
        <v>44993</v>
      </c>
      <c r="C1932" s="54">
        <v>3389.7</v>
      </c>
      <c r="D1932" s="56">
        <f t="shared" si="33"/>
        <v>-0.12313423183382055</v>
      </c>
      <c r="E1932" s="64">
        <v>-1.3805041967909548E-2</v>
      </c>
    </row>
    <row r="1933" spans="2:5" x14ac:dyDescent="0.3">
      <c r="B1933" s="55">
        <v>45693</v>
      </c>
      <c r="C1933" s="54">
        <v>3865.7</v>
      </c>
      <c r="D1933" s="56">
        <f t="shared" si="33"/>
        <v>-0.1360502408117199</v>
      </c>
      <c r="E1933" s="64">
        <v>-1.3814304118780041E-2</v>
      </c>
    </row>
    <row r="1934" spans="2:5" x14ac:dyDescent="0.3">
      <c r="B1934" s="55">
        <v>45440</v>
      </c>
      <c r="C1934" s="54">
        <v>4474.45</v>
      </c>
      <c r="D1934" s="56">
        <f t="shared" si="33"/>
        <v>0.56536873775538754</v>
      </c>
      <c r="E1934" s="64">
        <v>-1.3862717224811916E-2</v>
      </c>
    </row>
    <row r="1935" spans="2:5" x14ac:dyDescent="0.3">
      <c r="B1935" s="55">
        <v>44320</v>
      </c>
      <c r="C1935" s="54">
        <v>2858.4</v>
      </c>
      <c r="D1935" s="56">
        <f t="shared" si="33"/>
        <v>-0.27559334490667409</v>
      </c>
      <c r="E1935" s="64">
        <v>-1.3885774412226382E-2</v>
      </c>
    </row>
    <row r="1936" spans="2:5" x14ac:dyDescent="0.3">
      <c r="B1936" s="55">
        <v>45600</v>
      </c>
      <c r="C1936" s="54">
        <v>3945.85</v>
      </c>
      <c r="D1936" s="56">
        <f t="shared" si="33"/>
        <v>-1.0321043391020801E-2</v>
      </c>
      <c r="E1936" s="64">
        <v>-1.393192722910841E-2</v>
      </c>
    </row>
    <row r="1937" spans="2:5" x14ac:dyDescent="0.3">
      <c r="B1937" s="55">
        <v>46184</v>
      </c>
      <c r="C1937" s="54">
        <v>3987</v>
      </c>
      <c r="D1937" s="56">
        <f t="shared" si="33"/>
        <v>-7.653537427664725E-3</v>
      </c>
      <c r="E1937" s="64">
        <v>-1.3948657070782078E-2</v>
      </c>
    </row>
    <row r="1938" spans="2:5" x14ac:dyDescent="0.3">
      <c r="B1938" s="55">
        <v>44923</v>
      </c>
      <c r="C1938" s="54">
        <v>4017.75</v>
      </c>
      <c r="D1938" s="56">
        <f t="shared" si="33"/>
        <v>3.479596387557141</v>
      </c>
      <c r="E1938" s="64">
        <v>-1.3952289795317263E-2</v>
      </c>
    </row>
    <row r="1939" spans="2:5" x14ac:dyDescent="0.3">
      <c r="B1939" s="55">
        <v>42943</v>
      </c>
      <c r="C1939" s="54">
        <v>896.9</v>
      </c>
      <c r="D1939" s="56">
        <f t="shared" si="33"/>
        <v>-0.78027389206007003</v>
      </c>
      <c r="E1939" s="64">
        <v>-1.396218117854009E-2</v>
      </c>
    </row>
    <row r="1940" spans="2:5" x14ac:dyDescent="0.3">
      <c r="B1940" s="55">
        <v>44596</v>
      </c>
      <c r="C1940" s="54">
        <v>4081.9</v>
      </c>
      <c r="D1940" s="56">
        <f t="shared" si="33"/>
        <v>1.0756127326350047</v>
      </c>
      <c r="E1940" s="64">
        <v>-1.4033816425120804E-2</v>
      </c>
    </row>
    <row r="1941" spans="2:5" x14ac:dyDescent="0.3">
      <c r="B1941" s="55">
        <v>43770</v>
      </c>
      <c r="C1941" s="54">
        <v>1966.6</v>
      </c>
      <c r="D1941" s="56">
        <f t="shared" si="33"/>
        <v>-0.47914294038191596</v>
      </c>
      <c r="E1941" s="64">
        <v>-1.4062617501817476E-2</v>
      </c>
    </row>
    <row r="1942" spans="2:5" x14ac:dyDescent="0.3">
      <c r="B1942" s="55">
        <v>46038</v>
      </c>
      <c r="C1942" s="54">
        <v>3775.7</v>
      </c>
      <c r="D1942" s="56">
        <f t="shared" si="33"/>
        <v>1.8594039910636524</v>
      </c>
      <c r="E1942" s="64">
        <v>-1.4254758112941635E-2</v>
      </c>
    </row>
    <row r="1943" spans="2:5" x14ac:dyDescent="0.3">
      <c r="B1943" s="55">
        <v>43181</v>
      </c>
      <c r="C1943" s="54">
        <v>1320.45</v>
      </c>
      <c r="D1943" s="56">
        <f t="shared" si="33"/>
        <v>-0.73647394575608205</v>
      </c>
      <c r="E1943" s="64">
        <v>-1.4295312033442698E-2</v>
      </c>
    </row>
    <row r="1944" spans="2:5" x14ac:dyDescent="0.3">
      <c r="B1944" s="55">
        <v>45492</v>
      </c>
      <c r="C1944" s="54">
        <v>5010.7</v>
      </c>
      <c r="D1944" s="56">
        <f t="shared" si="33"/>
        <v>0.24799501867995022</v>
      </c>
      <c r="E1944" s="64">
        <v>-1.4311146957282972E-2</v>
      </c>
    </row>
    <row r="1945" spans="2:5" x14ac:dyDescent="0.3">
      <c r="B1945" s="55">
        <v>44600</v>
      </c>
      <c r="C1945" s="54">
        <v>4015</v>
      </c>
      <c r="D1945" s="56">
        <f t="shared" si="33"/>
        <v>0.14265385983635714</v>
      </c>
      <c r="E1945" s="64">
        <v>-1.4373212554160464E-2</v>
      </c>
    </row>
    <row r="1946" spans="2:5" x14ac:dyDescent="0.3">
      <c r="B1946" s="55">
        <v>44946</v>
      </c>
      <c r="C1946" s="54">
        <v>3513.75</v>
      </c>
      <c r="D1946" s="56">
        <f t="shared" si="33"/>
        <v>-5.787483912483915E-2</v>
      </c>
      <c r="E1946" s="64">
        <v>-1.4403523042831878E-2</v>
      </c>
    </row>
    <row r="1947" spans="2:5" x14ac:dyDescent="0.3">
      <c r="B1947" s="55">
        <v>45327</v>
      </c>
      <c r="C1947" s="54">
        <v>3729.6</v>
      </c>
      <c r="D1947" s="56">
        <f t="shared" si="33"/>
        <v>3.1940961484396961</v>
      </c>
      <c r="E1947" s="64">
        <v>-1.4454456570567986E-2</v>
      </c>
    </row>
    <row r="1948" spans="2:5" x14ac:dyDescent="0.3">
      <c r="B1948" s="55">
        <v>42956</v>
      </c>
      <c r="C1948" s="54">
        <v>889.25</v>
      </c>
      <c r="D1948" s="56">
        <f t="shared" si="33"/>
        <v>-0.16818670782470413</v>
      </c>
      <c r="E1948" s="64">
        <v>-1.4463038900587311E-2</v>
      </c>
    </row>
    <row r="1949" spans="2:5" x14ac:dyDescent="0.3">
      <c r="B1949" s="55">
        <v>42999</v>
      </c>
      <c r="C1949" s="54">
        <v>1069.05</v>
      </c>
      <c r="D1949" s="56">
        <f t="shared" si="33"/>
        <v>-9.7048017230457417E-2</v>
      </c>
      <c r="E1949" s="64">
        <v>-1.4473380963355709E-2</v>
      </c>
    </row>
    <row r="1950" spans="2:5" x14ac:dyDescent="0.3">
      <c r="B1950" s="55">
        <v>43146</v>
      </c>
      <c r="C1950" s="54">
        <v>1183.95</v>
      </c>
      <c r="D1950" s="56">
        <f t="shared" si="33"/>
        <v>-0.71604849444184626</v>
      </c>
      <c r="E1950" s="64">
        <v>-1.4524721158648335E-2</v>
      </c>
    </row>
    <row r="1951" spans="2:5" x14ac:dyDescent="0.3">
      <c r="B1951" s="55">
        <v>44636</v>
      </c>
      <c r="C1951" s="54">
        <v>4169.55</v>
      </c>
      <c r="D1951" s="56">
        <f t="shared" si="33"/>
        <v>1.290458141067897</v>
      </c>
      <c r="E1951" s="64">
        <v>-1.4535399014429018E-2</v>
      </c>
    </row>
    <row r="1952" spans="2:5" x14ac:dyDescent="0.3">
      <c r="B1952" s="55">
        <v>43747</v>
      </c>
      <c r="C1952" s="54">
        <v>1820.4</v>
      </c>
      <c r="D1952" s="56">
        <f t="shared" si="33"/>
        <v>-0.58314632470803751</v>
      </c>
      <c r="E1952" s="64">
        <v>-1.4561792886915947E-2</v>
      </c>
    </row>
    <row r="1953" spans="2:5" x14ac:dyDescent="0.3">
      <c r="B1953" s="55">
        <v>44827</v>
      </c>
      <c r="C1953" s="54">
        <v>4367</v>
      </c>
      <c r="D1953" s="56">
        <f t="shared" si="33"/>
        <v>0.31917593040115988</v>
      </c>
      <c r="E1953" s="64">
        <v>-1.4599363675338983E-2</v>
      </c>
    </row>
    <row r="1954" spans="2:5" x14ac:dyDescent="0.3">
      <c r="B1954" s="55">
        <v>44363</v>
      </c>
      <c r="C1954" s="54">
        <v>3310.4</v>
      </c>
      <c r="D1954" s="56">
        <f t="shared" si="33"/>
        <v>-0.31908591644897866</v>
      </c>
      <c r="E1954" s="64">
        <v>-1.4615270129483493E-2</v>
      </c>
    </row>
    <row r="1955" spans="2:5" x14ac:dyDescent="0.3">
      <c r="B1955" s="55">
        <v>45463</v>
      </c>
      <c r="C1955" s="54">
        <v>4861.7</v>
      </c>
      <c r="D1955" s="56">
        <f t="shared" si="33"/>
        <v>9.9795274343690288E-2</v>
      </c>
      <c r="E1955" s="64">
        <v>-1.4633454265388424E-2</v>
      </c>
    </row>
    <row r="1956" spans="2:5" x14ac:dyDescent="0.3">
      <c r="B1956" s="55">
        <v>45378</v>
      </c>
      <c r="C1956" s="54">
        <v>4420.55</v>
      </c>
      <c r="D1956" s="56">
        <f t="shared" si="33"/>
        <v>2.0174402730375429</v>
      </c>
      <c r="E1956" s="64">
        <v>-1.4633765770585283E-2</v>
      </c>
    </row>
    <row r="1957" spans="2:5" x14ac:dyDescent="0.3">
      <c r="B1957" s="55">
        <v>43227</v>
      </c>
      <c r="C1957" s="54">
        <v>1465</v>
      </c>
      <c r="D1957" s="56">
        <f t="shared" si="33"/>
        <v>-0.66809021602455909</v>
      </c>
      <c r="E1957" s="64">
        <v>-1.466236211998917E-2</v>
      </c>
    </row>
    <row r="1958" spans="2:5" x14ac:dyDescent="0.3">
      <c r="B1958" s="55">
        <v>44840</v>
      </c>
      <c r="C1958" s="54">
        <v>4413.8500000000004</v>
      </c>
      <c r="D1958" s="56">
        <f t="shared" si="33"/>
        <v>1.8184604578397883</v>
      </c>
      <c r="E1958" s="64">
        <v>-1.4666651784219331E-2</v>
      </c>
    </row>
    <row r="1959" spans="2:5" x14ac:dyDescent="0.3">
      <c r="B1959" s="55">
        <v>43325</v>
      </c>
      <c r="C1959" s="54">
        <v>1566.05</v>
      </c>
      <c r="D1959" s="56">
        <f t="shared" si="33"/>
        <v>-1.4691078394362789E-2</v>
      </c>
      <c r="E1959" s="64">
        <v>-1.4691078394362789E-2</v>
      </c>
    </row>
    <row r="1960" spans="2:5" x14ac:dyDescent="0.3">
      <c r="B1960" s="55">
        <v>43322</v>
      </c>
      <c r="C1960" s="54">
        <v>1589.4</v>
      </c>
      <c r="D1960" s="56">
        <f t="shared" si="33"/>
        <v>-0.44279479044330305</v>
      </c>
      <c r="E1960" s="64">
        <v>-1.4753285395487148E-2</v>
      </c>
    </row>
    <row r="1961" spans="2:5" x14ac:dyDescent="0.3">
      <c r="B1961" s="55">
        <v>44326</v>
      </c>
      <c r="C1961" s="54">
        <v>2852.45</v>
      </c>
      <c r="D1961" s="56">
        <f t="shared" si="33"/>
        <v>-0.2258559157586203</v>
      </c>
      <c r="E1961" s="64">
        <v>-1.4867898463132523E-2</v>
      </c>
    </row>
    <row r="1962" spans="2:5" x14ac:dyDescent="0.3">
      <c r="B1962" s="55">
        <v>45225</v>
      </c>
      <c r="C1962" s="54">
        <v>3684.65</v>
      </c>
      <c r="D1962" s="56">
        <f t="shared" si="33"/>
        <v>-0.13326825366955208</v>
      </c>
      <c r="E1962" s="64">
        <v>-1.4944326369116911E-2</v>
      </c>
    </row>
    <row r="1963" spans="2:5" x14ac:dyDescent="0.3">
      <c r="B1963" s="55">
        <v>44468</v>
      </c>
      <c r="C1963" s="54">
        <v>4251.2</v>
      </c>
      <c r="D1963" s="56">
        <f t="shared" si="33"/>
        <v>-7.1019623268213761E-2</v>
      </c>
      <c r="E1963" s="64">
        <v>-1.4956844117476775E-2</v>
      </c>
    </row>
    <row r="1964" spans="2:5" x14ac:dyDescent="0.3">
      <c r="B1964" s="55">
        <v>45925</v>
      </c>
      <c r="C1964" s="54">
        <v>4576.2</v>
      </c>
      <c r="D1964" s="56">
        <f t="shared" si="33"/>
        <v>3.0377641505271979</v>
      </c>
      <c r="E1964" s="64">
        <v>-1.4981273408239737E-2</v>
      </c>
    </row>
    <row r="1965" spans="2:5" x14ac:dyDescent="0.3">
      <c r="B1965" s="55">
        <v>43074</v>
      </c>
      <c r="C1965" s="54">
        <v>1133.3499999999999</v>
      </c>
      <c r="D1965" s="56">
        <f t="shared" si="33"/>
        <v>-0.69803503630187169</v>
      </c>
      <c r="E1965" s="64">
        <v>-1.5077778743373682E-2</v>
      </c>
    </row>
    <row r="1966" spans="2:5" x14ac:dyDescent="0.3">
      <c r="B1966" s="55">
        <v>45181</v>
      </c>
      <c r="C1966" s="54">
        <v>3753.25</v>
      </c>
      <c r="D1966" s="56">
        <f t="shared" si="33"/>
        <v>-1.3743085756329654E-2</v>
      </c>
      <c r="E1966" s="64">
        <v>-1.5088893262481085E-2</v>
      </c>
    </row>
    <row r="1967" spans="2:5" x14ac:dyDescent="0.3">
      <c r="B1967" s="55">
        <v>45632</v>
      </c>
      <c r="C1967" s="54">
        <v>3805.55</v>
      </c>
      <c r="D1967" s="56">
        <f t="shared" si="33"/>
        <v>-0.15126678263972526</v>
      </c>
      <c r="E1967" s="64">
        <v>-1.5114067211014492E-2</v>
      </c>
    </row>
    <row r="1968" spans="2:5" x14ac:dyDescent="0.3">
      <c r="B1968" s="55">
        <v>45411</v>
      </c>
      <c r="C1968" s="54">
        <v>4483.8</v>
      </c>
      <c r="D1968" s="56">
        <f t="shared" si="33"/>
        <v>1.0327779666780006</v>
      </c>
      <c r="E1968" s="64">
        <v>-1.523121355545054E-2</v>
      </c>
    </row>
    <row r="1969" spans="2:5" x14ac:dyDescent="0.3">
      <c r="B1969" s="55">
        <v>44137</v>
      </c>
      <c r="C1969" s="54">
        <v>2205.75</v>
      </c>
      <c r="D1969" s="56">
        <f t="shared" si="33"/>
        <v>-0.51678624240100768</v>
      </c>
      <c r="E1969" s="64">
        <v>-1.5246216348944186E-2</v>
      </c>
    </row>
    <row r="1970" spans="2:5" x14ac:dyDescent="0.3">
      <c r="B1970" s="55">
        <v>44501</v>
      </c>
      <c r="C1970" s="54">
        <v>4564.75</v>
      </c>
      <c r="D1970" s="56">
        <f t="shared" si="33"/>
        <v>0.19986068762485543</v>
      </c>
      <c r="E1970" s="64">
        <v>-1.525202515397639E-2</v>
      </c>
    </row>
    <row r="1971" spans="2:5" x14ac:dyDescent="0.3">
      <c r="B1971" s="55">
        <v>45299</v>
      </c>
      <c r="C1971" s="54">
        <v>3804.4</v>
      </c>
      <c r="D1971" s="56">
        <f t="shared" si="33"/>
        <v>0.15047780331438254</v>
      </c>
      <c r="E1971" s="64">
        <v>-1.5297010482722917E-2</v>
      </c>
    </row>
    <row r="1972" spans="2:5" x14ac:dyDescent="0.3">
      <c r="B1972" s="55">
        <v>45012</v>
      </c>
      <c r="C1972" s="54">
        <v>3306.8</v>
      </c>
      <c r="D1972" s="56">
        <f t="shared" si="33"/>
        <v>0.50415065159544237</v>
      </c>
      <c r="E1972" s="64">
        <v>-1.5364459266317243E-2</v>
      </c>
    </row>
    <row r="1973" spans="2:5" x14ac:dyDescent="0.3">
      <c r="B1973" s="55">
        <v>43894</v>
      </c>
      <c r="C1973" s="54">
        <v>2198.4499999999998</v>
      </c>
      <c r="D1973" s="56">
        <f t="shared" si="33"/>
        <v>-0.38489409921378814</v>
      </c>
      <c r="E1973" s="64">
        <v>-1.5494503033967155E-2</v>
      </c>
    </row>
    <row r="1974" spans="2:5" x14ac:dyDescent="0.3">
      <c r="B1974" s="55">
        <v>44704</v>
      </c>
      <c r="C1974" s="54">
        <v>3574.1</v>
      </c>
      <c r="D1974" s="56">
        <f t="shared" si="33"/>
        <v>-9.4981262027752478E-2</v>
      </c>
      <c r="E1974" s="64">
        <v>-1.5507933010136643E-2</v>
      </c>
    </row>
    <row r="1975" spans="2:5" x14ac:dyDescent="0.3">
      <c r="B1975" s="55">
        <v>44882</v>
      </c>
      <c r="C1975" s="54">
        <v>3949.2</v>
      </c>
      <c r="D1975" s="56">
        <f t="shared" si="33"/>
        <v>2.1996759165485109</v>
      </c>
      <c r="E1975" s="64">
        <v>-1.557943016676222E-2</v>
      </c>
    </row>
    <row r="1976" spans="2:5" x14ac:dyDescent="0.3">
      <c r="B1976" s="55">
        <v>43602</v>
      </c>
      <c r="C1976" s="54">
        <v>1234.25</v>
      </c>
      <c r="D1976" s="56">
        <f t="shared" si="33"/>
        <v>0.10467197708762188</v>
      </c>
      <c r="E1976" s="64">
        <v>-1.5592598500558275E-2</v>
      </c>
    </row>
    <row r="1977" spans="2:5" x14ac:dyDescent="0.3">
      <c r="B1977" s="55">
        <v>43136</v>
      </c>
      <c r="C1977" s="54">
        <v>1117.3</v>
      </c>
      <c r="D1977" s="56">
        <f t="shared" si="33"/>
        <v>-0.69519314709733737</v>
      </c>
      <c r="E1977" s="64">
        <v>-1.568143775878772E-2</v>
      </c>
    </row>
    <row r="1978" spans="2:5" x14ac:dyDescent="0.3">
      <c r="B1978" s="55">
        <v>46045</v>
      </c>
      <c r="C1978" s="54">
        <v>3665.6</v>
      </c>
      <c r="D1978" s="56">
        <f t="shared" si="33"/>
        <v>1.697773689052438</v>
      </c>
      <c r="E1978" s="64">
        <v>-1.5708493327246886E-2</v>
      </c>
    </row>
    <row r="1979" spans="2:5" x14ac:dyDescent="0.3">
      <c r="B1979" s="55">
        <v>43243</v>
      </c>
      <c r="C1979" s="54">
        <v>1358.75</v>
      </c>
      <c r="D1979" s="56">
        <f t="shared" si="33"/>
        <v>-0.44755031510469612</v>
      </c>
      <c r="E1979" s="64">
        <v>-1.5790808011299839E-2</v>
      </c>
    </row>
    <row r="1980" spans="2:5" x14ac:dyDescent="0.3">
      <c r="B1980" s="55">
        <v>43990</v>
      </c>
      <c r="C1980" s="54">
        <v>2459.5</v>
      </c>
      <c r="D1980" s="56">
        <f t="shared" si="33"/>
        <v>-0.38013508745400482</v>
      </c>
      <c r="E1980" s="64">
        <v>-1.5806322529011596E-2</v>
      </c>
    </row>
    <row r="1981" spans="2:5" x14ac:dyDescent="0.3">
      <c r="B1981" s="55">
        <v>45364</v>
      </c>
      <c r="C1981" s="54">
        <v>3967.8</v>
      </c>
      <c r="D1981" s="56">
        <f t="shared" si="33"/>
        <v>-0.10064938744517604</v>
      </c>
      <c r="E1981" s="64">
        <v>-1.584939355606807E-2</v>
      </c>
    </row>
    <row r="1982" spans="2:5" x14ac:dyDescent="0.3">
      <c r="B1982" s="55">
        <v>45384</v>
      </c>
      <c r="C1982" s="54">
        <v>4411.8500000000004</v>
      </c>
      <c r="D1982" s="56">
        <f t="shared" si="33"/>
        <v>2.4024987467705241</v>
      </c>
      <c r="E1982" s="64">
        <v>-1.5936921464100084E-2</v>
      </c>
    </row>
    <row r="1983" spans="2:5" x14ac:dyDescent="0.3">
      <c r="B1983" s="55">
        <v>43623</v>
      </c>
      <c r="C1983" s="54">
        <v>1296.6500000000001</v>
      </c>
      <c r="D1983" s="56">
        <f t="shared" si="33"/>
        <v>-0.12979430220462396</v>
      </c>
      <c r="E1983" s="64">
        <v>-1.5937464425302639E-2</v>
      </c>
    </row>
    <row r="1984" spans="2:5" x14ac:dyDescent="0.3">
      <c r="B1984" s="55">
        <v>43682</v>
      </c>
      <c r="C1984" s="54">
        <v>1490.05</v>
      </c>
      <c r="D1984" s="56">
        <f t="shared" si="33"/>
        <v>-0.64824126534466475</v>
      </c>
      <c r="E1984" s="64">
        <v>-1.5949015982036796E-2</v>
      </c>
    </row>
    <row r="1985" spans="2:5" x14ac:dyDescent="0.3">
      <c r="B1985" s="55">
        <v>46161</v>
      </c>
      <c r="C1985" s="54">
        <v>4236</v>
      </c>
      <c r="D1985" s="56">
        <f t="shared" si="33"/>
        <v>-1.8478827550251986E-2</v>
      </c>
      <c r="E1985" s="64">
        <v>-1.5959300299672408E-2</v>
      </c>
    </row>
    <row r="1986" spans="2:5" x14ac:dyDescent="0.3">
      <c r="B1986" s="55">
        <v>44467</v>
      </c>
      <c r="C1986" s="54">
        <v>4315.75</v>
      </c>
      <c r="D1986" s="56">
        <f t="shared" si="33"/>
        <v>8.231974921630103E-2</v>
      </c>
      <c r="E1986" s="64">
        <v>-1.5960782078321856E-2</v>
      </c>
    </row>
    <row r="1987" spans="2:5" x14ac:dyDescent="0.3">
      <c r="B1987" s="55">
        <v>45593</v>
      </c>
      <c r="C1987" s="54">
        <v>3987.5</v>
      </c>
      <c r="D1987" s="56">
        <f t="shared" si="33"/>
        <v>-0.11804388215518002</v>
      </c>
      <c r="E1987" s="64">
        <v>-1.5966635407926533E-2</v>
      </c>
    </row>
    <row r="1988" spans="2:5" x14ac:dyDescent="0.3">
      <c r="B1988" s="55">
        <v>46135</v>
      </c>
      <c r="C1988" s="54">
        <v>4521.2</v>
      </c>
      <c r="D1988" s="56">
        <f t="shared" ref="D1988:D2051" si="34">C1988/C1989-1</f>
        <v>0.15796078833126304</v>
      </c>
      <c r="E1988" s="64">
        <v>-1.6018107425785799E-2</v>
      </c>
    </row>
    <row r="1989" spans="2:5" x14ac:dyDescent="0.3">
      <c r="B1989" s="55">
        <v>44890</v>
      </c>
      <c r="C1989" s="54">
        <v>3904.45</v>
      </c>
      <c r="D1989" s="56">
        <f t="shared" si="34"/>
        <v>0.26390327592904317</v>
      </c>
      <c r="E1989" s="64">
        <v>-1.6028023840425454E-2</v>
      </c>
    </row>
    <row r="1990" spans="2:5" x14ac:dyDescent="0.3">
      <c r="B1990" s="55">
        <v>44252</v>
      </c>
      <c r="C1990" s="54">
        <v>3089.2</v>
      </c>
      <c r="D1990" s="56">
        <f t="shared" si="34"/>
        <v>-0.34292611853789789</v>
      </c>
      <c r="E1990" s="64">
        <v>-1.6084339268082948E-2</v>
      </c>
    </row>
    <row r="1991" spans="2:5" x14ac:dyDescent="0.3">
      <c r="B1991" s="55">
        <v>45454</v>
      </c>
      <c r="C1991" s="54">
        <v>4701.45</v>
      </c>
      <c r="D1991" s="56">
        <f t="shared" si="34"/>
        <v>0.12985748960611354</v>
      </c>
      <c r="E1991" s="64">
        <v>-1.6103716725263673E-2</v>
      </c>
    </row>
    <row r="1992" spans="2:5" x14ac:dyDescent="0.3">
      <c r="B1992" s="55">
        <v>45960</v>
      </c>
      <c r="C1992" s="54">
        <v>4161.1000000000004</v>
      </c>
      <c r="D1992" s="56">
        <f t="shared" si="34"/>
        <v>-0.15552669230535054</v>
      </c>
      <c r="E1992" s="64">
        <v>-1.6148862722844659E-2</v>
      </c>
    </row>
    <row r="1993" spans="2:5" x14ac:dyDescent="0.3">
      <c r="B1993" s="55">
        <v>45534</v>
      </c>
      <c r="C1993" s="54">
        <v>4927.45</v>
      </c>
      <c r="D1993" s="56">
        <f t="shared" si="34"/>
        <v>2.4526503871351992</v>
      </c>
      <c r="E1993" s="64">
        <v>-1.6241415109407464E-2</v>
      </c>
    </row>
    <row r="1994" spans="2:5" x14ac:dyDescent="0.3">
      <c r="B1994" s="55">
        <v>43368</v>
      </c>
      <c r="C1994" s="54">
        <v>1427.15</v>
      </c>
      <c r="D1994" s="56">
        <f t="shared" si="34"/>
        <v>-0.68434614321260712</v>
      </c>
      <c r="E1994" s="64">
        <v>-1.6267447871790353E-2</v>
      </c>
    </row>
    <row r="1995" spans="2:5" x14ac:dyDescent="0.3">
      <c r="B1995" s="55">
        <v>44490</v>
      </c>
      <c r="C1995" s="54">
        <v>4521.25</v>
      </c>
      <c r="D1995" s="56">
        <f t="shared" si="34"/>
        <v>0.94906668965814567</v>
      </c>
      <c r="E1995" s="64">
        <v>-1.6349751979810256E-2</v>
      </c>
    </row>
    <row r="1996" spans="2:5" x14ac:dyDescent="0.3">
      <c r="B1996" s="55">
        <v>43888</v>
      </c>
      <c r="C1996" s="54">
        <v>2319.6999999999998</v>
      </c>
      <c r="D1996" s="56">
        <f t="shared" si="34"/>
        <v>-0.50505675514210124</v>
      </c>
      <c r="E1996" s="64">
        <v>-1.6409430122116819E-2</v>
      </c>
    </row>
    <row r="1997" spans="2:5" x14ac:dyDescent="0.3">
      <c r="B1997" s="55">
        <v>45397</v>
      </c>
      <c r="C1997" s="54">
        <v>4686.8</v>
      </c>
      <c r="D1997" s="56">
        <f t="shared" si="34"/>
        <v>0.17826884883223992</v>
      </c>
      <c r="E1997" s="64">
        <v>-1.6421653497864619E-2</v>
      </c>
    </row>
    <row r="1998" spans="2:5" x14ac:dyDescent="0.3">
      <c r="B1998" s="55">
        <v>44678</v>
      </c>
      <c r="C1998" s="54">
        <v>3977.7</v>
      </c>
      <c r="D1998" s="56">
        <f t="shared" si="34"/>
        <v>-0.15623011327478686</v>
      </c>
      <c r="E1998" s="64">
        <v>-1.6455461457625109E-2</v>
      </c>
    </row>
    <row r="1999" spans="2:5" x14ac:dyDescent="0.3">
      <c r="B1999" s="55">
        <v>45908</v>
      </c>
      <c r="C1999" s="54">
        <v>4714.2</v>
      </c>
      <c r="D1999" s="56">
        <f t="shared" si="34"/>
        <v>1.9695748031496061</v>
      </c>
      <c r="E1999" s="64">
        <v>-1.6502200988880333E-2</v>
      </c>
    </row>
    <row r="2000" spans="2:5" x14ac:dyDescent="0.3">
      <c r="B2000" s="55">
        <v>43333</v>
      </c>
      <c r="C2000" s="54">
        <v>1587.5</v>
      </c>
      <c r="D2000" s="56">
        <f t="shared" si="34"/>
        <v>0.35991776245342022</v>
      </c>
      <c r="E2000" s="64">
        <v>-1.6510237586345844E-2</v>
      </c>
    </row>
    <row r="2001" spans="2:5" x14ac:dyDescent="0.3">
      <c r="B2001" s="55">
        <v>43117</v>
      </c>
      <c r="C2001" s="54">
        <v>1167.3499999999999</v>
      </c>
      <c r="D2001" s="56">
        <f t="shared" si="34"/>
        <v>-0.68341333767255175</v>
      </c>
      <c r="E2001" s="64">
        <v>-1.6554338668913315E-2</v>
      </c>
    </row>
    <row r="2002" spans="2:5" x14ac:dyDescent="0.3">
      <c r="B2002" s="55">
        <v>45321</v>
      </c>
      <c r="C2002" s="54">
        <v>3687.3</v>
      </c>
      <c r="D2002" s="56">
        <f t="shared" si="34"/>
        <v>0.35604876523913731</v>
      </c>
      <c r="E2002" s="64">
        <v>-1.6562650024003811E-2</v>
      </c>
    </row>
    <row r="2003" spans="2:5" x14ac:dyDescent="0.3">
      <c r="B2003" s="55">
        <v>44217</v>
      </c>
      <c r="C2003" s="54">
        <v>2719.15</v>
      </c>
      <c r="D2003" s="56">
        <f t="shared" si="34"/>
        <v>-0.24916471075521185</v>
      </c>
      <c r="E2003" s="64">
        <v>-1.6564494837157939E-2</v>
      </c>
    </row>
    <row r="2004" spans="2:5" x14ac:dyDescent="0.3">
      <c r="B2004" s="55">
        <v>45705</v>
      </c>
      <c r="C2004" s="54">
        <v>3621.5</v>
      </c>
      <c r="D2004" s="56">
        <f t="shared" si="34"/>
        <v>-6.3469286384465473E-4</v>
      </c>
      <c r="E2004" s="64">
        <v>-1.6604890500047542E-2</v>
      </c>
    </row>
    <row r="2005" spans="2:5" x14ac:dyDescent="0.3">
      <c r="B2005" s="55">
        <v>45708</v>
      </c>
      <c r="C2005" s="54">
        <v>3623.8</v>
      </c>
      <c r="D2005" s="56">
        <f t="shared" si="34"/>
        <v>0.71748145690656195</v>
      </c>
      <c r="E2005" s="64">
        <v>-1.6607869742198078E-2</v>
      </c>
    </row>
    <row r="2006" spans="2:5" x14ac:dyDescent="0.3">
      <c r="B2006" s="55">
        <v>43901</v>
      </c>
      <c r="C2006" s="54">
        <v>2109.9499999999998</v>
      </c>
      <c r="D2006" s="56">
        <f t="shared" si="34"/>
        <v>0.46585382798388197</v>
      </c>
      <c r="E2006" s="64">
        <v>-1.6661229435615432E-2</v>
      </c>
    </row>
    <row r="2007" spans="2:5" x14ac:dyDescent="0.3">
      <c r="B2007" s="55">
        <v>43664</v>
      </c>
      <c r="C2007" s="54">
        <v>1439.4</v>
      </c>
      <c r="D2007" s="56">
        <f t="shared" si="34"/>
        <v>-0.11112483403834861</v>
      </c>
      <c r="E2007" s="64">
        <v>-1.6668943844787454E-2</v>
      </c>
    </row>
    <row r="2008" spans="2:5" x14ac:dyDescent="0.3">
      <c r="B2008" s="55">
        <v>43727</v>
      </c>
      <c r="C2008" s="54">
        <v>1619.35</v>
      </c>
      <c r="D2008" s="56">
        <f t="shared" si="34"/>
        <v>-0.61407292659675883</v>
      </c>
      <c r="E2008" s="64">
        <v>-1.6728398809885303E-2</v>
      </c>
    </row>
    <row r="2009" spans="2:5" x14ac:dyDescent="0.3">
      <c r="B2009" s="55">
        <v>45870</v>
      </c>
      <c r="C2009" s="54">
        <v>4196</v>
      </c>
      <c r="D2009" s="56">
        <f t="shared" si="34"/>
        <v>-0.1653405474220242</v>
      </c>
      <c r="E2009" s="64">
        <v>-1.6731499273562322E-2</v>
      </c>
    </row>
    <row r="2010" spans="2:5" x14ac:dyDescent="0.3">
      <c r="B2010" s="55">
        <v>45503</v>
      </c>
      <c r="C2010" s="54">
        <v>5027.2</v>
      </c>
      <c r="D2010" s="56">
        <f t="shared" si="34"/>
        <v>8.8385888567747983E-2</v>
      </c>
      <c r="E2010" s="64">
        <v>-1.6751909404735255E-2</v>
      </c>
    </row>
    <row r="2011" spans="2:5" x14ac:dyDescent="0.3">
      <c r="B2011" s="55">
        <v>44550</v>
      </c>
      <c r="C2011" s="54">
        <v>4618.95</v>
      </c>
      <c r="D2011" s="56">
        <f t="shared" si="34"/>
        <v>-6.2998275687189409E-2</v>
      </c>
      <c r="E2011" s="64">
        <v>-1.6784452296819907E-2</v>
      </c>
    </row>
    <row r="2012" spans="2:5" x14ac:dyDescent="0.3">
      <c r="B2012" s="55">
        <v>45517</v>
      </c>
      <c r="C2012" s="54">
        <v>4929.5</v>
      </c>
      <c r="D2012" s="56">
        <f t="shared" si="34"/>
        <v>4.0328329633174675E-3</v>
      </c>
      <c r="E2012" s="64">
        <v>-1.6813594479237359E-2</v>
      </c>
    </row>
    <row r="2013" spans="2:5" x14ac:dyDescent="0.3">
      <c r="B2013" s="55">
        <v>45506</v>
      </c>
      <c r="C2013" s="54">
        <v>4909.7</v>
      </c>
      <c r="D2013" s="56">
        <f t="shared" si="34"/>
        <v>0.25263426457456295</v>
      </c>
      <c r="E2013" s="64">
        <v>-1.6840882694541315E-2</v>
      </c>
    </row>
    <row r="2014" spans="2:5" x14ac:dyDescent="0.3">
      <c r="B2014" s="55">
        <v>45098</v>
      </c>
      <c r="C2014" s="54">
        <v>3919.5</v>
      </c>
      <c r="D2014" s="56">
        <f t="shared" si="34"/>
        <v>1.5993571465602097E-2</v>
      </c>
      <c r="E2014" s="64">
        <v>-1.6905365070606249E-2</v>
      </c>
    </row>
    <row r="2015" spans="2:5" x14ac:dyDescent="0.3">
      <c r="B2015" s="55">
        <v>44931</v>
      </c>
      <c r="C2015" s="54">
        <v>3857.8</v>
      </c>
      <c r="D2015" s="56">
        <f t="shared" si="34"/>
        <v>0.69995813779276017</v>
      </c>
      <c r="E2015" s="64">
        <v>-1.6920646246368576E-2</v>
      </c>
    </row>
    <row r="2016" spans="2:5" x14ac:dyDescent="0.3">
      <c r="B2016" s="55">
        <v>43980</v>
      </c>
      <c r="C2016" s="54">
        <v>2269.35</v>
      </c>
      <c r="D2016" s="56">
        <f t="shared" si="34"/>
        <v>-0.44028856825749174</v>
      </c>
      <c r="E2016" s="64">
        <v>-1.6937772098161052E-2</v>
      </c>
    </row>
    <row r="2017" spans="2:5" x14ac:dyDescent="0.3">
      <c r="B2017" s="55">
        <v>46171</v>
      </c>
      <c r="C2017" s="54">
        <v>4054.5</v>
      </c>
      <c r="D2017" s="56">
        <f t="shared" si="34"/>
        <v>-4.5438493231312549E-2</v>
      </c>
      <c r="E2017" s="64">
        <v>-1.6947919697410496E-2</v>
      </c>
    </row>
    <row r="2018" spans="2:5" x14ac:dyDescent="0.3">
      <c r="B2018" s="55">
        <v>44866</v>
      </c>
      <c r="C2018" s="54">
        <v>4247.5</v>
      </c>
      <c r="D2018" s="56">
        <f t="shared" si="34"/>
        <v>4.2836173653439484</v>
      </c>
      <c r="E2018" s="64">
        <v>-1.6987201740378044E-2</v>
      </c>
    </row>
    <row r="2019" spans="2:5" x14ac:dyDescent="0.3">
      <c r="B2019" s="55">
        <v>42908</v>
      </c>
      <c r="C2019" s="54">
        <v>803.9</v>
      </c>
      <c r="D2019" s="56">
        <f t="shared" si="34"/>
        <v>-0.40121410748203046</v>
      </c>
      <c r="E2019" s="64">
        <v>-1.6996820738566898E-2</v>
      </c>
    </row>
    <row r="2020" spans="2:5" x14ac:dyDescent="0.3">
      <c r="B2020" s="55">
        <v>43178</v>
      </c>
      <c r="C2020" s="54">
        <v>1342.55</v>
      </c>
      <c r="D2020" s="56">
        <f t="shared" si="34"/>
        <v>-0.14405482945489323</v>
      </c>
      <c r="E2020" s="64">
        <v>-1.70229901889003E-2</v>
      </c>
    </row>
    <row r="2021" spans="2:5" x14ac:dyDescent="0.3">
      <c r="B2021" s="55">
        <v>43265</v>
      </c>
      <c r="C2021" s="54">
        <v>1568.5</v>
      </c>
      <c r="D2021" s="56">
        <f t="shared" si="34"/>
        <v>-0.64701249015415774</v>
      </c>
      <c r="E2021" s="64">
        <v>-1.7138202211987252E-2</v>
      </c>
    </row>
    <row r="2022" spans="2:5" x14ac:dyDescent="0.3">
      <c r="B2022" s="55">
        <v>46136</v>
      </c>
      <c r="C2022" s="54">
        <v>4443.5</v>
      </c>
      <c r="D2022" s="56">
        <f t="shared" si="34"/>
        <v>-4.915518032897026E-3</v>
      </c>
      <c r="E2022" s="64">
        <v>-1.7185702910731626E-2</v>
      </c>
    </row>
    <row r="2023" spans="2:5" x14ac:dyDescent="0.3">
      <c r="B2023" s="55">
        <v>45573</v>
      </c>
      <c r="C2023" s="54">
        <v>4465.45</v>
      </c>
      <c r="D2023" s="56">
        <f t="shared" si="34"/>
        <v>5.0084095801937565</v>
      </c>
      <c r="E2023" s="64">
        <v>-1.7318970544546231E-2</v>
      </c>
    </row>
    <row r="2024" spans="2:5" x14ac:dyDescent="0.3">
      <c r="B2024" s="55">
        <v>42846</v>
      </c>
      <c r="C2024" s="54">
        <v>743.2</v>
      </c>
      <c r="D2024" s="56">
        <f t="shared" si="34"/>
        <v>-0.18293755496921726</v>
      </c>
      <c r="E2024" s="64">
        <v>-1.7321168848340451E-2</v>
      </c>
    </row>
    <row r="2025" spans="2:5" x14ac:dyDescent="0.3">
      <c r="B2025" s="55">
        <v>42942</v>
      </c>
      <c r="C2025" s="54">
        <v>909.6</v>
      </c>
      <c r="D2025" s="56">
        <f t="shared" si="34"/>
        <v>-0.19493738106828329</v>
      </c>
      <c r="E2025" s="64">
        <v>-1.7339167071787398E-2</v>
      </c>
    </row>
    <row r="2026" spans="2:5" x14ac:dyDescent="0.3">
      <c r="B2026" s="55">
        <v>43066</v>
      </c>
      <c r="C2026" s="54">
        <v>1129.8499999999999</v>
      </c>
      <c r="D2026" s="56">
        <f t="shared" si="34"/>
        <v>-0.71831214161057089</v>
      </c>
      <c r="E2026" s="64">
        <v>-1.743629880859221E-2</v>
      </c>
    </row>
    <row r="2027" spans="2:5" x14ac:dyDescent="0.3">
      <c r="B2027" s="55">
        <v>45968</v>
      </c>
      <c r="C2027" s="54">
        <v>4011</v>
      </c>
      <c r="D2027" s="56">
        <f t="shared" si="34"/>
        <v>7.9357390812949014E-2</v>
      </c>
      <c r="E2027" s="64">
        <v>-1.7441575620988692E-2</v>
      </c>
    </row>
    <row r="2028" spans="2:5" x14ac:dyDescent="0.3">
      <c r="B2028" s="55">
        <v>46023</v>
      </c>
      <c r="C2028" s="54">
        <v>3716.1</v>
      </c>
      <c r="D2028" s="56">
        <f t="shared" si="34"/>
        <v>1.7510364228605271</v>
      </c>
      <c r="E2028" s="64">
        <v>-1.7476600920099394E-2</v>
      </c>
    </row>
    <row r="2029" spans="2:5" x14ac:dyDescent="0.3">
      <c r="B2029" s="55">
        <v>43656</v>
      </c>
      <c r="C2029" s="54">
        <v>1350.8</v>
      </c>
      <c r="D2029" s="56">
        <f t="shared" si="34"/>
        <v>0.19629810034096429</v>
      </c>
      <c r="E2029" s="64">
        <v>-1.756427506454783E-2</v>
      </c>
    </row>
    <row r="2030" spans="2:5" x14ac:dyDescent="0.3">
      <c r="B2030" s="55">
        <v>43042</v>
      </c>
      <c r="C2030" s="54">
        <v>1129.1500000000001</v>
      </c>
      <c r="D2030" s="56">
        <f t="shared" si="34"/>
        <v>-0.74232085805568238</v>
      </c>
      <c r="E2030" s="64">
        <v>-1.7660620296663598E-2</v>
      </c>
    </row>
    <row r="2031" spans="2:5" x14ac:dyDescent="0.3">
      <c r="B2031" s="55">
        <v>44792</v>
      </c>
      <c r="C2031" s="54">
        <v>4382</v>
      </c>
      <c r="D2031" s="56">
        <f t="shared" si="34"/>
        <v>2.0193619513539587</v>
      </c>
      <c r="E2031" s="64">
        <v>-1.7698023963505505E-2</v>
      </c>
    </row>
    <row r="2032" spans="2:5" x14ac:dyDescent="0.3">
      <c r="B2032" s="55">
        <v>43507</v>
      </c>
      <c r="C2032" s="54">
        <v>1451.3</v>
      </c>
      <c r="D2032" s="56">
        <f t="shared" si="34"/>
        <v>-6.2497981331352315E-2</v>
      </c>
      <c r="E2032" s="64">
        <v>-1.7732656514382383E-2</v>
      </c>
    </row>
    <row r="2033" spans="2:5" x14ac:dyDescent="0.3">
      <c r="B2033" s="55">
        <v>43297</v>
      </c>
      <c r="C2033" s="54">
        <v>1548.05</v>
      </c>
      <c r="D2033" s="56">
        <f t="shared" si="34"/>
        <v>5.3561098444890654E-2</v>
      </c>
      <c r="E2033" s="64">
        <v>-1.7734771573604036E-2</v>
      </c>
    </row>
    <row r="2034" spans="2:5" x14ac:dyDescent="0.3">
      <c r="B2034" s="55">
        <v>43522</v>
      </c>
      <c r="C2034" s="54">
        <v>1469.35</v>
      </c>
      <c r="D2034" s="56">
        <f t="shared" si="34"/>
        <v>-0.62927032345965594</v>
      </c>
      <c r="E2034" s="64">
        <v>-1.7781342959323543E-2</v>
      </c>
    </row>
    <row r="2035" spans="2:5" x14ac:dyDescent="0.3">
      <c r="B2035" s="55">
        <v>44764</v>
      </c>
      <c r="C2035" s="54">
        <v>3963.4</v>
      </c>
      <c r="D2035" s="56">
        <f t="shared" si="34"/>
        <v>0.70869349658338887</v>
      </c>
      <c r="E2035" s="64">
        <v>-1.7829928011200979E-2</v>
      </c>
    </row>
    <row r="2036" spans="2:5" x14ac:dyDescent="0.3">
      <c r="B2036" s="55">
        <v>44020</v>
      </c>
      <c r="C2036" s="54">
        <v>2319.5500000000002</v>
      </c>
      <c r="D2036" s="56">
        <f t="shared" si="34"/>
        <v>-0.38047034628276866</v>
      </c>
      <c r="E2036" s="64">
        <v>-1.7847313375957796E-2</v>
      </c>
    </row>
    <row r="2037" spans="2:5" x14ac:dyDescent="0.3">
      <c r="B2037" s="55">
        <v>45100</v>
      </c>
      <c r="C2037" s="54">
        <v>3744.05</v>
      </c>
      <c r="D2037" s="56">
        <f t="shared" si="34"/>
        <v>1.0122809846286147</v>
      </c>
      <c r="E2037" s="64">
        <v>-1.7863935049775015E-2</v>
      </c>
    </row>
    <row r="2038" spans="2:5" x14ac:dyDescent="0.3">
      <c r="B2038" s="55">
        <v>43738</v>
      </c>
      <c r="C2038" s="54">
        <v>1860.6</v>
      </c>
      <c r="D2038" s="56">
        <f t="shared" si="34"/>
        <v>-0.52554474633754511</v>
      </c>
      <c r="E2038" s="64">
        <v>-1.7919822649177908E-2</v>
      </c>
    </row>
    <row r="2039" spans="2:5" x14ac:dyDescent="0.3">
      <c r="B2039" s="55">
        <v>44917</v>
      </c>
      <c r="C2039" s="54">
        <v>3921.55</v>
      </c>
      <c r="D2039" s="56">
        <f t="shared" si="34"/>
        <v>-7.5226090955182734E-2</v>
      </c>
      <c r="E2039" s="64">
        <v>-1.7943003105278854E-2</v>
      </c>
    </row>
    <row r="2040" spans="2:5" x14ac:dyDescent="0.3">
      <c r="B2040" s="55">
        <v>44833</v>
      </c>
      <c r="C2040" s="54">
        <v>4240.55</v>
      </c>
      <c r="D2040" s="56">
        <f t="shared" si="34"/>
        <v>0.1286463323751732</v>
      </c>
      <c r="E2040" s="64">
        <v>-1.7970658731169431E-2</v>
      </c>
    </row>
    <row r="2041" spans="2:5" x14ac:dyDescent="0.3">
      <c r="B2041" s="55">
        <v>46009</v>
      </c>
      <c r="C2041" s="54">
        <v>3757.2</v>
      </c>
      <c r="D2041" s="56">
        <f t="shared" si="34"/>
        <v>7.4542821901646406E-3</v>
      </c>
      <c r="E2041" s="64">
        <v>-1.8033558099419755E-2</v>
      </c>
    </row>
    <row r="2042" spans="2:5" x14ac:dyDescent="0.3">
      <c r="B2042" s="55">
        <v>45189</v>
      </c>
      <c r="C2042" s="54">
        <v>3729.4</v>
      </c>
      <c r="D2042" s="56">
        <f t="shared" si="34"/>
        <v>1.5969847846523453</v>
      </c>
      <c r="E2042" s="64">
        <v>-1.8036283209141857E-2</v>
      </c>
    </row>
    <row r="2043" spans="2:5" x14ac:dyDescent="0.3">
      <c r="B2043" s="55">
        <v>43409</v>
      </c>
      <c r="C2043" s="54">
        <v>1436.05</v>
      </c>
      <c r="D2043" s="56">
        <f t="shared" si="34"/>
        <v>4.9744152046783618E-2</v>
      </c>
      <c r="E2043" s="64">
        <v>-1.8085470085470123E-2</v>
      </c>
    </row>
    <row r="2044" spans="2:5" x14ac:dyDescent="0.3">
      <c r="B2044" s="55">
        <v>43482</v>
      </c>
      <c r="C2044" s="54">
        <v>1368</v>
      </c>
      <c r="D2044" s="56">
        <f t="shared" si="34"/>
        <v>-0.72284970471743026</v>
      </c>
      <c r="E2044" s="64">
        <v>-1.8123093486452579E-2</v>
      </c>
    </row>
    <row r="2045" spans="2:5" x14ac:dyDescent="0.3">
      <c r="B2045" s="55">
        <v>45504</v>
      </c>
      <c r="C2045" s="54">
        <v>4935.95</v>
      </c>
      <c r="D2045" s="56">
        <f t="shared" si="34"/>
        <v>5.9677442123094293</v>
      </c>
      <c r="E2045" s="64">
        <v>-1.8151257161043932E-2</v>
      </c>
    </row>
    <row r="2046" spans="2:5" x14ac:dyDescent="0.3">
      <c r="B2046" s="55">
        <v>42878</v>
      </c>
      <c r="C2046" s="54">
        <v>708.4</v>
      </c>
      <c r="D2046" s="56">
        <f t="shared" si="34"/>
        <v>-8.634810085767719E-2</v>
      </c>
      <c r="E2046" s="64">
        <v>-1.8224655256045996E-2</v>
      </c>
    </row>
    <row r="2047" spans="2:5" x14ac:dyDescent="0.3">
      <c r="B2047" s="55">
        <v>42892</v>
      </c>
      <c r="C2047" s="54">
        <v>775.35</v>
      </c>
      <c r="D2047" s="56">
        <f t="shared" si="34"/>
        <v>-0.74282302602119499</v>
      </c>
      <c r="E2047" s="64">
        <v>-1.8233618233618243E-2</v>
      </c>
    </row>
    <row r="2048" spans="2:5" x14ac:dyDescent="0.3">
      <c r="B2048" s="55">
        <v>44272</v>
      </c>
      <c r="C2048" s="54">
        <v>3014.85</v>
      </c>
      <c r="D2048" s="56">
        <f t="shared" si="34"/>
        <v>-0.17788776178010468</v>
      </c>
      <c r="E2048" s="64">
        <v>-1.8283946597199674E-2</v>
      </c>
    </row>
    <row r="2049" spans="2:5" x14ac:dyDescent="0.3">
      <c r="B2049" s="55">
        <v>46051</v>
      </c>
      <c r="C2049" s="54">
        <v>3667.2</v>
      </c>
      <c r="D2049" s="56">
        <f t="shared" si="34"/>
        <v>0.28542886185986172</v>
      </c>
      <c r="E2049" s="64">
        <v>-1.8336590197285618E-2</v>
      </c>
    </row>
    <row r="2050" spans="2:5" x14ac:dyDescent="0.3">
      <c r="B2050" s="55">
        <v>44316</v>
      </c>
      <c r="C2050" s="54">
        <v>2852.9</v>
      </c>
      <c r="D2050" s="56">
        <f t="shared" si="34"/>
        <v>-0.12778024061023885</v>
      </c>
      <c r="E2050" s="64">
        <v>-1.8390765048944435E-2</v>
      </c>
    </row>
    <row r="2051" spans="2:5" x14ac:dyDescent="0.3">
      <c r="B2051" s="55">
        <v>44376</v>
      </c>
      <c r="C2051" s="54">
        <v>3270.85</v>
      </c>
      <c r="D2051" s="56">
        <f t="shared" si="34"/>
        <v>-0.3589459655449504</v>
      </c>
      <c r="E2051" s="64">
        <v>-1.8411259828341575E-2</v>
      </c>
    </row>
    <row r="2052" spans="2:5" x14ac:dyDescent="0.3">
      <c r="B2052" s="55">
        <v>45562</v>
      </c>
      <c r="C2052" s="54">
        <v>5102.3</v>
      </c>
      <c r="D2052" s="56">
        <f t="shared" ref="D2052:D2115" si="35">C2052/C2053-1</f>
        <v>2.5605722260990929</v>
      </c>
      <c r="E2052" s="64">
        <v>-1.8420369176902929E-2</v>
      </c>
    </row>
    <row r="2053" spans="2:5" x14ac:dyDescent="0.3">
      <c r="B2053" s="55">
        <v>43650</v>
      </c>
      <c r="C2053" s="54">
        <v>1433</v>
      </c>
      <c r="D2053" s="56">
        <f t="shared" si="35"/>
        <v>4.9278758146005686E-2</v>
      </c>
      <c r="E2053" s="64">
        <v>-1.8560372577220652E-2</v>
      </c>
    </row>
    <row r="2054" spans="2:5" x14ac:dyDescent="0.3">
      <c r="B2054" s="55">
        <v>43490</v>
      </c>
      <c r="C2054" s="54">
        <v>1365.7</v>
      </c>
      <c r="D2054" s="56">
        <f t="shared" si="35"/>
        <v>-0.58751396901144703</v>
      </c>
      <c r="E2054" s="64">
        <v>-1.8576407603032474E-2</v>
      </c>
    </row>
    <row r="2055" spans="2:5" x14ac:dyDescent="0.3">
      <c r="B2055" s="55">
        <v>44370</v>
      </c>
      <c r="C2055" s="54">
        <v>3310.9</v>
      </c>
      <c r="D2055" s="56">
        <f t="shared" si="35"/>
        <v>-0.25864308105687417</v>
      </c>
      <c r="E2055" s="64">
        <v>-1.8643665896022288E-2</v>
      </c>
    </row>
    <row r="2056" spans="2:5" x14ac:dyDescent="0.3">
      <c r="B2056" s="55">
        <v>46119</v>
      </c>
      <c r="C2056" s="54">
        <v>4466</v>
      </c>
      <c r="D2056" s="56">
        <f t="shared" si="35"/>
        <v>0.1483081353491722</v>
      </c>
      <c r="E2056" s="64">
        <v>-1.8741897919275829E-2</v>
      </c>
    </row>
    <row r="2057" spans="2:5" x14ac:dyDescent="0.3">
      <c r="B2057" s="55">
        <v>45107</v>
      </c>
      <c r="C2057" s="54">
        <v>3889.2</v>
      </c>
      <c r="D2057" s="56">
        <f t="shared" si="35"/>
        <v>-0.19268492667282489</v>
      </c>
      <c r="E2057" s="64">
        <v>-1.8770814411141368E-2</v>
      </c>
    </row>
    <row r="2058" spans="2:5" x14ac:dyDescent="0.3">
      <c r="B2058" s="55">
        <v>45509</v>
      </c>
      <c r="C2058" s="54">
        <v>4817.45</v>
      </c>
      <c r="D2058" s="56">
        <f t="shared" si="35"/>
        <v>0.22027179350785864</v>
      </c>
      <c r="E2058" s="64">
        <v>-1.8789335397274787E-2</v>
      </c>
    </row>
    <row r="2059" spans="2:5" x14ac:dyDescent="0.3">
      <c r="B2059" s="55">
        <v>45691</v>
      </c>
      <c r="C2059" s="54">
        <v>3947.85</v>
      </c>
      <c r="D2059" s="56">
        <f t="shared" si="35"/>
        <v>4.6882919412061241E-4</v>
      </c>
      <c r="E2059" s="64">
        <v>-1.8863000931966467E-2</v>
      </c>
    </row>
    <row r="2060" spans="2:5" x14ac:dyDescent="0.3">
      <c r="B2060" s="55">
        <v>46239</v>
      </c>
      <c r="C2060" s="54">
        <v>3946</v>
      </c>
      <c r="D2060" s="56">
        <f t="shared" si="35"/>
        <v>1.0986570934716129</v>
      </c>
      <c r="E2060" s="64">
        <v>-1.9139945314441964E-2</v>
      </c>
    </row>
    <row r="2061" spans="2:5" x14ac:dyDescent="0.3">
      <c r="B2061" s="55">
        <v>43732</v>
      </c>
      <c r="C2061" s="54">
        <v>1880.25</v>
      </c>
      <c r="D2061" s="56">
        <f t="shared" si="35"/>
        <v>0.2050953372856914</v>
      </c>
      <c r="E2061" s="64">
        <v>-1.9170579029733958E-2</v>
      </c>
    </row>
    <row r="2062" spans="2:5" x14ac:dyDescent="0.3">
      <c r="B2062" s="55">
        <v>43467</v>
      </c>
      <c r="C2062" s="54">
        <v>1560.25</v>
      </c>
      <c r="D2062" s="56">
        <f t="shared" si="35"/>
        <v>2.5131406044678117E-2</v>
      </c>
      <c r="E2062" s="64">
        <v>-1.9173345906019157E-2</v>
      </c>
    </row>
    <row r="2063" spans="2:5" x14ac:dyDescent="0.3">
      <c r="B2063" s="55">
        <v>43300</v>
      </c>
      <c r="C2063" s="54">
        <v>1522</v>
      </c>
      <c r="D2063" s="56">
        <f t="shared" si="35"/>
        <v>-0.57562492157983525</v>
      </c>
      <c r="E2063" s="64">
        <v>-1.9203505606392501E-2</v>
      </c>
    </row>
    <row r="2064" spans="2:5" x14ac:dyDescent="0.3">
      <c r="B2064" s="55">
        <v>44706</v>
      </c>
      <c r="C2064" s="54">
        <v>3586.45</v>
      </c>
      <c r="D2064" s="56">
        <f t="shared" si="35"/>
        <v>-0.29283658017193792</v>
      </c>
      <c r="E2064" s="64">
        <v>-1.9224721405619816E-2</v>
      </c>
    </row>
    <row r="2065" spans="2:5" x14ac:dyDescent="0.3">
      <c r="B2065" s="55">
        <v>45499</v>
      </c>
      <c r="C2065" s="54">
        <v>5071.6000000000004</v>
      </c>
      <c r="D2065" s="56">
        <f t="shared" si="35"/>
        <v>2.5316319069670281</v>
      </c>
      <c r="E2065" s="64">
        <v>-1.9288967097566445E-2</v>
      </c>
    </row>
    <row r="2066" spans="2:5" x14ac:dyDescent="0.3">
      <c r="B2066" s="55">
        <v>43514</v>
      </c>
      <c r="C2066" s="54">
        <v>1436.05</v>
      </c>
      <c r="D2066" s="56">
        <f t="shared" si="35"/>
        <v>-8.7295029871615637E-2</v>
      </c>
      <c r="E2066" s="64">
        <v>-1.9292494707368713E-2</v>
      </c>
    </row>
    <row r="2067" spans="2:5" x14ac:dyDescent="0.3">
      <c r="B2067" s="55">
        <v>43347</v>
      </c>
      <c r="C2067" s="54">
        <v>1573.4</v>
      </c>
      <c r="D2067" s="56">
        <f t="shared" si="35"/>
        <v>-0.60700369667299425</v>
      </c>
      <c r="E2067" s="64">
        <v>-1.9474651793225939E-2</v>
      </c>
    </row>
    <row r="2068" spans="2:5" x14ac:dyDescent="0.3">
      <c r="B2068" s="55">
        <v>45748</v>
      </c>
      <c r="C2068" s="54">
        <v>4003.6</v>
      </c>
      <c r="D2068" s="56">
        <f t="shared" si="35"/>
        <v>6.6020529069535261E-2</v>
      </c>
      <c r="E2068" s="64">
        <v>-1.9494514106583094E-2</v>
      </c>
    </row>
    <row r="2069" spans="2:5" x14ac:dyDescent="0.3">
      <c r="B2069" s="55">
        <v>44722</v>
      </c>
      <c r="C2069" s="54">
        <v>3755.65</v>
      </c>
      <c r="D2069" s="56">
        <f t="shared" si="35"/>
        <v>-7.5714320872197538E-2</v>
      </c>
      <c r="E2069" s="64">
        <v>-1.9502134269714255E-2</v>
      </c>
    </row>
    <row r="2070" spans="2:5" x14ac:dyDescent="0.3">
      <c r="B2070" s="55">
        <v>46181</v>
      </c>
      <c r="C2070" s="54">
        <v>4063.3</v>
      </c>
      <c r="D2070" s="56">
        <f t="shared" si="35"/>
        <v>3.7641410659107866E-2</v>
      </c>
      <c r="E2070" s="64">
        <v>-1.9521258626514104E-2</v>
      </c>
    </row>
    <row r="2071" spans="2:5" x14ac:dyDescent="0.3">
      <c r="B2071" s="55">
        <v>46217</v>
      </c>
      <c r="C2071" s="54">
        <v>3915.9</v>
      </c>
      <c r="D2071" s="56">
        <f t="shared" si="35"/>
        <v>0.25198625209815373</v>
      </c>
      <c r="E2071" s="64">
        <v>-1.9578878846298275E-2</v>
      </c>
    </row>
    <row r="2072" spans="2:5" x14ac:dyDescent="0.3">
      <c r="B2072" s="55">
        <v>44245</v>
      </c>
      <c r="C2072" s="54">
        <v>3127.75</v>
      </c>
      <c r="D2072" s="56">
        <f t="shared" si="35"/>
        <v>-0.26416270644144357</v>
      </c>
      <c r="E2072" s="64">
        <v>-1.9590941148812768E-2</v>
      </c>
    </row>
    <row r="2073" spans="2:5" x14ac:dyDescent="0.3">
      <c r="B2073" s="55">
        <v>45832</v>
      </c>
      <c r="C2073" s="54">
        <v>4250.6000000000004</v>
      </c>
      <c r="D2073" s="56">
        <f t="shared" si="35"/>
        <v>1.8817627118644071</v>
      </c>
      <c r="E2073" s="64">
        <v>-1.9650352876055099E-2</v>
      </c>
    </row>
    <row r="2074" spans="2:5" x14ac:dyDescent="0.3">
      <c r="B2074" s="55">
        <v>43697</v>
      </c>
      <c r="C2074" s="54">
        <v>1475</v>
      </c>
      <c r="D2074" s="56">
        <f t="shared" si="35"/>
        <v>-0.31005449400098228</v>
      </c>
      <c r="E2074" s="64">
        <v>-1.9738153784807588E-2</v>
      </c>
    </row>
    <row r="2075" spans="2:5" x14ac:dyDescent="0.3">
      <c r="B2075" s="55">
        <v>43937</v>
      </c>
      <c r="C2075" s="54">
        <v>2137.85</v>
      </c>
      <c r="D2075" s="56">
        <f t="shared" si="35"/>
        <v>0.50003508279539699</v>
      </c>
      <c r="E2075" s="64">
        <v>-1.9739557063597646E-2</v>
      </c>
    </row>
    <row r="2076" spans="2:5" x14ac:dyDescent="0.3">
      <c r="B2076" s="55">
        <v>43234</v>
      </c>
      <c r="C2076" s="54">
        <v>1425.2</v>
      </c>
      <c r="D2076" s="56">
        <f t="shared" si="35"/>
        <v>9.2190972488313205E-2</v>
      </c>
      <c r="E2076" s="64">
        <v>-1.9740009629273025E-2</v>
      </c>
    </row>
    <row r="2077" spans="2:5" x14ac:dyDescent="0.3">
      <c r="B2077" s="55">
        <v>43381</v>
      </c>
      <c r="C2077" s="54">
        <v>1304.9000000000001</v>
      </c>
      <c r="D2077" s="56">
        <f t="shared" si="35"/>
        <v>-0.64213037874009271</v>
      </c>
      <c r="E2077" s="64">
        <v>-1.9756610576923017E-2</v>
      </c>
    </row>
    <row r="2078" spans="2:5" x14ac:dyDescent="0.3">
      <c r="B2078" s="55">
        <v>46027</v>
      </c>
      <c r="C2078" s="54">
        <v>3646.3</v>
      </c>
      <c r="D2078" s="56">
        <f t="shared" si="35"/>
        <v>-0.1082006505735319</v>
      </c>
      <c r="E2078" s="64">
        <v>-1.9759126834776097E-2</v>
      </c>
    </row>
    <row r="2079" spans="2:5" x14ac:dyDescent="0.3">
      <c r="B2079" s="55">
        <v>44663</v>
      </c>
      <c r="C2079" s="54">
        <v>4088.7</v>
      </c>
      <c r="D2079" s="56">
        <f t="shared" si="35"/>
        <v>0.39784615384615374</v>
      </c>
      <c r="E2079" s="64">
        <v>-1.9872470994342861E-2</v>
      </c>
    </row>
    <row r="2080" spans="2:5" x14ac:dyDescent="0.3">
      <c r="B2080" s="55">
        <v>44236</v>
      </c>
      <c r="C2080" s="54">
        <v>2925</v>
      </c>
      <c r="D2080" s="56">
        <f t="shared" si="35"/>
        <v>1.0941471272597099</v>
      </c>
      <c r="E2080" s="64">
        <v>-1.9903498190591118E-2</v>
      </c>
    </row>
    <row r="2081" spans="2:5" x14ac:dyDescent="0.3">
      <c r="B2081" s="55">
        <v>43413</v>
      </c>
      <c r="C2081" s="54">
        <v>1396.75</v>
      </c>
      <c r="D2081" s="56">
        <f t="shared" si="35"/>
        <v>-0.64587690942511244</v>
      </c>
      <c r="E2081" s="64">
        <v>-1.9927726905939802E-2</v>
      </c>
    </row>
    <row r="2082" spans="2:5" x14ac:dyDescent="0.3">
      <c r="B2082" s="55">
        <v>44680</v>
      </c>
      <c r="C2082" s="54">
        <v>3944.25</v>
      </c>
      <c r="D2082" s="56">
        <f t="shared" si="35"/>
        <v>2.2674237710018641E-2</v>
      </c>
      <c r="E2082" s="64">
        <v>-1.995254127790691E-2</v>
      </c>
    </row>
    <row r="2083" spans="2:5" x14ac:dyDescent="0.3">
      <c r="B2083" s="55">
        <v>45215</v>
      </c>
      <c r="C2083" s="54">
        <v>3856.8</v>
      </c>
      <c r="D2083" s="56">
        <f t="shared" si="35"/>
        <v>-9.4881603341860132E-2</v>
      </c>
      <c r="E2083" s="64">
        <v>-2.008460688288416E-2</v>
      </c>
    </row>
    <row r="2084" spans="2:5" x14ac:dyDescent="0.3">
      <c r="B2084" s="55">
        <v>45842</v>
      </c>
      <c r="C2084" s="54">
        <v>4261.1000000000004</v>
      </c>
      <c r="D2084" s="56">
        <f t="shared" si="35"/>
        <v>2.2748722284133267</v>
      </c>
      <c r="E2084" s="64">
        <v>-2.0143951065835664E-2</v>
      </c>
    </row>
    <row r="2085" spans="2:5" x14ac:dyDescent="0.3">
      <c r="B2085" s="55">
        <v>43581</v>
      </c>
      <c r="C2085" s="54">
        <v>1301.1500000000001</v>
      </c>
      <c r="D2085" s="56">
        <f t="shared" si="35"/>
        <v>-0.70300837689164819</v>
      </c>
      <c r="E2085" s="64">
        <v>-2.0255261473589026E-2</v>
      </c>
    </row>
    <row r="2086" spans="2:5" x14ac:dyDescent="0.3">
      <c r="B2086" s="55">
        <v>44845</v>
      </c>
      <c r="C2086" s="54">
        <v>4381.1000000000004</v>
      </c>
      <c r="D2086" s="56">
        <f t="shared" si="35"/>
        <v>1.281822916666667</v>
      </c>
      <c r="E2086" s="64">
        <v>-2.0271705708056031E-2</v>
      </c>
    </row>
    <row r="2087" spans="2:5" x14ac:dyDescent="0.3">
      <c r="B2087" s="55">
        <v>43783</v>
      </c>
      <c r="C2087" s="54">
        <v>1920</v>
      </c>
      <c r="D2087" s="56">
        <f t="shared" si="35"/>
        <v>-0.46868860171015858</v>
      </c>
      <c r="E2087" s="64">
        <v>-2.0383173040128599E-2</v>
      </c>
    </row>
    <row r="2088" spans="2:5" x14ac:dyDescent="0.3">
      <c r="B2088" s="55">
        <v>46054</v>
      </c>
      <c r="C2088" s="54">
        <v>3613.7</v>
      </c>
      <c r="D2088" s="56">
        <f t="shared" si="35"/>
        <v>1.3241470238286652</v>
      </c>
      <c r="E2088" s="64">
        <v>-2.0544789266838337E-2</v>
      </c>
    </row>
    <row r="2089" spans="2:5" x14ac:dyDescent="0.3">
      <c r="B2089" s="55">
        <v>43335</v>
      </c>
      <c r="C2089" s="54">
        <v>1554.85</v>
      </c>
      <c r="D2089" s="56">
        <f t="shared" si="35"/>
        <v>-0.66177222349115195</v>
      </c>
      <c r="E2089" s="64">
        <v>-2.056692913385838E-2</v>
      </c>
    </row>
    <row r="2090" spans="2:5" x14ac:dyDescent="0.3">
      <c r="B2090" s="55">
        <v>45426</v>
      </c>
      <c r="C2090" s="54">
        <v>4597.05</v>
      </c>
      <c r="D2090" s="56">
        <f t="shared" si="35"/>
        <v>0.12460552388873958</v>
      </c>
      <c r="E2090" s="64">
        <v>-2.0591431067175092E-2</v>
      </c>
    </row>
    <row r="2091" spans="2:5" x14ac:dyDescent="0.3">
      <c r="B2091" s="55">
        <v>45582</v>
      </c>
      <c r="C2091" s="54">
        <v>4087.7</v>
      </c>
      <c r="D2091" s="56">
        <f t="shared" si="35"/>
        <v>-0.11780384370515051</v>
      </c>
      <c r="E2091" s="64">
        <v>-2.0628683693516781E-2</v>
      </c>
    </row>
    <row r="2092" spans="2:5" x14ac:dyDescent="0.3">
      <c r="B2092" s="55">
        <v>44571</v>
      </c>
      <c r="C2092" s="54">
        <v>4633.55</v>
      </c>
      <c r="D2092" s="56">
        <f t="shared" si="35"/>
        <v>0.20851047181867988</v>
      </c>
      <c r="E2092" s="64">
        <v>-2.0670633117397808E-2</v>
      </c>
    </row>
    <row r="2093" spans="2:5" x14ac:dyDescent="0.3">
      <c r="B2093" s="55">
        <v>46072</v>
      </c>
      <c r="C2093" s="54">
        <v>3834.1</v>
      </c>
      <c r="D2093" s="56">
        <f t="shared" si="35"/>
        <v>0.17234631319848948</v>
      </c>
      <c r="E2093" s="64">
        <v>-2.0714139762975092E-2</v>
      </c>
    </row>
    <row r="2094" spans="2:5" x14ac:dyDescent="0.3">
      <c r="B2094" s="55">
        <v>44693</v>
      </c>
      <c r="C2094" s="54">
        <v>3270.45</v>
      </c>
      <c r="D2094" s="56">
        <f t="shared" si="35"/>
        <v>0.16968884120171657</v>
      </c>
      <c r="E2094" s="64">
        <v>-2.0735395394795963E-2</v>
      </c>
    </row>
    <row r="2095" spans="2:5" x14ac:dyDescent="0.3">
      <c r="B2095" s="55">
        <v>44280</v>
      </c>
      <c r="C2095" s="54">
        <v>2796</v>
      </c>
      <c r="D2095" s="56">
        <f t="shared" si="35"/>
        <v>-0.43330833620462506</v>
      </c>
      <c r="E2095" s="64">
        <v>-2.087127048606241E-2</v>
      </c>
    </row>
    <row r="2096" spans="2:5" x14ac:dyDescent="0.3">
      <c r="B2096" s="55">
        <v>45462</v>
      </c>
      <c r="C2096" s="54">
        <v>4933.8999999999996</v>
      </c>
      <c r="D2096" s="56">
        <f t="shared" si="35"/>
        <v>0.49001902576027523</v>
      </c>
      <c r="E2096" s="64">
        <v>-2.0915603357609336E-2</v>
      </c>
    </row>
    <row r="2097" spans="2:5" x14ac:dyDescent="0.3">
      <c r="B2097" s="55">
        <v>45002</v>
      </c>
      <c r="C2097" s="54">
        <v>3311.3</v>
      </c>
      <c r="D2097" s="56">
        <f t="shared" si="35"/>
        <v>3.3443977958541069</v>
      </c>
      <c r="E2097" s="64">
        <v>-2.0948213414544004E-2</v>
      </c>
    </row>
    <row r="2098" spans="2:5" x14ac:dyDescent="0.3">
      <c r="B2098" s="55">
        <v>42837</v>
      </c>
      <c r="C2098" s="54">
        <v>762.2</v>
      </c>
      <c r="D2098" s="56">
        <f t="shared" si="35"/>
        <v>-0.82204893537542023</v>
      </c>
      <c r="E2098" s="64">
        <v>-2.10005779975595E-2</v>
      </c>
    </row>
    <row r="2099" spans="2:5" x14ac:dyDescent="0.3">
      <c r="B2099" s="55">
        <v>44831</v>
      </c>
      <c r="C2099" s="54">
        <v>4283.2</v>
      </c>
      <c r="D2099" s="56">
        <f t="shared" si="35"/>
        <v>0.63122917261734734</v>
      </c>
      <c r="E2099" s="64">
        <v>-2.1049985143875904E-2</v>
      </c>
    </row>
    <row r="2100" spans="2:5" x14ac:dyDescent="0.3">
      <c r="B2100" s="55">
        <v>44187</v>
      </c>
      <c r="C2100" s="54">
        <v>2625.75</v>
      </c>
      <c r="D2100" s="56">
        <f t="shared" si="35"/>
        <v>0.71019637216269915</v>
      </c>
      <c r="E2100" s="64">
        <v>-2.1119147032508279E-2</v>
      </c>
    </row>
    <row r="2101" spans="2:5" x14ac:dyDescent="0.3">
      <c r="B2101" s="55">
        <v>43266</v>
      </c>
      <c r="C2101" s="54">
        <v>1535.35</v>
      </c>
      <c r="D2101" s="56">
        <f t="shared" si="35"/>
        <v>0.39780589949016743</v>
      </c>
      <c r="E2101" s="64">
        <v>-2.1134842205929316E-2</v>
      </c>
    </row>
    <row r="2102" spans="2:5" x14ac:dyDescent="0.3">
      <c r="B2102" s="55">
        <v>43054</v>
      </c>
      <c r="C2102" s="54">
        <v>1098.4000000000001</v>
      </c>
      <c r="D2102" s="56">
        <f t="shared" si="35"/>
        <v>-0.16066175065907617</v>
      </c>
      <c r="E2102" s="64">
        <v>-2.1164728423116341E-2</v>
      </c>
    </row>
    <row r="2103" spans="2:5" x14ac:dyDescent="0.3">
      <c r="B2103" s="55">
        <v>43390</v>
      </c>
      <c r="C2103" s="54">
        <v>1308.6500000000001</v>
      </c>
      <c r="D2103" s="56">
        <f t="shared" si="35"/>
        <v>-0.61701224776481944</v>
      </c>
      <c r="E2103" s="64">
        <v>-2.1167582931298834E-2</v>
      </c>
    </row>
    <row r="2104" spans="2:5" x14ac:dyDescent="0.3">
      <c r="B2104" s="55">
        <v>44985</v>
      </c>
      <c r="C2104" s="54">
        <v>3416.95</v>
      </c>
      <c r="D2104" s="56">
        <f t="shared" si="35"/>
        <v>-0.14450063844170158</v>
      </c>
      <c r="E2104" s="64">
        <v>-2.1295792398247193E-2</v>
      </c>
    </row>
    <row r="2105" spans="2:5" x14ac:dyDescent="0.3">
      <c r="B2105" s="55">
        <v>46216</v>
      </c>
      <c r="C2105" s="54">
        <v>3994.1</v>
      </c>
      <c r="D2105" s="56">
        <f t="shared" si="35"/>
        <v>2.0752232830304895</v>
      </c>
      <c r="E2105" s="64">
        <v>-2.1317781970547123E-2</v>
      </c>
    </row>
    <row r="2106" spans="2:5" x14ac:dyDescent="0.3">
      <c r="B2106" s="55">
        <v>43166</v>
      </c>
      <c r="C2106" s="54">
        <v>1298.8</v>
      </c>
      <c r="D2106" s="56">
        <f t="shared" si="35"/>
        <v>-0.66418450718792021</v>
      </c>
      <c r="E2106" s="64">
        <v>-2.1361564254229082E-2</v>
      </c>
    </row>
    <row r="2107" spans="2:5" x14ac:dyDescent="0.3">
      <c r="B2107" s="55">
        <v>45999</v>
      </c>
      <c r="C2107" s="54">
        <v>3867.6</v>
      </c>
      <c r="D2107" s="56">
        <f t="shared" si="35"/>
        <v>5.4143556058272813E-2</v>
      </c>
      <c r="E2107" s="64">
        <v>-2.1381037929202207E-2</v>
      </c>
    </row>
    <row r="2108" spans="2:5" x14ac:dyDescent="0.3">
      <c r="B2108" s="55">
        <v>45222</v>
      </c>
      <c r="C2108" s="54">
        <v>3668.95</v>
      </c>
      <c r="D2108" s="56">
        <f t="shared" si="35"/>
        <v>-0.21832456271171996</v>
      </c>
      <c r="E2108" s="64">
        <v>-2.1482864381917599E-2</v>
      </c>
    </row>
    <row r="2109" spans="2:5" x14ac:dyDescent="0.3">
      <c r="B2109" s="55">
        <v>45425</v>
      </c>
      <c r="C2109" s="54">
        <v>4693.7</v>
      </c>
      <c r="D2109" s="56">
        <f t="shared" si="35"/>
        <v>2.1903887982599235</v>
      </c>
      <c r="E2109" s="64">
        <v>-2.1493495663775897E-2</v>
      </c>
    </row>
    <row r="2110" spans="2:5" x14ac:dyDescent="0.3">
      <c r="B2110" s="55">
        <v>43549</v>
      </c>
      <c r="C2110" s="54">
        <v>1471.2</v>
      </c>
      <c r="D2110" s="56">
        <f t="shared" si="35"/>
        <v>-0.64499782829014041</v>
      </c>
      <c r="E2110" s="64">
        <v>-2.1613353727472195E-2</v>
      </c>
    </row>
    <row r="2111" spans="2:5" x14ac:dyDescent="0.3">
      <c r="B2111" s="55">
        <v>46162</v>
      </c>
      <c r="C2111" s="54">
        <v>4144.2</v>
      </c>
      <c r="D2111" s="56">
        <f t="shared" si="35"/>
        <v>5.3940642404821881E-2</v>
      </c>
      <c r="E2111" s="64">
        <v>-2.1671388101982991E-2</v>
      </c>
    </row>
    <row r="2112" spans="2:5" x14ac:dyDescent="0.3">
      <c r="B2112" s="55">
        <v>45366</v>
      </c>
      <c r="C2112" s="54">
        <v>3932.1</v>
      </c>
      <c r="D2112" s="56">
        <f t="shared" si="35"/>
        <v>-9.9958798754806844E-2</v>
      </c>
      <c r="E2112" s="64">
        <v>-2.1683149841388305E-2</v>
      </c>
    </row>
    <row r="2113" spans="2:5" x14ac:dyDescent="0.3">
      <c r="B2113" s="55">
        <v>46120</v>
      </c>
      <c r="C2113" s="54">
        <v>4368.8</v>
      </c>
      <c r="D2113" s="56">
        <f t="shared" si="35"/>
        <v>-6.4737112519266948E-2</v>
      </c>
      <c r="E2113" s="64">
        <v>-2.1764442454097588E-2</v>
      </c>
    </row>
    <row r="2114" spans="2:5" x14ac:dyDescent="0.3">
      <c r="B2114" s="55">
        <v>45922</v>
      </c>
      <c r="C2114" s="54">
        <v>4671.2</v>
      </c>
      <c r="D2114" s="56">
        <f t="shared" si="35"/>
        <v>1.4799978763505082</v>
      </c>
      <c r="E2114" s="64">
        <v>-2.1799677507172377E-2</v>
      </c>
    </row>
    <row r="2115" spans="2:5" x14ac:dyDescent="0.3">
      <c r="B2115" s="55">
        <v>43829</v>
      </c>
      <c r="C2115" s="54">
        <v>1883.55</v>
      </c>
      <c r="D2115" s="56">
        <f t="shared" si="35"/>
        <v>-0.30690682955549009</v>
      </c>
      <c r="E2115" s="64">
        <v>-2.1811949832515332E-2</v>
      </c>
    </row>
    <row r="2116" spans="2:5" x14ac:dyDescent="0.3">
      <c r="B2116" s="55">
        <v>44308</v>
      </c>
      <c r="C2116" s="54">
        <v>2717.6</v>
      </c>
      <c r="D2116" s="56">
        <f t="shared" ref="D2116:D2179" si="36">C2116/C2117-1</f>
        <v>-0.34831299009616079</v>
      </c>
      <c r="E2116" s="64">
        <v>-2.183028885089533E-2</v>
      </c>
    </row>
    <row r="2117" spans="2:5" x14ac:dyDescent="0.3">
      <c r="B2117" s="55">
        <v>45877</v>
      </c>
      <c r="C2117" s="54">
        <v>4170.1000000000004</v>
      </c>
      <c r="D2117" s="56">
        <f t="shared" si="36"/>
        <v>1.8685124677558043</v>
      </c>
      <c r="E2117" s="64">
        <v>-2.1906884015480133E-2</v>
      </c>
    </row>
    <row r="2118" spans="2:5" x14ac:dyDescent="0.3">
      <c r="B2118" s="55">
        <v>43256</v>
      </c>
      <c r="C2118" s="54">
        <v>1453.75</v>
      </c>
      <c r="D2118" s="56">
        <f t="shared" si="36"/>
        <v>-0.56470641075545713</v>
      </c>
      <c r="E2118" s="64">
        <v>-2.196582346609266E-2</v>
      </c>
    </row>
    <row r="2119" spans="2:5" x14ac:dyDescent="0.3">
      <c r="B2119" s="55">
        <v>44692</v>
      </c>
      <c r="C2119" s="54">
        <v>3339.7</v>
      </c>
      <c r="D2119" s="56">
        <f t="shared" si="36"/>
        <v>2.6541386290278459</v>
      </c>
      <c r="E2119" s="64">
        <v>-2.2035461719790872E-2</v>
      </c>
    </row>
    <row r="2120" spans="2:5" x14ac:dyDescent="0.3">
      <c r="B2120" s="55">
        <v>42927</v>
      </c>
      <c r="C2120" s="54">
        <v>913.95</v>
      </c>
      <c r="D2120" s="56">
        <f t="shared" si="36"/>
        <v>-0.50042362458662437</v>
      </c>
      <c r="E2120" s="64">
        <v>-2.2095013909693928E-2</v>
      </c>
    </row>
    <row r="2121" spans="2:5" x14ac:dyDescent="0.3">
      <c r="B2121" s="55">
        <v>43787</v>
      </c>
      <c r="C2121" s="54">
        <v>1829.45</v>
      </c>
      <c r="D2121" s="56">
        <f t="shared" si="36"/>
        <v>0.19853904612159323</v>
      </c>
      <c r="E2121" s="64">
        <v>-2.2128978806424837E-2</v>
      </c>
    </row>
    <row r="2122" spans="2:5" x14ac:dyDescent="0.3">
      <c r="B2122" s="55">
        <v>43353</v>
      </c>
      <c r="C2122" s="54">
        <v>1526.4</v>
      </c>
      <c r="D2122" s="56">
        <f t="shared" si="36"/>
        <v>-0.56917258217022537</v>
      </c>
      <c r="E2122" s="64">
        <v>-2.2290545734050649E-2</v>
      </c>
    </row>
    <row r="2123" spans="2:5" x14ac:dyDescent="0.3">
      <c r="B2123" s="55">
        <v>45643</v>
      </c>
      <c r="C2123" s="54">
        <v>3542.95</v>
      </c>
      <c r="D2123" s="56">
        <f t="shared" si="36"/>
        <v>-0.22186837683801319</v>
      </c>
      <c r="E2123" s="64">
        <v>-2.2310833931232454E-2</v>
      </c>
    </row>
    <row r="2124" spans="2:5" x14ac:dyDescent="0.3">
      <c r="B2124" s="55">
        <v>45408</v>
      </c>
      <c r="C2124" s="54">
        <v>4553.1499999999996</v>
      </c>
      <c r="D2124" s="56">
        <f t="shared" si="36"/>
        <v>0.21913113327531963</v>
      </c>
      <c r="E2124" s="64">
        <v>-2.2320757552983794E-2</v>
      </c>
    </row>
    <row r="2125" spans="2:5" x14ac:dyDescent="0.3">
      <c r="B2125" s="55">
        <v>44718</v>
      </c>
      <c r="C2125" s="54">
        <v>3734.75</v>
      </c>
      <c r="D2125" s="56">
        <f t="shared" si="36"/>
        <v>0.61989546962763753</v>
      </c>
      <c r="E2125" s="64">
        <v>-2.234234705897753E-2</v>
      </c>
    </row>
    <row r="2126" spans="2:5" x14ac:dyDescent="0.3">
      <c r="B2126" s="55">
        <v>44007</v>
      </c>
      <c r="C2126" s="54">
        <v>2305.5500000000002</v>
      </c>
      <c r="D2126" s="56">
        <f t="shared" si="36"/>
        <v>0.74030042270531426</v>
      </c>
      <c r="E2126" s="64">
        <v>-2.238853435664756E-2</v>
      </c>
    </row>
    <row r="2127" spans="2:5" x14ac:dyDescent="0.3">
      <c r="B2127" s="55">
        <v>43187</v>
      </c>
      <c r="C2127" s="54">
        <v>1324.8</v>
      </c>
      <c r="D2127" s="56">
        <f t="shared" si="36"/>
        <v>-0.66330770696994734</v>
      </c>
      <c r="E2127" s="64">
        <v>-2.2432113341204318E-2</v>
      </c>
    </row>
    <row r="2128" spans="2:5" x14ac:dyDescent="0.3">
      <c r="B2128" s="55">
        <v>45663</v>
      </c>
      <c r="C2128" s="54">
        <v>3934.75</v>
      </c>
      <c r="D2128" s="56">
        <f t="shared" si="36"/>
        <v>2.5763952008725686</v>
      </c>
      <c r="E2128" s="64">
        <v>-2.2470933121335523E-2</v>
      </c>
    </row>
    <row r="2129" spans="2:5" x14ac:dyDescent="0.3">
      <c r="B2129" s="55">
        <v>43046</v>
      </c>
      <c r="C2129" s="54">
        <v>1100.2</v>
      </c>
      <c r="D2129" s="56">
        <f t="shared" si="36"/>
        <v>-0.61355134442122261</v>
      </c>
      <c r="E2129" s="64">
        <v>-2.2478898267436653E-2</v>
      </c>
    </row>
    <row r="2130" spans="2:5" x14ac:dyDescent="0.3">
      <c r="B2130" s="55">
        <v>44291</v>
      </c>
      <c r="C2130" s="54">
        <v>2846.95</v>
      </c>
      <c r="D2130" s="56">
        <f t="shared" si="36"/>
        <v>-0.17095224228305184</v>
      </c>
      <c r="E2130" s="64">
        <v>-2.2573557180622816E-2</v>
      </c>
    </row>
    <row r="2131" spans="2:5" x14ac:dyDescent="0.3">
      <c r="B2131" s="55">
        <v>44949</v>
      </c>
      <c r="C2131" s="54">
        <v>3434</v>
      </c>
      <c r="D2131" s="56">
        <f t="shared" si="36"/>
        <v>1.3403530293736798</v>
      </c>
      <c r="E2131" s="64">
        <v>-2.2696549270722177E-2</v>
      </c>
    </row>
    <row r="2132" spans="2:5" x14ac:dyDescent="0.3">
      <c r="B2132" s="55">
        <v>43538</v>
      </c>
      <c r="C2132" s="54">
        <v>1467.3</v>
      </c>
      <c r="D2132" s="56">
        <f t="shared" si="36"/>
        <v>-0.5684665607905417</v>
      </c>
      <c r="E2132" s="64">
        <v>-2.2712135340349104E-2</v>
      </c>
    </row>
    <row r="2133" spans="2:5" x14ac:dyDescent="0.3">
      <c r="B2133" s="55">
        <v>45063</v>
      </c>
      <c r="C2133" s="54">
        <v>3400.2</v>
      </c>
      <c r="D2133" s="56">
        <f t="shared" si="36"/>
        <v>3.681536555142503</v>
      </c>
      <c r="E2133" s="64">
        <v>-2.2720413882302282E-2</v>
      </c>
    </row>
    <row r="2134" spans="2:5" x14ac:dyDescent="0.3">
      <c r="B2134" s="55">
        <v>42849</v>
      </c>
      <c r="C2134" s="54">
        <v>726.3</v>
      </c>
      <c r="D2134" s="56">
        <f t="shared" si="36"/>
        <v>-0.84495677233429389</v>
      </c>
      <c r="E2134" s="64">
        <v>-2.273950484391829E-2</v>
      </c>
    </row>
    <row r="2135" spans="2:5" x14ac:dyDescent="0.3">
      <c r="B2135" s="55">
        <v>45436</v>
      </c>
      <c r="C2135" s="54">
        <v>4684.5</v>
      </c>
      <c r="D2135" s="56">
        <f t="shared" si="36"/>
        <v>0.13152173913043486</v>
      </c>
      <c r="E2135" s="64">
        <v>-2.2749319397941004E-2</v>
      </c>
    </row>
    <row r="2136" spans="2:5" x14ac:dyDescent="0.3">
      <c r="B2136" s="55">
        <v>44595</v>
      </c>
      <c r="C2136" s="54">
        <v>4140</v>
      </c>
      <c r="D2136" s="56">
        <f t="shared" si="36"/>
        <v>0.36836886465047103</v>
      </c>
      <c r="E2136" s="64">
        <v>-2.2812835613043259E-2</v>
      </c>
    </row>
    <row r="2137" spans="2:5" x14ac:dyDescent="0.3">
      <c r="B2137" s="55">
        <v>44343</v>
      </c>
      <c r="C2137" s="54">
        <v>3025.5</v>
      </c>
      <c r="D2137" s="56">
        <f t="shared" si="36"/>
        <v>-0.15135620319205634</v>
      </c>
      <c r="E2137" s="64">
        <v>-2.2834442219494822E-2</v>
      </c>
    </row>
    <row r="2138" spans="2:5" x14ac:dyDescent="0.3">
      <c r="B2138" s="55">
        <v>44945</v>
      </c>
      <c r="C2138" s="54">
        <v>3565.1</v>
      </c>
      <c r="D2138" s="56">
        <f t="shared" si="36"/>
        <v>0.73966720343531911</v>
      </c>
      <c r="E2138" s="64">
        <v>-2.2885490325056157E-2</v>
      </c>
    </row>
    <row r="2139" spans="2:5" x14ac:dyDescent="0.3">
      <c r="B2139" s="55">
        <v>44096</v>
      </c>
      <c r="C2139" s="54">
        <v>2049.3000000000002</v>
      </c>
      <c r="D2139" s="56">
        <f t="shared" si="36"/>
        <v>0.51653962850588342</v>
      </c>
      <c r="E2139" s="64">
        <v>-2.2956447114352962E-2</v>
      </c>
    </row>
    <row r="2140" spans="2:5" x14ac:dyDescent="0.3">
      <c r="B2140" s="55">
        <v>43486</v>
      </c>
      <c r="C2140" s="54">
        <v>1351.3</v>
      </c>
      <c r="D2140" s="56">
        <f t="shared" si="36"/>
        <v>-0.66717568532794758</v>
      </c>
      <c r="E2140" s="64">
        <v>-2.2956509164527628E-2</v>
      </c>
    </row>
    <row r="2141" spans="2:5" x14ac:dyDescent="0.3">
      <c r="B2141" s="55">
        <v>45589</v>
      </c>
      <c r="C2141" s="54">
        <v>4060.1</v>
      </c>
      <c r="D2141" s="56">
        <f t="shared" si="36"/>
        <v>2.5547870244713913</v>
      </c>
      <c r="E2141" s="64">
        <v>-2.3098577993792335E-2</v>
      </c>
    </row>
    <row r="2142" spans="2:5" x14ac:dyDescent="0.3">
      <c r="B2142" s="55">
        <v>43124</v>
      </c>
      <c r="C2142" s="54">
        <v>1142.1500000000001</v>
      </c>
      <c r="D2142" s="56">
        <f t="shared" si="36"/>
        <v>-0.72110031256104712</v>
      </c>
      <c r="E2142" s="64">
        <v>-2.3135477249401237E-2</v>
      </c>
    </row>
    <row r="2143" spans="2:5" x14ac:dyDescent="0.3">
      <c r="B2143" s="55">
        <v>44641</v>
      </c>
      <c r="C2143" s="54">
        <v>4095.2</v>
      </c>
      <c r="D2143" s="56">
        <f t="shared" si="36"/>
        <v>3.5386235176770473</v>
      </c>
      <c r="E2143" s="64">
        <v>-2.3266352632520415E-2</v>
      </c>
    </row>
    <row r="2144" spans="2:5" x14ac:dyDescent="0.3">
      <c r="B2144" s="55">
        <v>42955</v>
      </c>
      <c r="C2144" s="54">
        <v>902.3</v>
      </c>
      <c r="D2144" s="56">
        <f t="shared" si="36"/>
        <v>-0.82863925553128859</v>
      </c>
      <c r="E2144" s="64">
        <v>-2.3273435808616627E-2</v>
      </c>
    </row>
    <row r="2145" spans="2:5" x14ac:dyDescent="0.3">
      <c r="B2145" s="55">
        <v>45560</v>
      </c>
      <c r="C2145" s="54">
        <v>5265.5</v>
      </c>
      <c r="D2145" s="56">
        <f t="shared" si="36"/>
        <v>3.1617926019601645</v>
      </c>
      <c r="E2145" s="64">
        <v>-2.3361062422910361E-2</v>
      </c>
    </row>
    <row r="2146" spans="2:5" x14ac:dyDescent="0.3">
      <c r="B2146" s="55">
        <v>43587</v>
      </c>
      <c r="C2146" s="54">
        <v>1265.2</v>
      </c>
      <c r="D2146" s="56">
        <f t="shared" si="36"/>
        <v>0.73922606364698606</v>
      </c>
      <c r="E2146" s="64">
        <v>-2.3388653029718265E-2</v>
      </c>
    </row>
    <row r="2147" spans="2:5" x14ac:dyDescent="0.3">
      <c r="B2147" s="55">
        <v>42873</v>
      </c>
      <c r="C2147" s="54">
        <v>727.45</v>
      </c>
      <c r="D2147" s="56">
        <f t="shared" si="36"/>
        <v>-0.69371171133239296</v>
      </c>
      <c r="E2147" s="64">
        <v>-2.3425963216539003E-2</v>
      </c>
    </row>
    <row r="2148" spans="2:5" x14ac:dyDescent="0.3">
      <c r="B2148" s="55">
        <v>44153</v>
      </c>
      <c r="C2148" s="54">
        <v>2375.0500000000002</v>
      </c>
      <c r="D2148" s="56">
        <f t="shared" si="36"/>
        <v>-0.40522638485425211</v>
      </c>
      <c r="E2148" s="64">
        <v>-2.3477170404785808E-2</v>
      </c>
    </row>
    <row r="2149" spans="2:5" x14ac:dyDescent="0.3">
      <c r="B2149" s="55">
        <v>44916</v>
      </c>
      <c r="C2149" s="54">
        <v>3993.2</v>
      </c>
      <c r="D2149" s="56">
        <f t="shared" si="36"/>
        <v>1.7661402050429484</v>
      </c>
      <c r="E2149" s="64">
        <v>-2.3560049394187765E-2</v>
      </c>
    </row>
    <row r="2150" spans="2:5" x14ac:dyDescent="0.3">
      <c r="B2150" s="55">
        <v>43559</v>
      </c>
      <c r="C2150" s="54">
        <v>1443.6</v>
      </c>
      <c r="D2150" s="56">
        <f t="shared" si="36"/>
        <v>-0.49360694554064721</v>
      </c>
      <c r="E2150" s="64">
        <v>-2.3638023739474545E-2</v>
      </c>
    </row>
    <row r="2151" spans="2:5" x14ac:dyDescent="0.3">
      <c r="B2151" s="55">
        <v>44305</v>
      </c>
      <c r="C2151" s="54">
        <v>2850.75</v>
      </c>
      <c r="D2151" s="56">
        <f t="shared" si="36"/>
        <v>-0.30128676470588234</v>
      </c>
      <c r="E2151" s="64">
        <v>-2.3682317887598892E-2</v>
      </c>
    </row>
    <row r="2152" spans="2:5" x14ac:dyDescent="0.3">
      <c r="B2152" s="55">
        <v>45818</v>
      </c>
      <c r="C2152" s="54">
        <v>4080</v>
      </c>
      <c r="D2152" s="56">
        <f t="shared" si="36"/>
        <v>-5.3892508941255635E-4</v>
      </c>
      <c r="E2152" s="64">
        <v>-2.3713239692756849E-2</v>
      </c>
    </row>
    <row r="2153" spans="2:5" x14ac:dyDescent="0.3">
      <c r="B2153" s="55">
        <v>45967</v>
      </c>
      <c r="C2153" s="54">
        <v>4082.2</v>
      </c>
      <c r="D2153" s="56">
        <f t="shared" si="36"/>
        <v>6.9674815921180189E-2</v>
      </c>
      <c r="E2153" s="64">
        <v>-2.3957536342769647E-2</v>
      </c>
    </row>
    <row r="2154" spans="2:5" x14ac:dyDescent="0.3">
      <c r="B2154" s="55">
        <v>46001</v>
      </c>
      <c r="C2154" s="54">
        <v>3816.3</v>
      </c>
      <c r="D2154" s="56">
        <f t="shared" si="36"/>
        <v>1.0759376614899234</v>
      </c>
      <c r="E2154" s="64">
        <v>-2.3964194373401471E-2</v>
      </c>
    </row>
    <row r="2155" spans="2:5" x14ac:dyDescent="0.3">
      <c r="B2155" s="55">
        <v>43830</v>
      </c>
      <c r="C2155" s="54">
        <v>1838.35</v>
      </c>
      <c r="D2155" s="56">
        <f t="shared" si="36"/>
        <v>-0.12353095425397498</v>
      </c>
      <c r="E2155" s="64">
        <v>-2.3997239255660885E-2</v>
      </c>
    </row>
    <row r="2156" spans="2:5" x14ac:dyDescent="0.3">
      <c r="B2156" s="55">
        <v>44095</v>
      </c>
      <c r="C2156" s="54">
        <v>2097.4499999999998</v>
      </c>
      <c r="D2156" s="56">
        <f t="shared" si="36"/>
        <v>-0.28319264550083734</v>
      </c>
      <c r="E2156" s="64">
        <v>-2.4010609339010447E-2</v>
      </c>
    </row>
    <row r="2157" spans="2:5" x14ac:dyDescent="0.3">
      <c r="B2157" s="55">
        <v>44209</v>
      </c>
      <c r="C2157" s="54">
        <v>2926.1</v>
      </c>
      <c r="D2157" s="56">
        <f t="shared" si="36"/>
        <v>0.25489439262356606</v>
      </c>
      <c r="E2157" s="64">
        <v>-2.4047761990527605E-2</v>
      </c>
    </row>
    <row r="2158" spans="2:5" x14ac:dyDescent="0.3">
      <c r="B2158" s="55">
        <v>43886</v>
      </c>
      <c r="C2158" s="54">
        <v>2331.75</v>
      </c>
      <c r="D2158" s="56">
        <f t="shared" si="36"/>
        <v>-0.21232645339999334</v>
      </c>
      <c r="E2158" s="64">
        <v>-2.4249905845922015E-2</v>
      </c>
    </row>
    <row r="2159" spans="2:5" x14ac:dyDescent="0.3">
      <c r="B2159" s="55">
        <v>44274</v>
      </c>
      <c r="C2159" s="54">
        <v>2960.3</v>
      </c>
      <c r="D2159" s="56">
        <f t="shared" si="36"/>
        <v>0.70465276978003022</v>
      </c>
      <c r="E2159" s="64">
        <v>-2.4484281289131937E-2</v>
      </c>
    </row>
    <row r="2160" spans="2:5" x14ac:dyDescent="0.3">
      <c r="B2160" s="55">
        <v>43809</v>
      </c>
      <c r="C2160" s="54">
        <v>1736.6</v>
      </c>
      <c r="D2160" s="56">
        <f t="shared" si="36"/>
        <v>-0.56440163543783073</v>
      </c>
      <c r="E2160" s="64">
        <v>-2.4683384347533144E-2</v>
      </c>
    </row>
    <row r="2161" spans="2:5" x14ac:dyDescent="0.3">
      <c r="B2161" s="55">
        <v>45583</v>
      </c>
      <c r="C2161" s="54">
        <v>3986.7</v>
      </c>
      <c r="D2161" s="56">
        <f t="shared" si="36"/>
        <v>2.009284420289855</v>
      </c>
      <c r="E2161" s="64">
        <v>-2.4708271154928241E-2</v>
      </c>
    </row>
    <row r="2162" spans="2:5" x14ac:dyDescent="0.3">
      <c r="B2162" s="55">
        <v>43577</v>
      </c>
      <c r="C2162" s="54">
        <v>1324.8</v>
      </c>
      <c r="D2162" s="56">
        <f t="shared" si="36"/>
        <v>-0.65803229178766409</v>
      </c>
      <c r="E2162" s="64">
        <v>-2.4806772175193226E-2</v>
      </c>
    </row>
    <row r="2163" spans="2:5" x14ac:dyDescent="0.3">
      <c r="B2163" s="55">
        <v>44713</v>
      </c>
      <c r="C2163" s="54">
        <v>3874.05</v>
      </c>
      <c r="D2163" s="56">
        <f t="shared" si="36"/>
        <v>1.9857803468208095</v>
      </c>
      <c r="E2163" s="64">
        <v>-2.4856524365686639E-2</v>
      </c>
    </row>
    <row r="2164" spans="2:5" x14ac:dyDescent="0.3">
      <c r="B2164" s="55">
        <v>43633</v>
      </c>
      <c r="C2164" s="54">
        <v>1297.5</v>
      </c>
      <c r="D2164" s="56">
        <f t="shared" si="36"/>
        <v>-0.2976235587073025</v>
      </c>
      <c r="E2164" s="64">
        <v>-2.487599579137223E-2</v>
      </c>
    </row>
    <row r="2165" spans="2:5" x14ac:dyDescent="0.3">
      <c r="B2165" s="55">
        <v>43745</v>
      </c>
      <c r="C2165" s="54">
        <v>1847.3</v>
      </c>
      <c r="D2165" s="56">
        <f t="shared" si="36"/>
        <v>-0.49549377321389554</v>
      </c>
      <c r="E2165" s="64">
        <v>-2.4991423218008624E-2</v>
      </c>
    </row>
    <row r="2166" spans="2:5" x14ac:dyDescent="0.3">
      <c r="B2166" s="55">
        <v>44725</v>
      </c>
      <c r="C2166" s="54">
        <v>3661.6</v>
      </c>
      <c r="D2166" s="56">
        <f t="shared" si="36"/>
        <v>-9.9060085625707339E-2</v>
      </c>
      <c r="E2166" s="64">
        <v>-2.504226964706513E-2</v>
      </c>
    </row>
    <row r="2167" spans="2:5" x14ac:dyDescent="0.3">
      <c r="B2167" s="55">
        <v>45849</v>
      </c>
      <c r="C2167" s="54">
        <v>4064.2</v>
      </c>
      <c r="D2167" s="56">
        <f t="shared" si="36"/>
        <v>2.092410119840213</v>
      </c>
      <c r="E2167" s="64">
        <v>-2.5137922763252663E-2</v>
      </c>
    </row>
    <row r="2168" spans="2:5" x14ac:dyDescent="0.3">
      <c r="B2168" s="55">
        <v>43160</v>
      </c>
      <c r="C2168" s="54">
        <v>1314.25</v>
      </c>
      <c r="D2168" s="56">
        <f t="shared" si="36"/>
        <v>-0.11501296252651427</v>
      </c>
      <c r="E2168" s="64">
        <v>-2.5145569854986505E-2</v>
      </c>
    </row>
    <row r="2169" spans="2:5" x14ac:dyDescent="0.3">
      <c r="B2169" s="55">
        <v>43270</v>
      </c>
      <c r="C2169" s="54">
        <v>1485.05</v>
      </c>
      <c r="D2169" s="56">
        <f t="shared" si="36"/>
        <v>-0.46547286961216594</v>
      </c>
      <c r="E2169" s="64">
        <v>-2.5333902142880671E-2</v>
      </c>
    </row>
    <row r="2170" spans="2:5" x14ac:dyDescent="0.3">
      <c r="B2170" s="55">
        <v>44306</v>
      </c>
      <c r="C2170" s="54">
        <v>2778.25</v>
      </c>
      <c r="D2170" s="56">
        <f t="shared" si="36"/>
        <v>-4.6896173176212197E-2</v>
      </c>
      <c r="E2170" s="64">
        <v>-2.5431903884942542E-2</v>
      </c>
    </row>
    <row r="2171" spans="2:5" x14ac:dyDescent="0.3">
      <c r="B2171" s="55">
        <v>44202</v>
      </c>
      <c r="C2171" s="54">
        <v>2914.95</v>
      </c>
      <c r="D2171" s="56">
        <f t="shared" si="36"/>
        <v>-0.30594776066096807</v>
      </c>
      <c r="E2171" s="64">
        <v>-2.5475151697507692E-2</v>
      </c>
    </row>
    <row r="2172" spans="2:5" x14ac:dyDescent="0.3">
      <c r="B2172" s="55">
        <v>45777</v>
      </c>
      <c r="C2172" s="54">
        <v>4199.8999999999996</v>
      </c>
      <c r="D2172" s="56">
        <f t="shared" si="36"/>
        <v>1.2449154127802871</v>
      </c>
      <c r="E2172" s="64">
        <v>-2.5545243619489622E-2</v>
      </c>
    </row>
    <row r="2173" spans="2:5" x14ac:dyDescent="0.3">
      <c r="B2173" s="55">
        <v>43784</v>
      </c>
      <c r="C2173" s="54">
        <v>1870.85</v>
      </c>
      <c r="D2173" s="56">
        <f t="shared" si="36"/>
        <v>-0.45108998621013419</v>
      </c>
      <c r="E2173" s="64">
        <v>-2.5598958333333366E-2</v>
      </c>
    </row>
    <row r="2174" spans="2:5" x14ac:dyDescent="0.3">
      <c r="B2174" s="55">
        <v>45646</v>
      </c>
      <c r="C2174" s="54">
        <v>3408.3</v>
      </c>
      <c r="D2174" s="56">
        <f t="shared" si="36"/>
        <v>0.20821000017724534</v>
      </c>
      <c r="E2174" s="64">
        <v>-2.5685004931177868E-2</v>
      </c>
    </row>
    <row r="2175" spans="2:5" x14ac:dyDescent="0.3">
      <c r="B2175" s="55">
        <v>44211</v>
      </c>
      <c r="C2175" s="54">
        <v>2820.95</v>
      </c>
      <c r="D2175" s="56">
        <f t="shared" si="36"/>
        <v>0.21624126929378273</v>
      </c>
      <c r="E2175" s="64">
        <v>-2.5763671841273816E-2</v>
      </c>
    </row>
    <row r="2176" spans="2:5" x14ac:dyDescent="0.3">
      <c r="B2176" s="55">
        <v>44071</v>
      </c>
      <c r="C2176" s="54">
        <v>2319.4</v>
      </c>
      <c r="D2176" s="56">
        <f t="shared" si="36"/>
        <v>0.65429192967440541</v>
      </c>
      <c r="E2176" s="64">
        <v>-2.5810109834722872E-2</v>
      </c>
    </row>
    <row r="2177" spans="2:5" x14ac:dyDescent="0.3">
      <c r="B2177" s="55">
        <v>43665</v>
      </c>
      <c r="C2177" s="54">
        <v>1402.05</v>
      </c>
      <c r="D2177" s="56">
        <f t="shared" si="36"/>
        <v>0.5729511415268973</v>
      </c>
      <c r="E2177" s="64">
        <v>-2.5948311796581969E-2</v>
      </c>
    </row>
    <row r="2178" spans="2:5" x14ac:dyDescent="0.3">
      <c r="B2178" s="55">
        <v>42930</v>
      </c>
      <c r="C2178" s="54">
        <v>891.35</v>
      </c>
      <c r="D2178" s="56">
        <f t="shared" si="36"/>
        <v>-0.41783684932401532</v>
      </c>
      <c r="E2178" s="64">
        <v>-2.6006665573949594E-2</v>
      </c>
    </row>
    <row r="2179" spans="2:5" x14ac:dyDescent="0.3">
      <c r="B2179" s="55">
        <v>43252</v>
      </c>
      <c r="C2179" s="54">
        <v>1531.1</v>
      </c>
      <c r="D2179" s="56">
        <f t="shared" si="36"/>
        <v>-0.62369278033794173</v>
      </c>
      <c r="E2179" s="64">
        <v>-2.6110740069331895E-2</v>
      </c>
    </row>
    <row r="2180" spans="2:5" x14ac:dyDescent="0.3">
      <c r="B2180" s="55">
        <v>44925</v>
      </c>
      <c r="C2180" s="54">
        <v>4068.75</v>
      </c>
      <c r="D2180" s="56">
        <f t="shared" ref="D2180:D2243" si="37">C2180/C2181-1</f>
        <v>0.73848487438044774</v>
      </c>
      <c r="E2180" s="64">
        <v>-2.6218797118445325E-2</v>
      </c>
    </row>
    <row r="2181" spans="2:5" x14ac:dyDescent="0.3">
      <c r="B2181" s="55">
        <v>43999</v>
      </c>
      <c r="C2181" s="54">
        <v>2340.4</v>
      </c>
      <c r="D2181" s="56">
        <f t="shared" si="37"/>
        <v>-0.45592337734796362</v>
      </c>
      <c r="E2181" s="64">
        <v>-2.6273636912067633E-2</v>
      </c>
    </row>
    <row r="2182" spans="2:5" x14ac:dyDescent="0.3">
      <c r="B2182" s="55">
        <v>45936</v>
      </c>
      <c r="C2182" s="54">
        <v>4301.6000000000004</v>
      </c>
      <c r="D2182" s="56">
        <f t="shared" si="37"/>
        <v>3.2145691471121349</v>
      </c>
      <c r="E2182" s="64">
        <v>-2.6434908564185955E-2</v>
      </c>
    </row>
    <row r="2183" spans="2:5" x14ac:dyDescent="0.3">
      <c r="B2183" s="55">
        <v>42982</v>
      </c>
      <c r="C2183" s="54">
        <v>1020.65</v>
      </c>
      <c r="D2183" s="56">
        <f t="shared" si="37"/>
        <v>-0.73353262146568154</v>
      </c>
      <c r="E2183" s="64">
        <v>-2.6468904998092402E-2</v>
      </c>
    </row>
    <row r="2184" spans="2:5" x14ac:dyDescent="0.3">
      <c r="B2184" s="55">
        <v>45664</v>
      </c>
      <c r="C2184" s="54">
        <v>3830.3</v>
      </c>
      <c r="D2184" s="56">
        <f t="shared" si="37"/>
        <v>0.34132931783162923</v>
      </c>
      <c r="E2184" s="64">
        <v>-2.6545523857932518E-2</v>
      </c>
    </row>
    <row r="2185" spans="2:5" x14ac:dyDescent="0.3">
      <c r="B2185" s="55">
        <v>44279</v>
      </c>
      <c r="C2185" s="54">
        <v>2855.6</v>
      </c>
      <c r="D2185" s="56">
        <f t="shared" si="37"/>
        <v>-0.27382768792594858</v>
      </c>
      <c r="E2185" s="64">
        <v>-2.6605082405876668E-2</v>
      </c>
    </row>
    <row r="2186" spans="2:5" x14ac:dyDescent="0.3">
      <c r="B2186" s="55">
        <v>44768</v>
      </c>
      <c r="C2186" s="54">
        <v>3932.4</v>
      </c>
      <c r="D2186" s="56">
        <f t="shared" si="37"/>
        <v>-0.10639458255692413</v>
      </c>
      <c r="E2186" s="64">
        <v>-2.6645709830323883E-2</v>
      </c>
    </row>
    <row r="2187" spans="2:5" x14ac:dyDescent="0.3">
      <c r="B2187" s="55">
        <v>44494</v>
      </c>
      <c r="C2187" s="54">
        <v>4400.6000000000004</v>
      </c>
      <c r="D2187" s="56">
        <f t="shared" si="37"/>
        <v>1.1974433236792175</v>
      </c>
      <c r="E2187" s="64">
        <v>-2.6728151367370945E-2</v>
      </c>
    </row>
    <row r="2188" spans="2:5" x14ac:dyDescent="0.3">
      <c r="B2188" s="55">
        <v>44116</v>
      </c>
      <c r="C2188" s="54">
        <v>2002.6</v>
      </c>
      <c r="D2188" s="56">
        <f t="shared" si="37"/>
        <v>-0.49628996151621096</v>
      </c>
      <c r="E2188" s="64">
        <v>-2.6730171073094833E-2</v>
      </c>
    </row>
    <row r="2189" spans="2:5" x14ac:dyDescent="0.3">
      <c r="B2189" s="55">
        <v>45096</v>
      </c>
      <c r="C2189" s="54">
        <v>3975.7</v>
      </c>
      <c r="D2189" s="56">
        <f t="shared" si="37"/>
        <v>0.44839520565412205</v>
      </c>
      <c r="E2189" s="64">
        <v>-2.6899353828079176E-2</v>
      </c>
    </row>
    <row r="2190" spans="2:5" x14ac:dyDescent="0.3">
      <c r="B2190" s="55">
        <v>44214</v>
      </c>
      <c r="C2190" s="54">
        <v>2744.9</v>
      </c>
      <c r="D2190" s="56">
        <f t="shared" si="37"/>
        <v>-0.40731544058903546</v>
      </c>
      <c r="E2190" s="64">
        <v>-2.6959003172689955E-2</v>
      </c>
    </row>
    <row r="2191" spans="2:5" x14ac:dyDescent="0.3">
      <c r="B2191" s="55">
        <v>45910</v>
      </c>
      <c r="C2191" s="54">
        <v>4631.3</v>
      </c>
      <c r="D2191" s="56">
        <f t="shared" si="37"/>
        <v>0.81189726335556811</v>
      </c>
      <c r="E2191" s="64">
        <v>-2.6996932644228755E-2</v>
      </c>
    </row>
    <row r="2192" spans="2:5" x14ac:dyDescent="0.3">
      <c r="B2192" s="55">
        <v>44182</v>
      </c>
      <c r="C2192" s="54">
        <v>2556.0500000000002</v>
      </c>
      <c r="D2192" s="56">
        <f t="shared" si="37"/>
        <v>0.31983063537551959</v>
      </c>
      <c r="E2192" s="64">
        <v>-2.702651262823319E-2</v>
      </c>
    </row>
    <row r="2193" spans="2:5" x14ac:dyDescent="0.3">
      <c r="B2193" s="55">
        <v>43850</v>
      </c>
      <c r="C2193" s="54">
        <v>1936.65</v>
      </c>
      <c r="D2193" s="56">
        <f t="shared" si="37"/>
        <v>-0.32757543140863155</v>
      </c>
      <c r="E2193" s="64">
        <v>-2.7077943282007411E-2</v>
      </c>
    </row>
    <row r="2194" spans="2:5" x14ac:dyDescent="0.3">
      <c r="B2194" s="55">
        <v>44277</v>
      </c>
      <c r="C2194" s="54">
        <v>2880.1</v>
      </c>
      <c r="D2194" s="56">
        <f t="shared" si="37"/>
        <v>-0.25739995874587462</v>
      </c>
      <c r="E2194" s="64">
        <v>-2.7091848799108309E-2</v>
      </c>
    </row>
    <row r="2195" spans="2:5" x14ac:dyDescent="0.3">
      <c r="B2195" s="55">
        <v>44754</v>
      </c>
      <c r="C2195" s="54">
        <v>3878.4</v>
      </c>
      <c r="D2195" s="56">
        <f t="shared" si="37"/>
        <v>-7.7142721172607454E-2</v>
      </c>
      <c r="E2195" s="64">
        <v>-2.7201926332819149E-2</v>
      </c>
    </row>
    <row r="2196" spans="2:5" x14ac:dyDescent="0.3">
      <c r="B2196" s="55">
        <v>45943</v>
      </c>
      <c r="C2196" s="54">
        <v>4202.6000000000004</v>
      </c>
      <c r="D2196" s="56">
        <f t="shared" si="37"/>
        <v>2.7012638161081513</v>
      </c>
      <c r="E2196" s="64">
        <v>-2.7265993889454498E-2</v>
      </c>
    </row>
    <row r="2197" spans="2:5" x14ac:dyDescent="0.3">
      <c r="B2197" s="55">
        <v>43118</v>
      </c>
      <c r="C2197" s="54">
        <v>1135.45</v>
      </c>
      <c r="D2197" s="56">
        <f t="shared" si="37"/>
        <v>-0.70214970554673872</v>
      </c>
      <c r="E2197" s="64">
        <v>-2.7326851415599318E-2</v>
      </c>
    </row>
    <row r="2198" spans="2:5" x14ac:dyDescent="0.3">
      <c r="B2198" s="55">
        <v>45099</v>
      </c>
      <c r="C2198" s="54">
        <v>3812.15</v>
      </c>
      <c r="D2198" s="56">
        <f t="shared" si="37"/>
        <v>1.1330293196060879</v>
      </c>
      <c r="E2198" s="64">
        <v>-2.7388697537951256E-2</v>
      </c>
    </row>
    <row r="2199" spans="2:5" x14ac:dyDescent="0.3">
      <c r="B2199" s="55">
        <v>43795</v>
      </c>
      <c r="C2199" s="54">
        <v>1787.2</v>
      </c>
      <c r="D2199" s="56">
        <f t="shared" si="37"/>
        <v>-0.59151581641982076</v>
      </c>
      <c r="E2199" s="64">
        <v>-2.7453541207520527E-2</v>
      </c>
    </row>
    <row r="2200" spans="2:5" x14ac:dyDescent="0.3">
      <c r="B2200" s="55">
        <v>45772</v>
      </c>
      <c r="C2200" s="54">
        <v>4375.2</v>
      </c>
      <c r="D2200" s="56">
        <f t="shared" si="37"/>
        <v>-2.8790872161424175E-2</v>
      </c>
      <c r="E2200" s="64">
        <v>-2.7473993064817348E-2</v>
      </c>
    </row>
    <row r="2201" spans="2:5" x14ac:dyDescent="0.3">
      <c r="B2201" s="55">
        <v>44572</v>
      </c>
      <c r="C2201" s="54">
        <v>4504.8999999999996</v>
      </c>
      <c r="D2201" s="56">
        <f t="shared" si="37"/>
        <v>-9.0718257692734783E-2</v>
      </c>
      <c r="E2201" s="64">
        <v>-2.7764888692255463E-2</v>
      </c>
    </row>
    <row r="2202" spans="2:5" x14ac:dyDescent="0.3">
      <c r="B2202" s="55">
        <v>45566</v>
      </c>
      <c r="C2202" s="54">
        <v>4954.3500000000004</v>
      </c>
      <c r="D2202" s="56">
        <f t="shared" si="37"/>
        <v>0.35305604107494015</v>
      </c>
      <c r="E2202" s="64">
        <v>-2.7853540804112731E-2</v>
      </c>
    </row>
    <row r="2203" spans="2:5" x14ac:dyDescent="0.3">
      <c r="B2203" s="55">
        <v>46042</v>
      </c>
      <c r="C2203" s="54">
        <v>3661.6</v>
      </c>
      <c r="D2203" s="56">
        <f t="shared" si="37"/>
        <v>2.5236491363133324</v>
      </c>
      <c r="E2203" s="64">
        <v>-2.7902407943292462E-2</v>
      </c>
    </row>
    <row r="2204" spans="2:5" x14ac:dyDescent="0.3">
      <c r="B2204" s="55">
        <v>43000</v>
      </c>
      <c r="C2204" s="54">
        <v>1039.1500000000001</v>
      </c>
      <c r="D2204" s="56">
        <f t="shared" si="37"/>
        <v>-0.72487423881387336</v>
      </c>
      <c r="E2204" s="64">
        <v>-2.7968757307890058E-2</v>
      </c>
    </row>
    <row r="2205" spans="2:5" x14ac:dyDescent="0.3">
      <c r="B2205" s="55">
        <v>45608</v>
      </c>
      <c r="C2205" s="54">
        <v>3777</v>
      </c>
      <c r="D2205" s="56">
        <f t="shared" si="37"/>
        <v>0.58026860800803326</v>
      </c>
      <c r="E2205" s="64">
        <v>-2.7974367552821788E-2</v>
      </c>
    </row>
    <row r="2206" spans="2:5" x14ac:dyDescent="0.3">
      <c r="B2206" s="55">
        <v>43991</v>
      </c>
      <c r="C2206" s="54">
        <v>2390.1</v>
      </c>
      <c r="D2206" s="56">
        <f t="shared" si="37"/>
        <v>2.8743718592964824</v>
      </c>
      <c r="E2206" s="64">
        <v>-2.8217117300264327E-2</v>
      </c>
    </row>
    <row r="2207" spans="2:5" x14ac:dyDescent="0.3">
      <c r="B2207" s="55">
        <v>42818</v>
      </c>
      <c r="C2207" s="54">
        <v>616.9</v>
      </c>
      <c r="D2207" s="56">
        <f t="shared" si="37"/>
        <v>-0.84729820045050619</v>
      </c>
      <c r="E2207" s="64">
        <v>-2.8274395526502349E-2</v>
      </c>
    </row>
    <row r="2208" spans="2:5" x14ac:dyDescent="0.3">
      <c r="B2208" s="55">
        <v>45751</v>
      </c>
      <c r="C2208" s="54">
        <v>4039.9</v>
      </c>
      <c r="D2208" s="56">
        <f t="shared" si="37"/>
        <v>8.9421028503626987E-2</v>
      </c>
      <c r="E2208" s="64">
        <v>-2.8356342296406822E-2</v>
      </c>
    </row>
    <row r="2209" spans="2:5" x14ac:dyDescent="0.3">
      <c r="B2209" s="55">
        <v>45637</v>
      </c>
      <c r="C2209" s="54">
        <v>3708.3</v>
      </c>
      <c r="D2209" s="56">
        <f t="shared" si="37"/>
        <v>0.5851161597811454</v>
      </c>
      <c r="E2209" s="64">
        <v>-2.8452409023029146E-2</v>
      </c>
    </row>
    <row r="2210" spans="2:5" x14ac:dyDescent="0.3">
      <c r="B2210" s="55">
        <v>43878</v>
      </c>
      <c r="C2210" s="54">
        <v>2339.4499999999998</v>
      </c>
      <c r="D2210" s="56">
        <f t="shared" si="37"/>
        <v>-0.19563685124378971</v>
      </c>
      <c r="E2210" s="64">
        <v>-2.8608798555027293E-2</v>
      </c>
    </row>
    <row r="2211" spans="2:5" x14ac:dyDescent="0.3">
      <c r="B2211" s="55">
        <v>44256</v>
      </c>
      <c r="C2211" s="54">
        <v>2908.45</v>
      </c>
      <c r="D2211" s="56">
        <f t="shared" si="37"/>
        <v>-0.34291620540858059</v>
      </c>
      <c r="E2211" s="64">
        <v>-2.8638701489546503E-2</v>
      </c>
    </row>
    <row r="2212" spans="2:5" x14ac:dyDescent="0.3">
      <c r="B2212" s="55">
        <v>44811</v>
      </c>
      <c r="C2212" s="54">
        <v>4426.3</v>
      </c>
      <c r="D2212" s="56">
        <f t="shared" si="37"/>
        <v>1.1266485694381054</v>
      </c>
      <c r="E2212" s="64">
        <v>-2.8702464286498031E-2</v>
      </c>
    </row>
    <row r="2213" spans="2:5" x14ac:dyDescent="0.3">
      <c r="B2213" s="55">
        <v>44125</v>
      </c>
      <c r="C2213" s="54">
        <v>2081.35</v>
      </c>
      <c r="D2213" s="56">
        <f t="shared" si="37"/>
        <v>-0.47857402327358367</v>
      </c>
      <c r="E2213" s="64">
        <v>-2.879074216653843E-2</v>
      </c>
    </row>
    <row r="2214" spans="2:5" x14ac:dyDescent="0.3">
      <c r="B2214" s="55">
        <v>44627</v>
      </c>
      <c r="C2214" s="54">
        <v>3991.65</v>
      </c>
      <c r="D2214" s="56">
        <f t="shared" si="37"/>
        <v>0.25085000705074978</v>
      </c>
      <c r="E2214" s="64">
        <v>-2.884287869203439E-2</v>
      </c>
    </row>
    <row r="2215" spans="2:5" x14ac:dyDescent="0.3">
      <c r="B2215" s="55">
        <v>44263</v>
      </c>
      <c r="C2215" s="54">
        <v>3191.15</v>
      </c>
      <c r="D2215" s="56">
        <f t="shared" si="37"/>
        <v>0.54009314447045198</v>
      </c>
      <c r="E2215" s="64">
        <v>-2.8894434131645386E-2</v>
      </c>
    </row>
    <row r="2216" spans="2:5" x14ac:dyDescent="0.3">
      <c r="B2216" s="55">
        <v>43862</v>
      </c>
      <c r="C2216" s="54">
        <v>2072.0500000000002</v>
      </c>
      <c r="D2216" s="56">
        <f t="shared" si="37"/>
        <v>0.15763450472093421</v>
      </c>
      <c r="E2216" s="64">
        <v>-2.9007240094659936E-2</v>
      </c>
    </row>
    <row r="2217" spans="2:5" x14ac:dyDescent="0.3">
      <c r="B2217" s="55">
        <v>43836</v>
      </c>
      <c r="C2217" s="54">
        <v>1789.9</v>
      </c>
      <c r="D2217" s="56">
        <f t="shared" si="37"/>
        <v>-0.25367968978026101</v>
      </c>
      <c r="E2217" s="64">
        <v>-2.9101461853489163E-2</v>
      </c>
    </row>
    <row r="2218" spans="2:5" x14ac:dyDescent="0.3">
      <c r="B2218" s="55">
        <v>43973</v>
      </c>
      <c r="C2218" s="54">
        <v>2398.3000000000002</v>
      </c>
      <c r="D2218" s="56">
        <f t="shared" si="37"/>
        <v>-0.37982752155980504</v>
      </c>
      <c r="E2218" s="64">
        <v>-2.9126606618763207E-2</v>
      </c>
    </row>
    <row r="2219" spans="2:5" x14ac:dyDescent="0.3">
      <c r="B2219" s="55">
        <v>44685</v>
      </c>
      <c r="C2219" s="54">
        <v>3867.15</v>
      </c>
      <c r="D2219" s="56">
        <f t="shared" si="37"/>
        <v>1.4069648025394454</v>
      </c>
      <c r="E2219" s="64">
        <v>-2.9171426060978778E-2</v>
      </c>
    </row>
    <row r="2220" spans="2:5" x14ac:dyDescent="0.3">
      <c r="B2220" s="55">
        <v>43465</v>
      </c>
      <c r="C2220" s="54">
        <v>1606.65</v>
      </c>
      <c r="D2220" s="56">
        <f t="shared" si="37"/>
        <v>8.0900161463939746E-2</v>
      </c>
      <c r="E2220" s="64">
        <v>-2.9185171757454831E-2</v>
      </c>
    </row>
    <row r="2221" spans="2:5" x14ac:dyDescent="0.3">
      <c r="B2221" s="55">
        <v>43255</v>
      </c>
      <c r="C2221" s="54">
        <v>1486.4</v>
      </c>
      <c r="D2221" s="56">
        <f t="shared" si="37"/>
        <v>-0.68737314782681858</v>
      </c>
      <c r="E2221" s="64">
        <v>-2.919469662334262E-2</v>
      </c>
    </row>
    <row r="2222" spans="2:5" x14ac:dyDescent="0.3">
      <c r="B2222" s="55">
        <v>44488</v>
      </c>
      <c r="C2222" s="54">
        <v>4754.55</v>
      </c>
      <c r="D2222" s="56">
        <f t="shared" si="37"/>
        <v>2.6970180008553326</v>
      </c>
      <c r="E2222" s="64">
        <v>-2.9247825554330475E-2</v>
      </c>
    </row>
    <row r="2223" spans="2:5" x14ac:dyDescent="0.3">
      <c r="B2223" s="55">
        <v>43578</v>
      </c>
      <c r="C2223" s="54">
        <v>1286.05</v>
      </c>
      <c r="D2223" s="56">
        <f t="shared" si="37"/>
        <v>-0.72385175323699302</v>
      </c>
      <c r="E2223" s="64">
        <v>-2.924969806763289E-2</v>
      </c>
    </row>
    <row r="2224" spans="2:5" x14ac:dyDescent="0.3">
      <c r="B2224" s="55">
        <v>45407</v>
      </c>
      <c r="C2224" s="54">
        <v>4657.1000000000004</v>
      </c>
      <c r="D2224" s="56">
        <f t="shared" si="37"/>
        <v>2.3013858859391063</v>
      </c>
      <c r="E2224" s="64">
        <v>-2.9275359297974979E-2</v>
      </c>
    </row>
    <row r="2225" spans="2:5" x14ac:dyDescent="0.3">
      <c r="B2225" s="55">
        <v>43571</v>
      </c>
      <c r="C2225" s="54">
        <v>1410.65</v>
      </c>
      <c r="D2225" s="56">
        <f t="shared" si="37"/>
        <v>-0.3733925596890616</v>
      </c>
      <c r="E2225" s="64">
        <v>-2.9313607431618705E-2</v>
      </c>
    </row>
    <row r="2226" spans="2:5" x14ac:dyDescent="0.3">
      <c r="B2226" s="55">
        <v>44074</v>
      </c>
      <c r="C2226" s="54">
        <v>2251.25</v>
      </c>
      <c r="D2226" s="56">
        <f t="shared" si="37"/>
        <v>-0.33863599641592856</v>
      </c>
      <c r="E2226" s="64">
        <v>-2.938259894800388E-2</v>
      </c>
    </row>
    <row r="2227" spans="2:5" x14ac:dyDescent="0.3">
      <c r="B2227" s="55">
        <v>45716</v>
      </c>
      <c r="C2227" s="54">
        <v>3403.95</v>
      </c>
      <c r="D2227" s="56">
        <f t="shared" si="37"/>
        <v>0.42442566012470184</v>
      </c>
      <c r="E2227" s="64">
        <v>-2.943943886861311E-2</v>
      </c>
    </row>
    <row r="2228" spans="2:5" x14ac:dyDescent="0.3">
      <c r="B2228" s="55">
        <v>43885</v>
      </c>
      <c r="C2228" s="54">
        <v>2389.6999999999998</v>
      </c>
      <c r="D2228" s="56">
        <f t="shared" si="37"/>
        <v>1.1865678470125349</v>
      </c>
      <c r="E2228" s="64">
        <v>-2.9622561062270458E-2</v>
      </c>
    </row>
    <row r="2229" spans="2:5" x14ac:dyDescent="0.3">
      <c r="B2229" s="55">
        <v>43032</v>
      </c>
      <c r="C2229" s="54">
        <v>1092.9000000000001</v>
      </c>
      <c r="D2229" s="56">
        <f t="shared" si="37"/>
        <v>-0.14690500351260627</v>
      </c>
      <c r="E2229" s="64">
        <v>-2.9740767045454586E-2</v>
      </c>
    </row>
    <row r="2230" spans="2:5" x14ac:dyDescent="0.3">
      <c r="B2230" s="55">
        <v>43182</v>
      </c>
      <c r="C2230" s="54">
        <v>1281.0999999999999</v>
      </c>
      <c r="D2230" s="56">
        <f t="shared" si="37"/>
        <v>-0.62485541515981202</v>
      </c>
      <c r="E2230" s="64">
        <v>-2.9800446817372928E-2</v>
      </c>
    </row>
    <row r="2231" spans="2:5" x14ac:dyDescent="0.3">
      <c r="B2231" s="55">
        <v>44691</v>
      </c>
      <c r="C2231" s="54">
        <v>3414.95</v>
      </c>
      <c r="D2231" s="56">
        <f t="shared" si="37"/>
        <v>-0.19662412515438454</v>
      </c>
      <c r="E2231" s="64">
        <v>-2.9926426724995125E-2</v>
      </c>
    </row>
    <row r="2232" spans="2:5" x14ac:dyDescent="0.3">
      <c r="B2232" s="55">
        <v>44795</v>
      </c>
      <c r="C2232" s="54">
        <v>4250.75</v>
      </c>
      <c r="D2232" s="56">
        <f t="shared" si="37"/>
        <v>0.10861174138695451</v>
      </c>
      <c r="E2232" s="64">
        <v>-2.9952076677316253E-2</v>
      </c>
    </row>
    <row r="2233" spans="2:5" x14ac:dyDescent="0.3">
      <c r="B2233" s="55">
        <v>46094</v>
      </c>
      <c r="C2233" s="54">
        <v>3834.3</v>
      </c>
      <c r="D2233" s="56">
        <f t="shared" si="37"/>
        <v>2.2902799823927289E-2</v>
      </c>
      <c r="E2233" s="64">
        <v>-3.0175030352084131E-2</v>
      </c>
    </row>
    <row r="2234" spans="2:5" x14ac:dyDescent="0.3">
      <c r="B2234" s="55">
        <v>45694</v>
      </c>
      <c r="C2234" s="54">
        <v>3748.45</v>
      </c>
      <c r="D2234" s="56">
        <f t="shared" si="37"/>
        <v>2.5906413142391873</v>
      </c>
      <c r="E2234" s="64">
        <v>-3.0330858576713138E-2</v>
      </c>
    </row>
    <row r="2235" spans="2:5" x14ac:dyDescent="0.3">
      <c r="B2235" s="55">
        <v>43006</v>
      </c>
      <c r="C2235" s="54">
        <v>1043.95</v>
      </c>
      <c r="D2235" s="56">
        <f t="shared" si="37"/>
        <v>-0.1511911537523376</v>
      </c>
      <c r="E2235" s="64">
        <v>-3.0462038541908432E-2</v>
      </c>
    </row>
    <row r="2236" spans="2:5" x14ac:dyDescent="0.3">
      <c r="B2236" s="55">
        <v>43021</v>
      </c>
      <c r="C2236" s="54">
        <v>1229.9000000000001</v>
      </c>
      <c r="D2236" s="56">
        <f t="shared" si="37"/>
        <v>-0.66355728197833463</v>
      </c>
      <c r="E2236" s="64">
        <v>-3.0544279352067161E-2</v>
      </c>
    </row>
    <row r="2237" spans="2:5" x14ac:dyDescent="0.3">
      <c r="B2237" s="55">
        <v>46104</v>
      </c>
      <c r="C2237" s="54">
        <v>3655.6</v>
      </c>
      <c r="D2237" s="56">
        <f t="shared" si="37"/>
        <v>0.22089372787388961</v>
      </c>
      <c r="E2237" s="64">
        <v>-3.0550546303171777E-2</v>
      </c>
    </row>
    <row r="2238" spans="2:5" x14ac:dyDescent="0.3">
      <c r="B2238" s="55">
        <v>44253</v>
      </c>
      <c r="C2238" s="54">
        <v>2994.2</v>
      </c>
      <c r="D2238" s="56">
        <f t="shared" si="37"/>
        <v>-0.38912577782311542</v>
      </c>
      <c r="E2238" s="64">
        <v>-3.075229832966464E-2</v>
      </c>
    </row>
    <row r="2239" spans="2:5" x14ac:dyDescent="0.3">
      <c r="B2239" s="55">
        <v>45527</v>
      </c>
      <c r="C2239" s="54">
        <v>4901.5</v>
      </c>
      <c r="D2239" s="56">
        <f t="shared" si="37"/>
        <v>8.0256096620273887E-2</v>
      </c>
      <c r="E2239" s="64">
        <v>-3.091234417786215E-2</v>
      </c>
    </row>
    <row r="2240" spans="2:5" x14ac:dyDescent="0.3">
      <c r="B2240" s="55">
        <v>45439</v>
      </c>
      <c r="C2240" s="54">
        <v>4537.3500000000004</v>
      </c>
      <c r="D2240" s="56">
        <f t="shared" si="37"/>
        <v>5.4670339248980238E-2</v>
      </c>
      <c r="E2240" s="64">
        <v>-3.1412103746397579E-2</v>
      </c>
    </row>
    <row r="2241" spans="2:5" x14ac:dyDescent="0.3">
      <c r="B2241" s="55">
        <v>45443</v>
      </c>
      <c r="C2241" s="54">
        <v>4302.1499999999996</v>
      </c>
      <c r="D2241" s="56">
        <f t="shared" si="37"/>
        <v>5.6649883335379903E-2</v>
      </c>
      <c r="E2241" s="64">
        <v>-3.2126345628184838E-2</v>
      </c>
    </row>
    <row r="2242" spans="2:5" x14ac:dyDescent="0.3">
      <c r="B2242" s="55">
        <v>45797</v>
      </c>
      <c r="C2242" s="54">
        <v>4071.5</v>
      </c>
      <c r="D2242" s="56">
        <f t="shared" si="37"/>
        <v>9.6390246529600931E-2</v>
      </c>
      <c r="E2242" s="64">
        <v>-3.216221355899973E-2</v>
      </c>
    </row>
    <row r="2243" spans="2:5" x14ac:dyDescent="0.3">
      <c r="B2243" s="55">
        <v>45124</v>
      </c>
      <c r="C2243" s="54">
        <v>3713.55</v>
      </c>
      <c r="D2243" s="56">
        <f t="shared" si="37"/>
        <v>1.521764226538096</v>
      </c>
      <c r="E2243" s="64">
        <v>-3.2614783458156937E-2</v>
      </c>
    </row>
    <row r="2244" spans="2:5" x14ac:dyDescent="0.3">
      <c r="B2244" s="55">
        <v>43566</v>
      </c>
      <c r="C2244" s="54">
        <v>1472.6</v>
      </c>
      <c r="D2244" s="56">
        <f t="shared" ref="D2244:D2307" si="38">C2244/C2245-1</f>
        <v>-0.6482923334129449</v>
      </c>
      <c r="E2244" s="64">
        <v>-3.2647966892202618E-2</v>
      </c>
    </row>
    <row r="2245" spans="2:5" x14ac:dyDescent="0.3">
      <c r="B2245" s="55">
        <v>46205</v>
      </c>
      <c r="C2245" s="54">
        <v>4187</v>
      </c>
      <c r="D2245" s="56">
        <f t="shared" si="38"/>
        <v>1.0611401004233532</v>
      </c>
      <c r="E2245" s="64">
        <v>-3.2712655362010845E-2</v>
      </c>
    </row>
    <row r="2246" spans="2:5" x14ac:dyDescent="0.3">
      <c r="B2246" s="55">
        <v>44036</v>
      </c>
      <c r="C2246" s="54">
        <v>2031.4</v>
      </c>
      <c r="D2246" s="56">
        <f t="shared" si="38"/>
        <v>-0.55804542685580016</v>
      </c>
      <c r="E2246" s="64">
        <v>-3.2827862022996035E-2</v>
      </c>
    </row>
    <row r="2247" spans="2:5" x14ac:dyDescent="0.3">
      <c r="B2247" s="55">
        <v>44489</v>
      </c>
      <c r="C2247" s="54">
        <v>4596.3999999999996</v>
      </c>
      <c r="D2247" s="56">
        <f t="shared" si="38"/>
        <v>3.0493348603647252</v>
      </c>
      <c r="E2247" s="64">
        <v>-3.3262874509680351E-2</v>
      </c>
    </row>
    <row r="2248" spans="2:5" x14ac:dyDescent="0.3">
      <c r="B2248" s="55">
        <v>43133</v>
      </c>
      <c r="C2248" s="54">
        <v>1135.0999999999999</v>
      </c>
      <c r="D2248" s="56">
        <f t="shared" si="38"/>
        <v>1.15403466559727E-2</v>
      </c>
      <c r="E2248" s="64">
        <v>-3.3381589031763692E-2</v>
      </c>
    </row>
    <row r="2249" spans="2:5" x14ac:dyDescent="0.3">
      <c r="B2249" s="55">
        <v>43053</v>
      </c>
      <c r="C2249" s="54">
        <v>1122.1500000000001</v>
      </c>
      <c r="D2249" s="56">
        <f t="shared" si="38"/>
        <v>-0.69558494404883009</v>
      </c>
      <c r="E2249" s="64">
        <v>-3.3420905293078951E-2</v>
      </c>
    </row>
    <row r="2250" spans="2:5" x14ac:dyDescent="0.3">
      <c r="B2250" s="55">
        <v>45667</v>
      </c>
      <c r="C2250" s="54">
        <v>3686.25</v>
      </c>
      <c r="D2250" s="56">
        <f t="shared" si="38"/>
        <v>-9.1877709893575021E-2</v>
      </c>
      <c r="E2250" s="64">
        <v>-3.3444333735382026E-2</v>
      </c>
    </row>
    <row r="2251" spans="2:5" x14ac:dyDescent="0.3">
      <c r="B2251" s="55">
        <v>45779</v>
      </c>
      <c r="C2251" s="54">
        <v>4059.2</v>
      </c>
      <c r="D2251" s="56">
        <f t="shared" si="38"/>
        <v>3.4401916314153125E-2</v>
      </c>
      <c r="E2251" s="64">
        <v>-3.3500797638038926E-2</v>
      </c>
    </row>
    <row r="2252" spans="2:5" x14ac:dyDescent="0.3">
      <c r="B2252" s="55">
        <v>44930</v>
      </c>
      <c r="C2252" s="54">
        <v>3924.2</v>
      </c>
      <c r="D2252" s="56">
        <f t="shared" si="38"/>
        <v>1.9095088044485635</v>
      </c>
      <c r="E2252" s="64">
        <v>-3.3662488610899155E-2</v>
      </c>
    </row>
    <row r="2253" spans="2:5" x14ac:dyDescent="0.3">
      <c r="B2253" s="55">
        <v>43374</v>
      </c>
      <c r="C2253" s="54">
        <v>1348.75</v>
      </c>
      <c r="D2253" s="56">
        <f t="shared" si="38"/>
        <v>-7.0308461140789258E-2</v>
      </c>
      <c r="E2253" s="64">
        <v>-3.381209928722384E-2</v>
      </c>
    </row>
    <row r="2254" spans="2:5" x14ac:dyDescent="0.3">
      <c r="B2254" s="55">
        <v>43367</v>
      </c>
      <c r="C2254" s="54">
        <v>1450.75</v>
      </c>
      <c r="D2254" s="56">
        <f t="shared" si="38"/>
        <v>-0.3125873628846928</v>
      </c>
      <c r="E2254" s="64">
        <v>-3.402470286646464E-2</v>
      </c>
    </row>
    <row r="2255" spans="2:5" x14ac:dyDescent="0.3">
      <c r="B2255" s="55">
        <v>44109</v>
      </c>
      <c r="C2255" s="54">
        <v>2110.4499999999998</v>
      </c>
      <c r="D2255" s="56">
        <f t="shared" si="38"/>
        <v>0.77796967144060636</v>
      </c>
      <c r="E2255" s="64">
        <v>-3.4030574880996145E-2</v>
      </c>
    </row>
    <row r="2256" spans="2:5" x14ac:dyDescent="0.3">
      <c r="B2256" s="55">
        <v>43116</v>
      </c>
      <c r="C2256" s="54">
        <v>1187</v>
      </c>
      <c r="D2256" s="56">
        <f t="shared" si="38"/>
        <v>-0.45114902667961343</v>
      </c>
      <c r="E2256" s="64">
        <v>-3.4056231435895312E-2</v>
      </c>
    </row>
    <row r="2257" spans="2:5" x14ac:dyDescent="0.3">
      <c r="B2257" s="55">
        <v>44088</v>
      </c>
      <c r="C2257" s="54">
        <v>2162.6999999999998</v>
      </c>
      <c r="D2257" s="56">
        <f t="shared" si="38"/>
        <v>0.81465010907870439</v>
      </c>
      <c r="E2257" s="64">
        <v>-3.4228682430169521E-2</v>
      </c>
    </row>
    <row r="2258" spans="2:5" x14ac:dyDescent="0.3">
      <c r="B2258" s="55">
        <v>43395</v>
      </c>
      <c r="C2258" s="54">
        <v>1191.8</v>
      </c>
      <c r="D2258" s="56">
        <f t="shared" si="38"/>
        <v>-0.67103701454635789</v>
      </c>
      <c r="E2258" s="64">
        <v>-3.4393356289244559E-2</v>
      </c>
    </row>
    <row r="2259" spans="2:5" x14ac:dyDescent="0.3">
      <c r="B2259" s="55">
        <v>45617</v>
      </c>
      <c r="C2259" s="54">
        <v>3622.9</v>
      </c>
      <c r="D2259" s="56">
        <f t="shared" si="38"/>
        <v>1.8479679270497607</v>
      </c>
      <c r="E2259" s="64">
        <v>-3.4524110914202599E-2</v>
      </c>
    </row>
    <row r="2260" spans="2:5" x14ac:dyDescent="0.3">
      <c r="B2260" s="55">
        <v>43606</v>
      </c>
      <c r="C2260" s="54">
        <v>1272.0999999999999</v>
      </c>
      <c r="D2260" s="56">
        <f t="shared" si="38"/>
        <v>-2.2514215460273657E-2</v>
      </c>
      <c r="E2260" s="64">
        <v>-3.4898717851452821E-2</v>
      </c>
    </row>
    <row r="2261" spans="2:5" x14ac:dyDescent="0.3">
      <c r="B2261" s="55">
        <v>43376</v>
      </c>
      <c r="C2261" s="54">
        <v>1301.4000000000001</v>
      </c>
      <c r="D2261" s="56">
        <f t="shared" si="38"/>
        <v>0.15536221590909083</v>
      </c>
      <c r="E2261" s="64">
        <v>-3.5106580166821111E-2</v>
      </c>
    </row>
    <row r="2262" spans="2:5" x14ac:dyDescent="0.3">
      <c r="B2262" s="55">
        <v>43031</v>
      </c>
      <c r="C2262" s="54">
        <v>1126.4000000000001</v>
      </c>
      <c r="D2262" s="56">
        <f t="shared" si="38"/>
        <v>-0.15059196139054354</v>
      </c>
      <c r="E2262" s="64">
        <v>-3.5120781223231146E-2</v>
      </c>
    </row>
    <row r="2263" spans="2:5" x14ac:dyDescent="0.3">
      <c r="B2263" s="55">
        <v>43384</v>
      </c>
      <c r="C2263" s="54">
        <v>1326.1</v>
      </c>
      <c r="D2263" s="56">
        <f t="shared" si="38"/>
        <v>-0.55687362159994658</v>
      </c>
      <c r="E2263" s="64">
        <v>-3.5142607683352867E-2</v>
      </c>
    </row>
    <row r="2264" spans="2:5" x14ac:dyDescent="0.3">
      <c r="B2264" s="55">
        <v>44249</v>
      </c>
      <c r="C2264" s="54">
        <v>2992.6</v>
      </c>
      <c r="D2264" s="56">
        <f t="shared" si="38"/>
        <v>1.7792895286742509</v>
      </c>
      <c r="E2264" s="64">
        <v>-3.5158705850112049E-2</v>
      </c>
    </row>
    <row r="2265" spans="2:5" x14ac:dyDescent="0.3">
      <c r="B2265" s="55">
        <v>43005</v>
      </c>
      <c r="C2265" s="54">
        <v>1076.75</v>
      </c>
      <c r="D2265" s="56">
        <f t="shared" si="38"/>
        <v>-0.52963917525773185</v>
      </c>
      <c r="E2265" s="64">
        <v>-3.5213476098741037E-2</v>
      </c>
    </row>
    <row r="2266" spans="2:5" x14ac:dyDescent="0.3">
      <c r="B2266" s="55">
        <v>44162</v>
      </c>
      <c r="C2266" s="54">
        <v>2289.1999999999998</v>
      </c>
      <c r="D2266" s="56">
        <f t="shared" si="38"/>
        <v>6.2347727219992155E-2</v>
      </c>
      <c r="E2266" s="64">
        <v>-3.5334274456922721E-2</v>
      </c>
    </row>
    <row r="2267" spans="2:5" x14ac:dyDescent="0.3">
      <c r="B2267" s="55">
        <v>44026</v>
      </c>
      <c r="C2267" s="54">
        <v>2154.85</v>
      </c>
      <c r="D2267" s="56">
        <f t="shared" si="38"/>
        <v>-0.48119033574498304</v>
      </c>
      <c r="E2267" s="64">
        <v>-3.5408133575057565E-2</v>
      </c>
    </row>
    <row r="2268" spans="2:5" x14ac:dyDescent="0.3">
      <c r="B2268" s="55">
        <v>44851</v>
      </c>
      <c r="C2268" s="54">
        <v>4153.45</v>
      </c>
      <c r="D2268" s="56">
        <f t="shared" si="38"/>
        <v>4.3239120681920147</v>
      </c>
      <c r="E2268" s="64">
        <v>-3.5460910558155145E-2</v>
      </c>
    </row>
    <row r="2269" spans="2:5" x14ac:dyDescent="0.3">
      <c r="B2269" s="55">
        <v>42863</v>
      </c>
      <c r="C2269" s="54">
        <v>780.15</v>
      </c>
      <c r="D2269" s="56">
        <f t="shared" si="38"/>
        <v>-0.67419085404050949</v>
      </c>
      <c r="E2269" s="64">
        <v>-3.5542094202002716E-2</v>
      </c>
    </row>
    <row r="2270" spans="2:5" x14ac:dyDescent="0.3">
      <c r="B2270" s="55">
        <v>43872</v>
      </c>
      <c r="C2270" s="54">
        <v>2394.5</v>
      </c>
      <c r="D2270" s="56">
        <f t="shared" si="38"/>
        <v>-0.49255629139072843</v>
      </c>
      <c r="E2270" s="64">
        <v>-3.589475167596079E-2</v>
      </c>
    </row>
    <row r="2271" spans="2:5" x14ac:dyDescent="0.3">
      <c r="B2271" s="55">
        <v>44526</v>
      </c>
      <c r="C2271" s="54">
        <v>4718.75</v>
      </c>
      <c r="D2271" s="56">
        <f t="shared" si="38"/>
        <v>6.7633159449973501E-3</v>
      </c>
      <c r="E2271" s="64">
        <v>-3.5907651445500011E-2</v>
      </c>
    </row>
    <row r="2272" spans="2:5" x14ac:dyDescent="0.3">
      <c r="B2272" s="55">
        <v>45449</v>
      </c>
      <c r="C2272" s="54">
        <v>4687.05</v>
      </c>
      <c r="D2272" s="56">
        <f t="shared" si="38"/>
        <v>1.1314945769571843</v>
      </c>
      <c r="E2272" s="64">
        <v>-3.603270091007249E-2</v>
      </c>
    </row>
    <row r="2273" spans="2:5" x14ac:dyDescent="0.3">
      <c r="B2273" s="55">
        <v>43956</v>
      </c>
      <c r="C2273" s="54">
        <v>2198.9499999999998</v>
      </c>
      <c r="D2273" s="56">
        <f t="shared" si="38"/>
        <v>-5.6813016998458199E-4</v>
      </c>
      <c r="E2273" s="64">
        <v>-3.6097838951475225E-2</v>
      </c>
    </row>
    <row r="2274" spans="2:5" x14ac:dyDescent="0.3">
      <c r="B2274" s="55">
        <v>43978</v>
      </c>
      <c r="C2274" s="54">
        <v>2200.1999999999998</v>
      </c>
      <c r="D2274" s="56">
        <f t="shared" si="38"/>
        <v>1.8881596219480179</v>
      </c>
      <c r="E2274" s="64">
        <v>-3.6373590277017476E-2</v>
      </c>
    </row>
    <row r="2275" spans="2:5" x14ac:dyDescent="0.3">
      <c r="B2275" s="55">
        <v>42866</v>
      </c>
      <c r="C2275" s="54">
        <v>761.8</v>
      </c>
      <c r="D2275" s="56">
        <f t="shared" si="38"/>
        <v>-0.43923444976076553</v>
      </c>
      <c r="E2275" s="64">
        <v>-3.6732629449326759E-2</v>
      </c>
    </row>
    <row r="2276" spans="2:5" x14ac:dyDescent="0.3">
      <c r="B2276" s="55">
        <v>43573</v>
      </c>
      <c r="C2276" s="54">
        <v>1358.5</v>
      </c>
      <c r="D2276" s="56">
        <f t="shared" si="38"/>
        <v>-0.71198388721047334</v>
      </c>
      <c r="E2276" s="64">
        <v>-3.69687732605537E-2</v>
      </c>
    </row>
    <row r="2277" spans="2:5" x14ac:dyDescent="0.3">
      <c r="B2277" s="55">
        <v>45471</v>
      </c>
      <c r="C2277" s="54">
        <v>4716.75</v>
      </c>
      <c r="D2277" s="56">
        <f t="shared" si="38"/>
        <v>2.2885379627692952</v>
      </c>
      <c r="E2277" s="64">
        <v>-3.7417603722373127E-2</v>
      </c>
    </row>
    <row r="2278" spans="2:5" x14ac:dyDescent="0.3">
      <c r="B2278" s="55">
        <v>43684</v>
      </c>
      <c r="C2278" s="54">
        <v>1434.3</v>
      </c>
      <c r="D2278" s="56">
        <f t="shared" si="38"/>
        <v>0.11190356215357178</v>
      </c>
      <c r="E2278" s="64">
        <v>-3.7673185950551913E-2</v>
      </c>
    </row>
    <row r="2279" spans="2:5" x14ac:dyDescent="0.3">
      <c r="B2279" s="55">
        <v>43612</v>
      </c>
      <c r="C2279" s="54">
        <v>1289.95</v>
      </c>
      <c r="D2279" s="56">
        <f t="shared" si="38"/>
        <v>-0.42256988741914536</v>
      </c>
      <c r="E2279" s="64">
        <v>-3.8104470377689048E-2</v>
      </c>
    </row>
    <row r="2280" spans="2:5" x14ac:dyDescent="0.3">
      <c r="B2280" s="55">
        <v>44025</v>
      </c>
      <c r="C2280" s="54">
        <v>2233.9499999999998</v>
      </c>
      <c r="D2280" s="56">
        <f t="shared" si="38"/>
        <v>-0.45648630236971444</v>
      </c>
      <c r="E2280" s="64">
        <v>-3.8209841994230831E-2</v>
      </c>
    </row>
    <row r="2281" spans="2:5" x14ac:dyDescent="0.3">
      <c r="B2281" s="55">
        <v>44624</v>
      </c>
      <c r="C2281" s="54">
        <v>4110.2</v>
      </c>
      <c r="D2281" s="56">
        <f t="shared" si="38"/>
        <v>3.2778440856837676E-2</v>
      </c>
      <c r="E2281" s="64">
        <v>-3.8886940254881375E-2</v>
      </c>
    </row>
    <row r="2282" spans="2:5" x14ac:dyDescent="0.3">
      <c r="B2282" s="55">
        <v>44606</v>
      </c>
      <c r="C2282" s="54">
        <v>3979.75</v>
      </c>
      <c r="D2282" s="56">
        <f t="shared" si="38"/>
        <v>0.1305144447916371</v>
      </c>
      <c r="E2282" s="64">
        <v>-3.9229887138632402E-2</v>
      </c>
    </row>
    <row r="2283" spans="2:5" x14ac:dyDescent="0.3">
      <c r="B2283" s="55">
        <v>44690</v>
      </c>
      <c r="C2283" s="54">
        <v>3520.3</v>
      </c>
      <c r="D2283" s="56">
        <f t="shared" si="38"/>
        <v>1.3344164456233423</v>
      </c>
      <c r="E2283" s="64">
        <v>-3.9795974033058679E-2</v>
      </c>
    </row>
    <row r="2284" spans="2:5" x14ac:dyDescent="0.3">
      <c r="B2284" s="55">
        <v>43711</v>
      </c>
      <c r="C2284" s="54">
        <v>1508</v>
      </c>
      <c r="D2284" s="56">
        <f t="shared" si="38"/>
        <v>-0.3085423449034802</v>
      </c>
      <c r="E2284" s="64">
        <v>-4.0193488845750025E-2</v>
      </c>
    </row>
    <row r="2285" spans="2:5" x14ac:dyDescent="0.3">
      <c r="B2285" s="55">
        <v>43936</v>
      </c>
      <c r="C2285" s="54">
        <v>2180.9</v>
      </c>
      <c r="D2285" s="56">
        <f t="shared" si="38"/>
        <v>-0.52006425844217286</v>
      </c>
      <c r="E2285" s="64">
        <v>-4.054024328545347E-2</v>
      </c>
    </row>
    <row r="2286" spans="2:5" x14ac:dyDescent="0.3">
      <c r="B2286" s="55">
        <v>45572</v>
      </c>
      <c r="C2286" s="54">
        <v>4544.1499999999996</v>
      </c>
      <c r="D2286" s="56">
        <f t="shared" si="38"/>
        <v>1.0386953498283944</v>
      </c>
      <c r="E2286" s="64">
        <v>-4.0822788149993294E-2</v>
      </c>
    </row>
    <row r="2287" spans="2:5" x14ac:dyDescent="0.3">
      <c r="B2287" s="55">
        <v>43892</v>
      </c>
      <c r="C2287" s="54">
        <v>2228.9499999999998</v>
      </c>
      <c r="D2287" s="56">
        <f t="shared" si="38"/>
        <v>-0.48161542397320811</v>
      </c>
      <c r="E2287" s="64">
        <v>-4.0878676391488677E-2</v>
      </c>
    </row>
    <row r="2288" spans="2:5" x14ac:dyDescent="0.3">
      <c r="B2288" s="55">
        <v>44582</v>
      </c>
      <c r="C2288" s="54">
        <v>4299.8</v>
      </c>
      <c r="D2288" s="56">
        <f t="shared" si="38"/>
        <v>-9.2400080210235269E-2</v>
      </c>
      <c r="E2288" s="64">
        <v>-4.0983149513220574E-2</v>
      </c>
    </row>
    <row r="2289" spans="2:5" x14ac:dyDescent="0.3">
      <c r="B2289" s="55">
        <v>45569</v>
      </c>
      <c r="C2289" s="54">
        <v>4737.55</v>
      </c>
      <c r="D2289" s="56">
        <f t="shared" si="38"/>
        <v>0.20476305517057236</v>
      </c>
      <c r="E2289" s="64">
        <v>-4.1486262291101861E-2</v>
      </c>
    </row>
    <row r="2290" spans="2:5" x14ac:dyDescent="0.3">
      <c r="B2290" s="55">
        <v>45294</v>
      </c>
      <c r="C2290" s="54">
        <v>3932.35</v>
      </c>
      <c r="D2290" s="56">
        <f t="shared" si="38"/>
        <v>0.11606686723051585</v>
      </c>
      <c r="E2290" s="64">
        <v>-4.1673266964797118E-2</v>
      </c>
    </row>
    <row r="2291" spans="2:5" x14ac:dyDescent="0.3">
      <c r="B2291" s="55">
        <v>45061</v>
      </c>
      <c r="C2291" s="54">
        <v>3523.4</v>
      </c>
      <c r="D2291" s="56">
        <f t="shared" si="38"/>
        <v>-0.1223643406025432</v>
      </c>
      <c r="E2291" s="64">
        <v>-4.1916493317561976E-2</v>
      </c>
    </row>
    <row r="2292" spans="2:5" x14ac:dyDescent="0.3">
      <c r="B2292" s="55">
        <v>44616</v>
      </c>
      <c r="C2292" s="54">
        <v>4014.65</v>
      </c>
      <c r="D2292" s="56">
        <f t="shared" si="38"/>
        <v>-0.12600550784268905</v>
      </c>
      <c r="E2292" s="64">
        <v>-4.2637923428203495E-2</v>
      </c>
    </row>
    <row r="2293" spans="2:5" x14ac:dyDescent="0.3">
      <c r="B2293" s="55">
        <v>44536</v>
      </c>
      <c r="C2293" s="54">
        <v>4593.45</v>
      </c>
      <c r="D2293" s="56">
        <f t="shared" si="38"/>
        <v>1.0135229912769033</v>
      </c>
      <c r="E2293" s="64">
        <v>-4.2841812442045879E-2</v>
      </c>
    </row>
    <row r="2294" spans="2:5" x14ac:dyDescent="0.3">
      <c r="B2294" s="55">
        <v>43955</v>
      </c>
      <c r="C2294" s="54">
        <v>2281.3000000000002</v>
      </c>
      <c r="D2294" s="56">
        <f t="shared" si="38"/>
        <v>6.3196159761383486E-2</v>
      </c>
      <c r="E2294" s="64">
        <v>-4.2938350848488627E-2</v>
      </c>
    </row>
    <row r="2295" spans="2:5" x14ac:dyDescent="0.3">
      <c r="B2295" s="55">
        <v>43899</v>
      </c>
      <c r="C2295" s="54">
        <v>2145.6999999999998</v>
      </c>
      <c r="D2295" s="56">
        <f t="shared" si="38"/>
        <v>-0.38625897428563261</v>
      </c>
      <c r="E2295" s="64">
        <v>-4.3016747318422199E-2</v>
      </c>
    </row>
    <row r="2296" spans="2:5" x14ac:dyDescent="0.3">
      <c r="B2296" s="55">
        <v>45022</v>
      </c>
      <c r="C2296" s="54">
        <v>3496.1</v>
      </c>
      <c r="D2296" s="56">
        <f t="shared" si="38"/>
        <v>-0.19212949590414907</v>
      </c>
      <c r="E2296" s="64">
        <v>-4.3435435106775944E-2</v>
      </c>
    </row>
    <row r="2297" spans="2:5" x14ac:dyDescent="0.3">
      <c r="B2297" s="55">
        <v>44820</v>
      </c>
      <c r="C2297" s="54">
        <v>4327.55</v>
      </c>
      <c r="D2297" s="56">
        <f t="shared" si="38"/>
        <v>0.12503249623043744</v>
      </c>
      <c r="E2297" s="64">
        <v>-4.3814973982787775E-2</v>
      </c>
    </row>
    <row r="2298" spans="2:5" x14ac:dyDescent="0.3">
      <c r="B2298" s="55">
        <v>46231</v>
      </c>
      <c r="C2298" s="54">
        <v>3846.6</v>
      </c>
      <c r="D2298" s="56">
        <f t="shared" si="38"/>
        <v>0.36651390813172746</v>
      </c>
      <c r="E2298" s="64">
        <v>-4.4963626883829488E-2</v>
      </c>
    </row>
    <row r="2299" spans="2:5" x14ac:dyDescent="0.3">
      <c r="B2299" s="55">
        <v>44298</v>
      </c>
      <c r="C2299" s="54">
        <v>2814.9</v>
      </c>
      <c r="D2299" s="56">
        <f t="shared" si="38"/>
        <v>-0.35681480635210783</v>
      </c>
      <c r="E2299" s="64">
        <v>-4.506827241116107E-2</v>
      </c>
    </row>
    <row r="2300" spans="2:5" x14ac:dyDescent="0.3">
      <c r="B2300" s="55">
        <v>46146</v>
      </c>
      <c r="C2300" s="54">
        <v>4376.5</v>
      </c>
      <c r="D2300" s="56">
        <f t="shared" si="38"/>
        <v>9.6867167919799435E-2</v>
      </c>
      <c r="E2300" s="64">
        <v>-4.5661702174055185E-2</v>
      </c>
    </row>
    <row r="2301" spans="2:5" x14ac:dyDescent="0.3">
      <c r="B2301" s="55">
        <v>44911</v>
      </c>
      <c r="C2301" s="54">
        <v>3990</v>
      </c>
      <c r="D2301" s="56">
        <f t="shared" si="38"/>
        <v>-1.1015421590226948E-3</v>
      </c>
      <c r="E2301" s="64">
        <v>-4.5911047345767564E-2</v>
      </c>
    </row>
    <row r="2302" spans="2:5" x14ac:dyDescent="0.3">
      <c r="B2302" s="55">
        <v>46206</v>
      </c>
      <c r="C2302" s="54">
        <v>3994.4</v>
      </c>
      <c r="D2302" s="56">
        <f t="shared" si="38"/>
        <v>0.91789504009218814</v>
      </c>
      <c r="E2302" s="64">
        <v>-4.5999522331024556E-2</v>
      </c>
    </row>
    <row r="2303" spans="2:5" x14ac:dyDescent="0.3">
      <c r="B2303" s="55">
        <v>43922</v>
      </c>
      <c r="C2303" s="54">
        <v>2082.6999999999998</v>
      </c>
      <c r="D2303" s="56">
        <f t="shared" si="38"/>
        <v>-8.7835322457024079E-2</v>
      </c>
      <c r="E2303" s="64">
        <v>-4.7908571428571523E-2</v>
      </c>
    </row>
    <row r="2304" spans="2:5" x14ac:dyDescent="0.3">
      <c r="B2304" s="55">
        <v>43977</v>
      </c>
      <c r="C2304" s="54">
        <v>2283.25</v>
      </c>
      <c r="D2304" s="56">
        <f t="shared" si="38"/>
        <v>-0.37927331548112608</v>
      </c>
      <c r="E2304" s="64">
        <v>-4.7971479798190497E-2</v>
      </c>
    </row>
    <row r="2305" spans="2:5" x14ac:dyDescent="0.3">
      <c r="B2305" s="55">
        <v>44942</v>
      </c>
      <c r="C2305" s="54">
        <v>3678.35</v>
      </c>
      <c r="D2305" s="56">
        <f t="shared" si="38"/>
        <v>4.8724857089908591E-2</v>
      </c>
      <c r="E2305" s="64">
        <v>-4.7972151046923872E-2</v>
      </c>
    </row>
    <row r="2306" spans="2:5" x14ac:dyDescent="0.3">
      <c r="B2306" s="55">
        <v>45670</v>
      </c>
      <c r="C2306" s="54">
        <v>3507.45</v>
      </c>
      <c r="D2306" s="56">
        <f t="shared" si="38"/>
        <v>2.093807885684043</v>
      </c>
      <c r="E2306" s="64">
        <v>-4.8504577822990891E-2</v>
      </c>
    </row>
    <row r="2307" spans="2:5" x14ac:dyDescent="0.3">
      <c r="B2307" s="55">
        <v>43396</v>
      </c>
      <c r="C2307" s="54">
        <v>1133.7</v>
      </c>
      <c r="D2307" s="56">
        <f t="shared" si="38"/>
        <v>-2.2419591273605266E-2</v>
      </c>
      <c r="E2307" s="64">
        <v>-4.8749790233260537E-2</v>
      </c>
    </row>
    <row r="2308" spans="2:5" x14ac:dyDescent="0.3">
      <c r="B2308" s="55">
        <v>43026</v>
      </c>
      <c r="C2308" s="54">
        <v>1159.7</v>
      </c>
      <c r="D2308" s="56">
        <f t="shared" ref="D2308:D2332" si="39">C2308/C2309-1</f>
        <v>-0.75981194209141933</v>
      </c>
      <c r="E2308" s="64">
        <v>-4.942622950819664E-2</v>
      </c>
    </row>
    <row r="2309" spans="2:5" x14ac:dyDescent="0.3">
      <c r="B2309" s="55">
        <v>44522</v>
      </c>
      <c r="C2309" s="54">
        <v>4828.3</v>
      </c>
      <c r="D2309" s="56">
        <f t="shared" si="39"/>
        <v>1.418624455242198</v>
      </c>
      <c r="E2309" s="64">
        <v>-4.9715601566651446E-2</v>
      </c>
    </row>
    <row r="2310" spans="2:5" x14ac:dyDescent="0.3">
      <c r="B2310" s="55">
        <v>43906</v>
      </c>
      <c r="C2310" s="54">
        <v>1996.3</v>
      </c>
      <c r="D2310" s="56">
        <f t="shared" si="39"/>
        <v>3.9252433755010641E-2</v>
      </c>
      <c r="E2310" s="64">
        <v>-4.9833412660637788E-2</v>
      </c>
    </row>
    <row r="2311" spans="2:5" x14ac:dyDescent="0.3">
      <c r="B2311" s="55">
        <v>43908</v>
      </c>
      <c r="C2311" s="54">
        <v>1920.9</v>
      </c>
      <c r="D2311" s="56">
        <f t="shared" si="39"/>
        <v>5.2605622225875281E-2</v>
      </c>
      <c r="E2311" s="64">
        <v>-4.9976507826603012E-2</v>
      </c>
    </row>
    <row r="2312" spans="2:5" x14ac:dyDescent="0.3">
      <c r="B2312" s="55">
        <v>43909</v>
      </c>
      <c r="C2312" s="54">
        <v>1824.9</v>
      </c>
      <c r="D2312" s="56">
        <f t="shared" si="39"/>
        <v>-8.9598403591918174E-2</v>
      </c>
      <c r="E2312" s="64">
        <v>-4.9976573481180675E-2</v>
      </c>
    </row>
    <row r="2313" spans="2:5" x14ac:dyDescent="0.3">
      <c r="B2313" s="55">
        <v>43902</v>
      </c>
      <c r="C2313" s="54">
        <v>2004.5</v>
      </c>
      <c r="D2313" s="56">
        <f t="shared" si="39"/>
        <v>-0.11814522337828037</v>
      </c>
      <c r="E2313" s="64">
        <v>-4.9977487618189875E-2</v>
      </c>
    </row>
    <row r="2314" spans="2:5" x14ac:dyDescent="0.3">
      <c r="B2314" s="55">
        <v>43934</v>
      </c>
      <c r="C2314" s="54">
        <v>2273.0500000000002</v>
      </c>
      <c r="D2314" s="56">
        <f t="shared" si="39"/>
        <v>0.24872273801021816</v>
      </c>
      <c r="E2314" s="64">
        <v>-4.9986416734582928E-2</v>
      </c>
    </row>
    <row r="2315" spans="2:5" x14ac:dyDescent="0.3">
      <c r="B2315" s="55">
        <v>43913</v>
      </c>
      <c r="C2315" s="54">
        <v>1820.3</v>
      </c>
      <c r="D2315" s="56">
        <f t="shared" si="39"/>
        <v>0.35293024638596737</v>
      </c>
      <c r="E2315" s="64">
        <v>-4.9997390532853125E-2</v>
      </c>
    </row>
    <row r="2316" spans="2:5" x14ac:dyDescent="0.3">
      <c r="B2316" s="55">
        <v>43241</v>
      </c>
      <c r="C2316" s="54">
        <v>1345.45</v>
      </c>
      <c r="D2316" s="56">
        <f t="shared" si="39"/>
        <v>-0.68535581487804309</v>
      </c>
      <c r="E2316" s="64">
        <v>-5.0627998871013213E-2</v>
      </c>
    </row>
    <row r="2317" spans="2:5" x14ac:dyDescent="0.3">
      <c r="B2317" s="55">
        <v>44573</v>
      </c>
      <c r="C2317" s="54">
        <v>4276.1000000000004</v>
      </c>
      <c r="D2317" s="56">
        <f t="shared" si="39"/>
        <v>0.61270978691306821</v>
      </c>
      <c r="E2317" s="64">
        <v>-5.0789140713445202E-2</v>
      </c>
    </row>
    <row r="2318" spans="2:5" x14ac:dyDescent="0.3">
      <c r="B2318" s="55">
        <v>44225</v>
      </c>
      <c r="C2318" s="54">
        <v>2651.5</v>
      </c>
      <c r="D2318" s="56">
        <f t="shared" si="39"/>
        <v>0.87094270392322892</v>
      </c>
      <c r="E2318" s="64">
        <v>-5.1154967882767521E-2</v>
      </c>
    </row>
    <row r="2319" spans="2:5" x14ac:dyDescent="0.3">
      <c r="B2319" s="55">
        <v>43238</v>
      </c>
      <c r="C2319" s="54">
        <v>1417.2</v>
      </c>
      <c r="D2319" s="56">
        <f t="shared" si="39"/>
        <v>-0.4115473249320073</v>
      </c>
      <c r="E2319" s="64">
        <v>-5.2040133779264197E-2</v>
      </c>
    </row>
    <row r="2320" spans="2:5" x14ac:dyDescent="0.3">
      <c r="B2320" s="55">
        <v>43875</v>
      </c>
      <c r="C2320" s="54">
        <v>2408.35</v>
      </c>
      <c r="D2320" s="56">
        <f t="shared" si="39"/>
        <v>0.77587287541938554</v>
      </c>
      <c r="E2320" s="64">
        <v>-5.3377355894896228E-2</v>
      </c>
    </row>
    <row r="2321" spans="2:5" x14ac:dyDescent="0.3">
      <c r="B2321" s="55">
        <v>43651</v>
      </c>
      <c r="C2321" s="54">
        <v>1356.15</v>
      </c>
      <c r="D2321" s="56">
        <f t="shared" si="39"/>
        <v>0.85735807710744383</v>
      </c>
      <c r="E2321" s="64">
        <v>-5.3628750872295794E-2</v>
      </c>
    </row>
    <row r="2322" spans="2:5" x14ac:dyDescent="0.3">
      <c r="B2322" s="55">
        <v>42843</v>
      </c>
      <c r="C2322" s="54">
        <v>730.15</v>
      </c>
      <c r="D2322" s="56">
        <f t="shared" si="39"/>
        <v>-0.40842616973870771</v>
      </c>
      <c r="E2322" s="64">
        <v>-5.671468251404943E-2</v>
      </c>
    </row>
    <row r="2323" spans="2:5" x14ac:dyDescent="0.3">
      <c r="B2323" s="55">
        <v>43392</v>
      </c>
      <c r="C2323" s="54">
        <v>1234.25</v>
      </c>
      <c r="D2323" s="56">
        <f t="shared" si="39"/>
        <v>-7.1818010904305285E-2</v>
      </c>
      <c r="E2323" s="64">
        <v>-5.685248156497158E-2</v>
      </c>
    </row>
    <row r="2324" spans="2:5" x14ac:dyDescent="0.3">
      <c r="B2324" s="55">
        <v>43388</v>
      </c>
      <c r="C2324" s="54">
        <v>1329.75</v>
      </c>
      <c r="D2324" s="56">
        <f t="shared" si="39"/>
        <v>-0.61574027250003616</v>
      </c>
      <c r="E2324" s="64">
        <v>-5.8050577318127128E-2</v>
      </c>
    </row>
    <row r="2325" spans="2:5" x14ac:dyDescent="0.3">
      <c r="B2325" s="55">
        <v>44729</v>
      </c>
      <c r="C2325" s="54">
        <v>3460.55</v>
      </c>
      <c r="D2325" s="56">
        <f t="shared" si="39"/>
        <v>-0.14243055039278363</v>
      </c>
      <c r="E2325" s="64">
        <v>-6.0297072720360556E-2</v>
      </c>
    </row>
    <row r="2326" spans="2:5" x14ac:dyDescent="0.3">
      <c r="B2326" s="55">
        <v>44585</v>
      </c>
      <c r="C2326" s="54">
        <v>4035.3</v>
      </c>
      <c r="D2326" s="56">
        <f t="shared" si="39"/>
        <v>1.6105773896166911</v>
      </c>
      <c r="E2326" s="64">
        <v>-6.1514489046002097E-2</v>
      </c>
    </row>
    <row r="2327" spans="2:5" x14ac:dyDescent="0.3">
      <c r="B2327" s="55">
        <v>43458</v>
      </c>
      <c r="C2327" s="54">
        <v>1545.75</v>
      </c>
      <c r="D2327" s="56">
        <f t="shared" si="39"/>
        <v>-0.22983981465334691</v>
      </c>
      <c r="E2327" s="64">
        <v>-6.2101814210302697E-2</v>
      </c>
    </row>
    <row r="2328" spans="2:5" x14ac:dyDescent="0.3">
      <c r="B2328" s="55">
        <v>44028</v>
      </c>
      <c r="C2328" s="54">
        <v>2007.05</v>
      </c>
      <c r="D2328" s="56">
        <f t="shared" si="39"/>
        <v>-0.45255305220664443</v>
      </c>
      <c r="E2328" s="64">
        <v>-6.4900878235143344E-2</v>
      </c>
    </row>
    <row r="2329" spans="2:5" x14ac:dyDescent="0.3">
      <c r="B2329" s="55">
        <v>44687</v>
      </c>
      <c r="C2329" s="54">
        <v>3666.2</v>
      </c>
      <c r="D2329" s="56">
        <f t="shared" si="39"/>
        <v>-0.25145983911143788</v>
      </c>
      <c r="E2329" s="64">
        <v>-7.038896495765512E-2</v>
      </c>
    </row>
    <row r="2330" spans="2:5" x14ac:dyDescent="0.3">
      <c r="B2330" s="55">
        <v>44487</v>
      </c>
      <c r="C2330" s="54">
        <v>4897.8</v>
      </c>
      <c r="D2330" s="56">
        <f t="shared" si="39"/>
        <v>0.17071421742040349</v>
      </c>
      <c r="E2330" s="64">
        <v>-8.0009391876027181E-2</v>
      </c>
    </row>
    <row r="2331" spans="2:5" x14ac:dyDescent="0.3">
      <c r="B2331" s="55">
        <v>45579</v>
      </c>
      <c r="C2331" s="54">
        <v>4183.6000000000004</v>
      </c>
      <c r="D2331" s="56">
        <f t="shared" si="39"/>
        <v>1.9938457134678691</v>
      </c>
      <c r="E2331" s="64">
        <v>-8.5091958798958922E-2</v>
      </c>
    </row>
    <row r="2332" spans="2:5" x14ac:dyDescent="0.3">
      <c r="B2332" s="55">
        <v>43479</v>
      </c>
      <c r="C2332" s="54">
        <v>1397.4</v>
      </c>
      <c r="D2332" s="56">
        <f t="shared" si="39"/>
        <v>1.1883955837444211</v>
      </c>
      <c r="E2332" s="64">
        <v>-0.11087074094104921</v>
      </c>
    </row>
    <row r="2333" spans="2:5" x14ac:dyDescent="0.3">
      <c r="B2333">
        <v>42816</v>
      </c>
      <c r="C2333">
        <v>638.54999999999995</v>
      </c>
    </row>
  </sheetData>
  <autoFilter ref="A3:E2333" xr:uid="{9432377F-2B9B-40DC-A93B-0E112B81828F}">
    <sortState xmlns:xlrd2="http://schemas.microsoft.com/office/spreadsheetml/2017/richdata2" ref="A4:E2333">
      <sortCondition descending="1" ref="E3:E2333"/>
    </sortState>
  </autoFilter>
  <mergeCells count="1">
    <mergeCell ref="B1:Q1"/>
  </mergeCells>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3369-2CEE-466A-9A50-7C79427847A0}">
  <dimension ref="A1:Q10003"/>
  <sheetViews>
    <sheetView showGridLines="0" topLeftCell="A11" zoomScale="142" workbookViewId="0">
      <selection activeCell="G5" sqref="G5"/>
    </sheetView>
  </sheetViews>
  <sheetFormatPr defaultRowHeight="14.4" x14ac:dyDescent="0.3"/>
  <cols>
    <col min="1" max="1" width="2.33203125" customWidth="1"/>
    <col min="2" max="2" width="11" customWidth="1"/>
    <col min="4" max="4" width="12.6640625" bestFit="1" customWidth="1"/>
    <col min="5" max="5" width="14.44140625" bestFit="1" customWidth="1"/>
    <col min="6" max="6" width="6.5546875" customWidth="1"/>
    <col min="7" max="7" width="16.5546875" customWidth="1"/>
    <col min="8" max="8" width="3.109375" customWidth="1"/>
    <col min="10" max="10" width="10.88671875" customWidth="1"/>
    <col min="12" max="12" width="10.109375" customWidth="1"/>
  </cols>
  <sheetData>
    <row r="1" spans="1:17" ht="21" x14ac:dyDescent="0.4">
      <c r="B1" s="218" t="s">
        <v>369</v>
      </c>
      <c r="C1" s="218"/>
      <c r="D1" s="218"/>
      <c r="E1" s="218"/>
      <c r="F1" s="218"/>
      <c r="G1" s="218"/>
      <c r="H1" s="218"/>
      <c r="I1" s="218"/>
      <c r="J1" s="218"/>
      <c r="K1" s="218"/>
      <c r="L1" s="218"/>
      <c r="M1" s="218"/>
      <c r="N1" s="218"/>
      <c r="O1" s="218"/>
      <c r="P1" s="218"/>
      <c r="Q1" s="218"/>
    </row>
    <row r="3" spans="1:17" x14ac:dyDescent="0.3">
      <c r="A3" s="53" t="s">
        <v>58</v>
      </c>
      <c r="B3" s="127" t="s">
        <v>183</v>
      </c>
      <c r="C3" s="127" t="s">
        <v>292</v>
      </c>
      <c r="D3" s="127" t="s">
        <v>345</v>
      </c>
      <c r="E3" s="129" t="s">
        <v>346</v>
      </c>
      <c r="F3" s="130" t="s">
        <v>357</v>
      </c>
      <c r="G3" s="130" t="s">
        <v>358</v>
      </c>
      <c r="H3" s="128"/>
      <c r="I3" s="128" t="s">
        <v>360</v>
      </c>
      <c r="J3" s="128"/>
      <c r="K3" s="128"/>
      <c r="L3" s="128"/>
      <c r="M3" s="128"/>
    </row>
    <row r="4" spans="1:17" x14ac:dyDescent="0.3">
      <c r="B4" s="55">
        <v>42832</v>
      </c>
      <c r="C4" s="54">
        <v>751.2</v>
      </c>
      <c r="D4" s="56">
        <f t="shared" ref="D4:D67" si="0">C4/C5-1</f>
        <v>-0.81337573288283815</v>
      </c>
      <c r="E4" s="64">
        <v>0.13064419024683938</v>
      </c>
      <c r="F4" s="64">
        <v>1</v>
      </c>
      <c r="G4" s="64">
        <f ca="1">_xlfn.NORM.INV(RAND(),K$6,K$7)</f>
        <v>3.2891296242063212E-3</v>
      </c>
    </row>
    <row r="5" spans="1:17" x14ac:dyDescent="0.3">
      <c r="B5" s="55">
        <v>45660</v>
      </c>
      <c r="C5" s="54">
        <v>4025.2</v>
      </c>
      <c r="D5" s="56">
        <f t="shared" si="0"/>
        <v>0.13032489960967109</v>
      </c>
      <c r="E5" s="64">
        <v>0.11467419899753528</v>
      </c>
      <c r="F5" s="64">
        <v>2</v>
      </c>
      <c r="G5" s="64">
        <f t="shared" ref="G5:G68" ca="1" si="1">_xlfn.NORM.INV(RAND(),K$6,K$7)</f>
        <v>1.0258429694476818E-2</v>
      </c>
      <c r="I5" s="58" t="s">
        <v>359</v>
      </c>
      <c r="J5" s="63"/>
      <c r="K5" s="63"/>
    </row>
    <row r="6" spans="1:17" x14ac:dyDescent="0.3">
      <c r="B6" s="55">
        <v>44697</v>
      </c>
      <c r="C6" s="54">
        <v>3561.1</v>
      </c>
      <c r="D6" s="56">
        <f t="shared" si="0"/>
        <v>-0.11497980739360047</v>
      </c>
      <c r="E6" s="64">
        <v>0.10230297777502639</v>
      </c>
      <c r="F6" s="64">
        <v>3</v>
      </c>
      <c r="G6" s="64">
        <f t="shared" ca="1" si="1"/>
        <v>-3.3360738464815543E-4</v>
      </c>
      <c r="I6" s="63" t="s">
        <v>144</v>
      </c>
      <c r="J6" s="63"/>
      <c r="K6" s="60">
        <f>AVERAGE(E4:E2332)</f>
        <v>9.8532491257098155E-4</v>
      </c>
    </row>
    <row r="7" spans="1:17" x14ac:dyDescent="0.3">
      <c r="B7" s="55">
        <v>45689</v>
      </c>
      <c r="C7" s="54">
        <v>4023.75</v>
      </c>
      <c r="D7" s="56">
        <f t="shared" si="0"/>
        <v>1.0989827856025038</v>
      </c>
      <c r="E7" s="64">
        <v>9.7990258278416675E-2</v>
      </c>
      <c r="F7" s="64">
        <v>4</v>
      </c>
      <c r="G7" s="64">
        <f t="shared" ca="1" si="1"/>
        <v>1.1536579533880898E-2</v>
      </c>
      <c r="I7" s="63" t="s">
        <v>348</v>
      </c>
      <c r="J7" s="63"/>
      <c r="K7" s="60">
        <f>_xlfn.STDEV.S(E4:E2332)</f>
        <v>1.9700728225310792E-2</v>
      </c>
    </row>
    <row r="8" spans="1:17" x14ac:dyDescent="0.3">
      <c r="B8" s="55">
        <v>43731</v>
      </c>
      <c r="C8" s="54">
        <v>1917</v>
      </c>
      <c r="D8" s="56">
        <f t="shared" si="0"/>
        <v>8.8462411991823808E-2</v>
      </c>
      <c r="E8" s="64">
        <v>8.8462411991823808E-2</v>
      </c>
      <c r="F8" s="64">
        <v>5</v>
      </c>
      <c r="G8" s="64">
        <f t="shared" ca="1" si="1"/>
        <v>2.9378726200010356E-2</v>
      </c>
      <c r="I8" s="63" t="s">
        <v>349</v>
      </c>
      <c r="J8" s="63"/>
      <c r="K8" s="60">
        <f>MIN(E4:E2332)</f>
        <v>-0.11087074094104921</v>
      </c>
    </row>
    <row r="9" spans="1:17" x14ac:dyDescent="0.3">
      <c r="B9" s="55">
        <v>43728</v>
      </c>
      <c r="C9" s="54">
        <v>1761.2</v>
      </c>
      <c r="D9" s="56">
        <f t="shared" si="0"/>
        <v>-0.29088237070440681</v>
      </c>
      <c r="E9" s="64">
        <v>8.7596875289468024E-2</v>
      </c>
      <c r="F9" s="64">
        <v>6</v>
      </c>
      <c r="G9" s="64">
        <f t="shared" ca="1" si="1"/>
        <v>4.1853044991162639E-3</v>
      </c>
      <c r="I9" s="63" t="s">
        <v>350</v>
      </c>
      <c r="J9" s="63"/>
      <c r="K9" s="60">
        <f>MAX(E4:E2332)</f>
        <v>0.13064419024683938</v>
      </c>
    </row>
    <row r="10" spans="1:17" x14ac:dyDescent="0.3">
      <c r="B10" s="55">
        <v>43871</v>
      </c>
      <c r="C10" s="54">
        <v>2483.65</v>
      </c>
      <c r="D10" s="56">
        <f t="shared" si="0"/>
        <v>1.225393127548049</v>
      </c>
      <c r="E10" s="64">
        <v>8.5891045820216894E-2</v>
      </c>
      <c r="F10" s="64">
        <v>7</v>
      </c>
      <c r="G10" s="64">
        <f t="shared" ca="1" si="1"/>
        <v>-1.4451698620804332E-2</v>
      </c>
      <c r="I10" s="63" t="s">
        <v>352</v>
      </c>
      <c r="J10" s="63"/>
      <c r="K10" s="62" t="e">
        <f>'Data_Relative Comps'!#REF!</f>
        <v>#REF!</v>
      </c>
    </row>
    <row r="11" spans="1:17" x14ac:dyDescent="0.3">
      <c r="B11" s="55">
        <v>43004</v>
      </c>
      <c r="C11" s="54">
        <v>1116.05</v>
      </c>
      <c r="D11" s="56">
        <f t="shared" si="0"/>
        <v>-0.78190008109983089</v>
      </c>
      <c r="E11" s="64">
        <v>8.4596695821185675E-2</v>
      </c>
      <c r="F11" s="64">
        <v>8</v>
      </c>
      <c r="G11" s="64">
        <f t="shared" ca="1" si="1"/>
        <v>2.9594041486462587E-2</v>
      </c>
    </row>
    <row r="12" spans="1:17" x14ac:dyDescent="0.3">
      <c r="B12" s="55">
        <v>44482</v>
      </c>
      <c r="C12" s="54">
        <v>5117.1499999999996</v>
      </c>
      <c r="D12" s="56">
        <f t="shared" si="0"/>
        <v>0.19808714382711701</v>
      </c>
      <c r="E12" s="64">
        <v>7.9795315467398042E-2</v>
      </c>
      <c r="F12" s="64">
        <v>9</v>
      </c>
      <c r="G12" s="64">
        <f t="shared" ca="1" si="1"/>
        <v>-3.1640912235110043E-2</v>
      </c>
      <c r="I12" s="58" t="s">
        <v>361</v>
      </c>
      <c r="J12" s="63"/>
      <c r="K12" s="63"/>
    </row>
    <row r="13" spans="1:17" x14ac:dyDescent="0.3">
      <c r="B13" s="55">
        <v>46113</v>
      </c>
      <c r="C13" s="54">
        <v>4271.1000000000004</v>
      </c>
      <c r="D13" s="56">
        <f t="shared" si="0"/>
        <v>-9.5000476750468743E-2</v>
      </c>
      <c r="E13" s="64">
        <v>7.943287505054597E-2</v>
      </c>
      <c r="F13" s="64">
        <v>10</v>
      </c>
      <c r="G13" s="64">
        <f t="shared" ca="1" si="1"/>
        <v>2.2988479730360688E-2</v>
      </c>
      <c r="I13" s="63" t="s">
        <v>144</v>
      </c>
      <c r="J13" s="63"/>
      <c r="K13" s="60">
        <f ca="1">AVERAGE(G4:G10003)</f>
        <v>1.2032339039263521E-3</v>
      </c>
    </row>
    <row r="14" spans="1:17" x14ac:dyDescent="0.3">
      <c r="B14" s="55">
        <v>44480</v>
      </c>
      <c r="C14" s="54">
        <v>4719.45</v>
      </c>
      <c r="D14" s="56">
        <f t="shared" si="0"/>
        <v>0.10231466342785067</v>
      </c>
      <c r="E14" s="64">
        <v>7.0667770732426582E-2</v>
      </c>
      <c r="F14" s="64">
        <v>11</v>
      </c>
      <c r="G14" s="64">
        <f t="shared" ca="1" si="1"/>
        <v>1.3118436268554287E-2</v>
      </c>
      <c r="I14" s="63" t="s">
        <v>348</v>
      </c>
      <c r="J14" s="63"/>
      <c r="K14" s="60">
        <f ca="1">_xlfn.STDEV.S(G4:G10003)</f>
        <v>1.9588733544199568E-2</v>
      </c>
    </row>
    <row r="15" spans="1:17" x14ac:dyDescent="0.3">
      <c r="B15" s="55">
        <v>45868</v>
      </c>
      <c r="C15" s="54">
        <v>4281.3999999999996</v>
      </c>
      <c r="D15" s="56">
        <f t="shared" si="0"/>
        <v>1.927452991452991</v>
      </c>
      <c r="E15" s="64">
        <v>7.0617654413603237E-2</v>
      </c>
      <c r="F15" s="64">
        <v>12</v>
      </c>
      <c r="G15" s="64">
        <f t="shared" ca="1" si="1"/>
        <v>-1.2309127636656408E-2</v>
      </c>
      <c r="I15" s="63" t="s">
        <v>349</v>
      </c>
      <c r="J15" s="63"/>
      <c r="K15" s="60">
        <f ca="1">MIN(G4:G10003)</f>
        <v>-7.8087039554470647E-2</v>
      </c>
      <c r="N15" t="s">
        <v>218</v>
      </c>
    </row>
    <row r="16" spans="1:17" x14ac:dyDescent="0.3">
      <c r="B16" s="55">
        <v>43406</v>
      </c>
      <c r="C16" s="54">
        <v>1462.5</v>
      </c>
      <c r="D16" s="56">
        <f t="shared" si="0"/>
        <v>-0.69921332716335027</v>
      </c>
      <c r="E16" s="64">
        <v>7.0565844374496756E-2</v>
      </c>
      <c r="F16" s="64">
        <v>13</v>
      </c>
      <c r="G16" s="64">
        <f t="shared" ca="1" si="1"/>
        <v>-2.1221951438277355E-2</v>
      </c>
      <c r="I16" s="63" t="s">
        <v>350</v>
      </c>
      <c r="J16" s="63"/>
      <c r="K16" s="60">
        <f ca="1">MAX(G4:G10003)</f>
        <v>7.5417403317745116E-2</v>
      </c>
    </row>
    <row r="17" spans="2:13" x14ac:dyDescent="0.3">
      <c r="B17" s="55">
        <v>45448</v>
      </c>
      <c r="C17" s="54">
        <v>4862.25</v>
      </c>
      <c r="D17" s="56">
        <f t="shared" si="0"/>
        <v>2.6888324102875352</v>
      </c>
      <c r="E17" s="64">
        <v>6.8920032976092394E-2</v>
      </c>
      <c r="F17" s="64">
        <v>14</v>
      </c>
      <c r="G17" s="64">
        <f t="shared" ca="1" si="1"/>
        <v>-2.9008916349558725E-2</v>
      </c>
      <c r="I17" s="63" t="s">
        <v>352</v>
      </c>
      <c r="J17" s="63"/>
      <c r="K17" s="62" t="e">
        <f>'Data_Relative Comps'!#REF!</f>
        <v>#REF!</v>
      </c>
    </row>
    <row r="18" spans="2:13" x14ac:dyDescent="0.3">
      <c r="B18" s="55">
        <v>43605</v>
      </c>
      <c r="C18" s="54">
        <v>1318.1</v>
      </c>
      <c r="D18" s="56">
        <f t="shared" si="0"/>
        <v>-6.6303038889282573E-2</v>
      </c>
      <c r="E18" s="64">
        <v>6.7935993518330795E-2</v>
      </c>
      <c r="F18" s="64">
        <v>15</v>
      </c>
      <c r="G18" s="64">
        <f t="shared" ca="1" si="1"/>
        <v>2.9251420190315423E-2</v>
      </c>
    </row>
    <row r="19" spans="2:13" x14ac:dyDescent="0.3">
      <c r="B19" s="55">
        <v>43385</v>
      </c>
      <c r="C19" s="54">
        <v>1411.7</v>
      </c>
      <c r="D19" s="56">
        <f t="shared" si="0"/>
        <v>-0.25067013455771114</v>
      </c>
      <c r="E19" s="64">
        <v>6.4550184752281137E-2</v>
      </c>
      <c r="F19" s="64">
        <v>16</v>
      </c>
      <c r="G19" s="64">
        <f t="shared" ca="1" si="1"/>
        <v>1.4628688187877137E-2</v>
      </c>
      <c r="I19" s="57" t="s">
        <v>351</v>
      </c>
      <c r="J19" s="58" t="s">
        <v>356</v>
      </c>
      <c r="K19" s="59" t="s">
        <v>353</v>
      </c>
      <c r="L19" s="58" t="s">
        <v>354</v>
      </c>
      <c r="M19" s="58" t="s">
        <v>355</v>
      </c>
    </row>
    <row r="20" spans="2:13" x14ac:dyDescent="0.3">
      <c r="B20" s="55">
        <v>43816</v>
      </c>
      <c r="C20" s="54">
        <v>1883.95</v>
      </c>
      <c r="D20" s="56">
        <f t="shared" si="0"/>
        <v>-0.62614847300220267</v>
      </c>
      <c r="E20" s="64">
        <v>6.413804789877986E-2</v>
      </c>
      <c r="F20" s="64">
        <v>17</v>
      </c>
      <c r="G20" s="64">
        <f t="shared" ca="1" si="1"/>
        <v>2.3496605793974217E-2</v>
      </c>
      <c r="I20" s="60">
        <v>0.05</v>
      </c>
      <c r="J20" s="61">
        <f>100%-I20</f>
        <v>0.95</v>
      </c>
      <c r="K20" s="60">
        <f ca="1">_xlfn.PERCENTILE.INC($G$4:$G$10003,I20)</f>
        <v>-3.0646722692643697E-2</v>
      </c>
      <c r="L20" s="62" t="e">
        <f ca="1">$K$10*(1-K20)</f>
        <v>#REF!</v>
      </c>
      <c r="M20" s="62" t="e">
        <f ca="1">$K$10-L20</f>
        <v>#REF!</v>
      </c>
    </row>
    <row r="21" spans="2:13" x14ac:dyDescent="0.3">
      <c r="B21" s="55">
        <v>45461</v>
      </c>
      <c r="C21" s="54">
        <v>5039.3</v>
      </c>
      <c r="D21" s="56">
        <f t="shared" si="0"/>
        <v>2.3650295482621617</v>
      </c>
      <c r="E21" s="64">
        <v>6.3154674627369456E-2</v>
      </c>
      <c r="F21" s="64">
        <v>18</v>
      </c>
      <c r="G21" s="64">
        <f t="shared" ca="1" si="1"/>
        <v>-1.9266867528629383E-2</v>
      </c>
      <c r="I21" s="60">
        <v>0.01</v>
      </c>
      <c r="J21" s="61">
        <f t="shared" ref="J21:J22" si="2">100%-I21</f>
        <v>0.99</v>
      </c>
      <c r="K21" s="60">
        <f t="shared" ref="K21:K22" ca="1" si="3">_xlfn.PERCENTILE.INC($G$4:$G$10003,I21)</f>
        <v>-4.3698218574871668E-2</v>
      </c>
      <c r="L21" s="62" t="e">
        <f ca="1">$K$10*(1-K21)</f>
        <v>#REF!</v>
      </c>
      <c r="M21" s="62" t="e">
        <f ca="1">$K$10-L21</f>
        <v>#REF!</v>
      </c>
    </row>
    <row r="22" spans="2:13" x14ac:dyDescent="0.3">
      <c r="B22" s="55">
        <v>43245</v>
      </c>
      <c r="C22" s="54">
        <v>1497.55</v>
      </c>
      <c r="D22" s="56">
        <f t="shared" si="0"/>
        <v>0.26412864559152482</v>
      </c>
      <c r="E22" s="64">
        <v>6.2167529612029204E-2</v>
      </c>
      <c r="F22" s="64">
        <v>19</v>
      </c>
      <c r="G22" s="64">
        <f t="shared" ca="1" si="1"/>
        <v>3.161141329882379E-2</v>
      </c>
      <c r="I22" s="60">
        <v>5.0000000000000001E-3</v>
      </c>
      <c r="J22" s="61">
        <f t="shared" si="2"/>
        <v>0.995</v>
      </c>
      <c r="K22" s="60">
        <f t="shared" ca="1" si="3"/>
        <v>-5.0049731627993824E-2</v>
      </c>
      <c r="L22" s="62" t="e">
        <f ca="1">$K$10*(1-K22)</f>
        <v>#REF!</v>
      </c>
      <c r="M22" s="62" t="e">
        <f ca="1">$K$10-L22</f>
        <v>#REF!</v>
      </c>
    </row>
    <row r="23" spans="2:13" x14ac:dyDescent="0.3">
      <c r="B23" s="55">
        <v>43018</v>
      </c>
      <c r="C23" s="54">
        <v>1184.6500000000001</v>
      </c>
      <c r="D23" s="56">
        <f t="shared" si="0"/>
        <v>-0.57871621621621616</v>
      </c>
      <c r="E23" s="64">
        <v>6.0801432728900817E-2</v>
      </c>
      <c r="F23" s="64">
        <v>20</v>
      </c>
      <c r="G23" s="64">
        <f t="shared" ca="1" si="1"/>
        <v>5.9743538231730479E-3</v>
      </c>
    </row>
    <row r="24" spans="2:13" x14ac:dyDescent="0.3">
      <c r="B24" s="55">
        <v>44228</v>
      </c>
      <c r="C24" s="54">
        <v>2812</v>
      </c>
      <c r="D24" s="56">
        <f t="shared" si="0"/>
        <v>0.15877529154819303</v>
      </c>
      <c r="E24" s="64">
        <v>6.053177446728264E-2</v>
      </c>
      <c r="F24" s="64">
        <v>21</v>
      </c>
      <c r="G24" s="64">
        <f t="shared" ca="1" si="1"/>
        <v>-1.5495537515884585E-5</v>
      </c>
    </row>
    <row r="25" spans="2:13" x14ac:dyDescent="0.3">
      <c r="B25" s="55">
        <v>44166</v>
      </c>
      <c r="C25" s="54">
        <v>2426.6999999999998</v>
      </c>
      <c r="D25" s="56">
        <f t="shared" si="0"/>
        <v>-0.38058044260663149</v>
      </c>
      <c r="E25" s="64">
        <v>6.0064651406604996E-2</v>
      </c>
      <c r="F25" s="64">
        <v>22</v>
      </c>
      <c r="G25" s="64">
        <f t="shared" ca="1" si="1"/>
        <v>-2.1328797685151391E-2</v>
      </c>
    </row>
    <row r="26" spans="2:13" x14ac:dyDescent="0.3">
      <c r="B26" s="55">
        <v>45092</v>
      </c>
      <c r="C26" s="54">
        <v>3917.7</v>
      </c>
      <c r="D26" s="56">
        <f t="shared" si="0"/>
        <v>0.27467057101024883</v>
      </c>
      <c r="E26" s="64">
        <v>5.7451718693064535E-2</v>
      </c>
      <c r="F26" s="64">
        <v>23</v>
      </c>
      <c r="G26" s="64">
        <f t="shared" ca="1" si="1"/>
        <v>2.310589067261484E-4</v>
      </c>
    </row>
    <row r="27" spans="2:13" x14ac:dyDescent="0.3">
      <c r="B27" s="55">
        <v>44257</v>
      </c>
      <c r="C27" s="54">
        <v>3073.5</v>
      </c>
      <c r="D27" s="56">
        <f t="shared" si="0"/>
        <v>1.8519068386378397</v>
      </c>
      <c r="E27" s="64">
        <v>5.6748439890663471E-2</v>
      </c>
      <c r="F27" s="64">
        <v>24</v>
      </c>
      <c r="G27" s="64">
        <f t="shared" ca="1" si="1"/>
        <v>1.0292865596448616E-2</v>
      </c>
    </row>
    <row r="28" spans="2:13" x14ac:dyDescent="0.3">
      <c r="B28" s="55">
        <v>42983</v>
      </c>
      <c r="C28" s="54">
        <v>1077.7</v>
      </c>
      <c r="D28" s="56">
        <f t="shared" si="0"/>
        <v>-0.48541278708876479</v>
      </c>
      <c r="E28" s="64">
        <v>5.5895752706608626E-2</v>
      </c>
      <c r="F28" s="64">
        <v>25</v>
      </c>
      <c r="G28" s="64">
        <f t="shared" ca="1" si="1"/>
        <v>-1.9216586671854677E-2</v>
      </c>
    </row>
    <row r="29" spans="2:13" x14ac:dyDescent="0.3">
      <c r="B29" s="55">
        <v>44123</v>
      </c>
      <c r="C29" s="54">
        <v>2094.3000000000002</v>
      </c>
      <c r="D29" s="56">
        <f t="shared" si="0"/>
        <v>-0.31475967673330496</v>
      </c>
      <c r="E29" s="64">
        <v>5.5488358028424667E-2</v>
      </c>
      <c r="F29" s="64">
        <v>26</v>
      </c>
      <c r="G29" s="64">
        <f t="shared" ca="1" si="1"/>
        <v>2.3356248367721664E-3</v>
      </c>
    </row>
    <row r="30" spans="2:13" x14ac:dyDescent="0.3">
      <c r="B30" s="55">
        <v>44334</v>
      </c>
      <c r="C30" s="54">
        <v>3056.3</v>
      </c>
      <c r="D30" s="56">
        <f t="shared" si="0"/>
        <v>0.84676274207680002</v>
      </c>
      <c r="E30" s="64">
        <v>5.4369199986200822E-2</v>
      </c>
      <c r="F30" s="64">
        <v>27</v>
      </c>
      <c r="G30" s="64">
        <f t="shared" ca="1" si="1"/>
        <v>2.6461637252026438E-2</v>
      </c>
    </row>
    <row r="31" spans="2:13" x14ac:dyDescent="0.3">
      <c r="B31" s="55">
        <v>43462</v>
      </c>
      <c r="C31" s="54">
        <v>1654.95</v>
      </c>
      <c r="D31" s="56">
        <f t="shared" si="0"/>
        <v>-0.474944082234807</v>
      </c>
      <c r="E31" s="64">
        <v>5.4007578893736197E-2</v>
      </c>
      <c r="F31" s="64">
        <v>28</v>
      </c>
      <c r="G31" s="64">
        <f t="shared" ca="1" si="1"/>
        <v>-7.7410920448642475E-3</v>
      </c>
    </row>
    <row r="32" spans="2:13" x14ac:dyDescent="0.3">
      <c r="B32" s="55">
        <v>44250</v>
      </c>
      <c r="C32" s="54">
        <v>3151.95</v>
      </c>
      <c r="D32" s="56">
        <f t="shared" si="0"/>
        <v>0.1010217448257793</v>
      </c>
      <c r="E32" s="64">
        <v>5.3248011762347058E-2</v>
      </c>
      <c r="F32" s="64">
        <v>29</v>
      </c>
      <c r="G32" s="64">
        <f t="shared" ca="1" si="1"/>
        <v>-1.5469284475647853E-2</v>
      </c>
    </row>
    <row r="33" spans="2:7" x14ac:dyDescent="0.3">
      <c r="B33" s="55">
        <v>44218</v>
      </c>
      <c r="C33" s="54">
        <v>2862.75</v>
      </c>
      <c r="D33" s="56">
        <f t="shared" si="0"/>
        <v>1.2170377541142305</v>
      </c>
      <c r="E33" s="64">
        <v>5.2810620966110777E-2</v>
      </c>
      <c r="F33" s="64">
        <v>30</v>
      </c>
      <c r="G33" s="64">
        <f t="shared" ca="1" si="1"/>
        <v>-2.0707224208859357E-2</v>
      </c>
    </row>
    <row r="34" spans="2:7" x14ac:dyDescent="0.3">
      <c r="B34" s="55">
        <v>43402</v>
      </c>
      <c r="C34" s="54">
        <v>1291.25</v>
      </c>
      <c r="D34" s="56">
        <f t="shared" si="0"/>
        <v>0.23428762605744868</v>
      </c>
      <c r="E34" s="64">
        <v>5.2706668840697857E-2</v>
      </c>
      <c r="F34" s="64">
        <v>31</v>
      </c>
      <c r="G34" s="64">
        <f t="shared" ca="1" si="1"/>
        <v>4.8962700835779912E-3</v>
      </c>
    </row>
    <row r="35" spans="2:7" x14ac:dyDescent="0.3">
      <c r="B35" s="55">
        <v>42975</v>
      </c>
      <c r="C35" s="54">
        <v>1046.1500000000001</v>
      </c>
      <c r="D35" s="56">
        <f t="shared" si="0"/>
        <v>-0.23777777777777775</v>
      </c>
      <c r="E35" s="64">
        <v>5.1829881359340524E-2</v>
      </c>
      <c r="F35" s="64">
        <v>32</v>
      </c>
      <c r="G35" s="64">
        <f t="shared" ca="1" si="1"/>
        <v>4.0645530435692523E-2</v>
      </c>
    </row>
    <row r="36" spans="2:7" x14ac:dyDescent="0.3">
      <c r="B36" s="55">
        <v>43382</v>
      </c>
      <c r="C36" s="54">
        <v>1372.5</v>
      </c>
      <c r="D36" s="56">
        <f t="shared" si="0"/>
        <v>1.0657736303431666</v>
      </c>
      <c r="E36" s="64">
        <v>5.1804735995095275E-2</v>
      </c>
      <c r="F36" s="64">
        <v>33</v>
      </c>
      <c r="G36" s="64">
        <f t="shared" ca="1" si="1"/>
        <v>-1.5017906132630142E-2</v>
      </c>
    </row>
    <row r="37" spans="2:7" x14ac:dyDescent="0.3">
      <c r="B37" s="55">
        <v>42831</v>
      </c>
      <c r="C37" s="54">
        <v>664.4</v>
      </c>
      <c r="D37" s="56">
        <f t="shared" si="0"/>
        <v>-0.50341941029186443</v>
      </c>
      <c r="E37" s="64">
        <v>5.1016372696353729E-2</v>
      </c>
      <c r="F37" s="64">
        <v>34</v>
      </c>
      <c r="G37" s="64">
        <f t="shared" ca="1" si="1"/>
        <v>1.1064695734383144E-2</v>
      </c>
    </row>
    <row r="38" spans="2:7" x14ac:dyDescent="0.3">
      <c r="B38" s="55">
        <v>43404</v>
      </c>
      <c r="C38" s="54">
        <v>1337.95</v>
      </c>
      <c r="D38" s="56">
        <f t="shared" si="0"/>
        <v>-0.64757401749025389</v>
      </c>
      <c r="E38" s="64">
        <v>5.0526067839196109E-2</v>
      </c>
      <c r="F38" s="64">
        <v>35</v>
      </c>
      <c r="G38" s="64">
        <f t="shared" ca="1" si="1"/>
        <v>-1.9112589313437421E-2</v>
      </c>
    </row>
    <row r="39" spans="2:7" x14ac:dyDescent="0.3">
      <c r="B39" s="55">
        <v>44711</v>
      </c>
      <c r="C39" s="54">
        <v>3796.4</v>
      </c>
      <c r="D39" s="56">
        <f t="shared" si="0"/>
        <v>0.90386399538627415</v>
      </c>
      <c r="E39" s="64">
        <v>5.0513994770120529E-2</v>
      </c>
      <c r="F39" s="64">
        <v>36</v>
      </c>
      <c r="G39" s="64">
        <f t="shared" ca="1" si="1"/>
        <v>-7.8223918865250562E-3</v>
      </c>
    </row>
    <row r="40" spans="2:7" x14ac:dyDescent="0.3">
      <c r="B40" s="55">
        <v>43916</v>
      </c>
      <c r="C40" s="54">
        <v>1994.05</v>
      </c>
      <c r="D40" s="56">
        <f t="shared" si="0"/>
        <v>-0.12493691716950084</v>
      </c>
      <c r="E40" s="64">
        <v>4.9997367173924445E-2</v>
      </c>
      <c r="F40" s="64">
        <v>37</v>
      </c>
      <c r="G40" s="64">
        <f t="shared" ca="1" si="1"/>
        <v>3.552880151700862E-3</v>
      </c>
    </row>
    <row r="41" spans="2:7" x14ac:dyDescent="0.3">
      <c r="B41" s="55">
        <v>43929</v>
      </c>
      <c r="C41" s="54">
        <v>2278.75</v>
      </c>
      <c r="D41" s="56">
        <f t="shared" si="0"/>
        <v>-7.1546437957096587E-2</v>
      </c>
      <c r="E41" s="64">
        <v>4.9994240294896963E-2</v>
      </c>
      <c r="F41" s="64">
        <v>38</v>
      </c>
      <c r="G41" s="64">
        <f t="shared" ca="1" si="1"/>
        <v>4.4541709517258152E-2</v>
      </c>
    </row>
    <row r="42" spans="2:7" x14ac:dyDescent="0.3">
      <c r="B42" s="55">
        <v>43971</v>
      </c>
      <c r="C42" s="54">
        <v>2454.35</v>
      </c>
      <c r="D42" s="56">
        <f t="shared" si="0"/>
        <v>2.5787306960900924E-2</v>
      </c>
      <c r="E42" s="64">
        <v>4.9989304812834146E-2</v>
      </c>
      <c r="F42" s="64">
        <v>39</v>
      </c>
      <c r="G42" s="64">
        <f t="shared" ca="1" si="1"/>
        <v>-7.3037566648796633E-3</v>
      </c>
    </row>
    <row r="43" spans="2:7" x14ac:dyDescent="0.3">
      <c r="B43" s="55">
        <v>43930</v>
      </c>
      <c r="C43" s="54">
        <v>2392.65</v>
      </c>
      <c r="D43" s="56">
        <f t="shared" si="0"/>
        <v>0.25988626191353803</v>
      </c>
      <c r="E43" s="64">
        <v>4.9983543609435133E-2</v>
      </c>
      <c r="F43" s="64">
        <v>40</v>
      </c>
      <c r="G43" s="64">
        <f t="shared" ca="1" si="1"/>
        <v>4.7463195033428073E-3</v>
      </c>
    </row>
    <row r="44" spans="2:7" x14ac:dyDescent="0.3">
      <c r="B44" s="55">
        <v>43915</v>
      </c>
      <c r="C44" s="54">
        <v>1899.1</v>
      </c>
      <c r="D44" s="56">
        <f t="shared" si="0"/>
        <v>-0.12493952309641754</v>
      </c>
      <c r="E44" s="64">
        <v>4.9980649084978124E-2</v>
      </c>
      <c r="F44" s="64">
        <v>41</v>
      </c>
      <c r="G44" s="64">
        <f t="shared" ca="1" si="1"/>
        <v>1.8965628980910768E-3</v>
      </c>
    </row>
    <row r="45" spans="2:7" x14ac:dyDescent="0.3">
      <c r="B45" s="55">
        <v>43928</v>
      </c>
      <c r="C45" s="54">
        <v>2170.25</v>
      </c>
      <c r="D45" s="56">
        <f t="shared" si="0"/>
        <v>0.13263921507228238</v>
      </c>
      <c r="E45" s="64">
        <v>4.9977019279614954E-2</v>
      </c>
      <c r="F45" s="64">
        <v>42</v>
      </c>
      <c r="G45" s="64">
        <f t="shared" ca="1" si="1"/>
        <v>-8.6438208220874797E-3</v>
      </c>
    </row>
    <row r="46" spans="2:7" x14ac:dyDescent="0.3">
      <c r="B46" s="55">
        <v>43910</v>
      </c>
      <c r="C46" s="54">
        <v>1916.1</v>
      </c>
      <c r="D46" s="56">
        <f t="shared" si="0"/>
        <v>-0.27751593077184122</v>
      </c>
      <c r="E46" s="64">
        <v>4.9975341114581573E-2</v>
      </c>
      <c r="F46" s="64">
        <v>43</v>
      </c>
      <c r="G46" s="64">
        <f t="shared" ca="1" si="1"/>
        <v>-3.5056749266502616E-4</v>
      </c>
    </row>
    <row r="47" spans="2:7" x14ac:dyDescent="0.3">
      <c r="B47" s="55">
        <v>44173</v>
      </c>
      <c r="C47" s="54">
        <v>2652.1</v>
      </c>
      <c r="D47" s="56">
        <f t="shared" si="0"/>
        <v>0.83797082365986331</v>
      </c>
      <c r="E47" s="64">
        <v>4.9733816224346361E-2</v>
      </c>
      <c r="F47" s="64">
        <v>44</v>
      </c>
      <c r="G47" s="64">
        <f t="shared" ca="1" si="1"/>
        <v>-3.5954247432852804E-2</v>
      </c>
    </row>
    <row r="48" spans="2:7" x14ac:dyDescent="0.3">
      <c r="B48" s="55">
        <v>43497</v>
      </c>
      <c r="C48" s="54">
        <v>1442.95</v>
      </c>
      <c r="D48" s="56">
        <f t="shared" si="0"/>
        <v>-0.37492689900149445</v>
      </c>
      <c r="E48" s="64">
        <v>4.9532676291959232E-2</v>
      </c>
      <c r="F48" s="64">
        <v>45</v>
      </c>
      <c r="G48" s="64">
        <f t="shared" ca="1" si="1"/>
        <v>-1.6803908383131498E-2</v>
      </c>
    </row>
    <row r="49" spans="2:7" x14ac:dyDescent="0.3">
      <c r="B49" s="55">
        <v>43979</v>
      </c>
      <c r="C49" s="54">
        <v>2308.4499999999998</v>
      </c>
      <c r="D49" s="56">
        <f t="shared" si="0"/>
        <v>0.70403041263748412</v>
      </c>
      <c r="E49" s="64">
        <v>4.9200072720661847E-2</v>
      </c>
      <c r="F49" s="64">
        <v>46</v>
      </c>
      <c r="G49" s="64">
        <f t="shared" ca="1" si="1"/>
        <v>-2.9201586759541626E-2</v>
      </c>
    </row>
    <row r="50" spans="2:7" x14ac:dyDescent="0.3">
      <c r="B50" s="55">
        <v>43158</v>
      </c>
      <c r="C50" s="54">
        <v>1354.7</v>
      </c>
      <c r="D50" s="56">
        <f t="shared" si="0"/>
        <v>-0.64736047480216574</v>
      </c>
      <c r="E50" s="64">
        <v>4.9179058240396589E-2</v>
      </c>
      <c r="F50" s="64">
        <v>47</v>
      </c>
      <c r="G50" s="64">
        <f t="shared" ca="1" si="1"/>
        <v>1.03444013607117E-2</v>
      </c>
    </row>
    <row r="51" spans="2:7" x14ac:dyDescent="0.3">
      <c r="B51" s="55">
        <v>46029</v>
      </c>
      <c r="C51" s="54">
        <v>3841.6</v>
      </c>
      <c r="D51" s="56">
        <f t="shared" si="0"/>
        <v>1.6953867742501316</v>
      </c>
      <c r="E51" s="64">
        <v>4.8557469225100292E-2</v>
      </c>
      <c r="F51" s="64">
        <v>48</v>
      </c>
      <c r="G51" s="64">
        <f t="shared" ca="1" si="1"/>
        <v>-3.1326436214661945E-3</v>
      </c>
    </row>
    <row r="52" spans="2:7" x14ac:dyDescent="0.3">
      <c r="B52" s="55">
        <v>43661</v>
      </c>
      <c r="C52" s="54">
        <v>1425.25</v>
      </c>
      <c r="D52" s="56">
        <f t="shared" si="0"/>
        <v>-0.32163255592574969</v>
      </c>
      <c r="E52" s="64">
        <v>4.8440488450786967E-2</v>
      </c>
      <c r="F52" s="64">
        <v>49</v>
      </c>
      <c r="G52" s="64">
        <f t="shared" ca="1" si="1"/>
        <v>-1.972370476436764E-2</v>
      </c>
    </row>
    <row r="53" spans="2:7" x14ac:dyDescent="0.3">
      <c r="B53" s="55">
        <v>43903</v>
      </c>
      <c r="C53" s="54">
        <v>2101</v>
      </c>
      <c r="D53" s="56">
        <f t="shared" si="0"/>
        <v>0.6158431070947894</v>
      </c>
      <c r="E53" s="64">
        <v>4.8141681217261256E-2</v>
      </c>
      <c r="F53" s="64">
        <v>50</v>
      </c>
      <c r="G53" s="64">
        <f t="shared" ca="1" si="1"/>
        <v>-7.0518242418377269E-3</v>
      </c>
    </row>
    <row r="54" spans="2:7" x14ac:dyDescent="0.3">
      <c r="B54" s="55">
        <v>43154</v>
      </c>
      <c r="C54" s="54">
        <v>1300.25</v>
      </c>
      <c r="D54" s="56">
        <f t="shared" si="0"/>
        <v>-3.0713034403071382E-2</v>
      </c>
      <c r="E54" s="64">
        <v>4.8039334219965202E-2</v>
      </c>
      <c r="F54" s="64">
        <v>51</v>
      </c>
      <c r="G54" s="64">
        <f t="shared" ca="1" si="1"/>
        <v>1.3471227422053273E-2</v>
      </c>
    </row>
    <row r="55" spans="2:7" x14ac:dyDescent="0.3">
      <c r="B55" s="55">
        <v>43185</v>
      </c>
      <c r="C55" s="54">
        <v>1341.45</v>
      </c>
      <c r="D55" s="56">
        <f t="shared" si="0"/>
        <v>0.1729037334965462</v>
      </c>
      <c r="E55" s="64">
        <v>4.7107954101943683E-2</v>
      </c>
      <c r="F55" s="64">
        <v>52</v>
      </c>
      <c r="G55" s="64">
        <f t="shared" ca="1" si="1"/>
        <v>9.9042548914236774E-3</v>
      </c>
    </row>
    <row r="56" spans="2:7" x14ac:dyDescent="0.3">
      <c r="B56" s="55">
        <v>43033</v>
      </c>
      <c r="C56" s="54">
        <v>1143.7</v>
      </c>
      <c r="D56" s="56">
        <f t="shared" si="0"/>
        <v>-0.71211739830849785</v>
      </c>
      <c r="E56" s="64">
        <v>4.6481837313569363E-2</v>
      </c>
      <c r="F56" s="64">
        <v>53</v>
      </c>
      <c r="G56" s="64">
        <f t="shared" ca="1" si="1"/>
        <v>2.9714905084559777E-3</v>
      </c>
    </row>
    <row r="57" spans="2:7" x14ac:dyDescent="0.3">
      <c r="B57" s="55">
        <v>44712</v>
      </c>
      <c r="C57" s="54">
        <v>3972.8</v>
      </c>
      <c r="D57" s="56">
        <f t="shared" si="0"/>
        <v>3.9113611076770924</v>
      </c>
      <c r="E57" s="64">
        <v>4.6465072173638156E-2</v>
      </c>
      <c r="F57" s="64">
        <v>54</v>
      </c>
      <c r="G57" s="64">
        <f t="shared" ca="1" si="1"/>
        <v>2.3996702982844648E-2</v>
      </c>
    </row>
    <row r="58" spans="2:7" x14ac:dyDescent="0.3">
      <c r="B58" s="55">
        <v>42860</v>
      </c>
      <c r="C58" s="54">
        <v>808.9</v>
      </c>
      <c r="D58" s="56">
        <f t="shared" si="0"/>
        <v>-0.82217092607859299</v>
      </c>
      <c r="E58" s="64">
        <v>4.6104106045910198E-2</v>
      </c>
      <c r="F58" s="64">
        <v>55</v>
      </c>
      <c r="G58" s="64">
        <f t="shared" ca="1" si="1"/>
        <v>4.2417384815065769E-3</v>
      </c>
    </row>
    <row r="59" spans="2:7" x14ac:dyDescent="0.3">
      <c r="B59" s="55">
        <v>45447</v>
      </c>
      <c r="C59" s="54">
        <v>4548.75</v>
      </c>
      <c r="D59" s="56">
        <f t="shared" si="0"/>
        <v>-2.0293988591487677E-3</v>
      </c>
      <c r="E59" s="64">
        <v>4.5845931001184059E-2</v>
      </c>
      <c r="F59" s="64">
        <v>56</v>
      </c>
      <c r="G59" s="64">
        <f t="shared" ca="1" si="1"/>
        <v>1.9788760269640292E-2</v>
      </c>
    </row>
    <row r="60" spans="2:7" x14ac:dyDescent="0.3">
      <c r="B60" s="55">
        <v>45887</v>
      </c>
      <c r="C60" s="54">
        <v>4558</v>
      </c>
      <c r="D60" s="56">
        <f t="shared" si="0"/>
        <v>2.5927954912702478</v>
      </c>
      <c r="E60" s="64">
        <v>4.5844614749208423E-2</v>
      </c>
      <c r="F60" s="64">
        <v>57</v>
      </c>
      <c r="G60" s="64">
        <f t="shared" ca="1" si="1"/>
        <v>-2.3994270084370418E-2</v>
      </c>
    </row>
    <row r="61" spans="2:7" x14ac:dyDescent="0.3">
      <c r="B61" s="55">
        <v>43020</v>
      </c>
      <c r="C61" s="54">
        <v>1268.6500000000001</v>
      </c>
      <c r="D61" s="56">
        <f t="shared" si="0"/>
        <v>-0.16511467210687369</v>
      </c>
      <c r="E61" s="64">
        <v>4.5791773143186942E-2</v>
      </c>
      <c r="F61" s="64">
        <v>58</v>
      </c>
      <c r="G61" s="64">
        <f t="shared" ca="1" si="1"/>
        <v>-6.3393099735078373E-3</v>
      </c>
    </row>
    <row r="62" spans="2:7" x14ac:dyDescent="0.3">
      <c r="B62" s="55">
        <v>43257</v>
      </c>
      <c r="C62" s="54">
        <v>1519.55</v>
      </c>
      <c r="D62" s="56">
        <f t="shared" si="0"/>
        <v>-0.67169709409095812</v>
      </c>
      <c r="E62" s="64">
        <v>4.5262252794497027E-2</v>
      </c>
      <c r="F62" s="64">
        <v>59</v>
      </c>
      <c r="G62" s="64">
        <f t="shared" ca="1" si="1"/>
        <v>-2.1834983058192002E-2</v>
      </c>
    </row>
    <row r="63" spans="2:7" x14ac:dyDescent="0.3">
      <c r="B63" s="55">
        <v>46129</v>
      </c>
      <c r="C63" s="54">
        <v>4628.5</v>
      </c>
      <c r="D63" s="56">
        <f t="shared" si="0"/>
        <v>0.3024270137179037</v>
      </c>
      <c r="E63" s="64">
        <v>4.5209222500733892E-2</v>
      </c>
      <c r="F63" s="64">
        <v>60</v>
      </c>
      <c r="G63" s="64">
        <f t="shared" ca="1" si="1"/>
        <v>8.5407136025420216E-3</v>
      </c>
    </row>
    <row r="64" spans="2:7" x14ac:dyDescent="0.3">
      <c r="B64" s="55">
        <v>45019</v>
      </c>
      <c r="C64" s="54">
        <v>3553.75</v>
      </c>
      <c r="D64" s="56">
        <f t="shared" si="0"/>
        <v>-0.20784851321831388</v>
      </c>
      <c r="E64" s="64">
        <v>4.4897899178194978E-2</v>
      </c>
      <c r="F64" s="64">
        <v>61</v>
      </c>
      <c r="G64" s="64">
        <f t="shared" ca="1" si="1"/>
        <v>2.2800288469112528E-2</v>
      </c>
    </row>
    <row r="65" spans="2:7" x14ac:dyDescent="0.3">
      <c r="B65" s="55">
        <v>45377</v>
      </c>
      <c r="C65" s="54">
        <v>4486.2</v>
      </c>
      <c r="D65" s="56">
        <f t="shared" si="0"/>
        <v>7.0500507069140239E-2</v>
      </c>
      <c r="E65" s="64">
        <v>4.38849590469097E-2</v>
      </c>
      <c r="F65" s="64">
        <v>62</v>
      </c>
      <c r="G65" s="64">
        <f t="shared" ca="1" si="1"/>
        <v>5.2977121648487297E-3</v>
      </c>
    </row>
    <row r="66" spans="2:7" x14ac:dyDescent="0.3">
      <c r="B66" s="55">
        <v>44617</v>
      </c>
      <c r="C66" s="54">
        <v>4190.75</v>
      </c>
      <c r="D66" s="56">
        <f t="shared" si="0"/>
        <v>3.4840038519152579</v>
      </c>
      <c r="E66" s="64">
        <v>4.3864346829736167E-2</v>
      </c>
      <c r="F66" s="64">
        <v>63</v>
      </c>
      <c r="G66" s="64">
        <f t="shared" ca="1" si="1"/>
        <v>2.143651856046324E-2</v>
      </c>
    </row>
    <row r="67" spans="2:7" x14ac:dyDescent="0.3">
      <c r="B67" s="55">
        <v>42926</v>
      </c>
      <c r="C67" s="54">
        <v>934.6</v>
      </c>
      <c r="D67" s="56">
        <f t="shared" si="0"/>
        <v>-0.58441904931299749</v>
      </c>
      <c r="E67" s="64">
        <v>4.3721034116924518E-2</v>
      </c>
      <c r="F67" s="64">
        <v>64</v>
      </c>
      <c r="G67" s="64">
        <f t="shared" ca="1" si="1"/>
        <v>-1.2308646235662489E-2</v>
      </c>
    </row>
    <row r="68" spans="2:7" x14ac:dyDescent="0.3">
      <c r="B68" s="55">
        <v>43866</v>
      </c>
      <c r="C68" s="54">
        <v>2248.9</v>
      </c>
      <c r="D68" s="56">
        <f t="shared" ref="D68:D131" si="4">C68/C69-1</f>
        <v>-0.50587744161008941</v>
      </c>
      <c r="E68" s="64">
        <v>4.3427829072518964E-2</v>
      </c>
      <c r="F68" s="64">
        <v>65</v>
      </c>
      <c r="G68" s="64">
        <f t="shared" ca="1" si="1"/>
        <v>-9.0464683411466953E-4</v>
      </c>
    </row>
    <row r="69" spans="2:7" x14ac:dyDescent="0.3">
      <c r="B69" s="55">
        <v>46118</v>
      </c>
      <c r="C69" s="54">
        <v>4551.3</v>
      </c>
      <c r="D69" s="56">
        <f t="shared" si="4"/>
        <v>2.6769268056228794</v>
      </c>
      <c r="E69" s="64">
        <v>4.3301852191454326E-2</v>
      </c>
      <c r="F69" s="64">
        <v>66</v>
      </c>
      <c r="G69" s="64">
        <f t="shared" ref="G69:G132" ca="1" si="5">_xlfn.NORM.INV(RAND(),K$6,K$7)</f>
        <v>1.2728002244440616E-2</v>
      </c>
    </row>
    <row r="70" spans="2:7" x14ac:dyDescent="0.3">
      <c r="B70" s="55">
        <v>43152</v>
      </c>
      <c r="C70" s="54">
        <v>1237.8</v>
      </c>
      <c r="D70" s="56">
        <f t="shared" si="4"/>
        <v>-0.40481800259652834</v>
      </c>
      <c r="E70" s="64">
        <v>4.2972699696663286E-2</v>
      </c>
      <c r="F70" s="64">
        <v>67</v>
      </c>
      <c r="G70" s="64">
        <f t="shared" ca="1" si="5"/>
        <v>2.6865513816902151E-2</v>
      </c>
    </row>
    <row r="71" spans="2:7" x14ac:dyDescent="0.3">
      <c r="B71" s="55">
        <v>43917</v>
      </c>
      <c r="C71" s="54">
        <v>2079.6999999999998</v>
      </c>
      <c r="D71" s="56">
        <f t="shared" si="4"/>
        <v>-0.49096827883297434</v>
      </c>
      <c r="E71" s="64">
        <v>4.2952784533988542E-2</v>
      </c>
      <c r="F71" s="64">
        <v>68</v>
      </c>
      <c r="G71" s="64">
        <f t="shared" ca="1" si="5"/>
        <v>3.7210038114733376E-2</v>
      </c>
    </row>
    <row r="72" spans="2:7" x14ac:dyDescent="0.3">
      <c r="B72" s="55">
        <v>45093</v>
      </c>
      <c r="C72" s="54">
        <v>4085.6</v>
      </c>
      <c r="D72" s="56">
        <f t="shared" si="4"/>
        <v>-0.17634014071729542</v>
      </c>
      <c r="E72" s="64">
        <v>4.285677821170597E-2</v>
      </c>
      <c r="F72" s="64">
        <v>69</v>
      </c>
      <c r="G72" s="64">
        <f t="shared" ca="1" si="5"/>
        <v>5.0213978992874305E-3</v>
      </c>
    </row>
    <row r="73" spans="2:7" x14ac:dyDescent="0.3">
      <c r="B73" s="55">
        <v>44510</v>
      </c>
      <c r="C73" s="54">
        <v>4960.3</v>
      </c>
      <c r="D73" s="56">
        <f t="shared" si="4"/>
        <v>2.5751198241378068</v>
      </c>
      <c r="E73" s="64">
        <v>4.2704140083873909E-2</v>
      </c>
      <c r="F73" s="64">
        <v>70</v>
      </c>
      <c r="G73" s="64">
        <f t="shared" ca="1" si="5"/>
        <v>-1.2087549704257242E-2</v>
      </c>
    </row>
    <row r="74" spans="2:7" x14ac:dyDescent="0.3">
      <c r="B74" s="55">
        <v>43642</v>
      </c>
      <c r="C74" s="54">
        <v>1387.45</v>
      </c>
      <c r="D74" s="56">
        <f t="shared" si="4"/>
        <v>0.78599472227585765</v>
      </c>
      <c r="E74" s="64">
        <v>4.2685905384586498E-2</v>
      </c>
      <c r="F74" s="64">
        <v>71</v>
      </c>
      <c r="G74" s="64">
        <f t="shared" ca="1" si="5"/>
        <v>2.4632998401757707E-2</v>
      </c>
    </row>
    <row r="75" spans="2:7" x14ac:dyDescent="0.3">
      <c r="B75" s="55">
        <v>42887</v>
      </c>
      <c r="C75" s="54">
        <v>776.85</v>
      </c>
      <c r="D75" s="56">
        <f t="shared" si="4"/>
        <v>-0.47702716348581242</v>
      </c>
      <c r="E75" s="64">
        <v>4.2541770113400101E-2</v>
      </c>
      <c r="F75" s="64">
        <v>72</v>
      </c>
      <c r="G75" s="64">
        <f t="shared" ca="1" si="5"/>
        <v>-1.6459383862799437E-2</v>
      </c>
    </row>
    <row r="76" spans="2:7" x14ac:dyDescent="0.3">
      <c r="B76" s="55">
        <v>43235</v>
      </c>
      <c r="C76" s="54">
        <v>1485.45</v>
      </c>
      <c r="D76" s="56">
        <f t="shared" si="4"/>
        <v>-0.60826740506329113</v>
      </c>
      <c r="E76" s="64">
        <v>4.2274768453550271E-2</v>
      </c>
      <c r="F76" s="64">
        <v>73</v>
      </c>
      <c r="G76" s="64">
        <f t="shared" ca="1" si="5"/>
        <v>3.5746169367487673E-2</v>
      </c>
    </row>
    <row r="77" spans="2:7" x14ac:dyDescent="0.3">
      <c r="B77" s="55">
        <v>44748</v>
      </c>
      <c r="C77" s="54">
        <v>3792</v>
      </c>
      <c r="D77" s="56">
        <f t="shared" si="4"/>
        <v>-0.10320688676567957</v>
      </c>
      <c r="E77" s="64">
        <v>4.203020018960979E-2</v>
      </c>
      <c r="F77" s="64">
        <v>74</v>
      </c>
      <c r="G77" s="64">
        <f t="shared" ca="1" si="5"/>
        <v>-1.7758135103126516E-2</v>
      </c>
    </row>
    <row r="78" spans="2:7" x14ac:dyDescent="0.3">
      <c r="B78" s="55">
        <v>45826</v>
      </c>
      <c r="C78" s="54">
        <v>4228.3999999999996</v>
      </c>
      <c r="D78" s="56">
        <f t="shared" si="4"/>
        <v>4.7515235594312033E-2</v>
      </c>
      <c r="E78" s="64">
        <v>4.1708753171885382E-2</v>
      </c>
      <c r="F78" s="64">
        <v>75</v>
      </c>
      <c r="G78" s="64">
        <f t="shared" ca="1" si="5"/>
        <v>-1.3032244017554611E-2</v>
      </c>
    </row>
    <row r="79" spans="2:7" x14ac:dyDescent="0.3">
      <c r="B79" s="55">
        <v>44921</v>
      </c>
      <c r="C79" s="54">
        <v>4036.6</v>
      </c>
      <c r="D79" s="56">
        <f t="shared" si="4"/>
        <v>1.6364912968224421</v>
      </c>
      <c r="E79" s="64">
        <v>4.1541954794096503E-2</v>
      </c>
      <c r="F79" s="64">
        <v>76</v>
      </c>
      <c r="G79" s="64">
        <f t="shared" ca="1" si="5"/>
        <v>-1.3212688626521044E-2</v>
      </c>
    </row>
    <row r="80" spans="2:7" x14ac:dyDescent="0.3">
      <c r="B80" s="55">
        <v>43703</v>
      </c>
      <c r="C80" s="54">
        <v>1531.05</v>
      </c>
      <c r="D80" s="56">
        <f t="shared" si="4"/>
        <v>-0.67039106145251393</v>
      </c>
      <c r="E80" s="64">
        <v>4.1388926676642512E-2</v>
      </c>
      <c r="F80" s="64">
        <v>77</v>
      </c>
      <c r="G80" s="64">
        <f t="shared" ca="1" si="5"/>
        <v>2.462260338678262E-2</v>
      </c>
    </row>
    <row r="81" spans="2:7" x14ac:dyDescent="0.3">
      <c r="B81" s="55">
        <v>45386</v>
      </c>
      <c r="C81" s="54">
        <v>4645.05</v>
      </c>
      <c r="D81" s="56">
        <f t="shared" si="4"/>
        <v>0.45489710902997471</v>
      </c>
      <c r="E81" s="64">
        <v>4.1280907440202741E-2</v>
      </c>
      <c r="F81" s="64">
        <v>78</v>
      </c>
      <c r="G81" s="64">
        <f t="shared" ca="1" si="5"/>
        <v>2.1034203035832977E-2</v>
      </c>
    </row>
    <row r="82" spans="2:7" x14ac:dyDescent="0.3">
      <c r="B82" s="55">
        <v>44350</v>
      </c>
      <c r="C82" s="54">
        <v>3192.7</v>
      </c>
      <c r="D82" s="56">
        <f t="shared" si="4"/>
        <v>-0.16636421791976186</v>
      </c>
      <c r="E82" s="64">
        <v>4.1256278129280455E-2</v>
      </c>
      <c r="F82" s="64">
        <v>79</v>
      </c>
      <c r="G82" s="64">
        <f t="shared" ca="1" si="5"/>
        <v>3.0240333297218472E-3</v>
      </c>
    </row>
    <row r="83" spans="2:7" x14ac:dyDescent="0.3">
      <c r="B83" s="55">
        <v>45629</v>
      </c>
      <c r="C83" s="54">
        <v>3829.85</v>
      </c>
      <c r="D83" s="56">
        <f t="shared" si="4"/>
        <v>-2.0699089700317086E-2</v>
      </c>
      <c r="E83" s="64">
        <v>4.1172792518486157E-2</v>
      </c>
      <c r="F83" s="64">
        <v>80</v>
      </c>
      <c r="G83" s="64">
        <f t="shared" ca="1" si="5"/>
        <v>-3.8728438216673556E-3</v>
      </c>
    </row>
    <row r="84" spans="2:7" x14ac:dyDescent="0.3">
      <c r="B84" s="55">
        <v>46106</v>
      </c>
      <c r="C84" s="54">
        <v>3910.8</v>
      </c>
      <c r="D84" s="56">
        <f t="shared" si="4"/>
        <v>7.4676083043651476E-2</v>
      </c>
      <c r="E84" s="64">
        <v>4.1075469186742986E-2</v>
      </c>
      <c r="F84" s="64">
        <v>81</v>
      </c>
      <c r="G84" s="64">
        <f t="shared" ca="1" si="5"/>
        <v>-1.8819118388355774E-2</v>
      </c>
    </row>
    <row r="85" spans="2:7" x14ac:dyDescent="0.3">
      <c r="B85" s="55">
        <v>44747</v>
      </c>
      <c r="C85" s="54">
        <v>3639.05</v>
      </c>
      <c r="D85" s="56">
        <f t="shared" si="4"/>
        <v>-0.31444100110207884</v>
      </c>
      <c r="E85" s="64">
        <v>4.106708625375477E-2</v>
      </c>
      <c r="F85" s="64">
        <v>82</v>
      </c>
      <c r="G85" s="64">
        <f t="shared" ca="1" si="5"/>
        <v>5.161352438668978E-3</v>
      </c>
    </row>
    <row r="86" spans="2:7" x14ac:dyDescent="0.3">
      <c r="B86" s="55">
        <v>45540</v>
      </c>
      <c r="C86" s="54">
        <v>5308.15</v>
      </c>
      <c r="D86" s="56">
        <f t="shared" si="4"/>
        <v>5.0299329773940702</v>
      </c>
      <c r="E86" s="64">
        <v>4.0630084886980722E-2</v>
      </c>
      <c r="F86" s="64">
        <v>83</v>
      </c>
      <c r="G86" s="64">
        <f t="shared" ca="1" si="5"/>
        <v>5.2258831145231641E-3</v>
      </c>
    </row>
    <row r="87" spans="2:7" x14ac:dyDescent="0.3">
      <c r="B87" s="55">
        <v>42922</v>
      </c>
      <c r="C87" s="54">
        <v>880.3</v>
      </c>
      <c r="D87" s="56">
        <f t="shared" si="4"/>
        <v>-0.8346466306644752</v>
      </c>
      <c r="E87" s="64">
        <v>4.0482241002304908E-2</v>
      </c>
      <c r="F87" s="64">
        <v>84</v>
      </c>
      <c r="G87" s="64">
        <f t="shared" ca="1" si="5"/>
        <v>-1.1528180374915018E-2</v>
      </c>
    </row>
    <row r="88" spans="2:7" x14ac:dyDescent="0.3">
      <c r="B88" s="55">
        <v>44483</v>
      </c>
      <c r="C88" s="54">
        <v>5323.75</v>
      </c>
      <c r="D88" s="56">
        <f t="shared" si="4"/>
        <v>1.2739892787732523</v>
      </c>
      <c r="E88" s="64">
        <v>4.0374036328815865E-2</v>
      </c>
      <c r="F88" s="64">
        <v>85</v>
      </c>
      <c r="G88" s="64">
        <f t="shared" ca="1" si="5"/>
        <v>5.7524694873032217E-2</v>
      </c>
    </row>
    <row r="89" spans="2:7" x14ac:dyDescent="0.3">
      <c r="B89" s="55">
        <v>44068</v>
      </c>
      <c r="C89" s="54">
        <v>2341.15</v>
      </c>
      <c r="D89" s="56">
        <f t="shared" si="4"/>
        <v>-0.49602832909975458</v>
      </c>
      <c r="E89" s="64">
        <v>4.0372394791805544E-2</v>
      </c>
      <c r="F89" s="64">
        <v>86</v>
      </c>
      <c r="G89" s="64">
        <f t="shared" ca="1" si="5"/>
        <v>6.037382498160433E-3</v>
      </c>
    </row>
    <row r="90" spans="2:7" x14ac:dyDescent="0.3">
      <c r="B90" s="55">
        <v>45574</v>
      </c>
      <c r="C90" s="54">
        <v>4645.3999999999996</v>
      </c>
      <c r="D90" s="56">
        <f t="shared" si="4"/>
        <v>1.1769019892687269</v>
      </c>
      <c r="E90" s="64">
        <v>4.0298290205914356E-2</v>
      </c>
      <c r="F90" s="64">
        <v>87</v>
      </c>
      <c r="G90" s="64">
        <f t="shared" ca="1" si="5"/>
        <v>-3.0869049024464773E-2</v>
      </c>
    </row>
    <row r="91" spans="2:7" x14ac:dyDescent="0.3">
      <c r="B91" s="55">
        <v>43861</v>
      </c>
      <c r="C91" s="54">
        <v>2133.9499999999998</v>
      </c>
      <c r="D91" s="56">
        <f t="shared" si="4"/>
        <v>-0.48736397049991598</v>
      </c>
      <c r="E91" s="64">
        <v>4.0291522449178441E-2</v>
      </c>
      <c r="F91" s="64">
        <v>88</v>
      </c>
      <c r="G91" s="64">
        <f t="shared" ca="1" si="5"/>
        <v>-6.07864391552306E-3</v>
      </c>
    </row>
    <row r="92" spans="2:7" x14ac:dyDescent="0.3">
      <c r="B92" s="55">
        <v>44602</v>
      </c>
      <c r="C92" s="54">
        <v>4162.7</v>
      </c>
      <c r="D92" s="56">
        <f t="shared" si="4"/>
        <v>-3.7335758562095922E-3</v>
      </c>
      <c r="E92" s="64">
        <v>4.0128932310536936E-2</v>
      </c>
      <c r="F92" s="64">
        <v>89</v>
      </c>
      <c r="G92" s="64">
        <f t="shared" ca="1" si="5"/>
        <v>-4.495120089493038E-3</v>
      </c>
    </row>
    <row r="93" spans="2:7" x14ac:dyDescent="0.3">
      <c r="B93" s="55">
        <v>44924</v>
      </c>
      <c r="C93" s="54">
        <v>4178.3</v>
      </c>
      <c r="D93" s="56">
        <f t="shared" si="4"/>
        <v>7.8841709807769389E-2</v>
      </c>
      <c r="E93" s="64">
        <v>3.9960176715823525E-2</v>
      </c>
      <c r="F93" s="64">
        <v>90</v>
      </c>
      <c r="G93" s="64">
        <f t="shared" ca="1" si="5"/>
        <v>2.9676734837291621E-2</v>
      </c>
    </row>
    <row r="94" spans="2:7" x14ac:dyDescent="0.3">
      <c r="B94" s="55">
        <v>45203</v>
      </c>
      <c r="C94" s="54">
        <v>3872.95</v>
      </c>
      <c r="D94" s="56">
        <f t="shared" si="4"/>
        <v>-4.465959546127285E-2</v>
      </c>
      <c r="E94" s="64">
        <v>3.9522774243766268E-2</v>
      </c>
      <c r="F94" s="64">
        <v>91</v>
      </c>
      <c r="G94" s="64">
        <f t="shared" ca="1" si="5"/>
        <v>1.9441968476546855E-2</v>
      </c>
    </row>
    <row r="95" spans="2:7" x14ac:dyDescent="0.3">
      <c r="B95" s="55">
        <v>46244</v>
      </c>
      <c r="C95" s="54">
        <v>4054</v>
      </c>
      <c r="D95" s="56">
        <f t="shared" si="4"/>
        <v>0.33155967220114624</v>
      </c>
      <c r="E95" s="64">
        <v>3.9487179487179391E-2</v>
      </c>
      <c r="F95" s="64">
        <v>92</v>
      </c>
      <c r="G95" s="64">
        <f t="shared" ca="1" si="5"/>
        <v>1.5428402000059913E-2</v>
      </c>
    </row>
    <row r="96" spans="2:7" x14ac:dyDescent="0.3">
      <c r="B96" s="55">
        <v>44242</v>
      </c>
      <c r="C96" s="54">
        <v>3044.55</v>
      </c>
      <c r="D96" s="56">
        <f t="shared" si="4"/>
        <v>5.040625161724388E-2</v>
      </c>
      <c r="E96" s="64">
        <v>3.9485813786745982E-2</v>
      </c>
      <c r="F96" s="64">
        <v>93</v>
      </c>
      <c r="G96" s="64">
        <f t="shared" ca="1" si="5"/>
        <v>-2.0450534515787898E-2</v>
      </c>
    </row>
    <row r="97" spans="2:7" x14ac:dyDescent="0.3">
      <c r="B97" s="55">
        <v>44200</v>
      </c>
      <c r="C97" s="54">
        <v>2898.45</v>
      </c>
      <c r="D97" s="56">
        <f t="shared" si="4"/>
        <v>-1.3058430945246613E-2</v>
      </c>
      <c r="E97" s="64">
        <v>3.9206195546950706E-2</v>
      </c>
      <c r="F97" s="64">
        <v>94</v>
      </c>
      <c r="G97" s="64">
        <f t="shared" ca="1" si="5"/>
        <v>-5.5235115206045352E-3</v>
      </c>
    </row>
    <row r="98" spans="2:7" x14ac:dyDescent="0.3">
      <c r="B98" s="55">
        <v>44314</v>
      </c>
      <c r="C98" s="54">
        <v>2936.8</v>
      </c>
      <c r="D98" s="56">
        <f t="shared" si="4"/>
        <v>0.43167747282211266</v>
      </c>
      <c r="E98" s="64">
        <v>3.8858133323900423E-2</v>
      </c>
      <c r="F98" s="64">
        <v>95</v>
      </c>
      <c r="G98" s="64">
        <f t="shared" ca="1" si="5"/>
        <v>2.5351195435451918E-2</v>
      </c>
    </row>
    <row r="99" spans="2:7" x14ac:dyDescent="0.3">
      <c r="B99" s="55">
        <v>43860</v>
      </c>
      <c r="C99" s="54">
        <v>2051.3000000000002</v>
      </c>
      <c r="D99" s="56">
        <f t="shared" si="4"/>
        <v>0.75994165844451134</v>
      </c>
      <c r="E99" s="64">
        <v>3.8817005545286554E-2</v>
      </c>
      <c r="F99" s="64">
        <v>96</v>
      </c>
      <c r="G99" s="64">
        <f t="shared" ca="1" si="5"/>
        <v>2.225576854015076E-2</v>
      </c>
    </row>
    <row r="100" spans="2:7" x14ac:dyDescent="0.3">
      <c r="B100" s="55">
        <v>43139</v>
      </c>
      <c r="C100" s="54">
        <v>1165.55</v>
      </c>
      <c r="D100" s="56">
        <f t="shared" si="4"/>
        <v>-0.74487249644303377</v>
      </c>
      <c r="E100" s="64">
        <v>3.8213156371086132E-2</v>
      </c>
      <c r="F100" s="64">
        <v>97</v>
      </c>
      <c r="G100" s="64">
        <f t="shared" ca="1" si="5"/>
        <v>-1.1292650166534947E-2</v>
      </c>
    </row>
    <row r="101" spans="2:7" x14ac:dyDescent="0.3">
      <c r="B101" s="55">
        <v>44495</v>
      </c>
      <c r="C101" s="54">
        <v>4568.5</v>
      </c>
      <c r="D101" s="56">
        <f t="shared" si="4"/>
        <v>7.7565365065512593E-2</v>
      </c>
      <c r="E101" s="64">
        <v>3.8153888106167155E-2</v>
      </c>
      <c r="F101" s="64">
        <v>98</v>
      </c>
      <c r="G101" s="64">
        <f t="shared" ca="1" si="5"/>
        <v>-1.8421789886137012E-2</v>
      </c>
    </row>
    <row r="102" spans="2:7" x14ac:dyDescent="0.3">
      <c r="B102" s="55">
        <v>44456</v>
      </c>
      <c r="C102" s="54">
        <v>4239.6499999999996</v>
      </c>
      <c r="D102" s="56">
        <f t="shared" si="4"/>
        <v>1.8406365159128977</v>
      </c>
      <c r="E102" s="64">
        <v>3.7985065491492165E-2</v>
      </c>
      <c r="F102" s="64">
        <v>99</v>
      </c>
      <c r="G102" s="64">
        <f t="shared" ca="1" si="5"/>
        <v>-8.2362454058454611E-3</v>
      </c>
    </row>
    <row r="103" spans="2:7" x14ac:dyDescent="0.3">
      <c r="B103" s="55">
        <v>43434</v>
      </c>
      <c r="C103" s="54">
        <v>1492.5</v>
      </c>
      <c r="D103" s="56">
        <f t="shared" si="4"/>
        <v>-0.64088929525276106</v>
      </c>
      <c r="E103" s="64">
        <v>3.7827689312287083E-2</v>
      </c>
      <c r="F103" s="64">
        <v>100</v>
      </c>
      <c r="G103" s="64">
        <f t="shared" ca="1" si="5"/>
        <v>2.6807961692070011E-2</v>
      </c>
    </row>
    <row r="104" spans="2:7" x14ac:dyDescent="0.3">
      <c r="B104" s="55">
        <v>45588</v>
      </c>
      <c r="C104" s="54">
        <v>4156.1000000000004</v>
      </c>
      <c r="D104" s="56">
        <f t="shared" si="4"/>
        <v>1.5113904163393559</v>
      </c>
      <c r="E104" s="64">
        <v>3.7676021172475815E-2</v>
      </c>
      <c r="F104" s="64">
        <v>101</v>
      </c>
      <c r="G104" s="64">
        <f t="shared" ca="1" si="5"/>
        <v>5.9106136067420111E-3</v>
      </c>
    </row>
    <row r="105" spans="2:7" x14ac:dyDescent="0.3">
      <c r="B105" s="55">
        <v>43312</v>
      </c>
      <c r="C105" s="54">
        <v>1654.9</v>
      </c>
      <c r="D105" s="56">
        <f t="shared" si="4"/>
        <v>0.17377118944606007</v>
      </c>
      <c r="E105" s="64">
        <v>3.7652443803492641E-2</v>
      </c>
      <c r="F105" s="64">
        <v>102</v>
      </c>
      <c r="G105" s="64">
        <f t="shared" ca="1" si="5"/>
        <v>1.6282057242981797E-2</v>
      </c>
    </row>
    <row r="106" spans="2:7" x14ac:dyDescent="0.3">
      <c r="B106" s="55">
        <v>43244</v>
      </c>
      <c r="C106" s="54">
        <v>1409.9</v>
      </c>
      <c r="D106" s="56">
        <f t="shared" si="4"/>
        <v>-0.38453815261044177</v>
      </c>
      <c r="E106" s="64">
        <v>3.7644894204232004E-2</v>
      </c>
      <c r="F106" s="64">
        <v>103</v>
      </c>
      <c r="G106" s="64">
        <f t="shared" ca="1" si="5"/>
        <v>-2.6885160724967473E-2</v>
      </c>
    </row>
    <row r="107" spans="2:7" x14ac:dyDescent="0.3">
      <c r="B107" s="55">
        <v>44139</v>
      </c>
      <c r="C107" s="54">
        <v>2290.8000000000002</v>
      </c>
      <c r="D107" s="56">
        <f t="shared" si="4"/>
        <v>-0.44770721828439175</v>
      </c>
      <c r="E107" s="64">
        <v>3.7006858151694244E-2</v>
      </c>
      <c r="F107" s="64">
        <v>104</v>
      </c>
      <c r="G107" s="64">
        <f t="shared" ca="1" si="5"/>
        <v>-1.626785538110459E-2</v>
      </c>
    </row>
    <row r="108" spans="2:7" x14ac:dyDescent="0.3">
      <c r="B108" s="55">
        <v>44770</v>
      </c>
      <c r="C108" s="54">
        <v>4147.8</v>
      </c>
      <c r="D108" s="56">
        <f t="shared" si="4"/>
        <v>0.67105130632717613</v>
      </c>
      <c r="E108" s="64">
        <v>3.670378285157283E-2</v>
      </c>
      <c r="F108" s="64">
        <v>105</v>
      </c>
      <c r="G108" s="64">
        <f t="shared" ca="1" si="5"/>
        <v>-1.3960824505171089E-2</v>
      </c>
    </row>
    <row r="109" spans="2:7" x14ac:dyDescent="0.3">
      <c r="B109" s="55">
        <v>43873</v>
      </c>
      <c r="C109" s="54">
        <v>2482.15</v>
      </c>
      <c r="D109" s="56">
        <f t="shared" si="4"/>
        <v>-0.47556518064652442</v>
      </c>
      <c r="E109" s="64">
        <v>3.6604719148047637E-2</v>
      </c>
      <c r="F109" s="64">
        <v>106</v>
      </c>
      <c r="G109" s="64">
        <f t="shared" ca="1" si="5"/>
        <v>1.9607737673182725E-2</v>
      </c>
    </row>
    <row r="110" spans="2:7" x14ac:dyDescent="0.3">
      <c r="B110" s="55">
        <v>44496</v>
      </c>
      <c r="C110" s="54">
        <v>4733</v>
      </c>
      <c r="D110" s="56">
        <f t="shared" si="4"/>
        <v>9.0465054661490241E-2</v>
      </c>
      <c r="E110" s="64">
        <v>3.6007442267702805E-2</v>
      </c>
      <c r="F110" s="64">
        <v>107</v>
      </c>
      <c r="G110" s="64">
        <f t="shared" ca="1" si="5"/>
        <v>9.1471215453642202E-3</v>
      </c>
    </row>
    <row r="111" spans="2:7" x14ac:dyDescent="0.3">
      <c r="B111" s="55">
        <v>44620</v>
      </c>
      <c r="C111" s="54">
        <v>4340.3500000000004</v>
      </c>
      <c r="D111" s="56">
        <f t="shared" si="4"/>
        <v>0.73683473389355747</v>
      </c>
      <c r="E111" s="64">
        <v>3.5697667481954465E-2</v>
      </c>
      <c r="F111" s="64">
        <v>108</v>
      </c>
      <c r="G111" s="64">
        <f t="shared" ca="1" si="5"/>
        <v>2.8828228194343733E-2</v>
      </c>
    </row>
    <row r="112" spans="2:7" x14ac:dyDescent="0.3">
      <c r="B112" s="55">
        <v>43987</v>
      </c>
      <c r="C112" s="54">
        <v>2499</v>
      </c>
      <c r="D112" s="56">
        <f t="shared" si="4"/>
        <v>0.87732411824362377</v>
      </c>
      <c r="E112" s="64">
        <v>3.5125507414464519E-2</v>
      </c>
      <c r="F112" s="64">
        <v>109</v>
      </c>
      <c r="G112" s="64">
        <f t="shared" ca="1" si="5"/>
        <v>2.0910394060195611E-2</v>
      </c>
    </row>
    <row r="113" spans="2:7" x14ac:dyDescent="0.3">
      <c r="B113" s="55">
        <v>43579</v>
      </c>
      <c r="C113" s="54">
        <v>1331.15</v>
      </c>
      <c r="D113" s="56">
        <f t="shared" si="4"/>
        <v>-0.52598593430072105</v>
      </c>
      <c r="E113" s="64">
        <v>3.5068620971191011E-2</v>
      </c>
      <c r="F113" s="64">
        <v>110</v>
      </c>
      <c r="G113" s="64">
        <f t="shared" ca="1" si="5"/>
        <v>1.4273318018425714E-2</v>
      </c>
    </row>
    <row r="114" spans="2:7" x14ac:dyDescent="0.3">
      <c r="B114" s="55">
        <v>44312</v>
      </c>
      <c r="C114" s="54">
        <v>2808.25</v>
      </c>
      <c r="D114" s="56">
        <f t="shared" si="4"/>
        <v>0.89056819711862123</v>
      </c>
      <c r="E114" s="64">
        <v>3.4841729004680078E-2</v>
      </c>
      <c r="F114" s="64">
        <v>111</v>
      </c>
      <c r="G114" s="64">
        <f t="shared" ca="1" si="5"/>
        <v>4.6522682363274399E-2</v>
      </c>
    </row>
    <row r="115" spans="2:7" x14ac:dyDescent="0.3">
      <c r="B115" s="55">
        <v>43280</v>
      </c>
      <c r="C115" s="54">
        <v>1485.4</v>
      </c>
      <c r="D115" s="56">
        <f t="shared" si="4"/>
        <v>-0.32851136928710267</v>
      </c>
      <c r="E115" s="64">
        <v>3.4797450276916608E-2</v>
      </c>
      <c r="F115" s="64">
        <v>112</v>
      </c>
      <c r="G115" s="64">
        <f t="shared" ca="1" si="5"/>
        <v>3.873168293254909E-2</v>
      </c>
    </row>
    <row r="116" spans="2:7" x14ac:dyDescent="0.3">
      <c r="B116" s="55">
        <v>43938</v>
      </c>
      <c r="C116" s="54">
        <v>2212.1</v>
      </c>
      <c r="D116" s="56">
        <f t="shared" si="4"/>
        <v>-0.12442359832967209</v>
      </c>
      <c r="E116" s="64">
        <v>3.4731155132492919E-2</v>
      </c>
      <c r="F116" s="64">
        <v>113</v>
      </c>
      <c r="G116" s="64">
        <f t="shared" ca="1" si="5"/>
        <v>-9.1909616185816868E-4</v>
      </c>
    </row>
    <row r="117" spans="2:7" x14ac:dyDescent="0.3">
      <c r="B117" s="55">
        <v>44172</v>
      </c>
      <c r="C117" s="54">
        <v>2526.4499999999998</v>
      </c>
      <c r="D117" s="56">
        <f t="shared" si="4"/>
        <v>0.87651799309243517</v>
      </c>
      <c r="E117" s="64">
        <v>3.4624677505221246E-2</v>
      </c>
      <c r="F117" s="64">
        <v>114</v>
      </c>
      <c r="G117" s="64">
        <f t="shared" ca="1" si="5"/>
        <v>-7.5323683782662076E-3</v>
      </c>
    </row>
    <row r="118" spans="2:7" x14ac:dyDescent="0.3">
      <c r="B118" s="55">
        <v>43377</v>
      </c>
      <c r="C118" s="54">
        <v>1346.35</v>
      </c>
      <c r="D118" s="56">
        <f t="shared" si="4"/>
        <v>-0.38452571428571436</v>
      </c>
      <c r="E118" s="64">
        <v>3.4539726448439945E-2</v>
      </c>
      <c r="F118" s="64">
        <v>115</v>
      </c>
      <c r="G118" s="64">
        <f t="shared" ca="1" si="5"/>
        <v>5.4533197722120503E-3</v>
      </c>
    </row>
    <row r="119" spans="2:7" x14ac:dyDescent="0.3">
      <c r="B119" s="55">
        <v>43921</v>
      </c>
      <c r="C119" s="54">
        <v>2187.5</v>
      </c>
      <c r="D119" s="56">
        <f t="shared" si="4"/>
        <v>-0.50131652437564833</v>
      </c>
      <c r="E119" s="64">
        <v>3.4499065995128975E-2</v>
      </c>
      <c r="F119" s="64">
        <v>116</v>
      </c>
      <c r="G119" s="64">
        <f t="shared" ca="1" si="5"/>
        <v>-4.3804834649632057E-2</v>
      </c>
    </row>
    <row r="120" spans="2:7" x14ac:dyDescent="0.3">
      <c r="B120" s="55">
        <v>44834</v>
      </c>
      <c r="C120" s="54">
        <v>4386.55</v>
      </c>
      <c r="D120" s="56">
        <f t="shared" si="4"/>
        <v>1.02602651147753</v>
      </c>
      <c r="E120" s="64">
        <v>3.4429496173845386E-2</v>
      </c>
      <c r="F120" s="64">
        <v>117</v>
      </c>
      <c r="G120" s="64">
        <f t="shared" ca="1" si="5"/>
        <v>-1.6649988365429726E-2</v>
      </c>
    </row>
    <row r="121" spans="2:7" x14ac:dyDescent="0.3">
      <c r="B121" s="55">
        <v>44047</v>
      </c>
      <c r="C121" s="54">
        <v>2165.1</v>
      </c>
      <c r="D121" s="56">
        <f t="shared" si="4"/>
        <v>0.61333830104321896</v>
      </c>
      <c r="E121" s="64">
        <v>3.4374029572653564E-2</v>
      </c>
      <c r="F121" s="64">
        <v>118</v>
      </c>
      <c r="G121" s="64">
        <f t="shared" ca="1" si="5"/>
        <v>-1.9796307751527367E-2</v>
      </c>
    </row>
    <row r="122" spans="2:7" x14ac:dyDescent="0.3">
      <c r="B122" s="55">
        <v>43634</v>
      </c>
      <c r="C122" s="54">
        <v>1342</v>
      </c>
      <c r="D122" s="56">
        <f t="shared" si="4"/>
        <v>-0.16991402239129094</v>
      </c>
      <c r="E122" s="64">
        <v>3.4296724470134876E-2</v>
      </c>
      <c r="F122" s="64">
        <v>119</v>
      </c>
      <c r="G122" s="64">
        <f t="shared" ca="1" si="5"/>
        <v>-2.1948058160102847E-2</v>
      </c>
    </row>
    <row r="123" spans="2:7" x14ac:dyDescent="0.3">
      <c r="B123" s="55">
        <v>43329</v>
      </c>
      <c r="C123" s="54">
        <v>1616.7</v>
      </c>
      <c r="D123" s="56">
        <f t="shared" si="4"/>
        <v>-0.4480180272457237</v>
      </c>
      <c r="E123" s="64">
        <v>3.3993156598765673E-2</v>
      </c>
      <c r="F123" s="64">
        <v>120</v>
      </c>
      <c r="G123" s="64">
        <f t="shared" ca="1" si="5"/>
        <v>2.044402376524998E-2</v>
      </c>
    </row>
    <row r="124" spans="2:7" x14ac:dyDescent="0.3">
      <c r="B124" s="55">
        <v>44301</v>
      </c>
      <c r="C124" s="54">
        <v>2928.9</v>
      </c>
      <c r="D124" s="56">
        <f t="shared" si="4"/>
        <v>0.38810426540284371</v>
      </c>
      <c r="E124" s="64">
        <v>3.3960532354291084E-2</v>
      </c>
      <c r="F124" s="64">
        <v>121</v>
      </c>
      <c r="G124" s="64">
        <f t="shared" ca="1" si="5"/>
        <v>-1.1046443787112784E-2</v>
      </c>
    </row>
    <row r="125" spans="2:7" x14ac:dyDescent="0.3">
      <c r="B125" s="55">
        <v>44034</v>
      </c>
      <c r="C125" s="54">
        <v>2110</v>
      </c>
      <c r="D125" s="56">
        <f t="shared" si="4"/>
        <v>-0.35790146374121301</v>
      </c>
      <c r="E125" s="64">
        <v>3.3908271266170242E-2</v>
      </c>
      <c r="F125" s="64">
        <v>122</v>
      </c>
      <c r="G125" s="64">
        <f t="shared" ca="1" si="5"/>
        <v>2.2343762781597831E-2</v>
      </c>
    </row>
    <row r="126" spans="2:7" x14ac:dyDescent="0.3">
      <c r="B126" s="55">
        <v>44260</v>
      </c>
      <c r="C126" s="54">
        <v>3286.1</v>
      </c>
      <c r="D126" s="56">
        <f t="shared" si="4"/>
        <v>1.2071397387245191</v>
      </c>
      <c r="E126" s="64">
        <v>3.3787397363702176E-2</v>
      </c>
      <c r="F126" s="64">
        <v>123</v>
      </c>
      <c r="G126" s="64">
        <f t="shared" ca="1" si="5"/>
        <v>-1.5199353700551621E-2</v>
      </c>
    </row>
    <row r="127" spans="2:7" x14ac:dyDescent="0.3">
      <c r="B127" s="55">
        <v>43200</v>
      </c>
      <c r="C127" s="54">
        <v>1488.85</v>
      </c>
      <c r="D127" s="56">
        <f t="shared" si="4"/>
        <v>0.19740228405983573</v>
      </c>
      <c r="E127" s="64">
        <v>3.3564734467198765E-2</v>
      </c>
      <c r="F127" s="64">
        <v>124</v>
      </c>
      <c r="G127" s="64">
        <f t="shared" ca="1" si="5"/>
        <v>-1.9822822826475933E-2</v>
      </c>
    </row>
    <row r="128" spans="2:7" x14ac:dyDescent="0.3">
      <c r="B128" s="55">
        <v>43105</v>
      </c>
      <c r="C128" s="54">
        <v>1243.4000000000001</v>
      </c>
      <c r="D128" s="56">
        <f t="shared" si="4"/>
        <v>-0.67253956967159145</v>
      </c>
      <c r="E128" s="64">
        <v>3.3496799933505184E-2</v>
      </c>
      <c r="F128" s="64">
        <v>125</v>
      </c>
      <c r="G128" s="64">
        <f t="shared" ca="1" si="5"/>
        <v>-1.8016848059867106E-2</v>
      </c>
    </row>
    <row r="129" spans="2:7" x14ac:dyDescent="0.3">
      <c r="B129" s="55">
        <v>45729</v>
      </c>
      <c r="C129" s="54">
        <v>3797.1</v>
      </c>
      <c r="D129" s="56">
        <f t="shared" si="4"/>
        <v>0.68385809312638579</v>
      </c>
      <c r="E129" s="64">
        <v>3.3449458385498954E-2</v>
      </c>
      <c r="F129" s="64">
        <v>126</v>
      </c>
      <c r="G129" s="64">
        <f t="shared" ca="1" si="5"/>
        <v>1.4510802656836701E-2</v>
      </c>
    </row>
    <row r="130" spans="2:7" x14ac:dyDescent="0.3">
      <c r="B130" s="55">
        <v>43959</v>
      </c>
      <c r="C130" s="54">
        <v>2255</v>
      </c>
      <c r="D130" s="56">
        <f t="shared" si="4"/>
        <v>1.3537393664213768</v>
      </c>
      <c r="E130" s="64">
        <v>3.3408184776133165E-2</v>
      </c>
      <c r="F130" s="64">
        <v>127</v>
      </c>
      <c r="G130" s="64">
        <f t="shared" ca="1" si="5"/>
        <v>-4.7226427689359986E-4</v>
      </c>
    </row>
    <row r="131" spans="2:7" x14ac:dyDescent="0.3">
      <c r="B131" s="55">
        <v>42969</v>
      </c>
      <c r="C131" s="54">
        <v>958.05</v>
      </c>
      <c r="D131" s="56">
        <f t="shared" si="4"/>
        <v>-0.17384555684904934</v>
      </c>
      <c r="E131" s="64">
        <v>3.3383669507065061E-2</v>
      </c>
      <c r="F131" s="64">
        <v>128</v>
      </c>
      <c r="G131" s="64">
        <f t="shared" ca="1" si="5"/>
        <v>3.937959837358216E-2</v>
      </c>
    </row>
    <row r="132" spans="2:7" x14ac:dyDescent="0.3">
      <c r="B132" s="55">
        <v>43049</v>
      </c>
      <c r="C132" s="54">
        <v>1159.6500000000001</v>
      </c>
      <c r="D132" s="56">
        <f t="shared" ref="D132:D195" si="6">C132/C133-1</f>
        <v>-5.4581770748410086E-2</v>
      </c>
      <c r="E132" s="64">
        <v>3.3371947959365489E-2</v>
      </c>
      <c r="F132" s="64">
        <v>129</v>
      </c>
      <c r="G132" s="64">
        <f t="shared" ca="1" si="5"/>
        <v>1.2599999296000228E-3</v>
      </c>
    </row>
    <row r="133" spans="2:7" x14ac:dyDescent="0.3">
      <c r="B133" s="55">
        <v>43399</v>
      </c>
      <c r="C133" s="54">
        <v>1226.5999999999999</v>
      </c>
      <c r="D133" s="56">
        <f t="shared" si="6"/>
        <v>-0.70257032007759457</v>
      </c>
      <c r="E133" s="64">
        <v>3.3274366102266084E-2</v>
      </c>
      <c r="F133" s="64">
        <v>130</v>
      </c>
      <c r="G133" s="64">
        <f t="shared" ref="G133:G196" ca="1" si="7">_xlfn.NORM.INV(RAND(),K$6,K$7)</f>
        <v>1.4962726308472873E-2</v>
      </c>
    </row>
    <row r="134" spans="2:7" x14ac:dyDescent="0.3">
      <c r="B134" s="55">
        <v>44628</v>
      </c>
      <c r="C134" s="54">
        <v>4124</v>
      </c>
      <c r="D134" s="56">
        <f t="shared" si="6"/>
        <v>0.73153629760255301</v>
      </c>
      <c r="E134" s="64">
        <v>3.31567146418148E-2</v>
      </c>
      <c r="F134" s="64">
        <v>131</v>
      </c>
      <c r="G134" s="64">
        <f t="shared" ca="1" si="7"/>
        <v>7.7755897402405237E-3</v>
      </c>
    </row>
    <row r="135" spans="2:7" x14ac:dyDescent="0.3">
      <c r="B135" s="55">
        <v>43984</v>
      </c>
      <c r="C135" s="54">
        <v>2381.6999999999998</v>
      </c>
      <c r="D135" s="56">
        <f t="shared" si="6"/>
        <v>1.2084473086373961</v>
      </c>
      <c r="E135" s="64">
        <v>3.3051398828887413E-2</v>
      </c>
      <c r="F135" s="64">
        <v>132</v>
      </c>
      <c r="G135" s="64">
        <f t="shared" ca="1" si="7"/>
        <v>4.8574926999429592E-3</v>
      </c>
    </row>
    <row r="136" spans="2:7" x14ac:dyDescent="0.3">
      <c r="B136" s="55">
        <v>43007</v>
      </c>
      <c r="C136" s="54">
        <v>1078.45</v>
      </c>
      <c r="D136" s="56">
        <f t="shared" si="6"/>
        <v>-0.7760042371121173</v>
      </c>
      <c r="E136" s="64">
        <v>3.3047559749030064E-2</v>
      </c>
      <c r="F136" s="64">
        <v>133</v>
      </c>
      <c r="G136" s="64">
        <f t="shared" ca="1" si="7"/>
        <v>2.3176122540410363E-2</v>
      </c>
    </row>
    <row r="137" spans="2:7" x14ac:dyDescent="0.3">
      <c r="B137" s="55">
        <v>44538</v>
      </c>
      <c r="C137" s="54">
        <v>4814.6000000000004</v>
      </c>
      <c r="D137" s="56">
        <f t="shared" si="6"/>
        <v>1.6079137664870138</v>
      </c>
      <c r="E137" s="64">
        <v>3.3031873236565978E-2</v>
      </c>
      <c r="F137" s="64">
        <v>134</v>
      </c>
      <c r="G137" s="64">
        <f t="shared" ca="1" si="7"/>
        <v>-2.6286396892329943E-2</v>
      </c>
    </row>
    <row r="138" spans="2:7" x14ac:dyDescent="0.3">
      <c r="B138" s="55">
        <v>43796</v>
      </c>
      <c r="C138" s="54">
        <v>1846.15</v>
      </c>
      <c r="D138" s="56">
        <f t="shared" si="6"/>
        <v>0.86574027286508337</v>
      </c>
      <c r="E138" s="64">
        <v>3.298455684870194E-2</v>
      </c>
      <c r="F138" s="64">
        <v>135</v>
      </c>
      <c r="G138" s="64">
        <f t="shared" ca="1" si="7"/>
        <v>8.1426350829449205E-3</v>
      </c>
    </row>
    <row r="139" spans="2:7" x14ac:dyDescent="0.3">
      <c r="B139" s="55">
        <v>42970</v>
      </c>
      <c r="C139" s="54">
        <v>989.5</v>
      </c>
      <c r="D139" s="56">
        <f t="shared" si="6"/>
        <v>-0.5508703447336768</v>
      </c>
      <c r="E139" s="64">
        <v>3.2827096706852466E-2</v>
      </c>
      <c r="F139" s="64">
        <v>136</v>
      </c>
      <c r="G139" s="64">
        <f t="shared" ca="1" si="7"/>
        <v>-1.6873967470701683E-2</v>
      </c>
    </row>
    <row r="140" spans="2:7" x14ac:dyDescent="0.3">
      <c r="B140" s="55">
        <v>44104</v>
      </c>
      <c r="C140" s="54">
        <v>2203.15</v>
      </c>
      <c r="D140" s="56">
        <f t="shared" si="6"/>
        <v>0.9146171895368036</v>
      </c>
      <c r="E140" s="64">
        <v>3.2766904957225007E-2</v>
      </c>
      <c r="F140" s="64">
        <v>137</v>
      </c>
      <c r="G140" s="64">
        <f t="shared" ca="1" si="7"/>
        <v>-1.1897105668078693E-2</v>
      </c>
    </row>
    <row r="141" spans="2:7" x14ac:dyDescent="0.3">
      <c r="B141" s="55">
        <v>43073</v>
      </c>
      <c r="C141" s="54">
        <v>1150.7</v>
      </c>
      <c r="D141" s="56">
        <f t="shared" si="6"/>
        <v>-0.73224590469099038</v>
      </c>
      <c r="E141" s="64">
        <v>3.2573582196697703E-2</v>
      </c>
      <c r="F141" s="64">
        <v>138</v>
      </c>
      <c r="G141" s="64">
        <f t="shared" ca="1" si="7"/>
        <v>-1.5497072044875741E-2</v>
      </c>
    </row>
    <row r="142" spans="2:7" x14ac:dyDescent="0.3">
      <c r="B142" s="55">
        <v>45373</v>
      </c>
      <c r="C142" s="54">
        <v>4297.6000000000004</v>
      </c>
      <c r="D142" s="56">
        <f t="shared" si="6"/>
        <v>4.2279058451432405</v>
      </c>
      <c r="E142" s="64">
        <v>3.230765535298219E-2</v>
      </c>
      <c r="F142" s="64">
        <v>139</v>
      </c>
      <c r="G142" s="64">
        <f t="shared" ca="1" si="7"/>
        <v>1.1868415920135589E-2</v>
      </c>
    </row>
    <row r="143" spans="2:7" x14ac:dyDescent="0.3">
      <c r="B143" s="55">
        <v>42906</v>
      </c>
      <c r="C143" s="54">
        <v>822.05</v>
      </c>
      <c r="D143" s="56">
        <f t="shared" si="6"/>
        <v>-0.81133093112391275</v>
      </c>
      <c r="E143" s="64">
        <v>3.2207433450527345E-2</v>
      </c>
      <c r="F143" s="64">
        <v>140</v>
      </c>
      <c r="G143" s="64">
        <f t="shared" ca="1" si="7"/>
        <v>-6.0525778849973757E-3</v>
      </c>
    </row>
    <row r="144" spans="2:7" x14ac:dyDescent="0.3">
      <c r="B144" s="55">
        <v>45764</v>
      </c>
      <c r="C144" s="54">
        <v>4357.1000000000004</v>
      </c>
      <c r="D144" s="56">
        <f t="shared" si="6"/>
        <v>1.6119353775140124</v>
      </c>
      <c r="E144" s="64">
        <v>3.2121283903825848E-2</v>
      </c>
      <c r="F144" s="64">
        <v>141</v>
      </c>
      <c r="G144" s="64">
        <f t="shared" ca="1" si="7"/>
        <v>-1.2830137370140292E-2</v>
      </c>
    </row>
    <row r="145" spans="2:7" x14ac:dyDescent="0.3">
      <c r="B145" s="55">
        <v>43452</v>
      </c>
      <c r="C145" s="54">
        <v>1668.15</v>
      </c>
      <c r="D145" s="56">
        <f t="shared" si="6"/>
        <v>1.2056723522411743</v>
      </c>
      <c r="E145" s="64">
        <v>3.2111368909512716E-2</v>
      </c>
      <c r="F145" s="64">
        <v>142</v>
      </c>
      <c r="G145" s="64">
        <f t="shared" ca="1" si="7"/>
        <v>1.7544595027350847E-2</v>
      </c>
    </row>
    <row r="146" spans="2:7" x14ac:dyDescent="0.3">
      <c r="B146" s="55">
        <v>42845</v>
      </c>
      <c r="C146" s="54">
        <v>756.3</v>
      </c>
      <c r="D146" s="56">
        <f t="shared" si="6"/>
        <v>-0.74715410460859544</v>
      </c>
      <c r="E146" s="64">
        <v>3.2068777292576511E-2</v>
      </c>
      <c r="F146" s="64">
        <v>143</v>
      </c>
      <c r="G146" s="64">
        <f t="shared" ca="1" si="7"/>
        <v>7.939889346236316E-3</v>
      </c>
    </row>
    <row r="147" spans="2:7" x14ac:dyDescent="0.3">
      <c r="B147" s="55">
        <v>44201</v>
      </c>
      <c r="C147" s="54">
        <v>2991.15</v>
      </c>
      <c r="D147" s="56">
        <f t="shared" si="6"/>
        <v>0.32383987253535174</v>
      </c>
      <c r="E147" s="64">
        <v>3.1982611395746208E-2</v>
      </c>
      <c r="F147" s="64">
        <v>144</v>
      </c>
      <c r="G147" s="64">
        <f t="shared" ca="1" si="7"/>
        <v>-1.4004845886923668E-2</v>
      </c>
    </row>
    <row r="148" spans="2:7" x14ac:dyDescent="0.3">
      <c r="B148" s="55">
        <v>44061</v>
      </c>
      <c r="C148" s="54">
        <v>2259.4499999999998</v>
      </c>
      <c r="D148" s="56">
        <f t="shared" si="6"/>
        <v>-0.14319030735101734</v>
      </c>
      <c r="E148" s="64">
        <v>3.183011759333243E-2</v>
      </c>
      <c r="F148" s="64">
        <v>145</v>
      </c>
      <c r="G148" s="64">
        <f t="shared" ca="1" si="7"/>
        <v>-3.2273001349960369E-2</v>
      </c>
    </row>
    <row r="149" spans="2:7" x14ac:dyDescent="0.3">
      <c r="B149" s="55">
        <v>44183</v>
      </c>
      <c r="C149" s="54">
        <v>2637.05</v>
      </c>
      <c r="D149" s="56">
        <f t="shared" si="6"/>
        <v>0.4826965786736388</v>
      </c>
      <c r="E149" s="64">
        <v>3.1689520940513694E-2</v>
      </c>
      <c r="F149" s="64">
        <v>146</v>
      </c>
      <c r="G149" s="64">
        <f t="shared" ca="1" si="7"/>
        <v>2.882193943956763E-2</v>
      </c>
    </row>
    <row r="150" spans="2:7" x14ac:dyDescent="0.3">
      <c r="B150" s="55">
        <v>43811</v>
      </c>
      <c r="C150" s="54">
        <v>1778.55</v>
      </c>
      <c r="D150" s="56">
        <f t="shared" si="6"/>
        <v>-0.49118867114861964</v>
      </c>
      <c r="E150" s="64">
        <v>3.16415313225058E-2</v>
      </c>
      <c r="F150" s="64">
        <v>147</v>
      </c>
      <c r="G150" s="64">
        <f t="shared" ca="1" si="7"/>
        <v>-1.3301026729918102E-2</v>
      </c>
    </row>
    <row r="151" spans="2:7" x14ac:dyDescent="0.3">
      <c r="B151" s="55">
        <v>44746</v>
      </c>
      <c r="C151" s="54">
        <v>3495.5</v>
      </c>
      <c r="D151" s="56">
        <f t="shared" si="6"/>
        <v>-0.27279346751963385</v>
      </c>
      <c r="E151" s="64">
        <v>3.1501291036517998E-2</v>
      </c>
      <c r="F151" s="64">
        <v>148</v>
      </c>
      <c r="G151" s="64">
        <f t="shared" ca="1" si="7"/>
        <v>-1.2720664729544407E-2</v>
      </c>
    </row>
    <row r="152" spans="2:7" x14ac:dyDescent="0.3">
      <c r="B152" s="55">
        <v>45420</v>
      </c>
      <c r="C152" s="54">
        <v>4806.75</v>
      </c>
      <c r="D152" s="56">
        <f t="shared" si="6"/>
        <v>1.3804230907135118E-2</v>
      </c>
      <c r="E152" s="64">
        <v>3.1391818386636627E-2</v>
      </c>
      <c r="F152" s="64">
        <v>149</v>
      </c>
      <c r="G152" s="64">
        <f t="shared" ca="1" si="7"/>
        <v>1.6556981812014746E-2</v>
      </c>
    </row>
    <row r="153" spans="2:7" x14ac:dyDescent="0.3">
      <c r="B153" s="55">
        <v>44503</v>
      </c>
      <c r="C153" s="54">
        <v>4741.3</v>
      </c>
      <c r="D153" s="56">
        <f t="shared" si="6"/>
        <v>0.71562454769141715</v>
      </c>
      <c r="E153" s="64">
        <v>3.137881902524442E-2</v>
      </c>
      <c r="F153" s="64">
        <v>150</v>
      </c>
      <c r="G153" s="64">
        <f t="shared" ca="1" si="7"/>
        <v>-2.6345642899388712E-2</v>
      </c>
    </row>
    <row r="154" spans="2:7" x14ac:dyDescent="0.3">
      <c r="B154" s="55">
        <v>44196</v>
      </c>
      <c r="C154" s="54">
        <v>2763.6</v>
      </c>
      <c r="D154" s="56">
        <f t="shared" si="6"/>
        <v>-0.15592071103509364</v>
      </c>
      <c r="E154" s="64">
        <v>3.1078610603290535E-2</v>
      </c>
      <c r="F154" s="64">
        <v>151</v>
      </c>
      <c r="G154" s="64">
        <f t="shared" ca="1" si="7"/>
        <v>3.7038554026697687E-4</v>
      </c>
    </row>
    <row r="155" spans="2:7" x14ac:dyDescent="0.3">
      <c r="B155" s="55">
        <v>44361</v>
      </c>
      <c r="C155" s="54">
        <v>3274.1</v>
      </c>
      <c r="D155" s="56">
        <f t="shared" si="6"/>
        <v>1.336473274816242</v>
      </c>
      <c r="E155" s="64">
        <v>3.1033994111256291E-2</v>
      </c>
      <c r="F155" s="64">
        <v>152</v>
      </c>
      <c r="G155" s="64">
        <f t="shared" ca="1" si="7"/>
        <v>6.2518503813036221E-3</v>
      </c>
    </row>
    <row r="156" spans="2:7" x14ac:dyDescent="0.3">
      <c r="B156" s="55">
        <v>43195</v>
      </c>
      <c r="C156" s="54">
        <v>1401.3</v>
      </c>
      <c r="D156" s="56">
        <f t="shared" si="6"/>
        <v>-0.55762856331091959</v>
      </c>
      <c r="E156" s="64">
        <v>3.1012029577309308E-2</v>
      </c>
      <c r="F156" s="64">
        <v>153</v>
      </c>
      <c r="G156" s="64">
        <f t="shared" ca="1" si="7"/>
        <v>1.3619528684194856E-2</v>
      </c>
    </row>
    <row r="157" spans="2:7" x14ac:dyDescent="0.3">
      <c r="B157" s="55">
        <v>44258</v>
      </c>
      <c r="C157" s="54">
        <v>3167.7</v>
      </c>
      <c r="D157" s="56">
        <f t="shared" si="6"/>
        <v>-0.21501232854647057</v>
      </c>
      <c r="E157" s="64">
        <v>3.0649097120546642E-2</v>
      </c>
      <c r="F157" s="64">
        <v>154</v>
      </c>
      <c r="G157" s="64">
        <f t="shared" ca="1" si="7"/>
        <v>3.5394348452027667E-4</v>
      </c>
    </row>
    <row r="158" spans="2:7" x14ac:dyDescent="0.3">
      <c r="B158" s="55">
        <v>44763</v>
      </c>
      <c r="C158" s="54">
        <v>4035.35</v>
      </c>
      <c r="D158" s="56">
        <f t="shared" si="6"/>
        <v>3.8037021605856793</v>
      </c>
      <c r="E158" s="64">
        <v>3.062227840988907E-2</v>
      </c>
      <c r="F158" s="64">
        <v>155</v>
      </c>
      <c r="G158" s="64">
        <f t="shared" ca="1" si="7"/>
        <v>-2.6153837667150938E-2</v>
      </c>
    </row>
    <row r="159" spans="2:7" x14ac:dyDescent="0.3">
      <c r="B159" s="55">
        <v>42919</v>
      </c>
      <c r="C159" s="54">
        <v>840.05</v>
      </c>
      <c r="D159" s="56">
        <f t="shared" si="6"/>
        <v>8.5195711148430275E-2</v>
      </c>
      <c r="E159" s="64">
        <v>3.0609741136056856E-2</v>
      </c>
      <c r="F159" s="64">
        <v>156</v>
      </c>
      <c r="G159" s="64">
        <f t="shared" ca="1" si="7"/>
        <v>-1.1582202903117882E-2</v>
      </c>
    </row>
    <row r="160" spans="2:7" x14ac:dyDescent="0.3">
      <c r="B160" s="55">
        <v>42835</v>
      </c>
      <c r="C160" s="54">
        <v>774.1</v>
      </c>
      <c r="D160" s="56">
        <f t="shared" si="6"/>
        <v>-0.33738497753049435</v>
      </c>
      <c r="E160" s="64">
        <v>3.0484558040468457E-2</v>
      </c>
      <c r="F160" s="64">
        <v>157</v>
      </c>
      <c r="G160" s="64">
        <f t="shared" ca="1" si="7"/>
        <v>1.0923975492002755E-3</v>
      </c>
    </row>
    <row r="161" spans="2:7" x14ac:dyDescent="0.3">
      <c r="B161" s="55">
        <v>43397</v>
      </c>
      <c r="C161" s="54">
        <v>1168.25</v>
      </c>
      <c r="D161" s="56">
        <f t="shared" si="6"/>
        <v>-0.71260762607626082</v>
      </c>
      <c r="E161" s="64">
        <v>3.0475434418276492E-2</v>
      </c>
      <c r="F161" s="64">
        <v>158</v>
      </c>
      <c r="G161" s="64">
        <f t="shared" ca="1" si="7"/>
        <v>1.080289412907586E-2</v>
      </c>
    </row>
    <row r="162" spans="2:7" x14ac:dyDescent="0.3">
      <c r="B162" s="55">
        <v>45743</v>
      </c>
      <c r="C162" s="54">
        <v>4065</v>
      </c>
      <c r="D162" s="56">
        <f t="shared" si="6"/>
        <v>1.1110303282093894</v>
      </c>
      <c r="E162" s="64">
        <v>3.0235446181919645E-2</v>
      </c>
      <c r="F162" s="64">
        <v>159</v>
      </c>
      <c r="G162" s="64">
        <f t="shared" ca="1" si="7"/>
        <v>-7.3578539803193389E-3</v>
      </c>
    </row>
    <row r="163" spans="2:7" x14ac:dyDescent="0.3">
      <c r="B163" s="55">
        <v>43755</v>
      </c>
      <c r="C163" s="54">
        <v>1925.6</v>
      </c>
      <c r="D163" s="56">
        <f t="shared" si="6"/>
        <v>-0.20102900294593584</v>
      </c>
      <c r="E163" s="64">
        <v>2.9457364341085146E-2</v>
      </c>
      <c r="F163" s="64">
        <v>160</v>
      </c>
      <c r="G163" s="64">
        <f t="shared" ca="1" si="7"/>
        <v>-3.0728077019495606E-2</v>
      </c>
    </row>
    <row r="164" spans="2:7" x14ac:dyDescent="0.3">
      <c r="B164" s="55">
        <v>44069</v>
      </c>
      <c r="C164" s="54">
        <v>2410.1</v>
      </c>
      <c r="D164" s="56">
        <f t="shared" si="6"/>
        <v>-0.41523007679336155</v>
      </c>
      <c r="E164" s="64">
        <v>2.9451338017640882E-2</v>
      </c>
      <c r="F164" s="64">
        <v>161</v>
      </c>
      <c r="G164" s="64">
        <f t="shared" ca="1" si="7"/>
        <v>-2.42441988502421E-2</v>
      </c>
    </row>
    <row r="165" spans="2:7" x14ac:dyDescent="0.3">
      <c r="B165" s="55">
        <v>45749</v>
      </c>
      <c r="C165" s="54">
        <v>4121.45</v>
      </c>
      <c r="D165" s="56">
        <f t="shared" si="6"/>
        <v>0.83976877064547817</v>
      </c>
      <c r="E165" s="64">
        <v>2.9436007593166114E-2</v>
      </c>
      <c r="F165" s="64">
        <v>162</v>
      </c>
      <c r="G165" s="64">
        <f t="shared" ca="1" si="7"/>
        <v>3.1554283076466808E-2</v>
      </c>
    </row>
    <row r="166" spans="2:7" x14ac:dyDescent="0.3">
      <c r="B166" s="55">
        <v>44132</v>
      </c>
      <c r="C166" s="54">
        <v>2240.1999999999998</v>
      </c>
      <c r="D166" s="56">
        <f t="shared" si="6"/>
        <v>0.67048208493344763</v>
      </c>
      <c r="E166" s="64">
        <v>2.9409061667126091E-2</v>
      </c>
      <c r="F166" s="64">
        <v>163</v>
      </c>
      <c r="G166" s="64">
        <f t="shared" ca="1" si="7"/>
        <v>-6.7671537671777793E-3</v>
      </c>
    </row>
    <row r="167" spans="2:7" x14ac:dyDescent="0.3">
      <c r="B167" s="55">
        <v>43609</v>
      </c>
      <c r="C167" s="54">
        <v>1341.05</v>
      </c>
      <c r="D167" s="56">
        <f t="shared" si="6"/>
        <v>-4.0256208401918014E-2</v>
      </c>
      <c r="E167" s="64">
        <v>2.9083374899282477E-2</v>
      </c>
      <c r="F167" s="64">
        <v>164</v>
      </c>
      <c r="G167" s="64">
        <f t="shared" ca="1" si="7"/>
        <v>1.4836311712121009E-2</v>
      </c>
    </row>
    <row r="168" spans="2:7" x14ac:dyDescent="0.3">
      <c r="B168" s="55">
        <v>43488</v>
      </c>
      <c r="C168" s="54">
        <v>1397.3</v>
      </c>
      <c r="D168" s="56">
        <f t="shared" si="6"/>
        <v>-0.64489567714554374</v>
      </c>
      <c r="E168" s="64">
        <v>2.9015391413211411E-2</v>
      </c>
      <c r="F168" s="64">
        <v>165</v>
      </c>
      <c r="G168" s="64">
        <f t="shared" ca="1" si="7"/>
        <v>4.8391649114515919E-4</v>
      </c>
    </row>
    <row r="169" spans="2:7" x14ac:dyDescent="0.3">
      <c r="B169" s="55">
        <v>46058</v>
      </c>
      <c r="C169" s="54">
        <v>3934.9</v>
      </c>
      <c r="D169" s="56">
        <f t="shared" si="6"/>
        <v>0.32942547764244812</v>
      </c>
      <c r="E169" s="64">
        <v>2.8920325288287918E-2</v>
      </c>
      <c r="F169" s="64">
        <v>166</v>
      </c>
      <c r="G169" s="64">
        <f t="shared" ca="1" si="7"/>
        <v>2.328317100224233E-2</v>
      </c>
    </row>
    <row r="170" spans="2:7" x14ac:dyDescent="0.3">
      <c r="B170" s="55">
        <v>44231</v>
      </c>
      <c r="C170" s="54">
        <v>2959.85</v>
      </c>
      <c r="D170" s="56">
        <f t="shared" si="6"/>
        <v>0.38852532076091273</v>
      </c>
      <c r="E170" s="64">
        <v>2.8797358359402114E-2</v>
      </c>
      <c r="F170" s="64">
        <v>167</v>
      </c>
      <c r="G170" s="64">
        <f t="shared" ca="1" si="7"/>
        <v>2.3105227751749918E-2</v>
      </c>
    </row>
    <row r="171" spans="2:7" x14ac:dyDescent="0.3">
      <c r="B171" s="55">
        <v>43864</v>
      </c>
      <c r="C171" s="54">
        <v>2131.65</v>
      </c>
      <c r="D171" s="56">
        <f t="shared" si="6"/>
        <v>0.80441867355144558</v>
      </c>
      <c r="E171" s="64">
        <v>2.8763784657706015E-2</v>
      </c>
      <c r="F171" s="64">
        <v>168</v>
      </c>
      <c r="G171" s="64">
        <f t="shared" ca="1" si="7"/>
        <v>-8.1713414866009196E-3</v>
      </c>
    </row>
    <row r="172" spans="2:7" x14ac:dyDescent="0.3">
      <c r="B172" s="55">
        <v>43098</v>
      </c>
      <c r="C172" s="54">
        <v>1181.3499999999999</v>
      </c>
      <c r="D172" s="56">
        <f t="shared" si="6"/>
        <v>-0.68852005167822394</v>
      </c>
      <c r="E172" s="64">
        <v>2.8736883354377962E-2</v>
      </c>
      <c r="F172" s="64">
        <v>169</v>
      </c>
      <c r="G172" s="64">
        <f t="shared" ca="1" si="7"/>
        <v>3.53013358320063E-2</v>
      </c>
    </row>
    <row r="173" spans="2:7" x14ac:dyDescent="0.3">
      <c r="B173" s="55">
        <v>45322</v>
      </c>
      <c r="C173" s="54">
        <v>3792.7</v>
      </c>
      <c r="D173" s="56">
        <f t="shared" si="6"/>
        <v>-0.14418846041022637</v>
      </c>
      <c r="E173" s="64">
        <v>2.8584601198708981E-2</v>
      </c>
      <c r="F173" s="64">
        <v>170</v>
      </c>
      <c r="G173" s="64">
        <f t="shared" ca="1" si="7"/>
        <v>-1.8658233581820338E-2</v>
      </c>
    </row>
    <row r="174" spans="2:7" x14ac:dyDescent="0.3">
      <c r="B174" s="55">
        <v>44826</v>
      </c>
      <c r="C174" s="54">
        <v>4431.7</v>
      </c>
      <c r="D174" s="56">
        <f t="shared" si="6"/>
        <v>5.7760698856720083E-2</v>
      </c>
      <c r="E174" s="64">
        <v>2.8546893494557635E-2</v>
      </c>
      <c r="F174" s="64">
        <v>171</v>
      </c>
      <c r="G174" s="64">
        <f t="shared" ca="1" si="7"/>
        <v>3.0392855135448304E-3</v>
      </c>
    </row>
    <row r="175" spans="2:7" x14ac:dyDescent="0.3">
      <c r="B175" s="55">
        <v>45793</v>
      </c>
      <c r="C175" s="54">
        <v>4189.7</v>
      </c>
      <c r="D175" s="56">
        <f t="shared" si="6"/>
        <v>0.14633979506682904</v>
      </c>
      <c r="E175" s="64">
        <v>2.8525837731680381E-2</v>
      </c>
      <c r="F175" s="64">
        <v>172</v>
      </c>
      <c r="G175" s="64">
        <f t="shared" ca="1" si="7"/>
        <v>-8.8710735007719414E-3</v>
      </c>
    </row>
    <row r="176" spans="2:7" x14ac:dyDescent="0.3">
      <c r="B176" s="55">
        <v>45021</v>
      </c>
      <c r="C176" s="54">
        <v>3654.85</v>
      </c>
      <c r="D176" s="56">
        <f t="shared" si="6"/>
        <v>0.16736668955714906</v>
      </c>
      <c r="E176" s="64">
        <v>2.8448821667252933E-2</v>
      </c>
      <c r="F176" s="64">
        <v>173</v>
      </c>
      <c r="G176" s="64">
        <f t="shared" ca="1" si="7"/>
        <v>3.1291199749621433E-2</v>
      </c>
    </row>
    <row r="177" spans="2:7" x14ac:dyDescent="0.3">
      <c r="B177" s="55">
        <v>44243</v>
      </c>
      <c r="C177" s="54">
        <v>3130.85</v>
      </c>
      <c r="D177" s="56">
        <f t="shared" si="6"/>
        <v>0.66485868495918754</v>
      </c>
      <c r="E177" s="64">
        <v>2.8345732538470392E-2</v>
      </c>
      <c r="F177" s="64">
        <v>174</v>
      </c>
      <c r="G177" s="64">
        <f t="shared" ca="1" si="7"/>
        <v>-2.7873402996388491E-2</v>
      </c>
    </row>
    <row r="178" spans="2:7" x14ac:dyDescent="0.3">
      <c r="B178" s="55">
        <v>43839</v>
      </c>
      <c r="C178" s="54">
        <v>1880.55</v>
      </c>
      <c r="D178" s="56">
        <f t="shared" si="6"/>
        <v>0.59869931140015309</v>
      </c>
      <c r="E178" s="64">
        <v>2.815669336540827E-2</v>
      </c>
      <c r="F178" s="64">
        <v>175</v>
      </c>
      <c r="G178" s="64">
        <f t="shared" ca="1" si="7"/>
        <v>1.4326111516978692E-2</v>
      </c>
    </row>
    <row r="179" spans="2:7" x14ac:dyDescent="0.3">
      <c r="B179" s="55">
        <v>43122</v>
      </c>
      <c r="C179" s="54">
        <v>1176.3</v>
      </c>
      <c r="D179" s="56">
        <f t="shared" si="6"/>
        <v>-0.68852936503733519</v>
      </c>
      <c r="E179" s="64">
        <v>2.7919779787652477E-2</v>
      </c>
      <c r="F179" s="64">
        <v>176</v>
      </c>
      <c r="G179" s="64">
        <f t="shared" ca="1" si="7"/>
        <v>-3.8097297820739867E-2</v>
      </c>
    </row>
    <row r="180" spans="2:7" x14ac:dyDescent="0.3">
      <c r="B180" s="55">
        <v>46056</v>
      </c>
      <c r="C180" s="54">
        <v>3776.6</v>
      </c>
      <c r="D180" s="56">
        <f t="shared" si="6"/>
        <v>-1.8618852725264756E-2</v>
      </c>
      <c r="E180" s="64">
        <v>2.7870012519732201E-2</v>
      </c>
      <c r="F180" s="64">
        <v>177</v>
      </c>
      <c r="G180" s="64">
        <f t="shared" ca="1" si="7"/>
        <v>-8.5562701523283352E-3</v>
      </c>
    </row>
    <row r="181" spans="2:7" x14ac:dyDescent="0.3">
      <c r="B181" s="55">
        <v>45103</v>
      </c>
      <c r="C181" s="54">
        <v>3848.25</v>
      </c>
      <c r="D181" s="56">
        <f t="shared" si="6"/>
        <v>1.544045218656001</v>
      </c>
      <c r="E181" s="64">
        <v>2.7830824908855245E-2</v>
      </c>
      <c r="F181" s="64">
        <v>178</v>
      </c>
      <c r="G181" s="64">
        <f t="shared" ca="1" si="7"/>
        <v>-1.0353709366375476E-2</v>
      </c>
    </row>
    <row r="182" spans="2:7" x14ac:dyDescent="0.3">
      <c r="B182" s="55">
        <v>43502</v>
      </c>
      <c r="C182" s="54">
        <v>1512.65</v>
      </c>
      <c r="D182" s="56">
        <f t="shared" si="6"/>
        <v>2.6952713941410078E-2</v>
      </c>
      <c r="E182" s="64">
        <v>2.7824964326968793E-2</v>
      </c>
      <c r="F182" s="64">
        <v>179</v>
      </c>
      <c r="G182" s="64">
        <f t="shared" ca="1" si="7"/>
        <v>-2.6042362840145501E-2</v>
      </c>
    </row>
    <row r="183" spans="2:7" x14ac:dyDescent="0.3">
      <c r="B183" s="55">
        <v>43516</v>
      </c>
      <c r="C183" s="54">
        <v>1472.95</v>
      </c>
      <c r="D183" s="56">
        <f t="shared" si="6"/>
        <v>-0.38988070582387535</v>
      </c>
      <c r="E183" s="64">
        <v>2.7663434033349699E-2</v>
      </c>
      <c r="F183" s="64">
        <v>180</v>
      </c>
      <c r="G183" s="64">
        <f t="shared" ca="1" si="7"/>
        <v>-9.5222004893628365E-3</v>
      </c>
    </row>
    <row r="184" spans="2:7" x14ac:dyDescent="0.3">
      <c r="B184" s="55">
        <v>43986</v>
      </c>
      <c r="C184" s="54">
        <v>2414.1999999999998</v>
      </c>
      <c r="D184" s="56">
        <f t="shared" si="6"/>
        <v>2.0822853495052662</v>
      </c>
      <c r="E184" s="64">
        <v>2.7625250074490015E-2</v>
      </c>
      <c r="F184" s="64">
        <v>181</v>
      </c>
      <c r="G184" s="64">
        <f t="shared" ca="1" si="7"/>
        <v>-3.9444964933747273E-2</v>
      </c>
    </row>
    <row r="185" spans="2:7" x14ac:dyDescent="0.3">
      <c r="B185" s="55">
        <v>42838</v>
      </c>
      <c r="C185" s="54">
        <v>783.25</v>
      </c>
      <c r="D185" s="56">
        <f t="shared" si="6"/>
        <v>-0.79149474244642626</v>
      </c>
      <c r="E185" s="64">
        <v>2.7617423248491146E-2</v>
      </c>
      <c r="F185" s="64">
        <v>182</v>
      </c>
      <c r="G185" s="64">
        <f t="shared" ca="1" si="7"/>
        <v>1.36046181647185E-2</v>
      </c>
    </row>
    <row r="186" spans="2:7" x14ac:dyDescent="0.3">
      <c r="B186" s="55">
        <v>46105</v>
      </c>
      <c r="C186" s="54">
        <v>3756.5</v>
      </c>
      <c r="D186" s="56">
        <f t="shared" si="6"/>
        <v>1.6019948742813601</v>
      </c>
      <c r="E186" s="64">
        <v>2.7601488127803941E-2</v>
      </c>
      <c r="F186" s="64">
        <v>183</v>
      </c>
      <c r="G186" s="64">
        <f t="shared" ca="1" si="7"/>
        <v>-1.1309431257236238E-2</v>
      </c>
    </row>
    <row r="187" spans="2:7" x14ac:dyDescent="0.3">
      <c r="B187" s="55">
        <v>43432</v>
      </c>
      <c r="C187" s="54">
        <v>1443.7</v>
      </c>
      <c r="D187" s="56">
        <f t="shared" si="6"/>
        <v>-0.65365607907110634</v>
      </c>
      <c r="E187" s="64">
        <v>2.7581052706501907E-2</v>
      </c>
      <c r="F187" s="64">
        <v>184</v>
      </c>
      <c r="G187" s="64">
        <f t="shared" ca="1" si="7"/>
        <v>1.0139115661214341E-2</v>
      </c>
    </row>
    <row r="188" spans="2:7" x14ac:dyDescent="0.3">
      <c r="B188" s="55">
        <v>46176</v>
      </c>
      <c r="C188" s="54">
        <v>4168.3999999999996</v>
      </c>
      <c r="D188" s="56">
        <f t="shared" si="6"/>
        <v>-4.3045065313712438E-2</v>
      </c>
      <c r="E188" s="64">
        <v>2.7458713334976403E-2</v>
      </c>
      <c r="F188" s="64">
        <v>185</v>
      </c>
      <c r="G188" s="64">
        <f t="shared" ca="1" si="7"/>
        <v>-3.2585180446767677E-4</v>
      </c>
    </row>
    <row r="189" spans="2:7" x14ac:dyDescent="0.3">
      <c r="B189" s="55">
        <v>44459</v>
      </c>
      <c r="C189" s="54">
        <v>4355.8999999999996</v>
      </c>
      <c r="D189" s="56">
        <f t="shared" si="6"/>
        <v>1.6449086161879891</v>
      </c>
      <c r="E189" s="64">
        <v>2.7419716250162152E-2</v>
      </c>
      <c r="F189" s="64">
        <v>186</v>
      </c>
      <c r="G189" s="64">
        <f t="shared" ca="1" si="7"/>
        <v>8.9371538815495657E-3</v>
      </c>
    </row>
    <row r="190" spans="2:7" x14ac:dyDescent="0.3">
      <c r="B190" s="55">
        <v>43726</v>
      </c>
      <c r="C190" s="54">
        <v>1646.9</v>
      </c>
      <c r="D190" s="56">
        <f t="shared" si="6"/>
        <v>7.9297463791860645E-2</v>
      </c>
      <c r="E190" s="64">
        <v>2.7354106234989572E-2</v>
      </c>
      <c r="F190" s="64">
        <v>187</v>
      </c>
      <c r="G190" s="64">
        <f t="shared" ca="1" si="7"/>
        <v>1.2322900459594886E-2</v>
      </c>
    </row>
    <row r="191" spans="2:7" x14ac:dyDescent="0.3">
      <c r="B191" s="55">
        <v>43283</v>
      </c>
      <c r="C191" s="54">
        <v>1525.9</v>
      </c>
      <c r="D191" s="56">
        <f t="shared" si="6"/>
        <v>9.5405599425699927E-2</v>
      </c>
      <c r="E191" s="64">
        <v>2.7265383061801485E-2</v>
      </c>
      <c r="F191" s="64">
        <v>188</v>
      </c>
      <c r="G191" s="64">
        <f t="shared" ca="1" si="7"/>
        <v>8.6880933732271116E-3</v>
      </c>
    </row>
    <row r="192" spans="2:7" x14ac:dyDescent="0.3">
      <c r="B192" s="55">
        <v>43654</v>
      </c>
      <c r="C192" s="54">
        <v>1393</v>
      </c>
      <c r="D192" s="56">
        <f t="shared" si="6"/>
        <v>-0.6703426732298372</v>
      </c>
      <c r="E192" s="64">
        <v>2.7172510415514495E-2</v>
      </c>
      <c r="F192" s="64">
        <v>189</v>
      </c>
      <c r="G192" s="64">
        <f t="shared" ca="1" si="7"/>
        <v>-2.3577825545874849E-2</v>
      </c>
    </row>
    <row r="193" spans="2:7" x14ac:dyDescent="0.3">
      <c r="B193" s="55">
        <v>44593</v>
      </c>
      <c r="C193" s="54">
        <v>4225.6000000000004</v>
      </c>
      <c r="D193" s="56">
        <f t="shared" si="6"/>
        <v>1.009606696152566</v>
      </c>
      <c r="E193" s="64">
        <v>2.7039508063241957E-2</v>
      </c>
      <c r="F193" s="64">
        <v>190</v>
      </c>
      <c r="G193" s="64">
        <f t="shared" ca="1" si="7"/>
        <v>2.0881810490573388E-2</v>
      </c>
    </row>
    <row r="194" spans="2:7" x14ac:dyDescent="0.3">
      <c r="B194" s="55">
        <v>44099</v>
      </c>
      <c r="C194" s="54">
        <v>2102.6999999999998</v>
      </c>
      <c r="D194" s="56">
        <f t="shared" si="6"/>
        <v>-7.7115519662921517E-2</v>
      </c>
      <c r="E194" s="64">
        <v>2.7034947615209859E-2</v>
      </c>
      <c r="F194" s="64">
        <v>191</v>
      </c>
      <c r="G194" s="64">
        <f t="shared" ca="1" si="7"/>
        <v>1.2000761695803495E-2</v>
      </c>
    </row>
    <row r="195" spans="2:7" x14ac:dyDescent="0.3">
      <c r="B195" s="55">
        <v>44077</v>
      </c>
      <c r="C195" s="54">
        <v>2278.4</v>
      </c>
      <c r="D195" s="56">
        <f t="shared" si="6"/>
        <v>-0.37697566311184028</v>
      </c>
      <c r="E195" s="64">
        <v>2.7023372174265869E-2</v>
      </c>
      <c r="F195" s="64">
        <v>192</v>
      </c>
      <c r="G195" s="64">
        <f t="shared" ca="1" si="7"/>
        <v>-2.004433833360255E-2</v>
      </c>
    </row>
    <row r="196" spans="2:7" x14ac:dyDescent="0.3">
      <c r="B196" s="55">
        <v>44698</v>
      </c>
      <c r="C196" s="54">
        <v>3657</v>
      </c>
      <c r="D196" s="56">
        <f t="shared" ref="D196:D259" si="8">C196/C197-1</f>
        <v>1.4986335064225198</v>
      </c>
      <c r="E196" s="64">
        <v>2.6929881216477991E-2</v>
      </c>
      <c r="F196" s="64">
        <v>193</v>
      </c>
      <c r="G196" s="64">
        <f t="shared" ca="1" si="7"/>
        <v>2.442724995158857E-2</v>
      </c>
    </row>
    <row r="197" spans="2:7" x14ac:dyDescent="0.3">
      <c r="B197" s="55">
        <v>43662</v>
      </c>
      <c r="C197" s="54">
        <v>1463.6</v>
      </c>
      <c r="D197" s="56">
        <f t="shared" si="8"/>
        <v>-0.68208870932707766</v>
      </c>
      <c r="E197" s="64">
        <v>2.6907560077179316E-2</v>
      </c>
      <c r="F197" s="64">
        <v>194</v>
      </c>
      <c r="G197" s="64">
        <f t="shared" ref="G197:G260" ca="1" si="9">_xlfn.NORM.INV(RAND(),K$6,K$7)</f>
        <v>2.2594134000511606E-2</v>
      </c>
    </row>
    <row r="198" spans="2:7" x14ac:dyDescent="0.3">
      <c r="B198" s="55">
        <v>45412</v>
      </c>
      <c r="C198" s="54">
        <v>4603.8</v>
      </c>
      <c r="D198" s="56">
        <f t="shared" si="8"/>
        <v>0.29013997674060188</v>
      </c>
      <c r="E198" s="64">
        <v>2.6763013515321843E-2</v>
      </c>
      <c r="F198" s="64">
        <v>195</v>
      </c>
      <c r="G198" s="64">
        <f t="shared" ca="1" si="9"/>
        <v>1.4644555157713814E-2</v>
      </c>
    </row>
    <row r="199" spans="2:7" x14ac:dyDescent="0.3">
      <c r="B199" s="55">
        <v>45672</v>
      </c>
      <c r="C199" s="54">
        <v>3568.45</v>
      </c>
      <c r="D199" s="56">
        <f t="shared" si="8"/>
        <v>-0.12943400829470608</v>
      </c>
      <c r="E199" s="64">
        <v>2.6449014813749505E-2</v>
      </c>
      <c r="F199" s="64">
        <v>196</v>
      </c>
      <c r="G199" s="64">
        <f t="shared" ca="1" si="9"/>
        <v>9.8893124259101205E-3</v>
      </c>
    </row>
    <row r="200" spans="2:7" x14ac:dyDescent="0.3">
      <c r="B200" s="55">
        <v>46188</v>
      </c>
      <c r="C200" s="54">
        <v>4099</v>
      </c>
      <c r="D200" s="56">
        <f t="shared" si="8"/>
        <v>-1.5397179986068155E-2</v>
      </c>
      <c r="E200" s="64">
        <v>2.6392227564102644E-2</v>
      </c>
      <c r="F200" s="64">
        <v>197</v>
      </c>
      <c r="G200" s="64">
        <f t="shared" ca="1" si="9"/>
        <v>-3.5791949846062675E-2</v>
      </c>
    </row>
    <row r="201" spans="2:7" x14ac:dyDescent="0.3">
      <c r="B201" s="55">
        <v>45372</v>
      </c>
      <c r="C201" s="54">
        <v>4163.1000000000004</v>
      </c>
      <c r="D201" s="56">
        <f t="shared" si="8"/>
        <v>1.6488722043712025</v>
      </c>
      <c r="E201" s="64">
        <v>2.6316762606777067E-2</v>
      </c>
      <c r="F201" s="64">
        <v>198</v>
      </c>
      <c r="G201" s="64">
        <f t="shared" ca="1" si="9"/>
        <v>-2.049461082892301E-2</v>
      </c>
    </row>
    <row r="202" spans="2:7" x14ac:dyDescent="0.3">
      <c r="B202" s="55">
        <v>43305</v>
      </c>
      <c r="C202" s="54">
        <v>1571.65</v>
      </c>
      <c r="D202" s="56">
        <f t="shared" si="8"/>
        <v>0.13842309224584426</v>
      </c>
      <c r="E202" s="64">
        <v>2.6149125097936876E-2</v>
      </c>
      <c r="F202" s="64">
        <v>199</v>
      </c>
      <c r="G202" s="64">
        <f t="shared" ca="1" si="9"/>
        <v>5.9636139837541706E-3</v>
      </c>
    </row>
    <row r="203" spans="2:7" x14ac:dyDescent="0.3">
      <c r="B203" s="55">
        <v>43242</v>
      </c>
      <c r="C203" s="54">
        <v>1380.55</v>
      </c>
      <c r="D203" s="56">
        <f t="shared" si="8"/>
        <v>-0.58906087215359437</v>
      </c>
      <c r="E203" s="64">
        <v>2.6087925972722914E-2</v>
      </c>
      <c r="F203" s="64">
        <v>200</v>
      </c>
      <c r="G203" s="64">
        <f t="shared" ca="1" si="9"/>
        <v>1.2260318198921958E-2</v>
      </c>
    </row>
    <row r="204" spans="2:7" x14ac:dyDescent="0.3">
      <c r="B204" s="55">
        <v>44362</v>
      </c>
      <c r="C204" s="54">
        <v>3359.5</v>
      </c>
      <c r="D204" s="56">
        <f t="shared" si="8"/>
        <v>0.4520974260335846</v>
      </c>
      <c r="E204" s="64">
        <v>2.608350386365732E-2</v>
      </c>
      <c r="F204" s="64">
        <v>201</v>
      </c>
      <c r="G204" s="64">
        <f t="shared" ca="1" si="9"/>
        <v>1.2047294326793544E-2</v>
      </c>
    </row>
    <row r="205" spans="2:7" x14ac:dyDescent="0.3">
      <c r="B205" s="55">
        <v>43962</v>
      </c>
      <c r="C205" s="54">
        <v>2313.5500000000002</v>
      </c>
      <c r="D205" s="56">
        <f t="shared" si="8"/>
        <v>-0.43319654559931398</v>
      </c>
      <c r="E205" s="64">
        <v>2.5964523281596597E-2</v>
      </c>
      <c r="F205" s="64">
        <v>202</v>
      </c>
      <c r="G205" s="64">
        <f t="shared" ca="1" si="9"/>
        <v>1.3874032990787972E-2</v>
      </c>
    </row>
    <row r="206" spans="2:7" x14ac:dyDescent="0.3">
      <c r="B206" s="55">
        <v>44607</v>
      </c>
      <c r="C206" s="54">
        <v>4081.75</v>
      </c>
      <c r="D206" s="56">
        <f t="shared" si="8"/>
        <v>1.785416951003139</v>
      </c>
      <c r="E206" s="64">
        <v>2.5629750612475632E-2</v>
      </c>
      <c r="F206" s="64">
        <v>203</v>
      </c>
      <c r="G206" s="64">
        <f t="shared" ca="1" si="9"/>
        <v>-1.3640825940740363E-2</v>
      </c>
    </row>
    <row r="207" spans="2:7" x14ac:dyDescent="0.3">
      <c r="B207" s="55">
        <v>43510</v>
      </c>
      <c r="C207" s="54">
        <v>1465.4</v>
      </c>
      <c r="D207" s="56">
        <f t="shared" si="8"/>
        <v>-0.64122903660178721</v>
      </c>
      <c r="E207" s="64">
        <v>2.5615901455767087E-2</v>
      </c>
      <c r="F207" s="64">
        <v>204</v>
      </c>
      <c r="G207" s="64">
        <f t="shared" ca="1" si="9"/>
        <v>2.3488970745357907E-4</v>
      </c>
    </row>
    <row r="208" spans="2:7" x14ac:dyDescent="0.3">
      <c r="B208" s="55">
        <v>44455</v>
      </c>
      <c r="C208" s="54">
        <v>4084.5</v>
      </c>
      <c r="D208" s="56">
        <f t="shared" si="8"/>
        <v>1.6035823559408464</v>
      </c>
      <c r="E208" s="64">
        <v>2.5586300406769569E-2</v>
      </c>
      <c r="F208" s="64">
        <v>205</v>
      </c>
      <c r="G208" s="64">
        <f t="shared" ca="1" si="9"/>
        <v>-9.1520981260065012E-3</v>
      </c>
    </row>
    <row r="209" spans="2:7" x14ac:dyDescent="0.3">
      <c r="B209" s="55">
        <v>43717</v>
      </c>
      <c r="C209" s="54">
        <v>1568.8</v>
      </c>
      <c r="D209" s="56">
        <f t="shared" si="8"/>
        <v>-0.35293875025778509</v>
      </c>
      <c r="E209" s="64">
        <v>2.5560567431522463E-2</v>
      </c>
      <c r="F209" s="64">
        <v>206</v>
      </c>
      <c r="G209" s="64">
        <f t="shared" ca="1" si="9"/>
        <v>5.3637013881410438E-3</v>
      </c>
    </row>
    <row r="210" spans="2:7" x14ac:dyDescent="0.3">
      <c r="B210" s="55">
        <v>43880</v>
      </c>
      <c r="C210" s="54">
        <v>2424.5</v>
      </c>
      <c r="D210" s="56">
        <f t="shared" si="8"/>
        <v>-0.40724169967238766</v>
      </c>
      <c r="E210" s="64">
        <v>2.5201911285889445E-2</v>
      </c>
      <c r="F210" s="64">
        <v>207</v>
      </c>
      <c r="G210" s="64">
        <f t="shared" ca="1" si="9"/>
        <v>-5.883366453026978E-3</v>
      </c>
    </row>
    <row r="211" spans="2:7" x14ac:dyDescent="0.3">
      <c r="B211" s="55">
        <v>44914</v>
      </c>
      <c r="C211" s="54">
        <v>4090.2</v>
      </c>
      <c r="D211" s="56">
        <f t="shared" si="8"/>
        <v>0.60768822593007465</v>
      </c>
      <c r="E211" s="64">
        <v>2.5112781954887087E-2</v>
      </c>
      <c r="F211" s="64">
        <v>208</v>
      </c>
      <c r="G211" s="64">
        <f t="shared" ca="1" si="9"/>
        <v>1.5494906548405973E-2</v>
      </c>
    </row>
    <row r="212" spans="2:7" x14ac:dyDescent="0.3">
      <c r="B212" s="55">
        <v>43874</v>
      </c>
      <c r="C212" s="54">
        <v>2544.15</v>
      </c>
      <c r="D212" s="56">
        <f t="shared" si="8"/>
        <v>-0.3057590765830297</v>
      </c>
      <c r="E212" s="64">
        <v>2.4978345386056366E-2</v>
      </c>
      <c r="F212" s="64">
        <v>209</v>
      </c>
      <c r="G212" s="64">
        <f t="shared" ca="1" si="9"/>
        <v>-1.8241314248609156E-2</v>
      </c>
    </row>
    <row r="213" spans="2:7" x14ac:dyDescent="0.3">
      <c r="B213" s="55">
        <v>45688</v>
      </c>
      <c r="C213" s="54">
        <v>3664.65</v>
      </c>
      <c r="D213" s="56">
        <f t="shared" si="8"/>
        <v>-0.12773427272510895</v>
      </c>
      <c r="E213" s="64">
        <v>2.496224198691066E-2</v>
      </c>
      <c r="F213" s="64">
        <v>210</v>
      </c>
      <c r="G213" s="64">
        <f t="shared" ca="1" si="9"/>
        <v>1.2678748112587568E-2</v>
      </c>
    </row>
    <row r="214" spans="2:7" x14ac:dyDescent="0.3">
      <c r="B214" s="55">
        <v>46189</v>
      </c>
      <c r="C214" s="54">
        <v>4201.3</v>
      </c>
      <c r="D214" s="56">
        <f t="shared" si="8"/>
        <v>2.0953363294776395</v>
      </c>
      <c r="E214" s="64">
        <v>2.495730666016116E-2</v>
      </c>
      <c r="F214" s="64">
        <v>211</v>
      </c>
      <c r="G214" s="64">
        <f t="shared" ca="1" si="9"/>
        <v>1.8466286917322737E-2</v>
      </c>
    </row>
    <row r="215" spans="2:7" x14ac:dyDescent="0.3">
      <c r="B215" s="55">
        <v>43192</v>
      </c>
      <c r="C215" s="54">
        <v>1357.3</v>
      </c>
      <c r="D215" s="56">
        <f t="shared" si="8"/>
        <v>-0.14825389852844284</v>
      </c>
      <c r="E215" s="64">
        <v>2.4532004830917886E-2</v>
      </c>
      <c r="F215" s="64">
        <v>212</v>
      </c>
      <c r="G215" s="64">
        <f t="shared" ca="1" si="9"/>
        <v>1.9348289475851634E-2</v>
      </c>
    </row>
    <row r="216" spans="2:7" x14ac:dyDescent="0.3">
      <c r="B216" s="55">
        <v>43259</v>
      </c>
      <c r="C216" s="54">
        <v>1593.55</v>
      </c>
      <c r="D216" s="56">
        <f t="shared" si="8"/>
        <v>-0.5839675225501586</v>
      </c>
      <c r="E216" s="64">
        <v>2.4428658673780967E-2</v>
      </c>
      <c r="F216" s="64">
        <v>213</v>
      </c>
      <c r="G216" s="64">
        <f t="shared" ca="1" si="9"/>
        <v>2.8360645060801618E-2</v>
      </c>
    </row>
    <row r="217" spans="2:7" x14ac:dyDescent="0.3">
      <c r="B217" s="55">
        <v>44721</v>
      </c>
      <c r="C217" s="54">
        <v>3830.35</v>
      </c>
      <c r="D217" s="56">
        <f t="shared" si="8"/>
        <v>1.5161597582605268</v>
      </c>
      <c r="E217" s="64">
        <v>2.4322083756752377E-2</v>
      </c>
      <c r="F217" s="64">
        <v>214</v>
      </c>
      <c r="G217" s="64">
        <f t="shared" ca="1" si="9"/>
        <v>1.0821152105097818E-2</v>
      </c>
    </row>
    <row r="218" spans="2:7" x14ac:dyDescent="0.3">
      <c r="B218" s="55">
        <v>43565</v>
      </c>
      <c r="C218" s="54">
        <v>1522.3</v>
      </c>
      <c r="D218" s="56">
        <f t="shared" si="8"/>
        <v>-0.63204138114402419</v>
      </c>
      <c r="E218" s="64">
        <v>2.4290135917103939E-2</v>
      </c>
      <c r="F218" s="64">
        <v>215</v>
      </c>
      <c r="G218" s="64">
        <f t="shared" ca="1" si="9"/>
        <v>2.3830941730668513E-2</v>
      </c>
    </row>
    <row r="219" spans="2:7" x14ac:dyDescent="0.3">
      <c r="B219" s="55">
        <v>45266</v>
      </c>
      <c r="C219" s="54">
        <v>4137.1499999999996</v>
      </c>
      <c r="D219" s="56">
        <f t="shared" si="8"/>
        <v>-0.18893724636828801</v>
      </c>
      <c r="E219" s="64">
        <v>2.4161107054003317E-2</v>
      </c>
      <c r="F219" s="64">
        <v>216</v>
      </c>
      <c r="G219" s="64">
        <f t="shared" ca="1" si="9"/>
        <v>-2.9533351486945641E-3</v>
      </c>
    </row>
    <row r="220" spans="2:7" x14ac:dyDescent="0.3">
      <c r="B220" s="55">
        <v>45539</v>
      </c>
      <c r="C220" s="54">
        <v>5100.8999999999996</v>
      </c>
      <c r="D220" s="56">
        <f t="shared" si="8"/>
        <v>0.40439415214338803</v>
      </c>
      <c r="E220" s="64">
        <v>2.4153716419708315E-2</v>
      </c>
      <c r="F220" s="64">
        <v>217</v>
      </c>
      <c r="G220" s="64">
        <f t="shared" ca="1" si="9"/>
        <v>-2.1293102916902722E-2</v>
      </c>
    </row>
    <row r="221" spans="2:7" x14ac:dyDescent="0.3">
      <c r="B221" s="55">
        <v>45086</v>
      </c>
      <c r="C221" s="54">
        <v>3632.1</v>
      </c>
      <c r="D221" s="56">
        <f t="shared" si="8"/>
        <v>0.35268705076161044</v>
      </c>
      <c r="E221" s="64">
        <v>2.4049847750084563E-2</v>
      </c>
      <c r="F221" s="64">
        <v>218</v>
      </c>
      <c r="G221" s="64">
        <f t="shared" ca="1" si="9"/>
        <v>-1.0267791309314003E-2</v>
      </c>
    </row>
    <row r="222" spans="2:7" x14ac:dyDescent="0.3">
      <c r="B222" s="55">
        <v>44176</v>
      </c>
      <c r="C222" s="54">
        <v>2685.1</v>
      </c>
      <c r="D222" s="56">
        <f t="shared" si="8"/>
        <v>0.73624312964759131</v>
      </c>
      <c r="E222" s="64">
        <v>2.4046070822447918E-2</v>
      </c>
      <c r="F222" s="64">
        <v>219</v>
      </c>
      <c r="G222" s="64">
        <f t="shared" ca="1" si="9"/>
        <v>-7.7280660036311496E-3</v>
      </c>
    </row>
    <row r="223" spans="2:7" x14ac:dyDescent="0.3">
      <c r="B223" s="55">
        <v>43445</v>
      </c>
      <c r="C223" s="54">
        <v>1546.5</v>
      </c>
      <c r="D223" s="56">
        <f t="shared" si="8"/>
        <v>0.27483307229412257</v>
      </c>
      <c r="E223" s="64">
        <v>2.4036551450139054E-2</v>
      </c>
      <c r="F223" s="64">
        <v>220</v>
      </c>
      <c r="G223" s="64">
        <f t="shared" ca="1" si="9"/>
        <v>1.190345620863109E-2</v>
      </c>
    </row>
    <row r="224" spans="2:7" x14ac:dyDescent="0.3">
      <c r="B224" s="55">
        <v>43019</v>
      </c>
      <c r="C224" s="54">
        <v>1213.0999999999999</v>
      </c>
      <c r="D224" s="56">
        <f t="shared" si="8"/>
        <v>-0.69663399019705907</v>
      </c>
      <c r="E224" s="64">
        <v>2.401553201367479E-2</v>
      </c>
      <c r="F224" s="64">
        <v>221</v>
      </c>
      <c r="G224" s="64">
        <f t="shared" ca="1" si="9"/>
        <v>1.8656768212395931E-2</v>
      </c>
    </row>
    <row r="225" spans="2:7" x14ac:dyDescent="0.3">
      <c r="B225" s="55">
        <v>45741</v>
      </c>
      <c r="C225" s="54">
        <v>3998.8</v>
      </c>
      <c r="D225" s="56">
        <f t="shared" si="8"/>
        <v>-4.0348692403486819E-3</v>
      </c>
      <c r="E225" s="64">
        <v>2.3994263911295555E-2</v>
      </c>
      <c r="F225" s="64">
        <v>222</v>
      </c>
      <c r="G225" s="64">
        <f t="shared" ca="1" si="9"/>
        <v>2.167802959006157E-2</v>
      </c>
    </row>
    <row r="226" spans="2:7" x14ac:dyDescent="0.3">
      <c r="B226" s="55">
        <v>46237</v>
      </c>
      <c r="C226" s="54">
        <v>4015</v>
      </c>
      <c r="D226" s="56">
        <f t="shared" si="8"/>
        <v>4.3881768771388314</v>
      </c>
      <c r="E226" s="64">
        <v>2.3973476154042439E-2</v>
      </c>
      <c r="F226" s="64">
        <v>223</v>
      </c>
      <c r="G226" s="64">
        <f t="shared" ca="1" si="9"/>
        <v>-3.4529006097215381E-3</v>
      </c>
    </row>
    <row r="227" spans="2:7" x14ac:dyDescent="0.3">
      <c r="B227" s="55">
        <v>42886</v>
      </c>
      <c r="C227" s="54">
        <v>745.15</v>
      </c>
      <c r="D227" s="56">
        <f t="shared" si="8"/>
        <v>-0.83534779918684821</v>
      </c>
      <c r="E227" s="64">
        <v>2.3768633647042625E-2</v>
      </c>
      <c r="F227" s="64">
        <v>224</v>
      </c>
      <c r="G227" s="64">
        <f t="shared" ca="1" si="9"/>
        <v>1.9171570014638616E-3</v>
      </c>
    </row>
    <row r="228" spans="2:7" x14ac:dyDescent="0.3">
      <c r="B228" s="55">
        <v>45379</v>
      </c>
      <c r="C228" s="54">
        <v>4525.6000000000004</v>
      </c>
      <c r="D228" s="56">
        <f t="shared" si="8"/>
        <v>1.9093246761595579</v>
      </c>
      <c r="E228" s="64">
        <v>2.3764011265566598E-2</v>
      </c>
      <c r="F228" s="64">
        <v>225</v>
      </c>
      <c r="G228" s="64">
        <f t="shared" ca="1" si="9"/>
        <v>-5.1399992349455519E-2</v>
      </c>
    </row>
    <row r="229" spans="2:7" x14ac:dyDescent="0.3">
      <c r="B229" s="55">
        <v>43258</v>
      </c>
      <c r="C229" s="54">
        <v>1555.55</v>
      </c>
      <c r="D229" s="56">
        <f t="shared" si="8"/>
        <v>-0.60754112423049755</v>
      </c>
      <c r="E229" s="64">
        <v>2.3691224375637532E-2</v>
      </c>
      <c r="F229" s="64">
        <v>226</v>
      </c>
      <c r="G229" s="64">
        <f t="shared" ca="1" si="9"/>
        <v>-5.3440227177942272E-3</v>
      </c>
    </row>
    <row r="230" spans="2:7" x14ac:dyDescent="0.3">
      <c r="B230" s="55">
        <v>45105</v>
      </c>
      <c r="C230" s="54">
        <v>3963.6</v>
      </c>
      <c r="D230" s="56">
        <f t="shared" si="8"/>
        <v>5.5559783849608024E-3</v>
      </c>
      <c r="E230" s="64">
        <v>2.3630588052994561E-2</v>
      </c>
      <c r="F230" s="64">
        <v>227</v>
      </c>
      <c r="G230" s="64">
        <f t="shared" ca="1" si="9"/>
        <v>3.6897892889715823E-2</v>
      </c>
    </row>
    <row r="231" spans="2:7" x14ac:dyDescent="0.3">
      <c r="B231" s="55">
        <v>44750</v>
      </c>
      <c r="C231" s="54">
        <v>3941.7</v>
      </c>
      <c r="D231" s="56">
        <f t="shared" si="8"/>
        <v>3.2858540828531035</v>
      </c>
      <c r="E231" s="64">
        <v>2.3565613679741304E-2</v>
      </c>
      <c r="F231" s="64">
        <v>228</v>
      </c>
      <c r="G231" s="64">
        <f t="shared" ca="1" si="9"/>
        <v>3.8869177311608785E-2</v>
      </c>
    </row>
    <row r="232" spans="2:7" x14ac:dyDescent="0.3">
      <c r="B232" s="55">
        <v>42947</v>
      </c>
      <c r="C232" s="54">
        <v>919.7</v>
      </c>
      <c r="D232" s="56">
        <f t="shared" si="8"/>
        <v>0.46262722646310461</v>
      </c>
      <c r="E232" s="64">
        <v>2.3537922208001882E-2</v>
      </c>
      <c r="F232" s="64">
        <v>229</v>
      </c>
      <c r="G232" s="64">
        <f t="shared" ca="1" si="9"/>
        <v>3.7100843901893745E-4</v>
      </c>
    </row>
    <row r="233" spans="2:7" x14ac:dyDescent="0.3">
      <c r="B233" s="55">
        <v>42822</v>
      </c>
      <c r="C233" s="54">
        <v>628.79999999999995</v>
      </c>
      <c r="D233" s="56">
        <f t="shared" si="8"/>
        <v>-0.84146033987191771</v>
      </c>
      <c r="E233" s="64">
        <v>2.34375E-2</v>
      </c>
      <c r="F233" s="64">
        <v>230</v>
      </c>
      <c r="G233" s="64">
        <f t="shared" ca="1" si="9"/>
        <v>-3.3864568068141072E-3</v>
      </c>
    </row>
    <row r="234" spans="2:7" x14ac:dyDescent="0.3">
      <c r="B234" s="55">
        <v>46090</v>
      </c>
      <c r="C234" s="54">
        <v>3966.2</v>
      </c>
      <c r="D234" s="56">
        <f t="shared" si="8"/>
        <v>0.85072676792421986</v>
      </c>
      <c r="E234" s="64">
        <v>2.3324216935858288E-2</v>
      </c>
      <c r="F234" s="64">
        <v>231</v>
      </c>
      <c r="G234" s="64">
        <f t="shared" ca="1" si="9"/>
        <v>-5.8725817341493038E-3</v>
      </c>
    </row>
    <row r="235" spans="2:7" x14ac:dyDescent="0.3">
      <c r="B235" s="55">
        <v>44124</v>
      </c>
      <c r="C235" s="54">
        <v>2143.0500000000002</v>
      </c>
      <c r="D235" s="56">
        <f t="shared" si="8"/>
        <v>-6.4190738193489194E-2</v>
      </c>
      <c r="E235" s="64">
        <v>2.3277467411545683E-2</v>
      </c>
      <c r="F235" s="64">
        <v>232</v>
      </c>
      <c r="G235" s="64">
        <f t="shared" ca="1" si="9"/>
        <v>-8.3347241994735401E-3</v>
      </c>
    </row>
    <row r="236" spans="2:7" x14ac:dyDescent="0.3">
      <c r="B236" s="55">
        <v>43943</v>
      </c>
      <c r="C236" s="54">
        <v>2290.0500000000002</v>
      </c>
      <c r="D236" s="56">
        <f t="shared" si="8"/>
        <v>-0.460383849570555</v>
      </c>
      <c r="E236" s="64">
        <v>2.3165936913591478E-2</v>
      </c>
      <c r="F236" s="64">
        <v>233</v>
      </c>
      <c r="G236" s="64">
        <f t="shared" ca="1" si="9"/>
        <v>-1.9577784898051911E-2</v>
      </c>
    </row>
    <row r="237" spans="2:7" x14ac:dyDescent="0.3">
      <c r="B237" s="55">
        <v>44771</v>
      </c>
      <c r="C237" s="54">
        <v>4243.8500000000004</v>
      </c>
      <c r="D237" s="56">
        <f t="shared" si="8"/>
        <v>0.20786964565248334</v>
      </c>
      <c r="E237" s="64">
        <v>2.3156854235980573E-2</v>
      </c>
      <c r="F237" s="64">
        <v>234</v>
      </c>
      <c r="G237" s="64">
        <f t="shared" ca="1" si="9"/>
        <v>-4.6595519884111303E-3</v>
      </c>
    </row>
    <row r="238" spans="2:7" x14ac:dyDescent="0.3">
      <c r="B238" s="55">
        <v>44950</v>
      </c>
      <c r="C238" s="54">
        <v>3513.5</v>
      </c>
      <c r="D238" s="56">
        <f t="shared" si="8"/>
        <v>-0.18296397925726116</v>
      </c>
      <c r="E238" s="64">
        <v>2.3150844496214296E-2</v>
      </c>
      <c r="F238" s="64">
        <v>235</v>
      </c>
      <c r="G238" s="64">
        <f t="shared" ca="1" si="9"/>
        <v>1.642130917975753E-2</v>
      </c>
    </row>
    <row r="239" spans="2:7" x14ac:dyDescent="0.3">
      <c r="B239" s="55">
        <v>45828</v>
      </c>
      <c r="C239" s="54">
        <v>4300.3</v>
      </c>
      <c r="D239" s="56">
        <f t="shared" si="8"/>
        <v>0.1759896082586998</v>
      </c>
      <c r="E239" s="64">
        <v>2.3125788108776746E-2</v>
      </c>
      <c r="F239" s="64">
        <v>236</v>
      </c>
      <c r="G239" s="64">
        <f t="shared" ca="1" si="9"/>
        <v>2.4589942586749146E-2</v>
      </c>
    </row>
    <row r="240" spans="2:7" x14ac:dyDescent="0.3">
      <c r="B240" s="55">
        <v>44705</v>
      </c>
      <c r="C240" s="54">
        <v>3656.75</v>
      </c>
      <c r="D240" s="56">
        <f t="shared" si="8"/>
        <v>2.2138776586394799</v>
      </c>
      <c r="E240" s="64">
        <v>2.3124702722363777E-2</v>
      </c>
      <c r="F240" s="64">
        <v>237</v>
      </c>
      <c r="G240" s="64">
        <f t="shared" ca="1" si="9"/>
        <v>-6.7305987815017201E-3</v>
      </c>
    </row>
    <row r="241" spans="2:7" x14ac:dyDescent="0.3">
      <c r="B241" s="55">
        <v>43061</v>
      </c>
      <c r="C241" s="54">
        <v>1137.8</v>
      </c>
      <c r="D241" s="56">
        <f t="shared" si="8"/>
        <v>-0.42379662218621028</v>
      </c>
      <c r="E241" s="64">
        <v>2.2925469747370419E-2</v>
      </c>
      <c r="F241" s="64">
        <v>238</v>
      </c>
      <c r="G241" s="64">
        <f t="shared" ca="1" si="9"/>
        <v>-3.1213491415152089E-2</v>
      </c>
    </row>
    <row r="242" spans="2:7" x14ac:dyDescent="0.3">
      <c r="B242" s="55">
        <v>43859</v>
      </c>
      <c r="C242" s="54">
        <v>1974.65</v>
      </c>
      <c r="D242" s="56">
        <f t="shared" si="8"/>
        <v>-7.987742081334237E-3</v>
      </c>
      <c r="E242" s="64">
        <v>2.2896215908208006E-2</v>
      </c>
      <c r="F242" s="64">
        <v>239</v>
      </c>
      <c r="G242" s="64">
        <f t="shared" ca="1" si="9"/>
        <v>-6.1380552789272475E-3</v>
      </c>
    </row>
    <row r="243" spans="2:7" x14ac:dyDescent="0.3">
      <c r="B243" s="55">
        <v>43847</v>
      </c>
      <c r="C243" s="54">
        <v>1990.55</v>
      </c>
      <c r="D243" s="56">
        <f t="shared" si="8"/>
        <v>-0.49603139439205013</v>
      </c>
      <c r="E243" s="64">
        <v>2.2866832815189753E-2</v>
      </c>
      <c r="F243" s="64">
        <v>240</v>
      </c>
      <c r="G243" s="64">
        <f t="shared" ca="1" si="9"/>
        <v>1.8973546927380111E-2</v>
      </c>
    </row>
    <row r="244" spans="2:7" x14ac:dyDescent="0.3">
      <c r="B244" s="55">
        <v>45260</v>
      </c>
      <c r="C244" s="54">
        <v>3949.75</v>
      </c>
      <c r="D244" s="56">
        <f t="shared" si="8"/>
        <v>3.3322913239004057</v>
      </c>
      <c r="E244" s="64">
        <v>2.2853813284992919E-2</v>
      </c>
      <c r="F244" s="64">
        <v>241</v>
      </c>
      <c r="G244" s="64">
        <f t="shared" ca="1" si="9"/>
        <v>2.4915015875683678E-3</v>
      </c>
    </row>
    <row r="245" spans="2:7" x14ac:dyDescent="0.3">
      <c r="B245" s="55">
        <v>42933</v>
      </c>
      <c r="C245" s="54">
        <v>911.7</v>
      </c>
      <c r="D245" s="56">
        <f t="shared" si="8"/>
        <v>-0.73193572573175936</v>
      </c>
      <c r="E245" s="64">
        <v>2.2830537948056451E-2</v>
      </c>
      <c r="F245" s="64">
        <v>242</v>
      </c>
      <c r="G245" s="64">
        <f t="shared" ca="1" si="9"/>
        <v>-6.2416733664907081E-3</v>
      </c>
    </row>
    <row r="246" spans="2:7" x14ac:dyDescent="0.3">
      <c r="B246" s="55">
        <v>45016</v>
      </c>
      <c r="C246" s="54">
        <v>3401.05</v>
      </c>
      <c r="D246" s="56">
        <f t="shared" si="8"/>
        <v>-0.24944001235834801</v>
      </c>
      <c r="E246" s="64">
        <v>2.2733765355064772E-2</v>
      </c>
      <c r="F246" s="64">
        <v>243</v>
      </c>
      <c r="G246" s="64">
        <f t="shared" ca="1" si="9"/>
        <v>8.7650526168942856E-4</v>
      </c>
    </row>
    <row r="247" spans="2:7" x14ac:dyDescent="0.3">
      <c r="B247" s="55">
        <v>44803</v>
      </c>
      <c r="C247" s="54">
        <v>4531.3500000000004</v>
      </c>
      <c r="D247" s="56">
        <f t="shared" si="8"/>
        <v>2.0579005972264404</v>
      </c>
      <c r="E247" s="64">
        <v>2.2520337128092871E-2</v>
      </c>
      <c r="F247" s="64">
        <v>244</v>
      </c>
      <c r="G247" s="64">
        <f t="shared" ca="1" si="9"/>
        <v>-2.4728828432632959E-2</v>
      </c>
    </row>
    <row r="248" spans="2:7" x14ac:dyDescent="0.3">
      <c r="B248" s="55">
        <v>43563</v>
      </c>
      <c r="C248" s="54">
        <v>1481.85</v>
      </c>
      <c r="D248" s="56">
        <f t="shared" si="8"/>
        <v>-0.64727095284568326</v>
      </c>
      <c r="E248" s="64">
        <v>2.245911819499069E-2</v>
      </c>
      <c r="F248" s="64">
        <v>245</v>
      </c>
      <c r="G248" s="64">
        <f t="shared" ca="1" si="9"/>
        <v>1.0074954137747191E-3</v>
      </c>
    </row>
    <row r="249" spans="2:7" x14ac:dyDescent="0.3">
      <c r="B249" s="55">
        <v>44909</v>
      </c>
      <c r="C249" s="54">
        <v>4201.1000000000004</v>
      </c>
      <c r="D249" s="56">
        <f t="shared" si="8"/>
        <v>0.25627224066265986</v>
      </c>
      <c r="E249" s="64">
        <v>2.2426654011365565E-2</v>
      </c>
      <c r="F249" s="64">
        <v>246</v>
      </c>
      <c r="G249" s="64">
        <f t="shared" ca="1" si="9"/>
        <v>3.7185768006557124E-2</v>
      </c>
    </row>
    <row r="250" spans="2:7" x14ac:dyDescent="0.3">
      <c r="B250" s="55">
        <v>44377</v>
      </c>
      <c r="C250" s="54">
        <v>3344.1</v>
      </c>
      <c r="D250" s="56">
        <f t="shared" si="8"/>
        <v>-0.24134801892035984</v>
      </c>
      <c r="E250" s="64">
        <v>2.2394790345017457E-2</v>
      </c>
      <c r="F250" s="64">
        <v>247</v>
      </c>
      <c r="G250" s="64">
        <f t="shared" ca="1" si="9"/>
        <v>1.0366465833560925E-2</v>
      </c>
    </row>
    <row r="251" spans="2:7" x14ac:dyDescent="0.3">
      <c r="B251" s="55">
        <v>44477</v>
      </c>
      <c r="C251" s="54">
        <v>4407.95</v>
      </c>
      <c r="D251" s="56">
        <f t="shared" si="8"/>
        <v>0.96152990388038462</v>
      </c>
      <c r="E251" s="64">
        <v>2.2322981654567808E-2</v>
      </c>
      <c r="F251" s="64">
        <v>248</v>
      </c>
      <c r="G251" s="64">
        <f t="shared" ca="1" si="9"/>
        <v>-8.4594749884600532E-3</v>
      </c>
    </row>
    <row r="252" spans="2:7" x14ac:dyDescent="0.3">
      <c r="B252" s="55">
        <v>43895</v>
      </c>
      <c r="C252" s="54">
        <v>2247.1999999999998</v>
      </c>
      <c r="D252" s="56">
        <f t="shared" si="8"/>
        <v>-0.38899085063284256</v>
      </c>
      <c r="E252" s="64">
        <v>2.2174714003047713E-2</v>
      </c>
      <c r="F252" s="64">
        <v>249</v>
      </c>
      <c r="G252" s="64">
        <f t="shared" ca="1" si="9"/>
        <v>9.0065429211472082E-3</v>
      </c>
    </row>
    <row r="253" spans="2:7" x14ac:dyDescent="0.3">
      <c r="B253" s="55">
        <v>45054</v>
      </c>
      <c r="C253" s="54">
        <v>3677.85</v>
      </c>
      <c r="D253" s="56">
        <f t="shared" si="8"/>
        <v>-0.2671415761681778</v>
      </c>
      <c r="E253" s="64">
        <v>2.213606803401702E-2</v>
      </c>
      <c r="F253" s="64">
        <v>250</v>
      </c>
      <c r="G253" s="64">
        <f t="shared" ca="1" si="9"/>
        <v>-2.4390558306132716E-2</v>
      </c>
    </row>
    <row r="254" spans="2:7" x14ac:dyDescent="0.3">
      <c r="B254" s="55">
        <v>45511</v>
      </c>
      <c r="C254" s="54">
        <v>5018.5</v>
      </c>
      <c r="D254" s="56">
        <f t="shared" si="8"/>
        <v>0.16392606164621837</v>
      </c>
      <c r="E254" s="64">
        <v>2.2118576753090702E-2</v>
      </c>
      <c r="F254" s="64">
        <v>251</v>
      </c>
      <c r="G254" s="64">
        <f t="shared" ca="1" si="9"/>
        <v>-2.4331148587226598E-2</v>
      </c>
    </row>
    <row r="255" spans="2:7" x14ac:dyDescent="0.3">
      <c r="B255" s="55">
        <v>44476</v>
      </c>
      <c r="C255" s="54">
        <v>4311.7</v>
      </c>
      <c r="D255" s="56">
        <f t="shared" si="8"/>
        <v>2.8421849937622525</v>
      </c>
      <c r="E255" s="64">
        <v>2.2081046805181748E-2</v>
      </c>
      <c r="F255" s="64">
        <v>252</v>
      </c>
      <c r="G255" s="64">
        <f t="shared" ca="1" si="9"/>
        <v>4.3652527080004049E-2</v>
      </c>
    </row>
    <row r="256" spans="2:7" x14ac:dyDescent="0.3">
      <c r="B256" s="55">
        <v>43048</v>
      </c>
      <c r="C256" s="54">
        <v>1122.2</v>
      </c>
      <c r="D256" s="56">
        <f t="shared" si="8"/>
        <v>-0.24288220213196599</v>
      </c>
      <c r="E256" s="64">
        <v>2.199353399207693E-2</v>
      </c>
      <c r="F256" s="64">
        <v>253</v>
      </c>
      <c r="G256" s="64">
        <f t="shared" ca="1" si="9"/>
        <v>-8.4945320839076507E-3</v>
      </c>
    </row>
    <row r="257" spans="2:7" x14ac:dyDescent="0.3">
      <c r="B257" s="55">
        <v>43535</v>
      </c>
      <c r="C257" s="54">
        <v>1482.2</v>
      </c>
      <c r="D257" s="56">
        <f t="shared" si="8"/>
        <v>-7.2523621800888449E-2</v>
      </c>
      <c r="E257" s="64">
        <v>2.1924986210700492E-2</v>
      </c>
      <c r="F257" s="64">
        <v>254</v>
      </c>
      <c r="G257" s="64">
        <f t="shared" ca="1" si="9"/>
        <v>2.7592998910845365E-2</v>
      </c>
    </row>
    <row r="258" spans="2:7" x14ac:dyDescent="0.3">
      <c r="B258" s="55">
        <v>43291</v>
      </c>
      <c r="C258" s="54">
        <v>1598.1</v>
      </c>
      <c r="D258" s="56">
        <f t="shared" si="8"/>
        <v>-0.57830435126791047</v>
      </c>
      <c r="E258" s="64">
        <v>2.1901077469066665E-2</v>
      </c>
      <c r="F258" s="64">
        <v>255</v>
      </c>
      <c r="G258" s="64">
        <f t="shared" ca="1" si="9"/>
        <v>4.4501067420106826E-3</v>
      </c>
    </row>
    <row r="259" spans="2:7" x14ac:dyDescent="0.3">
      <c r="B259" s="55">
        <v>44433</v>
      </c>
      <c r="C259" s="54">
        <v>3789.7</v>
      </c>
      <c r="D259" s="56">
        <f t="shared" si="8"/>
        <v>3.9010022631749113</v>
      </c>
      <c r="E259" s="64">
        <v>2.1881867576276415E-2</v>
      </c>
      <c r="F259" s="64">
        <v>256</v>
      </c>
      <c r="G259" s="64">
        <f t="shared" ca="1" si="9"/>
        <v>1.4752493227404751E-2</v>
      </c>
    </row>
    <row r="260" spans="2:7" x14ac:dyDescent="0.3">
      <c r="B260" s="55">
        <v>42859</v>
      </c>
      <c r="C260" s="54">
        <v>773.25</v>
      </c>
      <c r="D260" s="56">
        <f t="shared" ref="D260:D323" si="10">C260/C261-1</f>
        <v>-0.82567183695554158</v>
      </c>
      <c r="E260" s="64">
        <v>2.1668758670806643E-2</v>
      </c>
      <c r="F260" s="64">
        <v>257</v>
      </c>
      <c r="G260" s="64">
        <f t="shared" ca="1" si="9"/>
        <v>-6.1980466294257819E-3</v>
      </c>
    </row>
    <row r="261" spans="2:7" x14ac:dyDescent="0.3">
      <c r="B261" s="55">
        <v>45769</v>
      </c>
      <c r="C261" s="54">
        <v>4435.6000000000004</v>
      </c>
      <c r="D261" s="56">
        <f t="shared" si="10"/>
        <v>4.8960521068722596</v>
      </c>
      <c r="E261" s="64">
        <v>2.148630909886462E-2</v>
      </c>
      <c r="F261" s="64">
        <v>258</v>
      </c>
      <c r="G261" s="64">
        <f t="shared" ref="G261:G324" ca="1" si="11">_xlfn.NORM.INV(RAND(),K$6,K$7)</f>
        <v>1.0072331970095227E-2</v>
      </c>
    </row>
    <row r="262" spans="2:7" x14ac:dyDescent="0.3">
      <c r="B262" s="55">
        <v>42857</v>
      </c>
      <c r="C262" s="54">
        <v>752.3</v>
      </c>
      <c r="D262" s="56">
        <f t="shared" si="10"/>
        <v>-0.48958545355858618</v>
      </c>
      <c r="E262" s="64">
        <v>2.1452817379497668E-2</v>
      </c>
      <c r="F262" s="64">
        <v>259</v>
      </c>
      <c r="G262" s="64">
        <f t="shared" ca="1" si="11"/>
        <v>-2.8988453098861111E-2</v>
      </c>
    </row>
    <row r="263" spans="2:7" x14ac:dyDescent="0.3">
      <c r="B263" s="55">
        <v>43500</v>
      </c>
      <c r="C263" s="54">
        <v>1473.9</v>
      </c>
      <c r="D263" s="56">
        <f t="shared" si="10"/>
        <v>-0.66213552173115708</v>
      </c>
      <c r="E263" s="64">
        <v>2.1449114660937685E-2</v>
      </c>
      <c r="F263" s="64">
        <v>260</v>
      </c>
      <c r="G263" s="64">
        <f t="shared" ca="1" si="11"/>
        <v>-1.6457392262683758E-2</v>
      </c>
    </row>
    <row r="264" spans="2:7" x14ac:dyDescent="0.3">
      <c r="B264" s="55">
        <v>46114</v>
      </c>
      <c r="C264" s="54">
        <v>4362.3999999999996</v>
      </c>
      <c r="D264" s="56">
        <f t="shared" si="10"/>
        <v>2.3578878497479114</v>
      </c>
      <c r="E264" s="64">
        <v>2.1376226264896436E-2</v>
      </c>
      <c r="F264" s="64">
        <v>261</v>
      </c>
      <c r="G264" s="64">
        <f t="shared" ca="1" si="11"/>
        <v>-1.6117089733022172E-2</v>
      </c>
    </row>
    <row r="265" spans="2:7" x14ac:dyDescent="0.3">
      <c r="B265" s="55">
        <v>43607</v>
      </c>
      <c r="C265" s="54">
        <v>1299.1500000000001</v>
      </c>
      <c r="D265" s="56">
        <f t="shared" si="10"/>
        <v>-0.4476755308972642</v>
      </c>
      <c r="E265" s="64">
        <v>2.1264051568273157E-2</v>
      </c>
      <c r="F265" s="64">
        <v>262</v>
      </c>
      <c r="G265" s="64">
        <f t="shared" ca="1" si="11"/>
        <v>9.6433915385771597E-3</v>
      </c>
    </row>
    <row r="266" spans="2:7" x14ac:dyDescent="0.3">
      <c r="B266" s="55">
        <v>43964</v>
      </c>
      <c r="C266" s="54">
        <v>2352.15</v>
      </c>
      <c r="D266" s="56">
        <f t="shared" si="10"/>
        <v>-0.38678224597536337</v>
      </c>
      <c r="E266" s="64">
        <v>2.1186532658953316E-2</v>
      </c>
      <c r="F266" s="64">
        <v>263</v>
      </c>
      <c r="G266" s="64">
        <f t="shared" ca="1" si="11"/>
        <v>-8.1191640886802193E-3</v>
      </c>
    </row>
    <row r="267" spans="2:7" x14ac:dyDescent="0.3">
      <c r="B267" s="55">
        <v>45343</v>
      </c>
      <c r="C267" s="54">
        <v>3835.75</v>
      </c>
      <c r="D267" s="56">
        <f t="shared" si="10"/>
        <v>0.34342602970019631</v>
      </c>
      <c r="E267" s="64">
        <v>2.1178318513391137E-2</v>
      </c>
      <c r="F267" s="64">
        <v>264</v>
      </c>
      <c r="G267" s="64">
        <f t="shared" ca="1" si="11"/>
        <v>-2.986440208541026E-2</v>
      </c>
    </row>
    <row r="268" spans="2:7" x14ac:dyDescent="0.3">
      <c r="B268" s="55">
        <v>44281</v>
      </c>
      <c r="C268" s="54">
        <v>2855.2</v>
      </c>
      <c r="D268" s="56">
        <f t="shared" si="10"/>
        <v>1.4103668059600691</v>
      </c>
      <c r="E268" s="64">
        <v>2.1173104434907053E-2</v>
      </c>
      <c r="F268" s="64">
        <v>265</v>
      </c>
      <c r="G268" s="64">
        <f t="shared" ca="1" si="11"/>
        <v>-1.6066202691739444E-3</v>
      </c>
    </row>
    <row r="269" spans="2:7" x14ac:dyDescent="0.3">
      <c r="B269" s="55">
        <v>43103</v>
      </c>
      <c r="C269" s="54">
        <v>1184.55</v>
      </c>
      <c r="D269" s="56">
        <f t="shared" si="10"/>
        <v>-0.71382842509603073</v>
      </c>
      <c r="E269" s="64">
        <v>2.1163793103448292E-2</v>
      </c>
      <c r="F269" s="64">
        <v>266</v>
      </c>
      <c r="G269" s="64">
        <f t="shared" ca="1" si="11"/>
        <v>1.9290448787653159E-3</v>
      </c>
    </row>
    <row r="270" spans="2:7" x14ac:dyDescent="0.3">
      <c r="B270" s="55">
        <v>45756</v>
      </c>
      <c r="C270" s="54">
        <v>4139.3</v>
      </c>
      <c r="D270" s="56">
        <f t="shared" si="10"/>
        <v>2.0300124441841745</v>
      </c>
      <c r="E270" s="64">
        <v>2.107872762929075E-2</v>
      </c>
      <c r="F270" s="64">
        <v>267</v>
      </c>
      <c r="G270" s="64">
        <f t="shared" ca="1" si="11"/>
        <v>1.8746273408531064E-2</v>
      </c>
    </row>
    <row r="271" spans="2:7" x14ac:dyDescent="0.3">
      <c r="B271" s="55">
        <v>43405</v>
      </c>
      <c r="C271" s="54">
        <v>1366.1</v>
      </c>
      <c r="D271" s="56">
        <f t="shared" si="10"/>
        <v>-0.10648178428935851</v>
      </c>
      <c r="E271" s="64">
        <v>2.1039650211143845E-2</v>
      </c>
      <c r="F271" s="64">
        <v>268</v>
      </c>
      <c r="G271" s="64">
        <f t="shared" ca="1" si="11"/>
        <v>1.7294078881524753E-2</v>
      </c>
    </row>
    <row r="272" spans="2:7" x14ac:dyDescent="0.3">
      <c r="B272" s="55">
        <v>43248</v>
      </c>
      <c r="C272" s="54">
        <v>1528.9</v>
      </c>
      <c r="D272" s="56">
        <f t="shared" si="10"/>
        <v>-0.5606546071064239</v>
      </c>
      <c r="E272" s="64">
        <v>2.0934192514440397E-2</v>
      </c>
      <c r="F272" s="64">
        <v>269</v>
      </c>
      <c r="G272" s="64">
        <f t="shared" ca="1" si="11"/>
        <v>-2.0325344410540465E-2</v>
      </c>
    </row>
    <row r="273" spans="2:7" x14ac:dyDescent="0.3">
      <c r="B273" s="55">
        <v>44740</v>
      </c>
      <c r="C273" s="54">
        <v>3479.95</v>
      </c>
      <c r="D273" s="56">
        <f t="shared" si="10"/>
        <v>-0.25213831341872261</v>
      </c>
      <c r="E273" s="64">
        <v>2.0932347591386513E-2</v>
      </c>
      <c r="F273" s="64">
        <v>270</v>
      </c>
      <c r="G273" s="64">
        <f t="shared" ca="1" si="11"/>
        <v>1.6179266518634862E-2</v>
      </c>
    </row>
    <row r="274" spans="2:7" x14ac:dyDescent="0.3">
      <c r="B274" s="55">
        <v>45888</v>
      </c>
      <c r="C274" s="54">
        <v>4653.2</v>
      </c>
      <c r="D274" s="56">
        <f t="shared" si="10"/>
        <v>3.2265316317725601</v>
      </c>
      <c r="E274" s="64">
        <v>2.0886353663887691E-2</v>
      </c>
      <c r="F274" s="64">
        <v>271</v>
      </c>
      <c r="G274" s="64">
        <f t="shared" ca="1" si="11"/>
        <v>4.2241797096370229E-2</v>
      </c>
    </row>
    <row r="275" spans="2:7" x14ac:dyDescent="0.3">
      <c r="B275" s="55">
        <v>43011</v>
      </c>
      <c r="C275" s="54">
        <v>1100.95</v>
      </c>
      <c r="D275" s="56">
        <f t="shared" si="10"/>
        <v>-0.64529535898964185</v>
      </c>
      <c r="E275" s="64">
        <v>2.0863275997960118E-2</v>
      </c>
      <c r="F275" s="64">
        <v>272</v>
      </c>
      <c r="G275" s="64">
        <f t="shared" ca="1" si="11"/>
        <v>1.0994695676695795E-2</v>
      </c>
    </row>
    <row r="276" spans="2:7" x14ac:dyDescent="0.3">
      <c r="B276" s="55">
        <v>44341</v>
      </c>
      <c r="C276" s="54">
        <v>3103.85</v>
      </c>
      <c r="D276" s="56">
        <f t="shared" si="10"/>
        <v>-0.36657415154792761</v>
      </c>
      <c r="E276" s="64">
        <v>2.0852176487033303E-2</v>
      </c>
      <c r="F276" s="64">
        <v>273</v>
      </c>
      <c r="G276" s="64">
        <f t="shared" ca="1" si="11"/>
        <v>5.954189506767224E-3</v>
      </c>
    </row>
    <row r="277" spans="2:7" x14ac:dyDescent="0.3">
      <c r="B277" s="55">
        <v>45470</v>
      </c>
      <c r="C277" s="54">
        <v>4900.1000000000004</v>
      </c>
      <c r="D277" s="56">
        <f t="shared" si="10"/>
        <v>2.2360982697133802</v>
      </c>
      <c r="E277" s="64">
        <v>2.0641533013955549E-2</v>
      </c>
      <c r="F277" s="64">
        <v>274</v>
      </c>
      <c r="G277" s="64">
        <f t="shared" ca="1" si="11"/>
        <v>1.8153588344829531E-2</v>
      </c>
    </row>
    <row r="278" spans="2:7" x14ac:dyDescent="0.3">
      <c r="B278" s="55">
        <v>43679</v>
      </c>
      <c r="C278" s="54">
        <v>1514.2</v>
      </c>
      <c r="D278" s="56">
        <f t="shared" si="10"/>
        <v>-0.56532847239166939</v>
      </c>
      <c r="E278" s="64">
        <v>2.0625505527096299E-2</v>
      </c>
      <c r="F278" s="64">
        <v>275</v>
      </c>
      <c r="G278" s="64">
        <f t="shared" ca="1" si="11"/>
        <v>2.61263069264E-2</v>
      </c>
    </row>
    <row r="279" spans="2:7" x14ac:dyDescent="0.3">
      <c r="B279" s="55">
        <v>44403</v>
      </c>
      <c r="C279" s="54">
        <v>3483.55</v>
      </c>
      <c r="D279" s="56">
        <f t="shared" si="10"/>
        <v>0.43229241617498926</v>
      </c>
      <c r="E279" s="64">
        <v>2.0611156685808041E-2</v>
      </c>
      <c r="F279" s="64">
        <v>276</v>
      </c>
      <c r="G279" s="64">
        <f t="shared" ca="1" si="11"/>
        <v>-1.1399506468444247E-2</v>
      </c>
    </row>
    <row r="280" spans="2:7" x14ac:dyDescent="0.3">
      <c r="B280" s="55">
        <v>44152</v>
      </c>
      <c r="C280" s="54">
        <v>2432.15</v>
      </c>
      <c r="D280" s="56">
        <f t="shared" si="10"/>
        <v>2.0776969313508387</v>
      </c>
      <c r="E280" s="64">
        <v>2.0603848009903336E-2</v>
      </c>
      <c r="F280" s="64">
        <v>277</v>
      </c>
      <c r="G280" s="64">
        <f t="shared" ca="1" si="11"/>
        <v>2.0865708628513377E-2</v>
      </c>
    </row>
    <row r="281" spans="2:7" x14ac:dyDescent="0.3">
      <c r="B281" s="55">
        <v>42894</v>
      </c>
      <c r="C281" s="54">
        <v>790.25</v>
      </c>
      <c r="D281" s="56">
        <f t="shared" si="10"/>
        <v>-0.81568513119533526</v>
      </c>
      <c r="E281" s="64">
        <v>2.0599250936329749E-2</v>
      </c>
      <c r="F281" s="64">
        <v>278</v>
      </c>
      <c r="G281" s="64">
        <f t="shared" ca="1" si="11"/>
        <v>3.3921596336018507E-3</v>
      </c>
    </row>
    <row r="282" spans="2:7" x14ac:dyDescent="0.3">
      <c r="B282" s="55">
        <v>46190</v>
      </c>
      <c r="C282" s="54">
        <v>4287.5</v>
      </c>
      <c r="D282" s="56">
        <f t="shared" si="10"/>
        <v>7.1285792813952309E-2</v>
      </c>
      <c r="E282" s="64">
        <v>2.0517458881774697E-2</v>
      </c>
      <c r="F282" s="64">
        <v>279</v>
      </c>
      <c r="G282" s="64">
        <f t="shared" ca="1" si="11"/>
        <v>-8.3421007605568431E-3</v>
      </c>
    </row>
    <row r="283" spans="2:7" x14ac:dyDescent="0.3">
      <c r="B283" s="55">
        <v>46063</v>
      </c>
      <c r="C283" s="54">
        <v>4002.2</v>
      </c>
      <c r="D283" s="56">
        <f t="shared" si="10"/>
        <v>1.6849590768817926</v>
      </c>
      <c r="E283" s="64">
        <v>2.034468692637148E-2</v>
      </c>
      <c r="F283" s="64">
        <v>280</v>
      </c>
      <c r="G283" s="64">
        <f t="shared" ca="1" si="11"/>
        <v>3.2827898214339027E-2</v>
      </c>
    </row>
    <row r="284" spans="2:7" x14ac:dyDescent="0.3">
      <c r="B284" s="55">
        <v>43691</v>
      </c>
      <c r="C284" s="54">
        <v>1490.6</v>
      </c>
      <c r="D284" s="56">
        <f t="shared" si="10"/>
        <v>-0.48046425708410301</v>
      </c>
      <c r="E284" s="64">
        <v>2.0329933602573735E-2</v>
      </c>
      <c r="F284" s="64">
        <v>281</v>
      </c>
      <c r="G284" s="64">
        <f t="shared" ca="1" si="11"/>
        <v>-4.4337940299749839E-3</v>
      </c>
    </row>
    <row r="285" spans="2:7" x14ac:dyDescent="0.3">
      <c r="B285" s="55">
        <v>44229</v>
      </c>
      <c r="C285" s="54">
        <v>2869.1</v>
      </c>
      <c r="D285" s="56">
        <f t="shared" si="10"/>
        <v>0.25050667945169658</v>
      </c>
      <c r="E285" s="64">
        <v>2.0305832147937464E-2</v>
      </c>
      <c r="F285" s="64">
        <v>282</v>
      </c>
      <c r="G285" s="64">
        <f t="shared" ca="1" si="11"/>
        <v>-1.3913208902629185E-2</v>
      </c>
    </row>
    <row r="286" spans="2:7" x14ac:dyDescent="0.3">
      <c r="B286" s="55">
        <v>43867</v>
      </c>
      <c r="C286" s="54">
        <v>2294.35</v>
      </c>
      <c r="D286" s="56">
        <f t="shared" si="10"/>
        <v>0.60888468146278174</v>
      </c>
      <c r="E286" s="64">
        <v>2.0209880385966494E-2</v>
      </c>
      <c r="F286" s="64">
        <v>283</v>
      </c>
      <c r="G286" s="64">
        <f t="shared" ca="1" si="11"/>
        <v>-2.905008845865395E-2</v>
      </c>
    </row>
    <row r="287" spans="2:7" x14ac:dyDescent="0.3">
      <c r="B287" s="55">
        <v>43647</v>
      </c>
      <c r="C287" s="54">
        <v>1426.05</v>
      </c>
      <c r="D287" s="56">
        <f t="shared" si="10"/>
        <v>-0.25519024364766407</v>
      </c>
      <c r="E287" s="64">
        <v>2.0137348880463479E-2</v>
      </c>
      <c r="F287" s="64">
        <v>284</v>
      </c>
      <c r="G287" s="64">
        <f t="shared" ca="1" si="11"/>
        <v>1.0516305412816913E-2</v>
      </c>
    </row>
    <row r="288" spans="2:7" x14ac:dyDescent="0.3">
      <c r="B288" s="55">
        <v>43843</v>
      </c>
      <c r="C288" s="54">
        <v>1914.65</v>
      </c>
      <c r="D288" s="56">
        <f t="shared" si="10"/>
        <v>-0.1514016620498615</v>
      </c>
      <c r="E288" s="64">
        <v>2.0085777458110243E-2</v>
      </c>
      <c r="F288" s="64">
        <v>285</v>
      </c>
      <c r="G288" s="64">
        <f t="shared" ca="1" si="11"/>
        <v>-2.0882933731749896E-2</v>
      </c>
    </row>
    <row r="289" spans="2:7" x14ac:dyDescent="0.3">
      <c r="B289" s="55">
        <v>43941</v>
      </c>
      <c r="C289" s="54">
        <v>2256.25</v>
      </c>
      <c r="D289" s="56">
        <f t="shared" si="10"/>
        <v>-0.43742130131777435</v>
      </c>
      <c r="E289" s="64">
        <v>1.9958410560101392E-2</v>
      </c>
      <c r="F289" s="64">
        <v>286</v>
      </c>
      <c r="G289" s="64">
        <f t="shared" ca="1" si="11"/>
        <v>-7.4175434448902171E-3</v>
      </c>
    </row>
    <row r="290" spans="2:7" x14ac:dyDescent="0.3">
      <c r="B290" s="55">
        <v>45369</v>
      </c>
      <c r="C290" s="54">
        <v>4010.55</v>
      </c>
      <c r="D290" s="56">
        <f t="shared" si="10"/>
        <v>9.4477874657169725E-2</v>
      </c>
      <c r="E290" s="64">
        <v>1.9951171129930723E-2</v>
      </c>
      <c r="F290" s="64">
        <v>287</v>
      </c>
      <c r="G290" s="64">
        <f t="shared" ca="1" si="11"/>
        <v>4.3429380934441882E-2</v>
      </c>
    </row>
    <row r="291" spans="2:7" x14ac:dyDescent="0.3">
      <c r="B291" s="55">
        <v>45167</v>
      </c>
      <c r="C291" s="54">
        <v>3664.35</v>
      </c>
      <c r="D291" s="56">
        <f t="shared" si="10"/>
        <v>-7.085805568233694E-2</v>
      </c>
      <c r="E291" s="64">
        <v>1.9886442706448682E-2</v>
      </c>
      <c r="F291" s="64">
        <v>288</v>
      </c>
      <c r="G291" s="64">
        <f t="shared" ca="1" si="11"/>
        <v>2.3193611498711776E-2</v>
      </c>
    </row>
    <row r="292" spans="2:7" x14ac:dyDescent="0.3">
      <c r="B292" s="55">
        <v>44686</v>
      </c>
      <c r="C292" s="54">
        <v>3943.8</v>
      </c>
      <c r="D292" s="56">
        <f t="shared" si="10"/>
        <v>2.8263023413463984E-2</v>
      </c>
      <c r="E292" s="64">
        <v>1.9820798262286221E-2</v>
      </c>
      <c r="F292" s="64">
        <v>289</v>
      </c>
      <c r="G292" s="64">
        <f t="shared" ca="1" si="11"/>
        <v>-2.622521970577546E-2</v>
      </c>
    </row>
    <row r="293" spans="2:7" x14ac:dyDescent="0.3">
      <c r="B293" s="55">
        <v>46086</v>
      </c>
      <c r="C293" s="54">
        <v>3835.4</v>
      </c>
      <c r="D293" s="56">
        <f t="shared" si="10"/>
        <v>-0.20075852296407437</v>
      </c>
      <c r="E293" s="64">
        <v>1.9809088250152929E-2</v>
      </c>
      <c r="F293" s="64">
        <v>290</v>
      </c>
      <c r="G293" s="64">
        <f t="shared" ca="1" si="11"/>
        <v>2.4430371625922605E-2</v>
      </c>
    </row>
    <row r="294" spans="2:7" x14ac:dyDescent="0.3">
      <c r="B294" s="55">
        <v>45434</v>
      </c>
      <c r="C294" s="54">
        <v>4798.8</v>
      </c>
      <c r="D294" s="56">
        <f t="shared" si="10"/>
        <v>0.41253348247137422</v>
      </c>
      <c r="E294" s="64">
        <v>1.974117597059033E-2</v>
      </c>
      <c r="F294" s="64">
        <v>291</v>
      </c>
      <c r="G294" s="64">
        <f t="shared" ca="1" si="11"/>
        <v>-6.9674609372153834E-3</v>
      </c>
    </row>
    <row r="295" spans="2:7" x14ac:dyDescent="0.3">
      <c r="B295" s="55">
        <v>44397</v>
      </c>
      <c r="C295" s="54">
        <v>3397.3</v>
      </c>
      <c r="D295" s="56">
        <f t="shared" si="10"/>
        <v>-0.16777717897212274</v>
      </c>
      <c r="E295" s="64">
        <v>1.9720254532356929E-2</v>
      </c>
      <c r="F295" s="64">
        <v>292</v>
      </c>
      <c r="G295" s="64">
        <f t="shared" ca="1" si="11"/>
        <v>-4.14944914442614E-2</v>
      </c>
    </row>
    <row r="296" spans="2:7" x14ac:dyDescent="0.3">
      <c r="B296" s="55">
        <v>44652</v>
      </c>
      <c r="C296" s="54">
        <v>4082.2</v>
      </c>
      <c r="D296" s="56">
        <f t="shared" si="10"/>
        <v>-3.097775773257061E-2</v>
      </c>
      <c r="E296" s="64">
        <v>1.9696004596150729E-2</v>
      </c>
      <c r="F296" s="64">
        <v>293</v>
      </c>
      <c r="G296" s="64">
        <f t="shared" ca="1" si="11"/>
        <v>-2.1911484647056209E-2</v>
      </c>
    </row>
    <row r="297" spans="2:7" x14ac:dyDescent="0.3">
      <c r="B297" s="55">
        <v>45762</v>
      </c>
      <c r="C297" s="54">
        <v>4212.7</v>
      </c>
      <c r="D297" s="56">
        <f t="shared" si="10"/>
        <v>0.12750582126702881</v>
      </c>
      <c r="E297" s="64">
        <v>1.9653878736536345E-2</v>
      </c>
      <c r="F297" s="64">
        <v>294</v>
      </c>
      <c r="G297" s="64">
        <f t="shared" ca="1" si="11"/>
        <v>1.2374370047776162E-2</v>
      </c>
    </row>
    <row r="298" spans="2:7" x14ac:dyDescent="0.3">
      <c r="B298" s="55">
        <v>45168</v>
      </c>
      <c r="C298" s="54">
        <v>3736.3</v>
      </c>
      <c r="D298" s="56">
        <f t="shared" si="10"/>
        <v>1.8079813617916733</v>
      </c>
      <c r="E298" s="64">
        <v>1.9635133106826741E-2</v>
      </c>
      <c r="F298" s="64">
        <v>295</v>
      </c>
      <c r="G298" s="64">
        <f t="shared" ca="1" si="11"/>
        <v>-2.3012779011626718E-2</v>
      </c>
    </row>
    <row r="299" spans="2:7" x14ac:dyDescent="0.3">
      <c r="B299" s="55">
        <v>43630</v>
      </c>
      <c r="C299" s="54">
        <v>1330.6</v>
      </c>
      <c r="D299" s="56">
        <f t="shared" si="10"/>
        <v>-0.64427691114942998</v>
      </c>
      <c r="E299" s="64">
        <v>1.9616858237547774E-2</v>
      </c>
      <c r="F299" s="64">
        <v>296</v>
      </c>
      <c r="G299" s="64">
        <f t="shared" ca="1" si="11"/>
        <v>-8.5476897789162481E-3</v>
      </c>
    </row>
    <row r="300" spans="2:7" x14ac:dyDescent="0.3">
      <c r="B300" s="55">
        <v>45224</v>
      </c>
      <c r="C300" s="54">
        <v>3740.55</v>
      </c>
      <c r="D300" s="56">
        <f t="shared" si="10"/>
        <v>2.1648616634233013</v>
      </c>
      <c r="E300" s="64">
        <v>1.951512012973744E-2</v>
      </c>
      <c r="F300" s="64">
        <v>297</v>
      </c>
      <c r="G300" s="64">
        <f t="shared" ca="1" si="11"/>
        <v>-3.4023403905145203E-3</v>
      </c>
    </row>
    <row r="301" spans="2:7" x14ac:dyDescent="0.3">
      <c r="B301" s="55">
        <v>43129</v>
      </c>
      <c r="C301" s="54">
        <v>1181.9000000000001</v>
      </c>
      <c r="D301" s="56">
        <f t="shared" si="10"/>
        <v>-0.6598359476183624</v>
      </c>
      <c r="E301" s="64">
        <v>1.9494522556715355E-2</v>
      </c>
      <c r="F301" s="64">
        <v>298</v>
      </c>
      <c r="G301" s="64">
        <f t="shared" ca="1" si="11"/>
        <v>1.2665186381597028E-2</v>
      </c>
    </row>
    <row r="302" spans="2:7" x14ac:dyDescent="0.3">
      <c r="B302" s="55">
        <v>45721</v>
      </c>
      <c r="C302" s="54">
        <v>3474.5</v>
      </c>
      <c r="D302" s="56">
        <f t="shared" si="10"/>
        <v>-0.16347658601179726</v>
      </c>
      <c r="E302" s="64">
        <v>1.9393263701443564E-2</v>
      </c>
      <c r="F302" s="64">
        <v>299</v>
      </c>
      <c r="G302" s="64">
        <f t="shared" ca="1" si="11"/>
        <v>1.6443177786385342E-2</v>
      </c>
    </row>
    <row r="303" spans="2:7" x14ac:dyDescent="0.3">
      <c r="B303" s="55">
        <v>45813</v>
      </c>
      <c r="C303" s="54">
        <v>4153.5</v>
      </c>
      <c r="D303" s="56">
        <f t="shared" si="10"/>
        <v>2.8081335627034187E-2</v>
      </c>
      <c r="E303" s="64">
        <v>1.9388882071419866E-2</v>
      </c>
      <c r="F303" s="64">
        <v>300</v>
      </c>
      <c r="G303" s="64">
        <f t="shared" ca="1" si="11"/>
        <v>-1.98729852640614E-2</v>
      </c>
    </row>
    <row r="304" spans="2:7" x14ac:dyDescent="0.3">
      <c r="B304" s="55">
        <v>44767</v>
      </c>
      <c r="C304" s="54">
        <v>4040.05</v>
      </c>
      <c r="D304" s="56">
        <f t="shared" si="10"/>
        <v>0.15372313843078467</v>
      </c>
      <c r="E304" s="64">
        <v>1.9339456022606782E-2</v>
      </c>
      <c r="F304" s="64">
        <v>301</v>
      </c>
      <c r="G304" s="64">
        <f t="shared" ca="1" si="11"/>
        <v>7.2807571743251339E-3</v>
      </c>
    </row>
    <row r="305" spans="2:7" x14ac:dyDescent="0.3">
      <c r="B305" s="55">
        <v>45072</v>
      </c>
      <c r="C305" s="54">
        <v>3501.75</v>
      </c>
      <c r="D305" s="56">
        <f t="shared" si="10"/>
        <v>-0.19213998984912106</v>
      </c>
      <c r="E305" s="64">
        <v>1.9328452704964638E-2</v>
      </c>
      <c r="F305" s="64">
        <v>302</v>
      </c>
      <c r="G305" s="64">
        <f t="shared" ca="1" si="11"/>
        <v>-7.107463238006189E-3</v>
      </c>
    </row>
    <row r="306" spans="2:7" x14ac:dyDescent="0.3">
      <c r="B306" s="55">
        <v>45882</v>
      </c>
      <c r="C306" s="54">
        <v>4334.6000000000004</v>
      </c>
      <c r="D306" s="56">
        <f t="shared" si="10"/>
        <v>-0.11717142915334311</v>
      </c>
      <c r="E306" s="64">
        <v>1.9306290417401506E-2</v>
      </c>
      <c r="F306" s="64">
        <v>303</v>
      </c>
      <c r="G306" s="64">
        <f t="shared" ca="1" si="11"/>
        <v>1.5437275517425041E-2</v>
      </c>
    </row>
    <row r="307" spans="2:7" x14ac:dyDescent="0.3">
      <c r="B307" s="55">
        <v>45510</v>
      </c>
      <c r="C307" s="54">
        <v>4909.8999999999996</v>
      </c>
      <c r="D307" s="56">
        <f t="shared" si="10"/>
        <v>2.250297894876208</v>
      </c>
      <c r="E307" s="64">
        <v>1.9190650655429797E-2</v>
      </c>
      <c r="F307" s="64">
        <v>304</v>
      </c>
      <c r="G307" s="64">
        <f t="shared" ca="1" si="11"/>
        <v>-6.0380296934642308E-3</v>
      </c>
    </row>
    <row r="308" spans="2:7" x14ac:dyDescent="0.3">
      <c r="B308" s="55">
        <v>43536</v>
      </c>
      <c r="C308" s="54">
        <v>1510.6</v>
      </c>
      <c r="D308" s="56">
        <f t="shared" si="10"/>
        <v>-0.20327004219409284</v>
      </c>
      <c r="E308" s="64">
        <v>1.9160707057077175E-2</v>
      </c>
      <c r="F308" s="64">
        <v>305</v>
      </c>
      <c r="G308" s="64">
        <f t="shared" ca="1" si="11"/>
        <v>-2.6502561319010406E-3</v>
      </c>
    </row>
    <row r="309" spans="2:7" x14ac:dyDescent="0.3">
      <c r="B309" s="55">
        <v>43739</v>
      </c>
      <c r="C309" s="54">
        <v>1896</v>
      </c>
      <c r="D309" s="56">
        <f t="shared" si="10"/>
        <v>-0.6035919254853177</v>
      </c>
      <c r="E309" s="64">
        <v>1.9026120606256081E-2</v>
      </c>
      <c r="F309" s="64">
        <v>306</v>
      </c>
      <c r="G309" s="64">
        <f t="shared" ca="1" si="11"/>
        <v>-1.7453741921940095E-2</v>
      </c>
    </row>
    <row r="310" spans="2:7" x14ac:dyDescent="0.3">
      <c r="B310" s="55">
        <v>44532</v>
      </c>
      <c r="C310" s="54">
        <v>4782.95</v>
      </c>
      <c r="D310" s="56">
        <f t="shared" si="10"/>
        <v>0.65003277331217446</v>
      </c>
      <c r="E310" s="64">
        <v>1.9014849692140512E-2</v>
      </c>
      <c r="F310" s="64">
        <v>307</v>
      </c>
      <c r="G310" s="64">
        <f t="shared" ca="1" si="11"/>
        <v>-1.0399834844496986E-2</v>
      </c>
    </row>
    <row r="311" spans="2:7" x14ac:dyDescent="0.3">
      <c r="B311" s="55">
        <v>44333</v>
      </c>
      <c r="C311" s="54">
        <v>2898.7</v>
      </c>
      <c r="D311" s="56">
        <f t="shared" si="10"/>
        <v>-0.18127383137974873</v>
      </c>
      <c r="E311" s="64">
        <v>1.9000580036208303E-2</v>
      </c>
      <c r="F311" s="64">
        <v>308</v>
      </c>
      <c r="G311" s="64">
        <f t="shared" ca="1" si="11"/>
        <v>-1.2419736753189546E-2</v>
      </c>
    </row>
    <row r="312" spans="2:7" x14ac:dyDescent="0.3">
      <c r="B312" s="55">
        <v>45722</v>
      </c>
      <c r="C312" s="54">
        <v>3540.5</v>
      </c>
      <c r="D312" s="56">
        <f t="shared" si="10"/>
        <v>0.1097876341979469</v>
      </c>
      <c r="E312" s="64">
        <v>1.8995538926464217E-2</v>
      </c>
      <c r="F312" s="64">
        <v>309</v>
      </c>
      <c r="G312" s="64">
        <f t="shared" ca="1" si="11"/>
        <v>1.0218581571665445E-2</v>
      </c>
    </row>
    <row r="313" spans="2:7" x14ac:dyDescent="0.3">
      <c r="B313" s="55">
        <v>44244</v>
      </c>
      <c r="C313" s="54">
        <v>3190.25</v>
      </c>
      <c r="D313" s="56">
        <f t="shared" si="10"/>
        <v>-5.4404529017724856E-2</v>
      </c>
      <c r="E313" s="64">
        <v>1.8972483510867777E-2</v>
      </c>
      <c r="F313" s="64">
        <v>310</v>
      </c>
      <c r="G313" s="64">
        <f t="shared" ca="1" si="11"/>
        <v>1.7995017172109933E-2</v>
      </c>
    </row>
    <row r="314" spans="2:7" x14ac:dyDescent="0.3">
      <c r="B314" s="55">
        <v>44369</v>
      </c>
      <c r="C314" s="54">
        <v>3373.8</v>
      </c>
      <c r="D314" s="56">
        <f t="shared" si="10"/>
        <v>-0.14280269827356218</v>
      </c>
      <c r="E314" s="64">
        <v>1.8967079432195666E-2</v>
      </c>
      <c r="F314" s="64">
        <v>311</v>
      </c>
      <c r="G314" s="64">
        <f t="shared" ca="1" si="11"/>
        <v>5.9329034485808051E-3</v>
      </c>
    </row>
    <row r="315" spans="2:7" x14ac:dyDescent="0.3">
      <c r="B315" s="55">
        <v>45212</v>
      </c>
      <c r="C315" s="54">
        <v>3935.85</v>
      </c>
      <c r="D315" s="56">
        <f t="shared" si="10"/>
        <v>-4.8922936893203151E-3</v>
      </c>
      <c r="E315" s="64">
        <v>1.8924341466571626E-2</v>
      </c>
      <c r="F315" s="64">
        <v>312</v>
      </c>
      <c r="G315" s="64">
        <f t="shared" ca="1" si="11"/>
        <v>1.8431071298900391E-2</v>
      </c>
    </row>
    <row r="316" spans="2:7" x14ac:dyDescent="0.3">
      <c r="B316" s="55">
        <v>44887</v>
      </c>
      <c r="C316" s="54">
        <v>3955.2</v>
      </c>
      <c r="D316" s="56">
        <f t="shared" si="10"/>
        <v>0.3579153362859202</v>
      </c>
      <c r="E316" s="64">
        <v>1.8777528784483355E-2</v>
      </c>
      <c r="F316" s="64">
        <v>313</v>
      </c>
      <c r="G316" s="64">
        <f t="shared" ca="1" si="11"/>
        <v>-1.3409538409493141E-2</v>
      </c>
    </row>
    <row r="317" spans="2:7" x14ac:dyDescent="0.3">
      <c r="B317" s="55">
        <v>44287</v>
      </c>
      <c r="C317" s="54">
        <v>2912.7</v>
      </c>
      <c r="D317" s="56">
        <f t="shared" si="10"/>
        <v>-7.1412745215005957E-3</v>
      </c>
      <c r="E317" s="64">
        <v>1.8764974379601451E-2</v>
      </c>
      <c r="F317" s="64">
        <v>314</v>
      </c>
      <c r="G317" s="64">
        <f t="shared" ca="1" si="11"/>
        <v>-1.4805168367284247E-2</v>
      </c>
    </row>
    <row r="318" spans="2:7" x14ac:dyDescent="0.3">
      <c r="B318" s="55">
        <v>44278</v>
      </c>
      <c r="C318" s="54">
        <v>2933.65</v>
      </c>
      <c r="D318" s="56">
        <f t="shared" si="10"/>
        <v>-0.21225262479525253</v>
      </c>
      <c r="E318" s="64">
        <v>1.8593104406097183E-2</v>
      </c>
      <c r="F318" s="64">
        <v>315</v>
      </c>
      <c r="G318" s="64">
        <f t="shared" ca="1" si="11"/>
        <v>8.9430628938418199E-3</v>
      </c>
    </row>
    <row r="319" spans="2:7" x14ac:dyDescent="0.3">
      <c r="B319" s="55">
        <v>46044</v>
      </c>
      <c r="C319" s="54">
        <v>3724.1</v>
      </c>
      <c r="D319" s="56">
        <f t="shared" si="10"/>
        <v>-0.27805833147554015</v>
      </c>
      <c r="E319" s="64">
        <v>1.8431919490250692E-2</v>
      </c>
      <c r="F319" s="64">
        <v>316</v>
      </c>
      <c r="G319" s="64">
        <f t="shared" ca="1" si="11"/>
        <v>2.3710958024074596E-5</v>
      </c>
    </row>
    <row r="320" spans="2:7" x14ac:dyDescent="0.3">
      <c r="B320" s="55">
        <v>45497</v>
      </c>
      <c r="C320" s="54">
        <v>5158.45</v>
      </c>
      <c r="D320" s="56">
        <f t="shared" si="10"/>
        <v>2.4669332616439275</v>
      </c>
      <c r="E320" s="64">
        <v>1.8399881545826835E-2</v>
      </c>
      <c r="F320" s="64">
        <v>317</v>
      </c>
      <c r="G320" s="64">
        <f t="shared" ca="1" si="11"/>
        <v>-6.6654693531021424E-3</v>
      </c>
    </row>
    <row r="321" spans="2:7" x14ac:dyDescent="0.3">
      <c r="B321" s="55">
        <v>43518</v>
      </c>
      <c r="C321" s="54">
        <v>1487.9</v>
      </c>
      <c r="D321" s="56">
        <f t="shared" si="10"/>
        <v>-0.66582068098104386</v>
      </c>
      <c r="E321" s="64">
        <v>1.8377194483419457E-2</v>
      </c>
      <c r="F321" s="64">
        <v>318</v>
      </c>
      <c r="G321" s="64">
        <f t="shared" ca="1" si="11"/>
        <v>5.5477638567159426E-2</v>
      </c>
    </row>
    <row r="322" spans="2:7" x14ac:dyDescent="0.3">
      <c r="B322" s="55">
        <v>45839</v>
      </c>
      <c r="C322" s="54">
        <v>4452.3999999999996</v>
      </c>
      <c r="D322" s="56">
        <f t="shared" si="10"/>
        <v>0.10220197794308761</v>
      </c>
      <c r="E322" s="64">
        <v>1.8319877410058583E-2</v>
      </c>
      <c r="F322" s="64">
        <v>319</v>
      </c>
      <c r="G322" s="64">
        <f t="shared" ca="1" si="11"/>
        <v>4.8366801076676541E-2</v>
      </c>
    </row>
    <row r="323" spans="2:7" x14ac:dyDescent="0.3">
      <c r="B323" s="55">
        <v>45265</v>
      </c>
      <c r="C323" s="54">
        <v>4039.55</v>
      </c>
      <c r="D323" s="56">
        <f t="shared" si="10"/>
        <v>4.5499759565844613</v>
      </c>
      <c r="E323" s="64">
        <v>1.8262710796299597E-2</v>
      </c>
      <c r="F323" s="64">
        <v>320</v>
      </c>
      <c r="G323" s="64">
        <f t="shared" ca="1" si="11"/>
        <v>2.7924963720066778E-3</v>
      </c>
    </row>
    <row r="324" spans="2:7" x14ac:dyDescent="0.3">
      <c r="B324" s="55">
        <v>42885</v>
      </c>
      <c r="C324" s="54">
        <v>727.85</v>
      </c>
      <c r="D324" s="56">
        <f t="shared" ref="D324:D387" si="12">C324/C325-1</f>
        <v>-0.79590606379249906</v>
      </c>
      <c r="E324" s="64">
        <v>1.8256855064353816E-2</v>
      </c>
      <c r="F324" s="64">
        <v>321</v>
      </c>
      <c r="G324" s="64">
        <f t="shared" ca="1" si="11"/>
        <v>-1.7809762838108721E-2</v>
      </c>
    </row>
    <row r="325" spans="2:7" x14ac:dyDescent="0.3">
      <c r="B325" s="55">
        <v>44411</v>
      </c>
      <c r="C325" s="54">
        <v>3566.25</v>
      </c>
      <c r="D325" s="56">
        <f t="shared" si="12"/>
        <v>1.2456079591965241</v>
      </c>
      <c r="E325" s="64">
        <v>1.8230356327090025E-2</v>
      </c>
      <c r="F325" s="64">
        <v>322</v>
      </c>
      <c r="G325" s="64">
        <f t="shared" ref="G325:G388" ca="1" si="13">_xlfn.NORM.INV(RAND(),K$6,K$7)</f>
        <v>2.0961952112196529E-2</v>
      </c>
    </row>
    <row r="326" spans="2:7" x14ac:dyDescent="0.3">
      <c r="B326" s="55">
        <v>43339</v>
      </c>
      <c r="C326" s="54">
        <v>1588.1</v>
      </c>
      <c r="D326" s="56">
        <f t="shared" si="12"/>
        <v>-0.66480930369995139</v>
      </c>
      <c r="E326" s="64">
        <v>1.8208629864717496E-2</v>
      </c>
      <c r="F326" s="64">
        <v>323</v>
      </c>
      <c r="G326" s="64">
        <f t="shared" ca="1" si="13"/>
        <v>5.4496197440119581E-3</v>
      </c>
    </row>
    <row r="327" spans="2:7" x14ac:dyDescent="0.3">
      <c r="B327" s="55">
        <v>45889</v>
      </c>
      <c r="C327" s="54">
        <v>4737.8999999999996</v>
      </c>
      <c r="D327" s="56">
        <f t="shared" si="12"/>
        <v>0.33627594765342961</v>
      </c>
      <c r="E327" s="64">
        <v>1.8202527293045501E-2</v>
      </c>
      <c r="F327" s="64">
        <v>324</v>
      </c>
      <c r="G327" s="64">
        <f t="shared" ca="1" si="13"/>
        <v>6.5581320745402595E-4</v>
      </c>
    </row>
    <row r="328" spans="2:7" x14ac:dyDescent="0.3">
      <c r="B328" s="55">
        <v>44972</v>
      </c>
      <c r="C328" s="54">
        <v>3545.6</v>
      </c>
      <c r="D328" s="56">
        <f t="shared" si="12"/>
        <v>-0.11395441823270691</v>
      </c>
      <c r="E328" s="64">
        <v>1.8060700031584664E-2</v>
      </c>
      <c r="F328" s="64">
        <v>325</v>
      </c>
      <c r="G328" s="64">
        <f t="shared" ca="1" si="13"/>
        <v>2.3640919118381723E-3</v>
      </c>
    </row>
    <row r="329" spans="2:7" x14ac:dyDescent="0.3">
      <c r="B329" s="55">
        <v>45597</v>
      </c>
      <c r="C329" s="54">
        <v>4001.6</v>
      </c>
      <c r="D329" s="56">
        <f t="shared" si="12"/>
        <v>2.2864665209667345E-2</v>
      </c>
      <c r="E329" s="64">
        <v>1.8037499681990532E-2</v>
      </c>
      <c r="F329" s="64">
        <v>326</v>
      </c>
      <c r="G329" s="64">
        <f t="shared" ca="1" si="13"/>
        <v>-3.7801511717309173E-2</v>
      </c>
    </row>
    <row r="330" spans="2:7" x14ac:dyDescent="0.3">
      <c r="B330" s="55">
        <v>45258</v>
      </c>
      <c r="C330" s="54">
        <v>3912.15</v>
      </c>
      <c r="D330" s="56">
        <f t="shared" si="12"/>
        <v>-0.11097602545165319</v>
      </c>
      <c r="E330" s="64">
        <v>1.8020245127377654E-2</v>
      </c>
      <c r="F330" s="64">
        <v>327</v>
      </c>
      <c r="G330" s="64">
        <f t="shared" ca="1" si="13"/>
        <v>-1.509479095856032E-2</v>
      </c>
    </row>
    <row r="331" spans="2:7" x14ac:dyDescent="0.3">
      <c r="B331" s="55">
        <v>44578</v>
      </c>
      <c r="C331" s="54">
        <v>4400.5</v>
      </c>
      <c r="D331" s="56">
        <f t="shared" si="12"/>
        <v>1.7591936545756655</v>
      </c>
      <c r="E331" s="64">
        <v>1.7998010502695116E-2</v>
      </c>
      <c r="F331" s="64">
        <v>328</v>
      </c>
      <c r="G331" s="64">
        <f t="shared" ca="1" si="13"/>
        <v>8.7624133887329227E-3</v>
      </c>
    </row>
    <row r="332" spans="2:7" x14ac:dyDescent="0.3">
      <c r="B332" s="55">
        <v>43311</v>
      </c>
      <c r="C332" s="54">
        <v>1594.85</v>
      </c>
      <c r="D332" s="56">
        <f t="shared" si="12"/>
        <v>-0.59303631120977829</v>
      </c>
      <c r="E332" s="64">
        <v>1.796770281483373E-2</v>
      </c>
      <c r="F332" s="64">
        <v>329</v>
      </c>
      <c r="G332" s="64">
        <f t="shared" ca="1" si="13"/>
        <v>1.3847297465786692E-2</v>
      </c>
    </row>
    <row r="333" spans="2:7" x14ac:dyDescent="0.3">
      <c r="B333" s="55">
        <v>45351</v>
      </c>
      <c r="C333" s="54">
        <v>3918.9</v>
      </c>
      <c r="D333" s="56">
        <f t="shared" si="12"/>
        <v>-0.17321912678403772</v>
      </c>
      <c r="E333" s="64">
        <v>1.7896103896103854E-2</v>
      </c>
      <c r="F333" s="64">
        <v>330</v>
      </c>
      <c r="G333" s="64">
        <f t="shared" ca="1" si="13"/>
        <v>-2.0159846545441791E-2</v>
      </c>
    </row>
    <row r="334" spans="2:7" x14ac:dyDescent="0.3">
      <c r="B334" s="55">
        <v>45457</v>
      </c>
      <c r="C334" s="54">
        <v>4739.95</v>
      </c>
      <c r="D334" s="56">
        <f t="shared" si="12"/>
        <v>5.3376788340687256</v>
      </c>
      <c r="E334" s="64">
        <v>1.7888396164624787E-2</v>
      </c>
      <c r="F334" s="64">
        <v>331</v>
      </c>
      <c r="G334" s="64">
        <f t="shared" ca="1" si="13"/>
        <v>-1.4038954138378768E-3</v>
      </c>
    </row>
    <row r="335" spans="2:7" x14ac:dyDescent="0.3">
      <c r="B335" s="55">
        <v>42851</v>
      </c>
      <c r="C335" s="54">
        <v>747.9</v>
      </c>
      <c r="D335" s="56">
        <f t="shared" si="12"/>
        <v>-0.84589231625146821</v>
      </c>
      <c r="E335" s="64">
        <v>1.7827980402830734E-2</v>
      </c>
      <c r="F335" s="64">
        <v>332</v>
      </c>
      <c r="G335" s="64">
        <f t="shared" ca="1" si="13"/>
        <v>3.3707873043191568E-2</v>
      </c>
    </row>
    <row r="336" spans="2:7" x14ac:dyDescent="0.3">
      <c r="B336" s="55">
        <v>45478</v>
      </c>
      <c r="C336" s="54">
        <v>4853.1000000000004</v>
      </c>
      <c r="D336" s="56">
        <f t="shared" si="12"/>
        <v>2.4357013911012002</v>
      </c>
      <c r="E336" s="64">
        <v>1.7826807323671812E-2</v>
      </c>
      <c r="F336" s="64">
        <v>333</v>
      </c>
      <c r="G336" s="64">
        <f t="shared" ca="1" si="13"/>
        <v>4.2851867701744319E-3</v>
      </c>
    </row>
    <row r="337" spans="2:7" x14ac:dyDescent="0.3">
      <c r="B337" s="55">
        <v>43423</v>
      </c>
      <c r="C337" s="54">
        <v>1412.55</v>
      </c>
      <c r="D337" s="56">
        <f t="shared" si="12"/>
        <v>-0.73800183624071447</v>
      </c>
      <c r="E337" s="64">
        <v>1.7760645579652623E-2</v>
      </c>
      <c r="F337" s="64">
        <v>334</v>
      </c>
      <c r="G337" s="64">
        <f t="shared" ca="1" si="13"/>
        <v>1.1463758366390237E-2</v>
      </c>
    </row>
    <row r="338" spans="2:7" x14ac:dyDescent="0.3">
      <c r="B338" s="55">
        <v>45559</v>
      </c>
      <c r="C338" s="54">
        <v>5391.45</v>
      </c>
      <c r="D338" s="56">
        <f t="shared" si="12"/>
        <v>0.44322349225044833</v>
      </c>
      <c r="E338" s="64">
        <v>1.7744386450084582E-2</v>
      </c>
      <c r="F338" s="64">
        <v>335</v>
      </c>
      <c r="G338" s="64">
        <f t="shared" ca="1" si="13"/>
        <v>1.5203550728046597E-2</v>
      </c>
    </row>
    <row r="339" spans="2:7" x14ac:dyDescent="0.3">
      <c r="B339" s="55">
        <v>46050</v>
      </c>
      <c r="C339" s="54">
        <v>3735.7</v>
      </c>
      <c r="D339" s="56">
        <f t="shared" si="12"/>
        <v>-8.0940782837601755E-2</v>
      </c>
      <c r="E339" s="64">
        <v>1.7735520078461242E-2</v>
      </c>
      <c r="F339" s="64">
        <v>336</v>
      </c>
      <c r="G339" s="64">
        <f t="shared" ca="1" si="13"/>
        <v>1.1295376235129264E-2</v>
      </c>
    </row>
    <row r="340" spans="2:7" x14ac:dyDescent="0.3">
      <c r="B340" s="55">
        <v>46209</v>
      </c>
      <c r="C340" s="54">
        <v>4064.7</v>
      </c>
      <c r="D340" s="56">
        <f t="shared" si="12"/>
        <v>1.120233686297011</v>
      </c>
      <c r="E340" s="64">
        <v>1.7599639495293307E-2</v>
      </c>
      <c r="F340" s="64">
        <v>337</v>
      </c>
      <c r="G340" s="64">
        <f t="shared" ca="1" si="13"/>
        <v>-1.0343210237765554E-2</v>
      </c>
    </row>
    <row r="341" spans="2:7" x14ac:dyDescent="0.3">
      <c r="B341" s="55">
        <v>43765</v>
      </c>
      <c r="C341" s="54">
        <v>1917.1</v>
      </c>
      <c r="D341" s="56">
        <f t="shared" si="12"/>
        <v>-0.54010938924339114</v>
      </c>
      <c r="E341" s="64">
        <v>1.7596008386634443E-2</v>
      </c>
      <c r="F341" s="64">
        <v>338</v>
      </c>
      <c r="G341" s="64">
        <f t="shared" ca="1" si="13"/>
        <v>-6.8220961907862233E-3</v>
      </c>
    </row>
    <row r="342" spans="2:7" x14ac:dyDescent="0.3">
      <c r="B342" s="55">
        <v>44630</v>
      </c>
      <c r="C342" s="54">
        <v>4168.6000000000004</v>
      </c>
      <c r="D342" s="56">
        <f t="shared" si="12"/>
        <v>2.9666952136264153</v>
      </c>
      <c r="E342" s="64">
        <v>1.7550711548319553E-2</v>
      </c>
      <c r="F342" s="64">
        <v>339</v>
      </c>
      <c r="G342" s="64">
        <f t="shared" ca="1" si="13"/>
        <v>8.2145255342454503E-3</v>
      </c>
    </row>
    <row r="343" spans="2:7" x14ac:dyDescent="0.3">
      <c r="B343" s="55">
        <v>42977</v>
      </c>
      <c r="C343" s="54">
        <v>1050.9000000000001</v>
      </c>
      <c r="D343" s="56">
        <f t="shared" si="12"/>
        <v>-0.51553568135718231</v>
      </c>
      <c r="E343" s="64">
        <v>1.7475916154330529E-2</v>
      </c>
      <c r="F343" s="64">
        <v>340</v>
      </c>
      <c r="G343" s="64">
        <f t="shared" ca="1" si="13"/>
        <v>1.5547543189225314E-3</v>
      </c>
    </row>
    <row r="344" spans="2:7" x14ac:dyDescent="0.3">
      <c r="B344" s="55">
        <v>44055</v>
      </c>
      <c r="C344" s="54">
        <v>2169.1999999999998</v>
      </c>
      <c r="D344" s="56">
        <f t="shared" si="12"/>
        <v>-1.717185446966607E-2</v>
      </c>
      <c r="E344" s="64">
        <v>1.7472267173245237E-2</v>
      </c>
      <c r="F344" s="64">
        <v>341</v>
      </c>
      <c r="G344" s="64">
        <f t="shared" ca="1" si="13"/>
        <v>-5.2859525144062794E-2</v>
      </c>
    </row>
    <row r="345" spans="2:7" x14ac:dyDescent="0.3">
      <c r="B345" s="55">
        <v>44056</v>
      </c>
      <c r="C345" s="54">
        <v>2207.1</v>
      </c>
      <c r="D345" s="56">
        <f t="shared" si="12"/>
        <v>0.52224291330436556</v>
      </c>
      <c r="E345" s="64">
        <v>1.7471879033745141E-2</v>
      </c>
      <c r="F345" s="64">
        <v>342</v>
      </c>
      <c r="G345" s="64">
        <f t="shared" ca="1" si="13"/>
        <v>-3.5365843089809723E-2</v>
      </c>
    </row>
    <row r="346" spans="2:7" x14ac:dyDescent="0.3">
      <c r="B346" s="55">
        <v>43675</v>
      </c>
      <c r="C346" s="54">
        <v>1449.9</v>
      </c>
      <c r="D346" s="56">
        <f t="shared" si="12"/>
        <v>-0.6376110673714992</v>
      </c>
      <c r="E346" s="64">
        <v>1.7437984632118209E-2</v>
      </c>
      <c r="F346" s="64">
        <v>343</v>
      </c>
      <c r="G346" s="64">
        <f t="shared" ca="1" si="13"/>
        <v>-1.2173541955556524E-2</v>
      </c>
    </row>
    <row r="347" spans="2:7" x14ac:dyDescent="0.3">
      <c r="B347" s="55">
        <v>44769</v>
      </c>
      <c r="C347" s="54">
        <v>4000.95</v>
      </c>
      <c r="D347" s="56">
        <f t="shared" si="12"/>
        <v>1.0250797185807561</v>
      </c>
      <c r="E347" s="64">
        <v>1.7432102532804361E-2</v>
      </c>
      <c r="F347" s="64">
        <v>344</v>
      </c>
      <c r="G347" s="64">
        <f t="shared" ca="1" si="13"/>
        <v>1.5383649485876512E-2</v>
      </c>
    </row>
    <row r="348" spans="2:7" x14ac:dyDescent="0.3">
      <c r="B348" s="55">
        <v>43768</v>
      </c>
      <c r="C348" s="54">
        <v>1975.7</v>
      </c>
      <c r="D348" s="56">
        <f t="shared" si="12"/>
        <v>5.6241646618551133E-2</v>
      </c>
      <c r="E348" s="64">
        <v>1.7300859893929266E-2</v>
      </c>
      <c r="F348" s="64">
        <v>345</v>
      </c>
      <c r="G348" s="64">
        <f t="shared" ca="1" si="13"/>
        <v>1.30083043858289E-2</v>
      </c>
    </row>
    <row r="349" spans="2:7" x14ac:dyDescent="0.3">
      <c r="B349" s="55">
        <v>43754</v>
      </c>
      <c r="C349" s="54">
        <v>1870.5</v>
      </c>
      <c r="D349" s="56">
        <f t="shared" si="12"/>
        <v>1.0888938522530571</v>
      </c>
      <c r="E349" s="64">
        <v>1.7294827867515128E-2</v>
      </c>
      <c r="F349" s="64">
        <v>346</v>
      </c>
      <c r="G349" s="64">
        <f t="shared" ca="1" si="13"/>
        <v>9.5518497372161434E-3</v>
      </c>
    </row>
    <row r="350" spans="2:7" x14ac:dyDescent="0.3">
      <c r="B350" s="55">
        <v>42923</v>
      </c>
      <c r="C350" s="54">
        <v>895.45</v>
      </c>
      <c r="D350" s="56">
        <f t="shared" si="12"/>
        <v>-0.66617581270504034</v>
      </c>
      <c r="E350" s="64">
        <v>1.7210042031125861E-2</v>
      </c>
      <c r="F350" s="64">
        <v>347</v>
      </c>
      <c r="G350" s="64">
        <f t="shared" ca="1" si="13"/>
        <v>2.9633470271648039E-2</v>
      </c>
    </row>
    <row r="351" spans="2:7" x14ac:dyDescent="0.3">
      <c r="B351" s="55">
        <v>44186</v>
      </c>
      <c r="C351" s="54">
        <v>2682.4</v>
      </c>
      <c r="D351" s="56">
        <f t="shared" si="12"/>
        <v>0.78019644279267331</v>
      </c>
      <c r="E351" s="64">
        <v>1.7197246923645659E-2</v>
      </c>
      <c r="F351" s="64">
        <v>348</v>
      </c>
      <c r="G351" s="64">
        <f t="shared" ca="1" si="13"/>
        <v>-1.6432640786358386E-2</v>
      </c>
    </row>
    <row r="352" spans="2:7" x14ac:dyDescent="0.3">
      <c r="B352" s="55">
        <v>43207</v>
      </c>
      <c r="C352" s="54">
        <v>1506.8</v>
      </c>
      <c r="D352" s="56">
        <f t="shared" si="12"/>
        <v>-0.60594688599186686</v>
      </c>
      <c r="E352" s="64">
        <v>1.7145943026866339E-2</v>
      </c>
      <c r="F352" s="64">
        <v>349</v>
      </c>
      <c r="G352" s="64">
        <f t="shared" ca="1" si="13"/>
        <v>-1.839656268627389E-2</v>
      </c>
    </row>
    <row r="353" spans="2:7" x14ac:dyDescent="0.3">
      <c r="B353" s="55">
        <v>45610</v>
      </c>
      <c r="C353" s="54">
        <v>3823.85</v>
      </c>
      <c r="D353" s="56">
        <f t="shared" si="12"/>
        <v>-3.3111661778092549E-2</v>
      </c>
      <c r="E353" s="64">
        <v>1.7103110744636885E-2</v>
      </c>
      <c r="F353" s="64">
        <v>350</v>
      </c>
      <c r="G353" s="64">
        <f t="shared" ca="1" si="13"/>
        <v>-1.4973797390440855E-2</v>
      </c>
    </row>
    <row r="354" spans="2:7" x14ac:dyDescent="0.3">
      <c r="B354" s="55">
        <v>44439</v>
      </c>
      <c r="C354" s="54">
        <v>3954.8</v>
      </c>
      <c r="D354" s="56">
        <f t="shared" si="12"/>
        <v>1.4775567736883319</v>
      </c>
      <c r="E354" s="64">
        <v>1.708951097509237E-2</v>
      </c>
      <c r="F354" s="64">
        <v>351</v>
      </c>
      <c r="G354" s="64">
        <f t="shared" ca="1" si="13"/>
        <v>-7.7449144682110293E-3</v>
      </c>
    </row>
    <row r="355" spans="2:7" x14ac:dyDescent="0.3">
      <c r="B355" s="55">
        <v>43724</v>
      </c>
      <c r="C355" s="54">
        <v>1596.25</v>
      </c>
      <c r="D355" s="56">
        <f t="shared" si="12"/>
        <v>0.19310112863442708</v>
      </c>
      <c r="E355" s="64">
        <v>1.7011245261380648E-2</v>
      </c>
      <c r="F355" s="64">
        <v>352</v>
      </c>
      <c r="G355" s="64">
        <f t="shared" ca="1" si="13"/>
        <v>3.8180959009520895E-3</v>
      </c>
    </row>
    <row r="356" spans="2:7" x14ac:dyDescent="0.3">
      <c r="B356" s="55">
        <v>43172</v>
      </c>
      <c r="C356" s="54">
        <v>1337.9</v>
      </c>
      <c r="D356" s="56">
        <f t="shared" si="12"/>
        <v>-0.69814087811921843</v>
      </c>
      <c r="E356" s="64">
        <v>1.6911792650020852E-2</v>
      </c>
      <c r="F356" s="64">
        <v>353</v>
      </c>
      <c r="G356" s="64">
        <f t="shared" ca="1" si="13"/>
        <v>-4.1067877402917279E-3</v>
      </c>
    </row>
    <row r="357" spans="2:7" x14ac:dyDescent="0.3">
      <c r="B357" s="55">
        <v>46148</v>
      </c>
      <c r="C357" s="54">
        <v>4432.2</v>
      </c>
      <c r="D357" s="56">
        <f t="shared" si="12"/>
        <v>-6.8572029000735557E-2</v>
      </c>
      <c r="E357" s="64">
        <v>1.6862826071993853E-2</v>
      </c>
      <c r="F357" s="64">
        <v>354</v>
      </c>
      <c r="G357" s="64">
        <f t="shared" ca="1" si="13"/>
        <v>-1.6865328827578477E-2</v>
      </c>
    </row>
    <row r="358" spans="2:7" x14ac:dyDescent="0.3">
      <c r="B358" s="55">
        <v>45903</v>
      </c>
      <c r="C358" s="54">
        <v>4758.5</v>
      </c>
      <c r="D358" s="56">
        <f t="shared" si="12"/>
        <v>0.99630818282885492</v>
      </c>
      <c r="E358" s="64">
        <v>1.6773504273504214E-2</v>
      </c>
      <c r="F358" s="64">
        <v>355</v>
      </c>
      <c r="G358" s="64">
        <f t="shared" ca="1" si="13"/>
        <v>2.9213652915372479E-2</v>
      </c>
    </row>
    <row r="359" spans="2:7" x14ac:dyDescent="0.3">
      <c r="B359" s="55">
        <v>43951</v>
      </c>
      <c r="C359" s="54">
        <v>2383.65</v>
      </c>
      <c r="D359" s="56">
        <f t="shared" si="12"/>
        <v>1.1892450404114623</v>
      </c>
      <c r="E359" s="64">
        <v>1.6763708490626472E-2</v>
      </c>
      <c r="F359" s="64">
        <v>356</v>
      </c>
      <c r="G359" s="64">
        <f t="shared" ca="1" si="13"/>
        <v>1.0348782753985783E-2</v>
      </c>
    </row>
    <row r="360" spans="2:7" x14ac:dyDescent="0.3">
      <c r="B360" s="55">
        <v>42989</v>
      </c>
      <c r="C360" s="54">
        <v>1088.8</v>
      </c>
      <c r="D360" s="56">
        <f t="shared" si="12"/>
        <v>-0.48509139060320172</v>
      </c>
      <c r="E360" s="64">
        <v>1.676238502124483E-2</v>
      </c>
      <c r="F360" s="64">
        <v>357</v>
      </c>
      <c r="G360" s="64">
        <f t="shared" ca="1" si="13"/>
        <v>2.8814273323102407E-3</v>
      </c>
    </row>
    <row r="361" spans="2:7" x14ac:dyDescent="0.3">
      <c r="B361" s="55">
        <v>43920</v>
      </c>
      <c r="C361" s="54">
        <v>2114.5500000000002</v>
      </c>
      <c r="D361" s="56">
        <f t="shared" si="12"/>
        <v>-0.42448696314844037</v>
      </c>
      <c r="E361" s="64">
        <v>1.6757224599702081E-2</v>
      </c>
      <c r="F361" s="64">
        <v>358</v>
      </c>
      <c r="G361" s="64">
        <f t="shared" ca="1" si="13"/>
        <v>-1.1769903293113044E-2</v>
      </c>
    </row>
    <row r="362" spans="2:7" x14ac:dyDescent="0.3">
      <c r="B362" s="55">
        <v>46055</v>
      </c>
      <c r="C362" s="54">
        <v>3674.2</v>
      </c>
      <c r="D362" s="56">
        <f t="shared" si="12"/>
        <v>0.56725744875978412</v>
      </c>
      <c r="E362" s="64">
        <v>1.67418435398623E-2</v>
      </c>
      <c r="F362" s="64">
        <v>359</v>
      </c>
      <c r="G362" s="64">
        <f t="shared" ca="1" si="13"/>
        <v>-6.3555797255879492E-3</v>
      </c>
    </row>
    <row r="363" spans="2:7" x14ac:dyDescent="0.3">
      <c r="B363" s="55">
        <v>43950</v>
      </c>
      <c r="C363" s="54">
        <v>2344.35</v>
      </c>
      <c r="D363" s="56">
        <f t="shared" si="12"/>
        <v>1.8657783754049264</v>
      </c>
      <c r="E363" s="64">
        <v>1.6718709341660087E-2</v>
      </c>
      <c r="F363" s="64">
        <v>360</v>
      </c>
      <c r="G363" s="64">
        <f t="shared" ca="1" si="13"/>
        <v>-1.1839350690955588E-2</v>
      </c>
    </row>
    <row r="364" spans="2:7" x14ac:dyDescent="0.3">
      <c r="B364" s="55">
        <v>42914</v>
      </c>
      <c r="C364" s="54">
        <v>818.05</v>
      </c>
      <c r="D364" s="56">
        <f t="shared" si="12"/>
        <v>-0.65361815641275345</v>
      </c>
      <c r="E364" s="64">
        <v>1.6716380810340548E-2</v>
      </c>
      <c r="F364" s="64">
        <v>361</v>
      </c>
      <c r="G364" s="64">
        <f t="shared" ca="1" si="13"/>
        <v>-2.7663470789759557E-4</v>
      </c>
    </row>
    <row r="365" spans="2:7" x14ac:dyDescent="0.3">
      <c r="B365" s="55">
        <v>44019</v>
      </c>
      <c r="C365" s="54">
        <v>2361.6999999999998</v>
      </c>
      <c r="D365" s="56">
        <f t="shared" si="12"/>
        <v>-0.38167299384736231</v>
      </c>
      <c r="E365" s="64">
        <v>1.6659492036160017E-2</v>
      </c>
      <c r="F365" s="64">
        <v>362</v>
      </c>
      <c r="G365" s="64">
        <f t="shared" ca="1" si="13"/>
        <v>-1.3403610005232956E-2</v>
      </c>
    </row>
    <row r="366" spans="2:7" x14ac:dyDescent="0.3">
      <c r="B366" s="55">
        <v>46010</v>
      </c>
      <c r="C366" s="54">
        <v>3819.5</v>
      </c>
      <c r="D366" s="56">
        <f t="shared" si="12"/>
        <v>-6.3735691987513166E-3</v>
      </c>
      <c r="E366" s="64">
        <v>1.6581496859363387E-2</v>
      </c>
      <c r="F366" s="64">
        <v>363</v>
      </c>
      <c r="G366" s="64">
        <f t="shared" ca="1" si="13"/>
        <v>7.8225520508031529E-4</v>
      </c>
    </row>
    <row r="367" spans="2:7" x14ac:dyDescent="0.3">
      <c r="B367" s="55">
        <v>46099</v>
      </c>
      <c r="C367" s="54">
        <v>3844</v>
      </c>
      <c r="D367" s="56">
        <f t="shared" si="12"/>
        <v>0.14197439172930104</v>
      </c>
      <c r="E367" s="64">
        <v>1.6554715184852187E-2</v>
      </c>
      <c r="F367" s="64">
        <v>364</v>
      </c>
      <c r="G367" s="64">
        <f t="shared" ca="1" si="13"/>
        <v>-8.8129821710258693E-3</v>
      </c>
    </row>
    <row r="368" spans="2:7" x14ac:dyDescent="0.3">
      <c r="B368" s="55">
        <v>45005</v>
      </c>
      <c r="C368" s="54">
        <v>3366.1</v>
      </c>
      <c r="D368" s="56">
        <f t="shared" si="12"/>
        <v>0.164478577482573</v>
      </c>
      <c r="E368" s="64">
        <v>1.6549391477667319E-2</v>
      </c>
      <c r="F368" s="64">
        <v>365</v>
      </c>
      <c r="G368" s="64">
        <f t="shared" ca="1" si="13"/>
        <v>-1.30958737137598E-2</v>
      </c>
    </row>
    <row r="369" spans="2:7" x14ac:dyDescent="0.3">
      <c r="B369" s="55">
        <v>44293</v>
      </c>
      <c r="C369" s="54">
        <v>2890.65</v>
      </c>
      <c r="D369" s="56">
        <f t="shared" si="12"/>
        <v>-0.1954549249909544</v>
      </c>
      <c r="E369" s="64">
        <v>1.6528053733757764E-2</v>
      </c>
      <c r="F369" s="64">
        <v>366</v>
      </c>
      <c r="G369" s="64">
        <f t="shared" ca="1" si="13"/>
        <v>-6.5678732424705255E-3</v>
      </c>
    </row>
    <row r="370" spans="2:7" x14ac:dyDescent="0.3">
      <c r="B370" s="55">
        <v>45166</v>
      </c>
      <c r="C370" s="54">
        <v>3592.9</v>
      </c>
      <c r="D370" s="56">
        <f t="shared" si="12"/>
        <v>1.6168244719592133</v>
      </c>
      <c r="E370" s="64">
        <v>1.6494087025406001E-2</v>
      </c>
      <c r="F370" s="64">
        <v>367</v>
      </c>
      <c r="G370" s="64">
        <f t="shared" ca="1" si="13"/>
        <v>5.1165710116491039E-3</v>
      </c>
    </row>
    <row r="371" spans="2:7" x14ac:dyDescent="0.3">
      <c r="B371" s="55">
        <v>43657</v>
      </c>
      <c r="C371" s="54">
        <v>1373</v>
      </c>
      <c r="D371" s="56">
        <f t="shared" si="12"/>
        <v>0.20185574229691872</v>
      </c>
      <c r="E371" s="64">
        <v>1.6434705359786861E-2</v>
      </c>
      <c r="F371" s="64">
        <v>368</v>
      </c>
      <c r="G371" s="64">
        <f t="shared" ca="1" si="13"/>
        <v>-2.897036306721662E-2</v>
      </c>
    </row>
    <row r="372" spans="2:7" x14ac:dyDescent="0.3">
      <c r="B372" s="55">
        <v>43076</v>
      </c>
      <c r="C372" s="54">
        <v>1142.4000000000001</v>
      </c>
      <c r="D372" s="56">
        <f t="shared" si="12"/>
        <v>-0.74658947228322359</v>
      </c>
      <c r="E372" s="64">
        <v>1.6415320966235214E-2</v>
      </c>
      <c r="F372" s="64">
        <v>369</v>
      </c>
      <c r="G372" s="64">
        <f t="shared" ca="1" si="13"/>
        <v>-2.7658176980567946E-2</v>
      </c>
    </row>
    <row r="373" spans="2:7" x14ac:dyDescent="0.3">
      <c r="B373" s="55">
        <v>45770</v>
      </c>
      <c r="C373" s="54">
        <v>4508.1000000000004</v>
      </c>
      <c r="D373" s="56">
        <f t="shared" si="12"/>
        <v>6.0105820105820218E-2</v>
      </c>
      <c r="E373" s="64">
        <v>1.6345026602939905E-2</v>
      </c>
      <c r="F373" s="64">
        <v>370</v>
      </c>
      <c r="G373" s="64">
        <f t="shared" ca="1" si="13"/>
        <v>-5.439252991513429E-3</v>
      </c>
    </row>
    <row r="374" spans="2:7" x14ac:dyDescent="0.3">
      <c r="B374" s="55">
        <v>45881</v>
      </c>
      <c r="C374" s="54">
        <v>4252.5</v>
      </c>
      <c r="D374" s="56">
        <f t="shared" si="12"/>
        <v>0.14548540028014223</v>
      </c>
      <c r="E374" s="64">
        <v>1.6250448082208102E-2</v>
      </c>
      <c r="F374" s="64">
        <v>371</v>
      </c>
      <c r="G374" s="64">
        <f t="shared" ca="1" si="13"/>
        <v>1.630775740984619E-3</v>
      </c>
    </row>
    <row r="375" spans="2:7" x14ac:dyDescent="0.3">
      <c r="B375" s="55">
        <v>45238</v>
      </c>
      <c r="C375" s="54">
        <v>3712.4</v>
      </c>
      <c r="D375" s="56">
        <f t="shared" si="12"/>
        <v>0.54454868839841053</v>
      </c>
      <c r="E375" s="64">
        <v>1.6177154901048318E-2</v>
      </c>
      <c r="F375" s="64">
        <v>372</v>
      </c>
      <c r="G375" s="64">
        <f t="shared" ca="1" si="13"/>
        <v>-1.3507343384239362E-2</v>
      </c>
    </row>
    <row r="376" spans="2:7" x14ac:dyDescent="0.3">
      <c r="B376" s="55">
        <v>43998</v>
      </c>
      <c r="C376" s="54">
        <v>2403.5500000000002</v>
      </c>
      <c r="D376" s="56">
        <f t="shared" si="12"/>
        <v>-0.52672514792608127</v>
      </c>
      <c r="E376" s="64">
        <v>1.6171310193210164E-2</v>
      </c>
      <c r="F376" s="64">
        <v>373</v>
      </c>
      <c r="G376" s="64">
        <f t="shared" ca="1" si="13"/>
        <v>2.8521641119698263E-4</v>
      </c>
    </row>
    <row r="377" spans="2:7" x14ac:dyDescent="0.3">
      <c r="B377" s="55">
        <v>44512</v>
      </c>
      <c r="C377" s="54">
        <v>5078.55</v>
      </c>
      <c r="D377" s="56">
        <f t="shared" si="12"/>
        <v>0.42322081634368836</v>
      </c>
      <c r="E377" s="64">
        <v>1.6167275273873294E-2</v>
      </c>
      <c r="F377" s="64">
        <v>374</v>
      </c>
      <c r="G377" s="64">
        <f t="shared" ca="1" si="13"/>
        <v>2.362385247244692E-3</v>
      </c>
    </row>
    <row r="378" spans="2:7" x14ac:dyDescent="0.3">
      <c r="B378" s="55">
        <v>45653</v>
      </c>
      <c r="C378" s="54">
        <v>3568.35</v>
      </c>
      <c r="D378" s="56">
        <f t="shared" si="12"/>
        <v>2.0059388425574931</v>
      </c>
      <c r="E378" s="64">
        <v>1.6146256033488404E-2</v>
      </c>
      <c r="F378" s="64">
        <v>375</v>
      </c>
      <c r="G378" s="64">
        <f t="shared" ca="1" si="13"/>
        <v>-1.575816898148661E-2</v>
      </c>
    </row>
    <row r="379" spans="2:7" x14ac:dyDescent="0.3">
      <c r="B379" s="55">
        <v>43398</v>
      </c>
      <c r="C379" s="54">
        <v>1187.0999999999999</v>
      </c>
      <c r="D379" s="56">
        <f t="shared" si="12"/>
        <v>-0.6887274824973123</v>
      </c>
      <c r="E379" s="64">
        <v>1.6135245024609279E-2</v>
      </c>
      <c r="F379" s="64">
        <v>376</v>
      </c>
      <c r="G379" s="64">
        <f t="shared" ca="1" si="13"/>
        <v>1.4296497230485938E-2</v>
      </c>
    </row>
    <row r="380" spans="2:7" x14ac:dyDescent="0.3">
      <c r="B380" s="55">
        <v>45182</v>
      </c>
      <c r="C380" s="54">
        <v>3813.7</v>
      </c>
      <c r="D380" s="56">
        <f t="shared" si="12"/>
        <v>0.31568143791075154</v>
      </c>
      <c r="E380" s="64">
        <v>1.6106041430759888E-2</v>
      </c>
      <c r="F380" s="64">
        <v>377</v>
      </c>
      <c r="G380" s="64">
        <f t="shared" ca="1" si="13"/>
        <v>2.8298549180990985E-2</v>
      </c>
    </row>
    <row r="381" spans="2:7" x14ac:dyDescent="0.3">
      <c r="B381" s="55">
        <v>44319</v>
      </c>
      <c r="C381" s="54">
        <v>2898.65</v>
      </c>
      <c r="D381" s="56">
        <f t="shared" si="12"/>
        <v>-0.32943530663705545</v>
      </c>
      <c r="E381" s="64">
        <v>1.6036313926180323E-2</v>
      </c>
      <c r="F381" s="64">
        <v>378</v>
      </c>
      <c r="G381" s="64">
        <f t="shared" ca="1" si="13"/>
        <v>2.2038478125439569E-2</v>
      </c>
    </row>
    <row r="382" spans="2:7" x14ac:dyDescent="0.3">
      <c r="B382" s="55">
        <v>44575</v>
      </c>
      <c r="C382" s="54">
        <v>4322.7</v>
      </c>
      <c r="D382" s="56">
        <f t="shared" si="12"/>
        <v>2.8533606703512211</v>
      </c>
      <c r="E382" s="64">
        <v>1.6006205048653133E-2</v>
      </c>
      <c r="F382" s="64">
        <v>379</v>
      </c>
      <c r="G382" s="64">
        <f t="shared" ca="1" si="13"/>
        <v>-1.1360736448671782E-2</v>
      </c>
    </row>
    <row r="383" spans="2:7" x14ac:dyDescent="0.3">
      <c r="B383" s="55">
        <v>43084</v>
      </c>
      <c r="C383" s="54">
        <v>1121.8</v>
      </c>
      <c r="D383" s="56">
        <f t="shared" si="12"/>
        <v>-0.1439908431896223</v>
      </c>
      <c r="E383" s="64">
        <v>1.5939141459880402E-2</v>
      </c>
      <c r="F383" s="64">
        <v>380</v>
      </c>
      <c r="G383" s="64">
        <f t="shared" ca="1" si="13"/>
        <v>2.0705589722631063E-2</v>
      </c>
    </row>
    <row r="384" spans="2:7" x14ac:dyDescent="0.3">
      <c r="B384" s="55">
        <v>43613</v>
      </c>
      <c r="C384" s="54">
        <v>1310.5</v>
      </c>
      <c r="D384" s="56">
        <f t="shared" si="12"/>
        <v>-0.43157666449793974</v>
      </c>
      <c r="E384" s="64">
        <v>1.5930850032946919E-2</v>
      </c>
      <c r="F384" s="64">
        <v>381</v>
      </c>
      <c r="G384" s="64">
        <f t="shared" ca="1" si="13"/>
        <v>-2.522474320928377E-3</v>
      </c>
    </row>
    <row r="385" spans="2:7" x14ac:dyDescent="0.3">
      <c r="B385" s="55">
        <v>43983</v>
      </c>
      <c r="C385" s="54">
        <v>2305.5</v>
      </c>
      <c r="D385" s="56">
        <f t="shared" si="12"/>
        <v>-0.21488166184232926</v>
      </c>
      <c r="E385" s="64">
        <v>1.5929671491836883E-2</v>
      </c>
      <c r="F385" s="64">
        <v>382</v>
      </c>
      <c r="G385" s="64">
        <f t="shared" ca="1" si="13"/>
        <v>-2.8902974660870565E-2</v>
      </c>
    </row>
    <row r="386" spans="2:7" x14ac:dyDescent="0.3">
      <c r="B386" s="55">
        <v>44294</v>
      </c>
      <c r="C386" s="54">
        <v>2936.5</v>
      </c>
      <c r="D386" s="56">
        <f t="shared" si="12"/>
        <v>-0.28646061136220047</v>
      </c>
      <c r="E386" s="64">
        <v>1.5861484441215712E-2</v>
      </c>
      <c r="F386" s="64">
        <v>383</v>
      </c>
      <c r="G386" s="64">
        <f t="shared" ca="1" si="13"/>
        <v>1.5680006648342966E-2</v>
      </c>
    </row>
    <row r="387" spans="2:7" x14ac:dyDescent="0.3">
      <c r="B387" s="55">
        <v>44609</v>
      </c>
      <c r="C387" s="54">
        <v>4115.3999999999996</v>
      </c>
      <c r="D387" s="56">
        <f t="shared" si="12"/>
        <v>7.5331190718820995E-2</v>
      </c>
      <c r="E387" s="64">
        <v>1.5859694160917259E-2</v>
      </c>
      <c r="F387" s="64">
        <v>384</v>
      </c>
      <c r="G387" s="64">
        <f t="shared" ca="1" si="13"/>
        <v>-3.4596443093306631E-3</v>
      </c>
    </row>
    <row r="388" spans="2:7" x14ac:dyDescent="0.3">
      <c r="B388" s="55">
        <v>45118</v>
      </c>
      <c r="C388" s="54">
        <v>3827.1</v>
      </c>
      <c r="D388" s="56">
        <f t="shared" ref="D388:D451" si="14">C388/C389-1</f>
        <v>0.28967144060657124</v>
      </c>
      <c r="E388" s="64">
        <v>1.5765586432040735E-2</v>
      </c>
      <c r="F388" s="64">
        <v>385</v>
      </c>
      <c r="G388" s="64">
        <f t="shared" ca="1" si="13"/>
        <v>-3.6410319570715957E-2</v>
      </c>
    </row>
    <row r="389" spans="2:7" x14ac:dyDescent="0.3">
      <c r="B389" s="55">
        <v>44204</v>
      </c>
      <c r="C389" s="54">
        <v>2967.5</v>
      </c>
      <c r="D389" s="56">
        <f t="shared" si="14"/>
        <v>1.0014163350644094</v>
      </c>
      <c r="E389" s="64">
        <v>1.5762720566841804E-2</v>
      </c>
      <c r="F389" s="64">
        <v>386</v>
      </c>
      <c r="G389" s="64">
        <f t="shared" ref="G389:G452" ca="1" si="15">_xlfn.NORM.INV(RAND(),K$6,K$7)</f>
        <v>-2.7933066944762157E-2</v>
      </c>
    </row>
    <row r="390" spans="2:7" x14ac:dyDescent="0.3">
      <c r="B390" s="55">
        <v>43677</v>
      </c>
      <c r="C390" s="54">
        <v>1482.7</v>
      </c>
      <c r="D390" s="56">
        <f t="shared" si="14"/>
        <v>-0.6637601623711632</v>
      </c>
      <c r="E390" s="64">
        <v>1.5756662327875537E-2</v>
      </c>
      <c r="F390" s="64">
        <v>387</v>
      </c>
      <c r="G390" s="64">
        <f t="shared" ca="1" si="15"/>
        <v>-1.4599533615790767E-2</v>
      </c>
    </row>
    <row r="391" spans="2:7" x14ac:dyDescent="0.3">
      <c r="B391" s="55">
        <v>44799</v>
      </c>
      <c r="C391" s="54">
        <v>4409.6499999999996</v>
      </c>
      <c r="D391" s="56">
        <f t="shared" si="14"/>
        <v>0.79061173938643314</v>
      </c>
      <c r="E391" s="64">
        <v>1.57558306939245E-2</v>
      </c>
      <c r="F391" s="64">
        <v>388</v>
      </c>
      <c r="G391" s="64">
        <f t="shared" ca="1" si="15"/>
        <v>-1.0527161106593467E-2</v>
      </c>
    </row>
    <row r="392" spans="2:7" x14ac:dyDescent="0.3">
      <c r="B392" s="55">
        <v>43881</v>
      </c>
      <c r="C392" s="54">
        <v>2462.65</v>
      </c>
      <c r="D392" s="56">
        <f t="shared" si="14"/>
        <v>4.24356586522181E-2</v>
      </c>
      <c r="E392" s="64">
        <v>1.573520313466692E-2</v>
      </c>
      <c r="F392" s="64">
        <v>389</v>
      </c>
      <c r="G392" s="64">
        <f t="shared" ca="1" si="15"/>
        <v>2.2846438291692674E-2</v>
      </c>
    </row>
    <row r="393" spans="2:7" x14ac:dyDescent="0.3">
      <c r="B393" s="55">
        <v>44145</v>
      </c>
      <c r="C393" s="54">
        <v>2362.4</v>
      </c>
      <c r="D393" s="56">
        <f t="shared" si="14"/>
        <v>0.23459628952181877</v>
      </c>
      <c r="E393" s="64">
        <v>1.5714684953887836E-2</v>
      </c>
      <c r="F393" s="64">
        <v>390</v>
      </c>
      <c r="G393" s="64">
        <f t="shared" ca="1" si="15"/>
        <v>2.3518666782742954E-3</v>
      </c>
    </row>
    <row r="394" spans="2:7" x14ac:dyDescent="0.3">
      <c r="B394" s="55">
        <v>43817</v>
      </c>
      <c r="C394" s="54">
        <v>1913.5</v>
      </c>
      <c r="D394" s="56">
        <f t="shared" si="14"/>
        <v>0.59047460726456658</v>
      </c>
      <c r="E394" s="64">
        <v>1.5685129647814433E-2</v>
      </c>
      <c r="F394" s="64">
        <v>391</v>
      </c>
      <c r="G394" s="64">
        <f t="shared" ca="1" si="15"/>
        <v>-2.9541002990032622E-2</v>
      </c>
    </row>
    <row r="395" spans="2:7" x14ac:dyDescent="0.3">
      <c r="B395" s="55">
        <v>43104</v>
      </c>
      <c r="C395" s="54">
        <v>1203.0999999999999</v>
      </c>
      <c r="D395" s="56">
        <f t="shared" si="14"/>
        <v>-0.60803414348081064</v>
      </c>
      <c r="E395" s="64">
        <v>1.5659955257270708E-2</v>
      </c>
      <c r="F395" s="64">
        <v>392</v>
      </c>
      <c r="G395" s="64">
        <f t="shared" ca="1" si="15"/>
        <v>-1.6577105220490163E-2</v>
      </c>
    </row>
    <row r="396" spans="2:7" x14ac:dyDescent="0.3">
      <c r="B396" s="55">
        <v>44347</v>
      </c>
      <c r="C396" s="54">
        <v>3069.4</v>
      </c>
      <c r="D396" s="56">
        <f t="shared" si="14"/>
        <v>0.95360086560799417</v>
      </c>
      <c r="E396" s="64">
        <v>1.5651368253863263E-2</v>
      </c>
      <c r="F396" s="64">
        <v>393</v>
      </c>
      <c r="G396" s="64">
        <f t="shared" ca="1" si="15"/>
        <v>-9.4689308541908573E-3</v>
      </c>
    </row>
    <row r="397" spans="2:7" x14ac:dyDescent="0.3">
      <c r="B397" s="55">
        <v>43707</v>
      </c>
      <c r="C397" s="54">
        <v>1571.15</v>
      </c>
      <c r="D397" s="56">
        <f t="shared" si="14"/>
        <v>-0.59200976382451076</v>
      </c>
      <c r="E397" s="64">
        <v>1.557803561617277E-2</v>
      </c>
      <c r="F397" s="64">
        <v>394</v>
      </c>
      <c r="G397" s="64">
        <f t="shared" ca="1" si="15"/>
        <v>-2.5510001367225331E-2</v>
      </c>
    </row>
    <row r="398" spans="2:7" x14ac:dyDescent="0.3">
      <c r="B398" s="55">
        <v>44749</v>
      </c>
      <c r="C398" s="54">
        <v>3850.95</v>
      </c>
      <c r="D398" s="56">
        <f t="shared" si="14"/>
        <v>1.704508743591544</v>
      </c>
      <c r="E398" s="64">
        <v>1.5545886075949422E-2</v>
      </c>
      <c r="F398" s="64">
        <v>395</v>
      </c>
      <c r="G398" s="64">
        <f t="shared" ca="1" si="15"/>
        <v>-3.7120449782366014E-3</v>
      </c>
    </row>
    <row r="399" spans="2:7" x14ac:dyDescent="0.3">
      <c r="B399" s="55">
        <v>43670</v>
      </c>
      <c r="C399" s="54">
        <v>1423.9</v>
      </c>
      <c r="D399" s="56">
        <f t="shared" si="14"/>
        <v>-0.63035266935787437</v>
      </c>
      <c r="E399" s="64">
        <v>1.5367062430919676E-2</v>
      </c>
      <c r="F399" s="64">
        <v>396</v>
      </c>
      <c r="G399" s="64">
        <f t="shared" ca="1" si="15"/>
        <v>4.5191345570986859E-3</v>
      </c>
    </row>
    <row r="400" spans="2:7" x14ac:dyDescent="0.3">
      <c r="B400" s="55">
        <v>45210</v>
      </c>
      <c r="C400" s="54">
        <v>3852.05</v>
      </c>
      <c r="D400" s="56">
        <f t="shared" si="14"/>
        <v>1.1045272623317892E-3</v>
      </c>
      <c r="E400" s="64">
        <v>1.5353998629342502E-2</v>
      </c>
      <c r="F400" s="64">
        <v>397</v>
      </c>
      <c r="G400" s="64">
        <f t="shared" ca="1" si="15"/>
        <v>5.6510462357644902E-3</v>
      </c>
    </row>
    <row r="401" spans="2:7" x14ac:dyDescent="0.3">
      <c r="B401" s="55">
        <v>44434</v>
      </c>
      <c r="C401" s="54">
        <v>3847.8</v>
      </c>
      <c r="D401" s="56">
        <f t="shared" si="14"/>
        <v>0.11190417708167777</v>
      </c>
      <c r="E401" s="64">
        <v>1.5331028841333083E-2</v>
      </c>
      <c r="F401" s="64">
        <v>398</v>
      </c>
      <c r="G401" s="64">
        <f t="shared" ca="1" si="15"/>
        <v>1.0616179181030937E-2</v>
      </c>
    </row>
    <row r="402" spans="2:7" x14ac:dyDescent="0.3">
      <c r="B402" s="55">
        <v>45649</v>
      </c>
      <c r="C402" s="54">
        <v>3460.55</v>
      </c>
      <c r="D402" s="56">
        <f t="shared" si="14"/>
        <v>2.0824834097893374</v>
      </c>
      <c r="E402" s="64">
        <v>1.5330223278467336E-2</v>
      </c>
      <c r="F402" s="64">
        <v>399</v>
      </c>
      <c r="G402" s="64">
        <f t="shared" ca="1" si="15"/>
        <v>-1.3953719021053624E-2</v>
      </c>
    </row>
    <row r="403" spans="2:7" x14ac:dyDescent="0.3">
      <c r="B403" s="55">
        <v>43138</v>
      </c>
      <c r="C403" s="54">
        <v>1122.6500000000001</v>
      </c>
      <c r="D403" s="56">
        <f t="shared" si="14"/>
        <v>-5.4052915402763579E-2</v>
      </c>
      <c r="E403" s="64">
        <v>1.5329655421904675E-2</v>
      </c>
      <c r="F403" s="64">
        <v>400</v>
      </c>
      <c r="G403" s="64">
        <f t="shared" ca="1" si="15"/>
        <v>1.7087998691928792E-2</v>
      </c>
    </row>
    <row r="404" spans="2:7" x14ac:dyDescent="0.3">
      <c r="B404" s="55">
        <v>43151</v>
      </c>
      <c r="C404" s="54">
        <v>1186.8</v>
      </c>
      <c r="D404" s="56">
        <f t="shared" si="14"/>
        <v>0.47915498223967079</v>
      </c>
      <c r="E404" s="64">
        <v>1.5313542646932854E-2</v>
      </c>
      <c r="F404" s="64">
        <v>401</v>
      </c>
      <c r="G404" s="64">
        <f t="shared" ca="1" si="15"/>
        <v>-2.4392146599709869E-2</v>
      </c>
    </row>
    <row r="405" spans="2:7" x14ac:dyDescent="0.3">
      <c r="B405" s="55">
        <v>42895</v>
      </c>
      <c r="C405" s="54">
        <v>802.35</v>
      </c>
      <c r="D405" s="56">
        <f t="shared" si="14"/>
        <v>-0.84203220979681836</v>
      </c>
      <c r="E405" s="64">
        <v>1.5311610249920893E-2</v>
      </c>
      <c r="F405" s="64">
        <v>402</v>
      </c>
      <c r="G405" s="64">
        <f t="shared" ca="1" si="15"/>
        <v>-2.3192341024040031E-3</v>
      </c>
    </row>
    <row r="406" spans="2:7" x14ac:dyDescent="0.3">
      <c r="B406" s="55">
        <v>45524</v>
      </c>
      <c r="C406" s="54">
        <v>5079.2</v>
      </c>
      <c r="D406" s="56">
        <f t="shared" si="14"/>
        <v>0.26175630356477453</v>
      </c>
      <c r="E406" s="64">
        <v>1.5291742459072166E-2</v>
      </c>
      <c r="F406" s="64">
        <v>403</v>
      </c>
      <c r="G406" s="64">
        <f t="shared" ca="1" si="15"/>
        <v>4.1473621538193658E-2</v>
      </c>
    </row>
    <row r="407" spans="2:7" x14ac:dyDescent="0.3">
      <c r="B407" s="55">
        <v>44895</v>
      </c>
      <c r="C407" s="54">
        <v>4025.5</v>
      </c>
      <c r="D407" s="56">
        <f t="shared" si="14"/>
        <v>9.4897459609421864E-2</v>
      </c>
      <c r="E407" s="64">
        <v>1.5232907114574701E-2</v>
      </c>
      <c r="F407" s="64">
        <v>404</v>
      </c>
      <c r="G407" s="64">
        <f t="shared" ca="1" si="15"/>
        <v>-4.0718497694247858E-3</v>
      </c>
    </row>
    <row r="408" spans="2:7" x14ac:dyDescent="0.3">
      <c r="B408" s="55">
        <v>45706</v>
      </c>
      <c r="C408" s="54">
        <v>3676.6</v>
      </c>
      <c r="D408" s="56">
        <f t="shared" si="14"/>
        <v>0.53306646651655409</v>
      </c>
      <c r="E408" s="64">
        <v>1.5214690045561197E-2</v>
      </c>
      <c r="F408" s="64">
        <v>405</v>
      </c>
      <c r="G408" s="64">
        <f t="shared" ca="1" si="15"/>
        <v>5.2001494636670217E-3</v>
      </c>
    </row>
    <row r="409" spans="2:7" x14ac:dyDescent="0.3">
      <c r="B409" s="55">
        <v>44146</v>
      </c>
      <c r="C409" s="54">
        <v>2398.1999999999998</v>
      </c>
      <c r="D409" s="56">
        <f t="shared" si="14"/>
        <v>-0.35472413932275904</v>
      </c>
      <c r="E409" s="64">
        <v>1.5154080596003983E-2</v>
      </c>
      <c r="F409" s="64">
        <v>406</v>
      </c>
      <c r="G409" s="64">
        <f t="shared" ca="1" si="15"/>
        <v>-8.1835026361948403E-3</v>
      </c>
    </row>
    <row r="410" spans="2:7" x14ac:dyDescent="0.3">
      <c r="B410" s="55">
        <v>45624</v>
      </c>
      <c r="C410" s="54">
        <v>3716.55</v>
      </c>
      <c r="D410" s="56">
        <f t="shared" si="14"/>
        <v>-0.15573249131096523</v>
      </c>
      <c r="E410" s="64">
        <v>1.5104131102765539E-2</v>
      </c>
      <c r="F410" s="64">
        <v>407</v>
      </c>
      <c r="G410" s="64">
        <f t="shared" ca="1" si="15"/>
        <v>-4.0017840346131808E-3</v>
      </c>
    </row>
    <row r="411" spans="2:7" x14ac:dyDescent="0.3">
      <c r="B411" s="55">
        <v>44789</v>
      </c>
      <c r="C411" s="54">
        <v>4402.1000000000004</v>
      </c>
      <c r="D411" s="56">
        <f t="shared" si="14"/>
        <v>4.0427317096229043E-2</v>
      </c>
      <c r="E411" s="64">
        <v>1.5080591232965235E-2</v>
      </c>
      <c r="F411" s="64">
        <v>408</v>
      </c>
      <c r="G411" s="64">
        <f t="shared" ca="1" si="15"/>
        <v>3.7135717507353495E-3</v>
      </c>
    </row>
    <row r="412" spans="2:7" x14ac:dyDescent="0.3">
      <c r="B412" s="55">
        <v>44635</v>
      </c>
      <c r="C412" s="54">
        <v>4231.05</v>
      </c>
      <c r="D412" s="56">
        <f t="shared" si="14"/>
        <v>-1.7782317504903888E-2</v>
      </c>
      <c r="E412" s="64">
        <v>1.5066274815570102E-2</v>
      </c>
      <c r="F412" s="64">
        <v>409</v>
      </c>
      <c r="G412" s="64">
        <f t="shared" ca="1" si="15"/>
        <v>-1.7011277061803082E-2</v>
      </c>
    </row>
    <row r="413" spans="2:7" x14ac:dyDescent="0.3">
      <c r="B413" s="55">
        <v>44774</v>
      </c>
      <c r="C413" s="54">
        <v>4307.6499999999996</v>
      </c>
      <c r="D413" s="56">
        <f t="shared" si="14"/>
        <v>0.22667407059359546</v>
      </c>
      <c r="E413" s="64">
        <v>1.5033519092333414E-2</v>
      </c>
      <c r="F413" s="64">
        <v>410</v>
      </c>
      <c r="G413" s="64">
        <f t="shared" ca="1" si="15"/>
        <v>-2.0808412608068573E-2</v>
      </c>
    </row>
    <row r="414" spans="2:7" x14ac:dyDescent="0.3">
      <c r="B414" s="55">
        <v>45652</v>
      </c>
      <c r="C414" s="54">
        <v>3511.65</v>
      </c>
      <c r="D414" s="56">
        <f t="shared" si="14"/>
        <v>2.029112395411024</v>
      </c>
      <c r="E414" s="64">
        <v>1.5030422152529921E-2</v>
      </c>
      <c r="F414" s="64">
        <v>411</v>
      </c>
      <c r="G414" s="64">
        <f t="shared" ca="1" si="15"/>
        <v>-7.066635130188386E-3</v>
      </c>
    </row>
    <row r="415" spans="2:7" x14ac:dyDescent="0.3">
      <c r="B415" s="55">
        <v>43125</v>
      </c>
      <c r="C415" s="54">
        <v>1159.3</v>
      </c>
      <c r="D415" s="56">
        <f t="shared" si="14"/>
        <v>-0.67739870881567232</v>
      </c>
      <c r="E415" s="64">
        <v>1.5015540865910726E-2</v>
      </c>
      <c r="F415" s="64">
        <v>412</v>
      </c>
      <c r="G415" s="64">
        <f t="shared" ca="1" si="15"/>
        <v>-3.2742965193006193E-3</v>
      </c>
    </row>
    <row r="416" spans="2:7" x14ac:dyDescent="0.3">
      <c r="B416" s="55">
        <v>45723</v>
      </c>
      <c r="C416" s="54">
        <v>3593.6</v>
      </c>
      <c r="D416" s="56">
        <f t="shared" si="14"/>
        <v>-0.2281538279798534</v>
      </c>
      <c r="E416" s="64">
        <v>1.4997881655133494E-2</v>
      </c>
      <c r="F416" s="64">
        <v>413</v>
      </c>
      <c r="G416" s="64">
        <f t="shared" ca="1" si="15"/>
        <v>4.402223515434945E-5</v>
      </c>
    </row>
    <row r="417" spans="2:7" x14ac:dyDescent="0.3">
      <c r="B417" s="55">
        <v>44552</v>
      </c>
      <c r="C417" s="54">
        <v>4655.8500000000004</v>
      </c>
      <c r="D417" s="56">
        <f t="shared" si="14"/>
        <v>0.13683478006079941</v>
      </c>
      <c r="E417" s="64">
        <v>1.4921306186510996E-2</v>
      </c>
      <c r="F417" s="64">
        <v>414</v>
      </c>
      <c r="G417" s="64">
        <f t="shared" ca="1" si="15"/>
        <v>-1.8495930045601995E-3</v>
      </c>
    </row>
    <row r="418" spans="2:7" x14ac:dyDescent="0.3">
      <c r="B418" s="55">
        <v>44586</v>
      </c>
      <c r="C418" s="54">
        <v>4095.45</v>
      </c>
      <c r="D418" s="56">
        <f t="shared" si="14"/>
        <v>0.88192721257237383</v>
      </c>
      <c r="E418" s="64">
        <v>1.4905954947587396E-2</v>
      </c>
      <c r="F418" s="64">
        <v>415</v>
      </c>
      <c r="G418" s="64">
        <f t="shared" ca="1" si="15"/>
        <v>-3.5489479386844457E-2</v>
      </c>
    </row>
    <row r="419" spans="2:7" x14ac:dyDescent="0.3">
      <c r="B419" s="55">
        <v>44131</v>
      </c>
      <c r="C419" s="54">
        <v>2176.1999999999998</v>
      </c>
      <c r="D419" s="56">
        <f t="shared" si="14"/>
        <v>-0.53658432708688242</v>
      </c>
      <c r="E419" s="64">
        <v>1.4900314795383007E-2</v>
      </c>
      <c r="F419" s="64">
        <v>416</v>
      </c>
      <c r="G419" s="64">
        <f t="shared" ca="1" si="15"/>
        <v>3.4320862581395432E-2</v>
      </c>
    </row>
    <row r="420" spans="2:7" x14ac:dyDescent="0.3">
      <c r="B420" s="55">
        <v>45401</v>
      </c>
      <c r="C420" s="54">
        <v>4696</v>
      </c>
      <c r="D420" s="56">
        <f t="shared" si="14"/>
        <v>-2.7602344025014047E-2</v>
      </c>
      <c r="E420" s="64">
        <v>1.4890536188973513E-2</v>
      </c>
      <c r="F420" s="64">
        <v>417</v>
      </c>
      <c r="G420" s="64">
        <f t="shared" ca="1" si="15"/>
        <v>-1.8379560181530099E-4</v>
      </c>
    </row>
    <row r="421" spans="2:7" x14ac:dyDescent="0.3">
      <c r="B421" s="55">
        <v>45904</v>
      </c>
      <c r="C421" s="54">
        <v>4829.3</v>
      </c>
      <c r="D421" s="56">
        <f t="shared" si="14"/>
        <v>2.2347365953313907</v>
      </c>
      <c r="E421" s="64">
        <v>1.4878638226331953E-2</v>
      </c>
      <c r="F421" s="64">
        <v>418</v>
      </c>
      <c r="G421" s="64">
        <f t="shared" ca="1" si="15"/>
        <v>-2.8122203842941729E-2</v>
      </c>
    </row>
    <row r="422" spans="2:7" x14ac:dyDescent="0.3">
      <c r="B422" s="55">
        <v>43556</v>
      </c>
      <c r="C422" s="54">
        <v>1492.95</v>
      </c>
      <c r="D422" s="56">
        <f t="shared" si="14"/>
        <v>-6.442111859627131E-2</v>
      </c>
      <c r="E422" s="64">
        <v>1.485283121473735E-2</v>
      </c>
      <c r="F422" s="64">
        <v>419</v>
      </c>
      <c r="G422" s="64">
        <f t="shared" ca="1" si="15"/>
        <v>3.5613735062863389E-3</v>
      </c>
    </row>
    <row r="423" spans="2:7" x14ac:dyDescent="0.3">
      <c r="B423" s="55">
        <v>43474</v>
      </c>
      <c r="C423" s="54">
        <v>1595.75</v>
      </c>
      <c r="D423" s="56">
        <f t="shared" si="14"/>
        <v>8.1180112451828546E-3</v>
      </c>
      <c r="E423" s="64">
        <v>1.484991096413113E-2</v>
      </c>
      <c r="F423" s="64">
        <v>420</v>
      </c>
      <c r="G423" s="64">
        <f t="shared" ca="1" si="15"/>
        <v>2.0591872506653307E-2</v>
      </c>
    </row>
    <row r="424" spans="2:7" x14ac:dyDescent="0.3">
      <c r="B424" s="55">
        <v>43447</v>
      </c>
      <c r="C424" s="54">
        <v>1582.9</v>
      </c>
      <c r="D424" s="56">
        <f t="shared" si="14"/>
        <v>-0.6192297515094658</v>
      </c>
      <c r="E424" s="64">
        <v>1.4842122134957503E-2</v>
      </c>
      <c r="F424" s="64">
        <v>421</v>
      </c>
      <c r="G424" s="64">
        <f t="shared" ca="1" si="15"/>
        <v>1.0996034278820633E-4</v>
      </c>
    </row>
    <row r="425" spans="2:7" x14ac:dyDescent="0.3">
      <c r="B425" s="55">
        <v>44614</v>
      </c>
      <c r="C425" s="54">
        <v>4157.1000000000004</v>
      </c>
      <c r="D425" s="56">
        <f t="shared" si="14"/>
        <v>3.5614747352828227</v>
      </c>
      <c r="E425" s="64">
        <v>1.4768344480788897E-2</v>
      </c>
      <c r="F425" s="64">
        <v>422</v>
      </c>
      <c r="G425" s="64">
        <f t="shared" ca="1" si="15"/>
        <v>1.5303693292628893E-2</v>
      </c>
    </row>
    <row r="426" spans="2:7" x14ac:dyDescent="0.3">
      <c r="B426" s="55">
        <v>42951</v>
      </c>
      <c r="C426" s="54">
        <v>911.35</v>
      </c>
      <c r="D426" s="56">
        <f t="shared" si="14"/>
        <v>-0.77695790504160545</v>
      </c>
      <c r="E426" s="64">
        <v>1.4753368221801511E-2</v>
      </c>
      <c r="F426" s="64">
        <v>423</v>
      </c>
      <c r="G426" s="64">
        <f t="shared" ca="1" si="15"/>
        <v>-2.3925049280168441E-2</v>
      </c>
    </row>
    <row r="427" spans="2:7" x14ac:dyDescent="0.3">
      <c r="B427" s="55">
        <v>45854</v>
      </c>
      <c r="C427" s="54">
        <v>4086</v>
      </c>
      <c r="D427" s="56">
        <f t="shared" si="14"/>
        <v>2.0882019499659892</v>
      </c>
      <c r="E427" s="64">
        <v>1.4726699282290756E-2</v>
      </c>
      <c r="F427" s="64">
        <v>424</v>
      </c>
      <c r="G427" s="64">
        <f t="shared" ca="1" si="15"/>
        <v>-2.1020999143708547E-3</v>
      </c>
    </row>
    <row r="428" spans="2:7" x14ac:dyDescent="0.3">
      <c r="B428" s="55">
        <v>43616</v>
      </c>
      <c r="C428" s="54">
        <v>1323.1</v>
      </c>
      <c r="D428" s="56">
        <f t="shared" si="14"/>
        <v>-8.802040253653165E-2</v>
      </c>
      <c r="E428" s="64">
        <v>1.4725055602423431E-2</v>
      </c>
      <c r="F428" s="64">
        <v>425</v>
      </c>
      <c r="G428" s="64">
        <f t="shared" ca="1" si="15"/>
        <v>1.6456886071734338E-2</v>
      </c>
    </row>
    <row r="429" spans="2:7" x14ac:dyDescent="0.3">
      <c r="B429" s="55">
        <v>43686</v>
      </c>
      <c r="C429" s="54">
        <v>1450.8</v>
      </c>
      <c r="D429" s="56">
        <f t="shared" si="14"/>
        <v>-0.28142644873699851</v>
      </c>
      <c r="E429" s="64">
        <v>1.4722853645742218E-2</v>
      </c>
      <c r="F429" s="64">
        <v>426</v>
      </c>
      <c r="G429" s="64">
        <f t="shared" ca="1" si="15"/>
        <v>-1.3793846490381803E-2</v>
      </c>
    </row>
    <row r="430" spans="2:7" x14ac:dyDescent="0.3">
      <c r="B430" s="55">
        <v>44032</v>
      </c>
      <c r="C430" s="54">
        <v>2019</v>
      </c>
      <c r="D430" s="56">
        <f t="shared" si="14"/>
        <v>-0.5961878856365691</v>
      </c>
      <c r="E430" s="64">
        <v>1.4700339238597815E-2</v>
      </c>
      <c r="F430" s="64">
        <v>427</v>
      </c>
      <c r="G430" s="64">
        <f t="shared" ca="1" si="15"/>
        <v>-1.5416481601512049E-2</v>
      </c>
    </row>
    <row r="431" spans="2:7" x14ac:dyDescent="0.3">
      <c r="B431" s="55">
        <v>45537</v>
      </c>
      <c r="C431" s="54">
        <v>4999.8500000000004</v>
      </c>
      <c r="D431" s="56">
        <f t="shared" si="14"/>
        <v>0.26096441451665786</v>
      </c>
      <c r="E431" s="64">
        <v>1.469319830744098E-2</v>
      </c>
      <c r="F431" s="64">
        <v>428</v>
      </c>
      <c r="G431" s="64">
        <f t="shared" ca="1" si="15"/>
        <v>-4.2285482556568083E-2</v>
      </c>
    </row>
    <row r="432" spans="2:7" x14ac:dyDescent="0.3">
      <c r="B432" s="55">
        <v>44894</v>
      </c>
      <c r="C432" s="54">
        <v>3965.1</v>
      </c>
      <c r="D432" s="56">
        <f t="shared" si="14"/>
        <v>-0.25781937295273749</v>
      </c>
      <c r="E432" s="64">
        <v>1.4688947462701885E-2</v>
      </c>
      <c r="F432" s="64">
        <v>429</v>
      </c>
      <c r="G432" s="64">
        <f t="shared" ca="1" si="15"/>
        <v>-1.2462210344544849E-3</v>
      </c>
    </row>
    <row r="433" spans="2:7" x14ac:dyDescent="0.3">
      <c r="B433" s="55">
        <v>45554</v>
      </c>
      <c r="C433" s="54">
        <v>5342.5</v>
      </c>
      <c r="D433" s="56">
        <f t="shared" si="14"/>
        <v>0.14629933592953792</v>
      </c>
      <c r="E433" s="64">
        <v>1.4681303654182187E-2</v>
      </c>
      <c r="F433" s="64">
        <v>430</v>
      </c>
      <c r="G433" s="64">
        <f t="shared" ca="1" si="15"/>
        <v>2.6689816495047813E-2</v>
      </c>
    </row>
    <row r="434" spans="2:7" x14ac:dyDescent="0.3">
      <c r="B434" s="55">
        <v>44537</v>
      </c>
      <c r="C434" s="54">
        <v>4660.6499999999996</v>
      </c>
      <c r="D434" s="56">
        <f t="shared" si="14"/>
        <v>0.57045860430636508</v>
      </c>
      <c r="E434" s="64">
        <v>1.4629526826241745E-2</v>
      </c>
      <c r="F434" s="64">
        <v>431</v>
      </c>
      <c r="G434" s="64">
        <f t="shared" ca="1" si="15"/>
        <v>2.5725222221292632E-3</v>
      </c>
    </row>
    <row r="435" spans="2:7" x14ac:dyDescent="0.3">
      <c r="B435" s="55">
        <v>44237</v>
      </c>
      <c r="C435" s="54">
        <v>2967.7</v>
      </c>
      <c r="D435" s="56">
        <f t="shared" si="14"/>
        <v>1.060187434918431</v>
      </c>
      <c r="E435" s="64">
        <v>1.4598290598290431E-2</v>
      </c>
      <c r="F435" s="64">
        <v>432</v>
      </c>
      <c r="G435" s="64">
        <f t="shared" ca="1" si="15"/>
        <v>-2.1229359003192796E-2</v>
      </c>
    </row>
    <row r="436" spans="2:7" x14ac:dyDescent="0.3">
      <c r="B436" s="55">
        <v>43199</v>
      </c>
      <c r="C436" s="54">
        <v>1440.5</v>
      </c>
      <c r="D436" s="56">
        <f t="shared" si="14"/>
        <v>-4.2029660171576833E-2</v>
      </c>
      <c r="E436" s="64">
        <v>1.4543789836954701E-2</v>
      </c>
      <c r="F436" s="64">
        <v>433</v>
      </c>
      <c r="G436" s="64">
        <f t="shared" ca="1" si="15"/>
        <v>1.7995937888014971E-2</v>
      </c>
    </row>
    <row r="437" spans="2:7" x14ac:dyDescent="0.3">
      <c r="B437" s="55">
        <v>43546</v>
      </c>
      <c r="C437" s="54">
        <v>1503.7</v>
      </c>
      <c r="D437" s="56">
        <f t="shared" si="14"/>
        <v>-0.65487720908882263</v>
      </c>
      <c r="E437" s="64">
        <v>1.4539688965354403E-2</v>
      </c>
      <c r="F437" s="64">
        <v>434</v>
      </c>
      <c r="G437" s="64">
        <f t="shared" ca="1" si="15"/>
        <v>7.2418111293832584E-3</v>
      </c>
    </row>
    <row r="438" spans="2:7" x14ac:dyDescent="0.3">
      <c r="B438" s="55">
        <v>46202</v>
      </c>
      <c r="C438" s="54">
        <v>4357</v>
      </c>
      <c r="D438" s="56">
        <f t="shared" si="14"/>
        <v>6.6585067319461455E-2</v>
      </c>
      <c r="E438" s="64">
        <v>1.4529874726400438E-2</v>
      </c>
      <c r="F438" s="64">
        <v>435</v>
      </c>
      <c r="G438" s="64">
        <f t="shared" ca="1" si="15"/>
        <v>3.5732698469381555E-2</v>
      </c>
    </row>
    <row r="439" spans="2:7" x14ac:dyDescent="0.3">
      <c r="B439" s="55">
        <v>45981</v>
      </c>
      <c r="C439" s="54">
        <v>4085</v>
      </c>
      <c r="D439" s="56">
        <f t="shared" si="14"/>
        <v>0.18296073207459762</v>
      </c>
      <c r="E439" s="64">
        <v>1.4528747050788438E-2</v>
      </c>
      <c r="F439" s="64">
        <v>436</v>
      </c>
      <c r="G439" s="64">
        <f t="shared" ca="1" si="15"/>
        <v>-2.012908451489092E-2</v>
      </c>
    </row>
    <row r="440" spans="2:7" x14ac:dyDescent="0.3">
      <c r="B440" s="55">
        <v>45719</v>
      </c>
      <c r="C440" s="54">
        <v>3453.2</v>
      </c>
      <c r="D440" s="56">
        <f t="shared" si="14"/>
        <v>-0.20372633569303844</v>
      </c>
      <c r="E440" s="64">
        <v>1.4468485142261178E-2</v>
      </c>
      <c r="F440" s="64">
        <v>437</v>
      </c>
      <c r="G440" s="64">
        <f t="shared" ca="1" si="15"/>
        <v>-1.1500429358015584E-2</v>
      </c>
    </row>
    <row r="441" spans="2:7" x14ac:dyDescent="0.3">
      <c r="B441" s="55">
        <v>44785</v>
      </c>
      <c r="C441" s="54">
        <v>4336.7</v>
      </c>
      <c r="D441" s="56">
        <f t="shared" si="14"/>
        <v>1.3883794575244388</v>
      </c>
      <c r="E441" s="64">
        <v>1.4468343918499826E-2</v>
      </c>
      <c r="F441" s="64">
        <v>438</v>
      </c>
      <c r="G441" s="64">
        <f t="shared" ca="1" si="15"/>
        <v>1.500162782532747E-2</v>
      </c>
    </row>
    <row r="442" spans="2:7" x14ac:dyDescent="0.3">
      <c r="B442" s="55">
        <v>43837</v>
      </c>
      <c r="C442" s="54">
        <v>1815.75</v>
      </c>
      <c r="D442" s="56">
        <f t="shared" si="14"/>
        <v>-0.57354737188219262</v>
      </c>
      <c r="E442" s="64">
        <v>1.444214760601148E-2</v>
      </c>
      <c r="F442" s="64">
        <v>439</v>
      </c>
      <c r="G442" s="64">
        <f t="shared" ca="1" si="15"/>
        <v>-1.2900754749822396E-2</v>
      </c>
    </row>
    <row r="443" spans="2:7" x14ac:dyDescent="0.3">
      <c r="B443" s="55">
        <v>45874</v>
      </c>
      <c r="C443" s="54">
        <v>4257.8</v>
      </c>
      <c r="D443" s="56">
        <f t="shared" si="14"/>
        <v>9.5014594879576197E-2</v>
      </c>
      <c r="E443" s="64">
        <v>1.4438196893167055E-2</v>
      </c>
      <c r="F443" s="64">
        <v>440</v>
      </c>
      <c r="G443" s="64">
        <f t="shared" ca="1" si="15"/>
        <v>2.2040399833919977E-2</v>
      </c>
    </row>
    <row r="444" spans="2:7" x14ac:dyDescent="0.3">
      <c r="B444" s="55">
        <v>44438</v>
      </c>
      <c r="C444" s="54">
        <v>3888.35</v>
      </c>
      <c r="D444" s="56">
        <f t="shared" si="14"/>
        <v>1.6879234066085997</v>
      </c>
      <c r="E444" s="64">
        <v>1.4427153311331598E-2</v>
      </c>
      <c r="F444" s="64">
        <v>441</v>
      </c>
      <c r="G444" s="64">
        <f t="shared" ca="1" si="15"/>
        <v>2.7195490526404926E-3</v>
      </c>
    </row>
    <row r="445" spans="2:7" x14ac:dyDescent="0.3">
      <c r="B445" s="55">
        <v>43648</v>
      </c>
      <c r="C445" s="54">
        <v>1446.6</v>
      </c>
      <c r="D445" s="56">
        <f t="shared" si="14"/>
        <v>-0.30888851730645206</v>
      </c>
      <c r="E445" s="64">
        <v>1.4410434416745499E-2</v>
      </c>
      <c r="F445" s="64">
        <v>442</v>
      </c>
      <c r="G445" s="64">
        <f t="shared" ca="1" si="15"/>
        <v>6.6292689712294378E-2</v>
      </c>
    </row>
    <row r="446" spans="2:7" x14ac:dyDescent="0.3">
      <c r="B446" s="55">
        <v>44046</v>
      </c>
      <c r="C446" s="54">
        <v>2093.15</v>
      </c>
      <c r="D446" s="56">
        <f t="shared" si="14"/>
        <v>-0.52351521773771315</v>
      </c>
      <c r="E446" s="64">
        <v>1.4393370326395205E-2</v>
      </c>
      <c r="F446" s="64">
        <v>443</v>
      </c>
      <c r="G446" s="64">
        <f t="shared" ca="1" si="15"/>
        <v>2.6906181149672852E-2</v>
      </c>
    </row>
    <row r="447" spans="2:7" x14ac:dyDescent="0.3">
      <c r="B447" s="55">
        <v>46196</v>
      </c>
      <c r="C447" s="54">
        <v>4392.8999999999996</v>
      </c>
      <c r="D447" s="56">
        <f t="shared" si="14"/>
        <v>0.89104606112785167</v>
      </c>
      <c r="E447" s="64">
        <v>1.4385997321387123E-2</v>
      </c>
      <c r="F447" s="64">
        <v>444</v>
      </c>
      <c r="G447" s="64">
        <f t="shared" ca="1" si="15"/>
        <v>-1.5669325131084891E-2</v>
      </c>
    </row>
    <row r="448" spans="2:7" x14ac:dyDescent="0.3">
      <c r="B448" s="55">
        <v>44018</v>
      </c>
      <c r="C448" s="54">
        <v>2323</v>
      </c>
      <c r="D448" s="56">
        <f t="shared" si="14"/>
        <v>1.5228062554300608</v>
      </c>
      <c r="E448" s="64">
        <v>1.4344038600091702E-2</v>
      </c>
      <c r="F448" s="64">
        <v>445</v>
      </c>
      <c r="G448" s="64">
        <f t="shared" ca="1" si="15"/>
        <v>-6.6409480099807053E-3</v>
      </c>
    </row>
    <row r="449" spans="2:7" x14ac:dyDescent="0.3">
      <c r="B449" s="55">
        <v>42964</v>
      </c>
      <c r="C449" s="54">
        <v>920.8</v>
      </c>
      <c r="D449" s="56">
        <f t="shared" si="14"/>
        <v>-0.79570011759224335</v>
      </c>
      <c r="E449" s="64">
        <v>1.43203348755232E-2</v>
      </c>
      <c r="F449" s="64">
        <v>446</v>
      </c>
      <c r="G449" s="64">
        <f t="shared" ca="1" si="15"/>
        <v>9.6650535143318721E-3</v>
      </c>
    </row>
    <row r="450" spans="2:7" x14ac:dyDescent="0.3">
      <c r="B450" s="55">
        <v>46139</v>
      </c>
      <c r="C450" s="54">
        <v>4507.1000000000004</v>
      </c>
      <c r="D450" s="56">
        <f t="shared" si="14"/>
        <v>8.8461166924265866E-2</v>
      </c>
      <c r="E450" s="64">
        <v>1.4313041521323289E-2</v>
      </c>
      <c r="F450" s="64">
        <v>447</v>
      </c>
      <c r="G450" s="64">
        <f t="shared" ca="1" si="15"/>
        <v>7.2899158229927903E-3</v>
      </c>
    </row>
    <row r="451" spans="2:7" x14ac:dyDescent="0.3">
      <c r="B451" s="55">
        <v>45800</v>
      </c>
      <c r="C451" s="54">
        <v>4140.8</v>
      </c>
      <c r="D451" s="56">
        <f t="shared" si="14"/>
        <v>1.6442734442351288</v>
      </c>
      <c r="E451" s="64">
        <v>1.423077865138267E-2</v>
      </c>
      <c r="F451" s="64">
        <v>448</v>
      </c>
      <c r="G451" s="64">
        <f t="shared" ca="1" si="15"/>
        <v>-2.6811679159952735E-3</v>
      </c>
    </row>
    <row r="452" spans="2:7" x14ac:dyDescent="0.3">
      <c r="B452" s="55">
        <v>43250</v>
      </c>
      <c r="C452" s="54">
        <v>1565.95</v>
      </c>
      <c r="D452" s="56">
        <f t="shared" ref="D452:D515" si="16">C452/C453-1</f>
        <v>-0.64896490657819528</v>
      </c>
      <c r="E452" s="64">
        <v>1.418347851429691E-2</v>
      </c>
      <c r="F452" s="64">
        <v>449</v>
      </c>
      <c r="G452" s="64">
        <f t="shared" ca="1" si="15"/>
        <v>3.2921535769751591E-2</v>
      </c>
    </row>
    <row r="453" spans="2:7" x14ac:dyDescent="0.3">
      <c r="B453" s="55">
        <v>44791</v>
      </c>
      <c r="C453" s="54">
        <v>4460.95</v>
      </c>
      <c r="D453" s="56">
        <f t="shared" si="16"/>
        <v>0.14717189770228734</v>
      </c>
      <c r="E453" s="64">
        <v>1.4163436508928928E-2</v>
      </c>
      <c r="F453" s="64">
        <v>450</v>
      </c>
      <c r="G453" s="64">
        <f t="shared" ref="G453:G516" ca="1" si="17">_xlfn.NORM.INV(RAND(),K$6,K$7)</f>
        <v>-3.3733708494248962E-2</v>
      </c>
    </row>
    <row r="454" spans="2:7" x14ac:dyDescent="0.3">
      <c r="B454" s="55">
        <v>45357</v>
      </c>
      <c r="C454" s="54">
        <v>3888.65</v>
      </c>
      <c r="D454" s="56">
        <f t="shared" si="16"/>
        <v>4.3162765743410825E-2</v>
      </c>
      <c r="E454" s="64">
        <v>1.41217890207328E-2</v>
      </c>
      <c r="F454" s="64">
        <v>451</v>
      </c>
      <c r="G454" s="64">
        <f t="shared" ca="1" si="17"/>
        <v>-1.4689025443292095E-3</v>
      </c>
    </row>
    <row r="455" spans="2:7" x14ac:dyDescent="0.3">
      <c r="B455" s="55">
        <v>45315</v>
      </c>
      <c r="C455" s="54">
        <v>3727.75</v>
      </c>
      <c r="D455" s="56">
        <f t="shared" si="16"/>
        <v>1.3770125936553481</v>
      </c>
      <c r="E455" s="64">
        <v>1.4105389156397141E-2</v>
      </c>
      <c r="F455" s="64">
        <v>452</v>
      </c>
      <c r="G455" s="64">
        <f t="shared" ca="1" si="17"/>
        <v>-1.2592401309126184E-2</v>
      </c>
    </row>
    <row r="456" spans="2:7" x14ac:dyDescent="0.3">
      <c r="B456" s="55">
        <v>43287</v>
      </c>
      <c r="C456" s="54">
        <v>1568.25</v>
      </c>
      <c r="D456" s="56">
        <f t="shared" si="16"/>
        <v>-0.62298963867586599</v>
      </c>
      <c r="E456" s="64">
        <v>1.4096802353777971E-2</v>
      </c>
      <c r="F456" s="64">
        <v>453</v>
      </c>
      <c r="G456" s="64">
        <f t="shared" ca="1" si="17"/>
        <v>5.9085869828568675E-3</v>
      </c>
    </row>
    <row r="457" spans="2:7" x14ac:dyDescent="0.3">
      <c r="B457" s="55">
        <v>44658</v>
      </c>
      <c r="C457" s="54">
        <v>4159.7</v>
      </c>
      <c r="D457" s="56">
        <f t="shared" si="16"/>
        <v>0.15192046744759202</v>
      </c>
      <c r="E457" s="64">
        <v>1.4091030985640796E-2</v>
      </c>
      <c r="F457" s="64">
        <v>454</v>
      </c>
      <c r="G457" s="64">
        <f t="shared" ca="1" si="17"/>
        <v>3.3519085869639573E-3</v>
      </c>
    </row>
    <row r="458" spans="2:7" x14ac:dyDescent="0.3">
      <c r="B458" s="55">
        <v>45659</v>
      </c>
      <c r="C458" s="54">
        <v>3611.1</v>
      </c>
      <c r="D458" s="56">
        <f t="shared" si="16"/>
        <v>-0.14555456965394853</v>
      </c>
      <c r="E458" s="64">
        <v>1.4069081718618426E-2</v>
      </c>
      <c r="F458" s="64">
        <v>455</v>
      </c>
      <c r="G458" s="64">
        <f t="shared" ca="1" si="17"/>
        <v>1.240415369663188E-2</v>
      </c>
    </row>
    <row r="459" spans="2:7" x14ac:dyDescent="0.3">
      <c r="B459" s="55">
        <v>44854</v>
      </c>
      <c r="C459" s="54">
        <v>4226.25</v>
      </c>
      <c r="D459" s="56">
        <f t="shared" si="16"/>
        <v>0.19004040716910464</v>
      </c>
      <c r="E459" s="64">
        <v>1.4012020586153362E-2</v>
      </c>
      <c r="F459" s="64">
        <v>456</v>
      </c>
      <c r="G459" s="64">
        <f t="shared" ca="1" si="17"/>
        <v>-1.1202163748632886E-2</v>
      </c>
    </row>
    <row r="460" spans="2:7" x14ac:dyDescent="0.3">
      <c r="B460" s="55">
        <v>44958</v>
      </c>
      <c r="C460" s="54">
        <v>3551.35</v>
      </c>
      <c r="D460" s="56">
        <f t="shared" si="16"/>
        <v>5.6744974930444947E-2</v>
      </c>
      <c r="E460" s="64">
        <v>1.4005082374439537E-2</v>
      </c>
      <c r="F460" s="64">
        <v>457</v>
      </c>
      <c r="G460" s="64">
        <f t="shared" ca="1" si="17"/>
        <v>3.3366961610976705E-3</v>
      </c>
    </row>
    <row r="461" spans="2:7" x14ac:dyDescent="0.3">
      <c r="B461" s="55">
        <v>44382</v>
      </c>
      <c r="C461" s="54">
        <v>3360.65</v>
      </c>
      <c r="D461" s="56">
        <f t="shared" si="16"/>
        <v>2.7239182226162115</v>
      </c>
      <c r="E461" s="64">
        <v>1.398485351356249E-2</v>
      </c>
      <c r="F461" s="64">
        <v>458</v>
      </c>
      <c r="G461" s="64">
        <f t="shared" ca="1" si="17"/>
        <v>-2.0113935187971214E-2</v>
      </c>
    </row>
    <row r="462" spans="2:7" x14ac:dyDescent="0.3">
      <c r="B462" s="55">
        <v>42961</v>
      </c>
      <c r="C462" s="54">
        <v>902.45</v>
      </c>
      <c r="D462" s="56">
        <f t="shared" si="16"/>
        <v>0.14111399127521018</v>
      </c>
      <c r="E462" s="64">
        <v>1.387484552297491E-2</v>
      </c>
      <c r="F462" s="64">
        <v>459</v>
      </c>
      <c r="G462" s="64">
        <f t="shared" ca="1" si="17"/>
        <v>2.091606925016423E-3</v>
      </c>
    </row>
    <row r="463" spans="2:7" x14ac:dyDescent="0.3">
      <c r="B463" s="55">
        <v>42865</v>
      </c>
      <c r="C463" s="54">
        <v>790.85</v>
      </c>
      <c r="D463" s="56">
        <f t="shared" si="16"/>
        <v>-0.80445076342956046</v>
      </c>
      <c r="E463" s="64">
        <v>1.3845266329081563E-2</v>
      </c>
      <c r="F463" s="64">
        <v>460</v>
      </c>
      <c r="G463" s="64">
        <f t="shared" ca="1" si="17"/>
        <v>-1.7909235656153972E-3</v>
      </c>
    </row>
    <row r="464" spans="2:7" x14ac:dyDescent="0.3">
      <c r="B464" s="55">
        <v>44677</v>
      </c>
      <c r="C464" s="54">
        <v>4044.25</v>
      </c>
      <c r="D464" s="56">
        <f t="shared" si="16"/>
        <v>0.51933805436068914</v>
      </c>
      <c r="E464" s="64">
        <v>1.3799759350245688E-2</v>
      </c>
      <c r="F464" s="64">
        <v>461</v>
      </c>
      <c r="G464" s="64">
        <f t="shared" ca="1" si="17"/>
        <v>3.1132528536208424E-2</v>
      </c>
    </row>
    <row r="465" spans="2:7" x14ac:dyDescent="0.3">
      <c r="B465" s="55">
        <v>44188</v>
      </c>
      <c r="C465" s="54">
        <v>2661.85</v>
      </c>
      <c r="D465" s="56">
        <f t="shared" si="16"/>
        <v>-0.32727203801051363</v>
      </c>
      <c r="E465" s="64">
        <v>1.3748452823002966E-2</v>
      </c>
      <c r="F465" s="64">
        <v>462</v>
      </c>
      <c r="G465" s="64">
        <f t="shared" ca="1" si="17"/>
        <v>-1.7447745261626557E-3</v>
      </c>
    </row>
    <row r="466" spans="2:7" x14ac:dyDescent="0.3">
      <c r="B466" s="55">
        <v>46111</v>
      </c>
      <c r="C466" s="54">
        <v>3956.8</v>
      </c>
      <c r="D466" s="56">
        <f t="shared" si="16"/>
        <v>-2.4782185416589608E-2</v>
      </c>
      <c r="E466" s="64">
        <v>1.3732322197171687E-2</v>
      </c>
      <c r="F466" s="64">
        <v>463</v>
      </c>
      <c r="G466" s="64">
        <f t="shared" ca="1" si="17"/>
        <v>1.6958273925084977E-2</v>
      </c>
    </row>
    <row r="467" spans="2:7" x14ac:dyDescent="0.3">
      <c r="B467" s="55">
        <v>44907</v>
      </c>
      <c r="C467" s="54">
        <v>4057.35</v>
      </c>
      <c r="D467" s="56">
        <f t="shared" si="16"/>
        <v>1.9524330029022652E-2</v>
      </c>
      <c r="E467" s="64">
        <v>1.3729262442534473E-2</v>
      </c>
      <c r="F467" s="64">
        <v>464</v>
      </c>
      <c r="G467" s="64">
        <f t="shared" ca="1" si="17"/>
        <v>1.8869910367621603E-2</v>
      </c>
    </row>
    <row r="468" spans="2:7" x14ac:dyDescent="0.3">
      <c r="B468" s="55">
        <v>45362</v>
      </c>
      <c r="C468" s="54">
        <v>3979.65</v>
      </c>
      <c r="D468" s="56">
        <f t="shared" si="16"/>
        <v>3.3079129681749295</v>
      </c>
      <c r="E468" s="64">
        <v>1.367821801092739E-2</v>
      </c>
      <c r="F468" s="64">
        <v>465</v>
      </c>
      <c r="G468" s="64">
        <f t="shared" ca="1" si="17"/>
        <v>-1.6782214758315046E-2</v>
      </c>
    </row>
    <row r="469" spans="2:7" x14ac:dyDescent="0.3">
      <c r="B469" s="55">
        <v>42954</v>
      </c>
      <c r="C469" s="54">
        <v>923.8</v>
      </c>
      <c r="D469" s="56">
        <f t="shared" si="16"/>
        <v>-0.42843000773395212</v>
      </c>
      <c r="E469" s="64">
        <v>1.3661052285071529E-2</v>
      </c>
      <c r="F469" s="64">
        <v>466</v>
      </c>
      <c r="G469" s="64">
        <f t="shared" ca="1" si="17"/>
        <v>2.7566933479467225E-2</v>
      </c>
    </row>
    <row r="470" spans="2:7" x14ac:dyDescent="0.3">
      <c r="B470" s="55">
        <v>43451</v>
      </c>
      <c r="C470" s="54">
        <v>1616.25</v>
      </c>
      <c r="D470" s="56">
        <f t="shared" si="16"/>
        <v>-0.63034329757793384</v>
      </c>
      <c r="E470" s="64">
        <v>1.3640639698965229E-2</v>
      </c>
      <c r="F470" s="64">
        <v>467</v>
      </c>
      <c r="G470" s="64">
        <f t="shared" ca="1" si="17"/>
        <v>1.2984823114230928E-2</v>
      </c>
    </row>
    <row r="471" spans="2:7" x14ac:dyDescent="0.3">
      <c r="B471" s="55">
        <v>45838</v>
      </c>
      <c r="C471" s="54">
        <v>4372.3</v>
      </c>
      <c r="D471" s="56">
        <f t="shared" si="16"/>
        <v>0.17355127895429057</v>
      </c>
      <c r="E471" s="64">
        <v>1.3631621652950177E-2</v>
      </c>
      <c r="F471" s="64">
        <v>468</v>
      </c>
      <c r="G471" s="64">
        <f t="shared" ca="1" si="17"/>
        <v>1.7383755486772741E-2</v>
      </c>
    </row>
    <row r="472" spans="2:7" x14ac:dyDescent="0.3">
      <c r="B472" s="55">
        <v>45202</v>
      </c>
      <c r="C472" s="54">
        <v>3725.7</v>
      </c>
      <c r="D472" s="56">
        <f t="shared" si="16"/>
        <v>0.60186598447879258</v>
      </c>
      <c r="E472" s="64">
        <v>1.3630427685275892E-2</v>
      </c>
      <c r="F472" s="64">
        <v>469</v>
      </c>
      <c r="G472" s="64">
        <f t="shared" ca="1" si="17"/>
        <v>3.9654277324917393E-2</v>
      </c>
    </row>
    <row r="473" spans="2:7" x14ac:dyDescent="0.3">
      <c r="B473" s="55">
        <v>44144</v>
      </c>
      <c r="C473" s="54">
        <v>2325.85</v>
      </c>
      <c r="D473" s="56">
        <f t="shared" si="16"/>
        <v>-0.38767639005897225</v>
      </c>
      <c r="E473" s="64">
        <v>1.3618931404166368E-2</v>
      </c>
      <c r="F473" s="64">
        <v>470</v>
      </c>
      <c r="G473" s="64">
        <f t="shared" ca="1" si="17"/>
        <v>-1.0797480778455106E-2</v>
      </c>
    </row>
    <row r="474" spans="2:7" x14ac:dyDescent="0.3">
      <c r="B474" s="55">
        <v>45240</v>
      </c>
      <c r="C474" s="54">
        <v>3798.4</v>
      </c>
      <c r="D474" s="56">
        <f t="shared" si="16"/>
        <v>-5.2283586372085411E-2</v>
      </c>
      <c r="E474" s="64">
        <v>1.3555342085601607E-2</v>
      </c>
      <c r="F474" s="64">
        <v>471</v>
      </c>
      <c r="G474" s="64">
        <f t="shared" ca="1" si="17"/>
        <v>4.6737212468231041E-3</v>
      </c>
    </row>
    <row r="475" spans="2:7" x14ac:dyDescent="0.3">
      <c r="B475" s="55">
        <v>45282</v>
      </c>
      <c r="C475" s="54">
        <v>4007.95</v>
      </c>
      <c r="D475" s="56">
        <f t="shared" si="16"/>
        <v>0.1850302322487174</v>
      </c>
      <c r="E475" s="64">
        <v>1.3516247313187568E-2</v>
      </c>
      <c r="F475" s="64">
        <v>472</v>
      </c>
      <c r="G475" s="64">
        <f t="shared" ca="1" si="17"/>
        <v>3.1085024951415046E-3</v>
      </c>
    </row>
    <row r="476" spans="2:7" x14ac:dyDescent="0.3">
      <c r="B476" s="55">
        <v>45001</v>
      </c>
      <c r="C476" s="54">
        <v>3382.15</v>
      </c>
      <c r="D476" s="56">
        <f t="shared" si="16"/>
        <v>-5.0584586017656807E-2</v>
      </c>
      <c r="E476" s="64">
        <v>1.3454191325192877E-2</v>
      </c>
      <c r="F476" s="64">
        <v>473</v>
      </c>
      <c r="G476" s="64">
        <f t="shared" ca="1" si="17"/>
        <v>3.3528159977895745E-2</v>
      </c>
    </row>
    <row r="477" spans="2:7" x14ac:dyDescent="0.3">
      <c r="B477" s="55">
        <v>44953</v>
      </c>
      <c r="C477" s="54">
        <v>3562.35</v>
      </c>
      <c r="D477" s="56">
        <f t="shared" si="16"/>
        <v>0.52400000000000002</v>
      </c>
      <c r="E477" s="64">
        <v>1.3442007339762752E-2</v>
      </c>
      <c r="F477" s="64">
        <v>474</v>
      </c>
      <c r="G477" s="64">
        <f t="shared" ca="1" si="17"/>
        <v>1.0224199770811779E-2</v>
      </c>
    </row>
    <row r="478" spans="2:7" x14ac:dyDescent="0.3">
      <c r="B478" s="55">
        <v>43970</v>
      </c>
      <c r="C478" s="54">
        <v>2337.5</v>
      </c>
      <c r="D478" s="56">
        <f t="shared" si="16"/>
        <v>-0.36444710296636673</v>
      </c>
      <c r="E478" s="64">
        <v>1.3418308729487682E-2</v>
      </c>
      <c r="F478" s="64">
        <v>475</v>
      </c>
      <c r="G478" s="64">
        <f t="shared" ca="1" si="17"/>
        <v>-2.8906767137996912E-2</v>
      </c>
    </row>
    <row r="479" spans="2:7" x14ac:dyDescent="0.3">
      <c r="B479" s="55">
        <v>45090</v>
      </c>
      <c r="C479" s="54">
        <v>3677.9</v>
      </c>
      <c r="D479" s="56">
        <f t="shared" si="16"/>
        <v>-0.2492396252219885</v>
      </c>
      <c r="E479" s="64">
        <v>1.3363090317958903E-2</v>
      </c>
      <c r="F479" s="64">
        <v>476</v>
      </c>
      <c r="G479" s="64">
        <f t="shared" ca="1" si="17"/>
        <v>-2.0475518245483944E-2</v>
      </c>
    </row>
    <row r="480" spans="2:7" x14ac:dyDescent="0.3">
      <c r="B480" s="55">
        <v>45484</v>
      </c>
      <c r="C480" s="54">
        <v>4898.8999999999996</v>
      </c>
      <c r="D480" s="56">
        <f t="shared" si="16"/>
        <v>1.6527860507933068</v>
      </c>
      <c r="E480" s="64">
        <v>1.3331402744882981E-2</v>
      </c>
      <c r="F480" s="64">
        <v>477</v>
      </c>
      <c r="G480" s="64">
        <f t="shared" ca="1" si="17"/>
        <v>1.4587851999202381E-2</v>
      </c>
    </row>
    <row r="481" spans="2:7" x14ac:dyDescent="0.3">
      <c r="B481" s="55">
        <v>43801</v>
      </c>
      <c r="C481" s="54">
        <v>1846.7</v>
      </c>
      <c r="D481" s="56">
        <f t="shared" si="16"/>
        <v>-0.57213688283404007</v>
      </c>
      <c r="E481" s="64">
        <v>1.3278463648834116E-2</v>
      </c>
      <c r="F481" s="64">
        <v>478</v>
      </c>
      <c r="G481" s="64">
        <f t="shared" ca="1" si="17"/>
        <v>-1.0019617182096626E-2</v>
      </c>
    </row>
    <row r="482" spans="2:7" x14ac:dyDescent="0.3">
      <c r="B482" s="55">
        <v>45946</v>
      </c>
      <c r="C482" s="54">
        <v>4316.1000000000004</v>
      </c>
      <c r="D482" s="56">
        <f t="shared" si="16"/>
        <v>2.0398281508610068</v>
      </c>
      <c r="E482" s="64">
        <v>1.3264156258803617E-2</v>
      </c>
      <c r="F482" s="64">
        <v>479</v>
      </c>
      <c r="G482" s="64">
        <f t="shared" ca="1" si="17"/>
        <v>-6.2881766873086088E-3</v>
      </c>
    </row>
    <row r="483" spans="2:7" x14ac:dyDescent="0.3">
      <c r="B483" s="55">
        <v>43196</v>
      </c>
      <c r="C483" s="54">
        <v>1419.85</v>
      </c>
      <c r="D483" s="56">
        <f t="shared" si="16"/>
        <v>-0.65133097588527089</v>
      </c>
      <c r="E483" s="64">
        <v>1.3237707842717494E-2</v>
      </c>
      <c r="F483" s="64">
        <v>480</v>
      </c>
      <c r="G483" s="64">
        <f t="shared" ca="1" si="17"/>
        <v>3.0756753729294477E-2</v>
      </c>
    </row>
    <row r="484" spans="2:7" x14ac:dyDescent="0.3">
      <c r="B484" s="55">
        <v>45972</v>
      </c>
      <c r="C484" s="54">
        <v>4072.2</v>
      </c>
      <c r="D484" s="56">
        <f t="shared" si="16"/>
        <v>8.4127575741440808E-2</v>
      </c>
      <c r="E484" s="64">
        <v>1.3237123662602546E-2</v>
      </c>
      <c r="F484" s="64">
        <v>481</v>
      </c>
      <c r="G484" s="64">
        <f t="shared" ca="1" si="17"/>
        <v>4.9674574525259401E-3</v>
      </c>
    </row>
    <row r="485" spans="2:7" x14ac:dyDescent="0.3">
      <c r="B485" s="55">
        <v>45342</v>
      </c>
      <c r="C485" s="54">
        <v>3756.2</v>
      </c>
      <c r="D485" s="56">
        <f t="shared" si="16"/>
        <v>-0.21055065153425812</v>
      </c>
      <c r="E485" s="64">
        <v>1.3203857306628874E-2</v>
      </c>
      <c r="F485" s="64">
        <v>482</v>
      </c>
      <c r="G485" s="64">
        <f t="shared" ca="1" si="17"/>
        <v>-8.561204980580368E-5</v>
      </c>
    </row>
    <row r="486" spans="2:7" x14ac:dyDescent="0.3">
      <c r="B486" s="55">
        <v>45404</v>
      </c>
      <c r="C486" s="54">
        <v>4758</v>
      </c>
      <c r="D486" s="56">
        <f t="shared" si="16"/>
        <v>7.0669111938703288E-2</v>
      </c>
      <c r="E486" s="64">
        <v>1.320272572402037E-2</v>
      </c>
      <c r="F486" s="64">
        <v>483</v>
      </c>
      <c r="G486" s="64">
        <f t="shared" ca="1" si="17"/>
        <v>-3.1247784274532841E-4</v>
      </c>
    </row>
    <row r="487" spans="2:7" x14ac:dyDescent="0.3">
      <c r="B487" s="55">
        <v>44816</v>
      </c>
      <c r="C487" s="54">
        <v>4443.95</v>
      </c>
      <c r="D487" s="56">
        <f t="shared" si="16"/>
        <v>2.5443850693890573</v>
      </c>
      <c r="E487" s="64">
        <v>1.3189393766671831E-2</v>
      </c>
      <c r="F487" s="64">
        <v>484</v>
      </c>
      <c r="G487" s="64">
        <f t="shared" ca="1" si="17"/>
        <v>2.4667910781221401E-3</v>
      </c>
    </row>
    <row r="488" spans="2:7" x14ac:dyDescent="0.3">
      <c r="B488" s="55">
        <v>43601</v>
      </c>
      <c r="C488" s="54">
        <v>1253.8</v>
      </c>
      <c r="D488" s="56">
        <f t="shared" si="16"/>
        <v>-0.41527340561968051</v>
      </c>
      <c r="E488" s="64">
        <v>1.3089851325145396E-2</v>
      </c>
      <c r="F488" s="64">
        <v>485</v>
      </c>
      <c r="G488" s="64">
        <f t="shared" ca="1" si="17"/>
        <v>7.4907459145880321E-3</v>
      </c>
    </row>
    <row r="489" spans="2:7" x14ac:dyDescent="0.3">
      <c r="B489" s="55">
        <v>44130</v>
      </c>
      <c r="C489" s="54">
        <v>2144.25</v>
      </c>
      <c r="D489" s="56">
        <f t="shared" si="16"/>
        <v>-0.46815239229109307</v>
      </c>
      <c r="E489" s="64">
        <v>1.3087335522430354E-2</v>
      </c>
      <c r="F489" s="64">
        <v>486</v>
      </c>
      <c r="G489" s="64">
        <f t="shared" ca="1" si="17"/>
        <v>-2.3766144451361E-2</v>
      </c>
    </row>
    <row r="490" spans="2:7" x14ac:dyDescent="0.3">
      <c r="B490" s="55">
        <v>45363</v>
      </c>
      <c r="C490" s="54">
        <v>4031.7</v>
      </c>
      <c r="D490" s="56">
        <f t="shared" si="16"/>
        <v>-9.8346174059868674E-2</v>
      </c>
      <c r="E490" s="64">
        <v>1.3079039614036336E-2</v>
      </c>
      <c r="F490" s="64">
        <v>487</v>
      </c>
      <c r="G490" s="64">
        <f t="shared" ca="1" si="17"/>
        <v>-2.1173470824619703E-3</v>
      </c>
    </row>
    <row r="491" spans="2:7" x14ac:dyDescent="0.3">
      <c r="B491" s="55">
        <v>44841</v>
      </c>
      <c r="C491" s="54">
        <v>4471.45</v>
      </c>
      <c r="D491" s="56">
        <f t="shared" si="16"/>
        <v>1.3023788682354152</v>
      </c>
      <c r="E491" s="64">
        <v>1.3049831779512022E-2</v>
      </c>
      <c r="F491" s="64">
        <v>488</v>
      </c>
      <c r="G491" s="64">
        <f t="shared" ca="1" si="17"/>
        <v>1.228214038065658E-2</v>
      </c>
    </row>
    <row r="492" spans="2:7" x14ac:dyDescent="0.3">
      <c r="B492" s="55">
        <v>43767</v>
      </c>
      <c r="C492" s="54">
        <v>1942.1</v>
      </c>
      <c r="D492" s="56">
        <f t="shared" si="16"/>
        <v>-0.56295921237693392</v>
      </c>
      <c r="E492" s="64">
        <v>1.3040529967137893E-2</v>
      </c>
      <c r="F492" s="64">
        <v>489</v>
      </c>
      <c r="G492" s="64">
        <f t="shared" ca="1" si="17"/>
        <v>4.3952808239864517E-3</v>
      </c>
    </row>
    <row r="493" spans="2:7" x14ac:dyDescent="0.3">
      <c r="B493" s="55">
        <v>44837</v>
      </c>
      <c r="C493" s="54">
        <v>4443.75</v>
      </c>
      <c r="D493" s="56">
        <f t="shared" si="16"/>
        <v>0.48899276236429423</v>
      </c>
      <c r="E493" s="64">
        <v>1.3039860482611632E-2</v>
      </c>
      <c r="F493" s="64">
        <v>490</v>
      </c>
      <c r="G493" s="64">
        <f t="shared" ca="1" si="17"/>
        <v>-4.1821956333605451E-3</v>
      </c>
    </row>
    <row r="494" spans="2:7" x14ac:dyDescent="0.3">
      <c r="B494" s="55">
        <v>44235</v>
      </c>
      <c r="C494" s="54">
        <v>2984.4</v>
      </c>
      <c r="D494" s="56">
        <f t="shared" si="16"/>
        <v>-0.35963265349912554</v>
      </c>
      <c r="E494" s="64">
        <v>1.3017430118293927E-2</v>
      </c>
      <c r="F494" s="64">
        <v>491</v>
      </c>
      <c r="G494" s="64">
        <f t="shared" ca="1" si="17"/>
        <v>3.0394857903990657E-2</v>
      </c>
    </row>
    <row r="495" spans="2:7" x14ac:dyDescent="0.3">
      <c r="B495" s="55">
        <v>45419</v>
      </c>
      <c r="C495" s="54">
        <v>4660.45</v>
      </c>
      <c r="D495" s="56">
        <f t="shared" si="16"/>
        <v>2.4771692904573603</v>
      </c>
      <c r="E495" s="64">
        <v>1.3009172716601958E-2</v>
      </c>
      <c r="F495" s="64">
        <v>492</v>
      </c>
      <c r="G495" s="64">
        <f t="shared" ca="1" si="17"/>
        <v>2.5432236899400808E-2</v>
      </c>
    </row>
    <row r="496" spans="2:7" x14ac:dyDescent="0.3">
      <c r="B496" s="55">
        <v>43619</v>
      </c>
      <c r="C496" s="54">
        <v>1340.3</v>
      </c>
      <c r="D496" s="56">
        <f t="shared" si="16"/>
        <v>-0.66652982521614734</v>
      </c>
      <c r="E496" s="64">
        <v>1.2999773259768865E-2</v>
      </c>
      <c r="F496" s="64">
        <v>493</v>
      </c>
      <c r="G496" s="64">
        <f t="shared" ca="1" si="17"/>
        <v>-1.5634660709033882E-2</v>
      </c>
    </row>
    <row r="497" spans="2:7" x14ac:dyDescent="0.3">
      <c r="B497" s="55">
        <v>45365</v>
      </c>
      <c r="C497" s="54">
        <v>4019.25</v>
      </c>
      <c r="D497" s="56">
        <f t="shared" si="16"/>
        <v>4.0892687559354224</v>
      </c>
      <c r="E497" s="64">
        <v>1.2966883411462238E-2</v>
      </c>
      <c r="F497" s="64">
        <v>494</v>
      </c>
      <c r="G497" s="64">
        <f t="shared" ca="1" si="17"/>
        <v>-1.009480618238901E-2</v>
      </c>
    </row>
    <row r="498" spans="2:7" x14ac:dyDescent="0.3">
      <c r="B498" s="55">
        <v>42891</v>
      </c>
      <c r="C498" s="54">
        <v>789.75</v>
      </c>
      <c r="D498" s="56">
        <f t="shared" si="16"/>
        <v>-0.81459526716123576</v>
      </c>
      <c r="E498" s="64">
        <v>1.29545308792407E-2</v>
      </c>
      <c r="F498" s="64">
        <v>495</v>
      </c>
      <c r="G498" s="64">
        <f t="shared" ca="1" si="17"/>
        <v>-5.1705739707262931E-3</v>
      </c>
    </row>
    <row r="499" spans="2:7" x14ac:dyDescent="0.3">
      <c r="B499" s="55">
        <v>45945</v>
      </c>
      <c r="C499" s="54">
        <v>4259.6000000000004</v>
      </c>
      <c r="D499" s="56">
        <f t="shared" si="16"/>
        <v>2.8285097968721917</v>
      </c>
      <c r="E499" s="64">
        <v>1.2936364501094033E-2</v>
      </c>
      <c r="F499" s="64">
        <v>496</v>
      </c>
      <c r="G499" s="64">
        <f t="shared" ca="1" si="17"/>
        <v>1.0203197761666052E-2</v>
      </c>
    </row>
    <row r="500" spans="2:7" x14ac:dyDescent="0.3">
      <c r="B500" s="55">
        <v>43055</v>
      </c>
      <c r="C500" s="54">
        <v>1112.5999999999999</v>
      </c>
      <c r="D500" s="56">
        <f t="shared" si="16"/>
        <v>-0.72347458680253518</v>
      </c>
      <c r="E500" s="64">
        <v>1.292789512017456E-2</v>
      </c>
      <c r="F500" s="64">
        <v>497</v>
      </c>
      <c r="G500" s="64">
        <f t="shared" ca="1" si="17"/>
        <v>2.0169577193721144E-2</v>
      </c>
    </row>
    <row r="501" spans="2:7" x14ac:dyDescent="0.3">
      <c r="B501" s="55">
        <v>45789</v>
      </c>
      <c r="C501" s="54">
        <v>4023.5</v>
      </c>
      <c r="D501" s="56">
        <f t="shared" si="16"/>
        <v>0.9899107297410914</v>
      </c>
      <c r="E501" s="64">
        <v>1.2863759943610997E-2</v>
      </c>
      <c r="F501" s="64">
        <v>498</v>
      </c>
      <c r="G501" s="64">
        <f t="shared" ca="1" si="17"/>
        <v>-1.9091267807830936E-2</v>
      </c>
    </row>
    <row r="502" spans="2:7" x14ac:dyDescent="0.3">
      <c r="B502" s="55">
        <v>43907</v>
      </c>
      <c r="C502" s="54">
        <v>2021.95</v>
      </c>
      <c r="D502" s="56">
        <f t="shared" si="16"/>
        <v>-0.57407973037021431</v>
      </c>
      <c r="E502" s="64">
        <v>1.284877022491604E-2</v>
      </c>
      <c r="F502" s="64">
        <v>499</v>
      </c>
      <c r="G502" s="64">
        <f t="shared" ca="1" si="17"/>
        <v>4.3703444589333115E-3</v>
      </c>
    </row>
    <row r="503" spans="2:7" x14ac:dyDescent="0.3">
      <c r="B503" s="55">
        <v>45450</v>
      </c>
      <c r="C503" s="54">
        <v>4747.25</v>
      </c>
      <c r="D503" s="56">
        <f t="shared" si="16"/>
        <v>0.15534382263108593</v>
      </c>
      <c r="E503" s="64">
        <v>1.2843899681036053E-2</v>
      </c>
      <c r="F503" s="64">
        <v>500</v>
      </c>
      <c r="G503" s="64">
        <f t="shared" ca="1" si="17"/>
        <v>4.2059290911493505E-2</v>
      </c>
    </row>
    <row r="504" spans="2:7" x14ac:dyDescent="0.3">
      <c r="B504" s="55">
        <v>44908</v>
      </c>
      <c r="C504" s="54">
        <v>4108.95</v>
      </c>
      <c r="D504" s="56">
        <f t="shared" si="16"/>
        <v>7.4431922181837029E-2</v>
      </c>
      <c r="E504" s="64">
        <v>1.2717660541979425E-2</v>
      </c>
      <c r="F504" s="64">
        <v>501</v>
      </c>
      <c r="G504" s="64">
        <f t="shared" ca="1" si="17"/>
        <v>3.9617511311403987E-2</v>
      </c>
    </row>
    <row r="505" spans="2:7" x14ac:dyDescent="0.3">
      <c r="B505" s="55">
        <v>46057</v>
      </c>
      <c r="C505" s="54">
        <v>3824.3</v>
      </c>
      <c r="D505" s="56">
        <f t="shared" si="16"/>
        <v>1.4620485418142022</v>
      </c>
      <c r="E505" s="64">
        <v>1.2630408303765384E-2</v>
      </c>
      <c r="F505" s="64">
        <v>502</v>
      </c>
      <c r="G505" s="64">
        <f t="shared" ca="1" si="17"/>
        <v>-5.897564263369637E-3</v>
      </c>
    </row>
    <row r="506" spans="2:7" x14ac:dyDescent="0.3">
      <c r="B506" s="55">
        <v>43705</v>
      </c>
      <c r="C506" s="54">
        <v>1553.3</v>
      </c>
      <c r="D506" s="56">
        <f t="shared" si="16"/>
        <v>-0.24280978843716494</v>
      </c>
      <c r="E506" s="64">
        <v>1.2515481389739902E-2</v>
      </c>
      <c r="F506" s="64">
        <v>503</v>
      </c>
      <c r="G506" s="64">
        <f t="shared" ca="1" si="17"/>
        <v>1.2826497322336596E-2</v>
      </c>
    </row>
    <row r="507" spans="2:7" x14ac:dyDescent="0.3">
      <c r="B507" s="55">
        <v>44040</v>
      </c>
      <c r="C507" s="54">
        <v>2051.4</v>
      </c>
      <c r="D507" s="56">
        <f t="shared" si="16"/>
        <v>-0.48702175543885973</v>
      </c>
      <c r="E507" s="64">
        <v>1.2487044074823705E-2</v>
      </c>
      <c r="F507" s="64">
        <v>504</v>
      </c>
      <c r="G507" s="64">
        <f t="shared" ca="1" si="17"/>
        <v>-1.6124276537342316E-2</v>
      </c>
    </row>
    <row r="508" spans="2:7" x14ac:dyDescent="0.3">
      <c r="B508" s="55">
        <v>45867</v>
      </c>
      <c r="C508" s="54">
        <v>3999</v>
      </c>
      <c r="D508" s="56">
        <f t="shared" si="16"/>
        <v>1.0522426357384789</v>
      </c>
      <c r="E508" s="64">
        <v>1.2430694447960633E-2</v>
      </c>
      <c r="F508" s="64">
        <v>505</v>
      </c>
      <c r="G508" s="64">
        <f t="shared" ca="1" si="17"/>
        <v>1.0374229112960241E-2</v>
      </c>
    </row>
    <row r="509" spans="2:7" x14ac:dyDescent="0.3">
      <c r="B509" s="55">
        <v>43854</v>
      </c>
      <c r="C509" s="54">
        <v>1948.6</v>
      </c>
      <c r="D509" s="56">
        <f t="shared" si="16"/>
        <v>0.55975346193868569</v>
      </c>
      <c r="E509" s="64">
        <v>1.2417519613446171E-2</v>
      </c>
      <c r="F509" s="64">
        <v>506</v>
      </c>
      <c r="G509" s="64">
        <f t="shared" ca="1" si="17"/>
        <v>1.1939095585171729E-2</v>
      </c>
    </row>
    <row r="510" spans="2:7" x14ac:dyDescent="0.3">
      <c r="B510" s="55">
        <v>43110</v>
      </c>
      <c r="C510" s="54">
        <v>1249.3</v>
      </c>
      <c r="D510" s="56">
        <f t="shared" si="16"/>
        <v>-0.75119988847509611</v>
      </c>
      <c r="E510" s="64">
        <v>1.2316668017178456E-2</v>
      </c>
      <c r="F510" s="64">
        <v>507</v>
      </c>
      <c r="G510" s="64">
        <f t="shared" ca="1" si="17"/>
        <v>-1.9592185181317584E-2</v>
      </c>
    </row>
    <row r="511" spans="2:7" x14ac:dyDescent="0.3">
      <c r="B511" s="55">
        <v>45520</v>
      </c>
      <c r="C511" s="54">
        <v>5021.3</v>
      </c>
      <c r="D511" s="56">
        <f t="shared" si="16"/>
        <v>0.807263173049237</v>
      </c>
      <c r="E511" s="64">
        <v>1.2297643287704441E-2</v>
      </c>
      <c r="F511" s="64">
        <v>508</v>
      </c>
      <c r="G511" s="64">
        <f t="shared" ca="1" si="17"/>
        <v>-3.537064026764943E-3</v>
      </c>
    </row>
    <row r="512" spans="2:7" x14ac:dyDescent="0.3">
      <c r="B512" s="55">
        <v>44215</v>
      </c>
      <c r="C512" s="54">
        <v>2778.4</v>
      </c>
      <c r="D512" s="56">
        <f t="shared" si="16"/>
        <v>-0.29140525376179549</v>
      </c>
      <c r="E512" s="64">
        <v>1.2204451892600776E-2</v>
      </c>
      <c r="F512" s="64">
        <v>509</v>
      </c>
      <c r="G512" s="64">
        <f t="shared" ca="1" si="17"/>
        <v>-6.807085710152018E-3</v>
      </c>
    </row>
    <row r="513" spans="2:7" x14ac:dyDescent="0.3">
      <c r="B513" s="55">
        <v>46234</v>
      </c>
      <c r="C513" s="54">
        <v>3921</v>
      </c>
      <c r="D513" s="56">
        <f t="shared" si="16"/>
        <v>0.59649837133550498</v>
      </c>
      <c r="E513" s="64">
        <v>1.2132163138874441E-2</v>
      </c>
      <c r="F513" s="64">
        <v>510</v>
      </c>
      <c r="G513" s="64">
        <f t="shared" ca="1" si="17"/>
        <v>1.2898131674334774E-2</v>
      </c>
    </row>
    <row r="514" spans="2:7" x14ac:dyDescent="0.3">
      <c r="B514" s="55">
        <v>44167</v>
      </c>
      <c r="C514" s="54">
        <v>2456</v>
      </c>
      <c r="D514" s="56">
        <f t="shared" si="16"/>
        <v>-0.47210609463830888</v>
      </c>
      <c r="E514" s="64">
        <v>1.2074009972390609E-2</v>
      </c>
      <c r="F514" s="64">
        <v>511</v>
      </c>
      <c r="G514" s="64">
        <f t="shared" ca="1" si="17"/>
        <v>-2.8496820423495779E-2</v>
      </c>
    </row>
    <row r="515" spans="2:7" x14ac:dyDescent="0.3">
      <c r="B515" s="55">
        <v>45427</v>
      </c>
      <c r="C515" s="54">
        <v>4652.45</v>
      </c>
      <c r="D515" s="56">
        <f t="shared" si="16"/>
        <v>1.052159146045609</v>
      </c>
      <c r="E515" s="64">
        <v>1.2051206752156096E-2</v>
      </c>
      <c r="F515" s="64">
        <v>512</v>
      </c>
      <c r="G515" s="64">
        <f t="shared" ca="1" si="17"/>
        <v>-2.3223837608547238E-2</v>
      </c>
    </row>
    <row r="516" spans="2:7" x14ac:dyDescent="0.3">
      <c r="B516" s="55">
        <v>44133</v>
      </c>
      <c r="C516" s="54">
        <v>2267.1</v>
      </c>
      <c r="D516" s="56">
        <f t="shared" ref="D516:D579" si="18">C516/C517-1</f>
        <v>0.22998046875</v>
      </c>
      <c r="E516" s="64">
        <v>1.2007856441389242E-2</v>
      </c>
      <c r="F516" s="64">
        <v>513</v>
      </c>
      <c r="G516" s="64">
        <f t="shared" ca="1" si="17"/>
        <v>-5.6315565769102282E-3</v>
      </c>
    </row>
    <row r="517" spans="2:7" x14ac:dyDescent="0.3">
      <c r="B517" s="55">
        <v>43749</v>
      </c>
      <c r="C517" s="54">
        <v>1843.2</v>
      </c>
      <c r="D517" s="56">
        <f t="shared" si="18"/>
        <v>0.62360713499229248</v>
      </c>
      <c r="E517" s="64">
        <v>1.1996595931589304E-2</v>
      </c>
      <c r="F517" s="64">
        <v>514</v>
      </c>
      <c r="G517" s="64">
        <f t="shared" ref="G517:G580" ca="1" si="19">_xlfn.NORM.INV(RAND(),K$6,K$7)</f>
        <v>-3.3312279605653278E-2</v>
      </c>
    </row>
    <row r="518" spans="2:7" x14ac:dyDescent="0.3">
      <c r="B518" s="55">
        <v>43087</v>
      </c>
      <c r="C518" s="54">
        <v>1135.25</v>
      </c>
      <c r="D518" s="56">
        <f t="shared" si="18"/>
        <v>-5.5060762443815636E-2</v>
      </c>
      <c r="E518" s="64">
        <v>1.1989659475842407E-2</v>
      </c>
      <c r="F518" s="64">
        <v>515</v>
      </c>
      <c r="G518" s="64">
        <f t="shared" ca="1" si="19"/>
        <v>5.3349484180463048E-4</v>
      </c>
    </row>
    <row r="519" spans="2:7" x14ac:dyDescent="0.3">
      <c r="B519" s="55">
        <v>43145</v>
      </c>
      <c r="C519" s="54">
        <v>1201.4000000000001</v>
      </c>
      <c r="D519" s="56">
        <f t="shared" si="18"/>
        <v>-0.74737151989233741</v>
      </c>
      <c r="E519" s="64">
        <v>1.1960916442048664E-2</v>
      </c>
      <c r="F519" s="64">
        <v>516</v>
      </c>
      <c r="G519" s="64">
        <f t="shared" ca="1" si="19"/>
        <v>-1.0759029143364358E-2</v>
      </c>
    </row>
    <row r="520" spans="2:7" x14ac:dyDescent="0.3">
      <c r="B520" s="55">
        <v>45898</v>
      </c>
      <c r="C520" s="54">
        <v>4755.6000000000004</v>
      </c>
      <c r="D520" s="56">
        <f t="shared" si="18"/>
        <v>-4.1093680687179779E-2</v>
      </c>
      <c r="E520" s="64">
        <v>1.1851315985446753E-2</v>
      </c>
      <c r="F520" s="64">
        <v>517</v>
      </c>
      <c r="G520" s="64">
        <f t="shared" ca="1" si="19"/>
        <v>1.0810340724473901E-2</v>
      </c>
    </row>
    <row r="521" spans="2:7" x14ac:dyDescent="0.3">
      <c r="B521" s="55">
        <v>45530</v>
      </c>
      <c r="C521" s="54">
        <v>4959.3999999999996</v>
      </c>
      <c r="D521" s="56">
        <f t="shared" si="18"/>
        <v>1.3248095628735497</v>
      </c>
      <c r="E521" s="64">
        <v>1.1812710394776937E-2</v>
      </c>
      <c r="F521" s="64">
        <v>518</v>
      </c>
      <c r="G521" s="64">
        <f t="shared" ca="1" si="19"/>
        <v>-2.6902215045437744E-3</v>
      </c>
    </row>
    <row r="522" spans="2:7" x14ac:dyDescent="0.3">
      <c r="B522" s="55">
        <v>44103</v>
      </c>
      <c r="C522" s="54">
        <v>2133.25</v>
      </c>
      <c r="D522" s="56">
        <f t="shared" si="18"/>
        <v>1.5214230837420959</v>
      </c>
      <c r="E522" s="64">
        <v>1.1786188579017143E-2</v>
      </c>
      <c r="F522" s="64">
        <v>519</v>
      </c>
      <c r="G522" s="64">
        <f t="shared" ca="1" si="19"/>
        <v>2.7747570964748794E-2</v>
      </c>
    </row>
    <row r="523" spans="2:7" x14ac:dyDescent="0.3">
      <c r="B523" s="55">
        <v>42921</v>
      </c>
      <c r="C523" s="54">
        <v>846.05</v>
      </c>
      <c r="D523" s="56">
        <f t="shared" si="18"/>
        <v>-0.78977773912611349</v>
      </c>
      <c r="E523" s="64">
        <v>1.1779478593637815E-2</v>
      </c>
      <c r="F523" s="64">
        <v>520</v>
      </c>
      <c r="G523" s="64">
        <f t="shared" ca="1" si="19"/>
        <v>-1.0422689455675621E-2</v>
      </c>
    </row>
    <row r="524" spans="2:7" x14ac:dyDescent="0.3">
      <c r="B524" s="55">
        <v>44679</v>
      </c>
      <c r="C524" s="54">
        <v>4024.55</v>
      </c>
      <c r="D524" s="56">
        <f t="shared" si="18"/>
        <v>-0.19409067243381795</v>
      </c>
      <c r="E524" s="64">
        <v>1.1778163260175667E-2</v>
      </c>
      <c r="F524" s="64">
        <v>521</v>
      </c>
      <c r="G524" s="64">
        <f t="shared" ca="1" si="19"/>
        <v>-2.9381071783559559E-2</v>
      </c>
    </row>
    <row r="525" spans="2:7" x14ac:dyDescent="0.3">
      <c r="B525" s="55">
        <v>45505</v>
      </c>
      <c r="C525" s="54">
        <v>4993.8</v>
      </c>
      <c r="D525" s="56">
        <f t="shared" si="18"/>
        <v>0.35915301290076762</v>
      </c>
      <c r="E525" s="64">
        <v>1.1720134928433268E-2</v>
      </c>
      <c r="F525" s="64">
        <v>522</v>
      </c>
      <c r="G525" s="64">
        <f t="shared" ca="1" si="19"/>
        <v>-2.0197983343238912E-2</v>
      </c>
    </row>
    <row r="526" spans="2:7" x14ac:dyDescent="0.3">
      <c r="B526" s="55">
        <v>45728</v>
      </c>
      <c r="C526" s="54">
        <v>3674.2</v>
      </c>
      <c r="D526" s="56">
        <f t="shared" si="18"/>
        <v>4.0002721829069134</v>
      </c>
      <c r="E526" s="64">
        <v>1.171643743202111E-2</v>
      </c>
      <c r="F526" s="64">
        <v>523</v>
      </c>
      <c r="G526" s="64">
        <f t="shared" ca="1" si="19"/>
        <v>-7.7101711089313657E-3</v>
      </c>
    </row>
    <row r="527" spans="2:7" x14ac:dyDescent="0.3">
      <c r="B527" s="55">
        <v>42850</v>
      </c>
      <c r="C527" s="54">
        <v>734.8</v>
      </c>
      <c r="D527" s="56">
        <f t="shared" si="18"/>
        <v>-0.61371044054252977</v>
      </c>
      <c r="E527" s="64">
        <v>1.1703152967093455E-2</v>
      </c>
      <c r="F527" s="64">
        <v>524</v>
      </c>
      <c r="G527" s="64">
        <f t="shared" ca="1" si="19"/>
        <v>2.5593374022704792E-2</v>
      </c>
    </row>
    <row r="528" spans="2:7" x14ac:dyDescent="0.3">
      <c r="B528" s="55">
        <v>43733</v>
      </c>
      <c r="C528" s="54">
        <v>1902.2</v>
      </c>
      <c r="D528" s="56">
        <f t="shared" si="18"/>
        <v>-0.4595331789575372</v>
      </c>
      <c r="E528" s="64">
        <v>1.1673979523999511E-2</v>
      </c>
      <c r="F528" s="64">
        <v>525</v>
      </c>
      <c r="G528" s="64">
        <f t="shared" ca="1" si="19"/>
        <v>8.5554258399654273E-3</v>
      </c>
    </row>
    <row r="529" spans="2:7" x14ac:dyDescent="0.3">
      <c r="B529" s="55">
        <v>44733</v>
      </c>
      <c r="C529" s="54">
        <v>3519.55</v>
      </c>
      <c r="D529" s="56">
        <f t="shared" si="18"/>
        <v>-0.24680063345317582</v>
      </c>
      <c r="E529" s="64">
        <v>1.1626570089965815E-2</v>
      </c>
      <c r="F529" s="64">
        <v>526</v>
      </c>
      <c r="G529" s="64">
        <f t="shared" ca="1" si="19"/>
        <v>3.9385864774604774E-3</v>
      </c>
    </row>
    <row r="530" spans="2:7" x14ac:dyDescent="0.3">
      <c r="B530" s="55">
        <v>45390</v>
      </c>
      <c r="C530" s="54">
        <v>4672.8</v>
      </c>
      <c r="D530" s="56">
        <f t="shared" si="18"/>
        <v>-8.0429007182918344E-2</v>
      </c>
      <c r="E530" s="64">
        <v>1.1592791037506212E-2</v>
      </c>
      <c r="F530" s="64">
        <v>527</v>
      </c>
      <c r="G530" s="64">
        <f t="shared" ca="1" si="19"/>
        <v>2.9666600725422126E-2</v>
      </c>
    </row>
    <row r="531" spans="2:7" x14ac:dyDescent="0.3">
      <c r="B531" s="55">
        <v>44516</v>
      </c>
      <c r="C531" s="54">
        <v>5081.5</v>
      </c>
      <c r="D531" s="56">
        <f t="shared" si="18"/>
        <v>0.20942022086824053</v>
      </c>
      <c r="E531" s="64">
        <v>1.1586009197141367E-2</v>
      </c>
      <c r="F531" s="64">
        <v>528</v>
      </c>
      <c r="G531" s="64">
        <f t="shared" ca="1" si="19"/>
        <v>-1.9331684810978511E-3</v>
      </c>
    </row>
    <row r="532" spans="2:7" x14ac:dyDescent="0.3">
      <c r="B532" s="55">
        <v>45814</v>
      </c>
      <c r="C532" s="54">
        <v>4201.6000000000004</v>
      </c>
      <c r="D532" s="56">
        <f t="shared" si="18"/>
        <v>1.1706964248811742</v>
      </c>
      <c r="E532" s="64">
        <v>1.1580594679186262E-2</v>
      </c>
      <c r="F532" s="64">
        <v>529</v>
      </c>
      <c r="G532" s="64">
        <f t="shared" ca="1" si="19"/>
        <v>-1.3859153512711501E-2</v>
      </c>
    </row>
    <row r="533" spans="2:7" x14ac:dyDescent="0.3">
      <c r="B533" s="55">
        <v>43818</v>
      </c>
      <c r="C533" s="54">
        <v>1935.6</v>
      </c>
      <c r="D533" s="56">
        <f t="shared" si="18"/>
        <v>-0.51450393167538278</v>
      </c>
      <c r="E533" s="64">
        <v>1.1549516592631148E-2</v>
      </c>
      <c r="F533" s="64">
        <v>530</v>
      </c>
      <c r="G533" s="64">
        <f t="shared" ca="1" si="19"/>
        <v>-3.173844411125103E-3</v>
      </c>
    </row>
    <row r="534" spans="2:7" x14ac:dyDescent="0.3">
      <c r="B534" s="55">
        <v>44753</v>
      </c>
      <c r="C534" s="54">
        <v>3986.85</v>
      </c>
      <c r="D534" s="56">
        <f t="shared" si="18"/>
        <v>-1.6757916543356122E-2</v>
      </c>
      <c r="E534" s="64">
        <v>1.1454448588172683E-2</v>
      </c>
      <c r="F534" s="64">
        <v>531</v>
      </c>
      <c r="G534" s="64">
        <f t="shared" ca="1" si="19"/>
        <v>1.5803683187290932E-2</v>
      </c>
    </row>
    <row r="535" spans="2:7" x14ac:dyDescent="0.3">
      <c r="B535" s="55">
        <v>44671</v>
      </c>
      <c r="C535" s="54">
        <v>4054.8</v>
      </c>
      <c r="D535" s="56">
        <f t="shared" si="18"/>
        <v>0.7499082925145113</v>
      </c>
      <c r="E535" s="64">
        <v>1.1449524807303879E-2</v>
      </c>
      <c r="F535" s="64">
        <v>532</v>
      </c>
      <c r="G535" s="64">
        <f t="shared" ca="1" si="19"/>
        <v>-1.434688578185433E-2</v>
      </c>
    </row>
    <row r="536" spans="2:7" x14ac:dyDescent="0.3">
      <c r="B536" s="55">
        <v>44012</v>
      </c>
      <c r="C536" s="54">
        <v>2317.15</v>
      </c>
      <c r="D536" s="56">
        <f t="shared" si="18"/>
        <v>-1.7490671641791078E-2</v>
      </c>
      <c r="E536" s="64">
        <v>1.1436303716798824E-2</v>
      </c>
      <c r="F536" s="64">
        <v>533</v>
      </c>
      <c r="G536" s="64">
        <f t="shared" ca="1" si="19"/>
        <v>1.3127042628462763E-2</v>
      </c>
    </row>
    <row r="537" spans="2:7" x14ac:dyDescent="0.3">
      <c r="B537" s="55">
        <v>43887</v>
      </c>
      <c r="C537" s="54">
        <v>2358.4</v>
      </c>
      <c r="D537" s="56">
        <f t="shared" si="18"/>
        <v>-0.50054532555406128</v>
      </c>
      <c r="E537" s="64">
        <v>1.1429184089203348E-2</v>
      </c>
      <c r="F537" s="64">
        <v>534</v>
      </c>
      <c r="G537" s="64">
        <f t="shared" ca="1" si="19"/>
        <v>2.4767031680100464E-2</v>
      </c>
    </row>
    <row r="538" spans="2:7" x14ac:dyDescent="0.3">
      <c r="B538" s="55">
        <v>44558</v>
      </c>
      <c r="C538" s="54">
        <v>4721.95</v>
      </c>
      <c r="D538" s="56">
        <f t="shared" si="18"/>
        <v>1.2883762630545932</v>
      </c>
      <c r="E538" s="64">
        <v>1.1416576526404931E-2</v>
      </c>
      <c r="F538" s="64">
        <v>535</v>
      </c>
      <c r="G538" s="64">
        <f t="shared" ca="1" si="19"/>
        <v>-5.2273728600803681E-4</v>
      </c>
    </row>
    <row r="539" spans="2:7" x14ac:dyDescent="0.3">
      <c r="B539" s="55">
        <v>44043</v>
      </c>
      <c r="C539" s="54">
        <v>2063.4499999999998</v>
      </c>
      <c r="D539" s="56">
        <f t="shared" si="18"/>
        <v>0.37329872549998333</v>
      </c>
      <c r="E539" s="64">
        <v>1.1395941574355417E-2</v>
      </c>
      <c r="F539" s="64">
        <v>536</v>
      </c>
      <c r="G539" s="64">
        <f t="shared" ca="1" si="19"/>
        <v>-1.2020264009623463E-2</v>
      </c>
    </row>
    <row r="540" spans="2:7" x14ac:dyDescent="0.3">
      <c r="B540" s="55">
        <v>43439</v>
      </c>
      <c r="C540" s="54">
        <v>1502.55</v>
      </c>
      <c r="D540" s="56">
        <f t="shared" si="18"/>
        <v>-0.57079810329067637</v>
      </c>
      <c r="E540" s="64">
        <v>1.1341455206300033E-2</v>
      </c>
      <c r="F540" s="64">
        <v>537</v>
      </c>
      <c r="G540" s="64">
        <f t="shared" ca="1" si="19"/>
        <v>1.2725615937924961E-2</v>
      </c>
    </row>
    <row r="541" spans="2:7" x14ac:dyDescent="0.3">
      <c r="B541" s="55">
        <v>45043</v>
      </c>
      <c r="C541" s="54">
        <v>3500.8</v>
      </c>
      <c r="D541" s="56">
        <f t="shared" si="18"/>
        <v>1.2958323769551106</v>
      </c>
      <c r="E541" s="64">
        <v>1.1324243124566813E-2</v>
      </c>
      <c r="F541" s="64">
        <v>538</v>
      </c>
      <c r="G541" s="64">
        <f t="shared" ca="1" si="19"/>
        <v>4.5428652018635413E-2</v>
      </c>
    </row>
    <row r="542" spans="2:7" x14ac:dyDescent="0.3">
      <c r="B542" s="55">
        <v>43712</v>
      </c>
      <c r="C542" s="54">
        <v>1524.85</v>
      </c>
      <c r="D542" s="56">
        <f t="shared" si="18"/>
        <v>-0.65817435943419489</v>
      </c>
      <c r="E542" s="64">
        <v>1.1173740053050274E-2</v>
      </c>
      <c r="F542" s="64">
        <v>539</v>
      </c>
      <c r="G542" s="64">
        <f t="shared" ca="1" si="19"/>
        <v>-7.5281492331805422E-3</v>
      </c>
    </row>
    <row r="543" spans="2:7" x14ac:dyDescent="0.3">
      <c r="B543" s="55">
        <v>45385</v>
      </c>
      <c r="C543" s="54">
        <v>4460.8999999999996</v>
      </c>
      <c r="D543" s="56">
        <f t="shared" si="18"/>
        <v>3.6394261485740653E-2</v>
      </c>
      <c r="E543" s="64">
        <v>1.111778505615546E-2</v>
      </c>
      <c r="F543" s="64">
        <v>540</v>
      </c>
      <c r="G543" s="64">
        <f t="shared" ca="1" si="19"/>
        <v>3.0078497529178127E-5</v>
      </c>
    </row>
    <row r="544" spans="2:7" x14ac:dyDescent="0.3">
      <c r="B544" s="55">
        <v>44797</v>
      </c>
      <c r="C544" s="54">
        <v>4304.25</v>
      </c>
      <c r="D544" s="56">
        <f t="shared" si="18"/>
        <v>0.99705377441655441</v>
      </c>
      <c r="E544" s="64">
        <v>1.1111241616650558E-2</v>
      </c>
      <c r="F544" s="64">
        <v>541</v>
      </c>
      <c r="G544" s="64">
        <f t="shared" ca="1" si="19"/>
        <v>1.5556727857984743E-2</v>
      </c>
    </row>
    <row r="545" spans="2:7" x14ac:dyDescent="0.3">
      <c r="B545" s="55">
        <v>43865</v>
      </c>
      <c r="C545" s="54">
        <v>2155.3000000000002</v>
      </c>
      <c r="D545" s="56">
        <f t="shared" si="18"/>
        <v>-0.52032493184220774</v>
      </c>
      <c r="E545" s="64">
        <v>1.1094691905331633E-2</v>
      </c>
      <c r="F545" s="64">
        <v>542</v>
      </c>
      <c r="G545" s="64">
        <f t="shared" ca="1" si="19"/>
        <v>1.8059740428672942E-2</v>
      </c>
    </row>
    <row r="546" spans="2:7" x14ac:dyDescent="0.3">
      <c r="B546" s="55">
        <v>44817</v>
      </c>
      <c r="C546" s="54">
        <v>4493.25</v>
      </c>
      <c r="D546" s="56">
        <f t="shared" si="18"/>
        <v>2.1697294628055448</v>
      </c>
      <c r="E546" s="64">
        <v>1.1093734177927361E-2</v>
      </c>
      <c r="F546" s="64">
        <v>543</v>
      </c>
      <c r="G546" s="64">
        <f t="shared" ca="1" si="19"/>
        <v>8.9648349274781183E-3</v>
      </c>
    </row>
    <row r="547" spans="2:7" x14ac:dyDescent="0.3">
      <c r="B547" s="55">
        <v>43668</v>
      </c>
      <c r="C547" s="54">
        <v>1417.55</v>
      </c>
      <c r="D547" s="56">
        <f t="shared" si="18"/>
        <v>-6.3179460066748239E-2</v>
      </c>
      <c r="E547" s="64">
        <v>1.1055240540637001E-2</v>
      </c>
      <c r="F547" s="64">
        <v>544</v>
      </c>
      <c r="G547" s="64">
        <f t="shared" ca="1" si="19"/>
        <v>2.4735152900228249E-2</v>
      </c>
    </row>
    <row r="548" spans="2:7" x14ac:dyDescent="0.3">
      <c r="B548" s="55">
        <v>43441</v>
      </c>
      <c r="C548" s="54">
        <v>1513.15</v>
      </c>
      <c r="D548" s="56">
        <f t="shared" si="18"/>
        <v>0.30940636898580842</v>
      </c>
      <c r="E548" s="64">
        <v>1.1024621655029598E-2</v>
      </c>
      <c r="F548" s="64">
        <v>545</v>
      </c>
      <c r="G548" s="64">
        <f t="shared" ca="1" si="19"/>
        <v>2.8339685167818873E-2</v>
      </c>
    </row>
    <row r="549" spans="2:7" x14ac:dyDescent="0.3">
      <c r="B549" s="55">
        <v>43090</v>
      </c>
      <c r="C549" s="54">
        <v>1155.5999999999999</v>
      </c>
      <c r="D549" s="56">
        <f t="shared" si="18"/>
        <v>-0.16445537037706526</v>
      </c>
      <c r="E549" s="64">
        <v>1.1023622047243942E-2</v>
      </c>
      <c r="F549" s="64">
        <v>546</v>
      </c>
      <c r="G549" s="64">
        <f t="shared" ca="1" si="19"/>
        <v>3.3193539413320511E-2</v>
      </c>
    </row>
    <row r="550" spans="2:7" x14ac:dyDescent="0.3">
      <c r="B550" s="55">
        <v>43483</v>
      </c>
      <c r="C550" s="54">
        <v>1383.05</v>
      </c>
      <c r="D550" s="56">
        <f t="shared" si="18"/>
        <v>-0.68200995551059362</v>
      </c>
      <c r="E550" s="64">
        <v>1.1001461988304095E-2</v>
      </c>
      <c r="F550" s="64">
        <v>547</v>
      </c>
      <c r="G550" s="64">
        <f t="shared" ca="1" si="19"/>
        <v>1.391602001342967E-2</v>
      </c>
    </row>
    <row r="551" spans="2:7" x14ac:dyDescent="0.3">
      <c r="B551" s="55">
        <v>45446</v>
      </c>
      <c r="C551" s="54">
        <v>4349.3500000000004</v>
      </c>
      <c r="D551" s="56">
        <f t="shared" si="18"/>
        <v>0.11236572890025576</v>
      </c>
      <c r="E551" s="64">
        <v>1.0971258556768282E-2</v>
      </c>
      <c r="F551" s="64">
        <v>548</v>
      </c>
      <c r="G551" s="64">
        <f t="shared" ca="1" si="19"/>
        <v>-1.1646502747262161E-2</v>
      </c>
    </row>
    <row r="552" spans="2:7" x14ac:dyDescent="0.3">
      <c r="B552" s="55">
        <v>46000</v>
      </c>
      <c r="C552" s="54">
        <v>3910</v>
      </c>
      <c r="D552" s="56">
        <f t="shared" si="18"/>
        <v>-0.2707128735031894</v>
      </c>
      <c r="E552" s="64">
        <v>1.0962871031130472E-2</v>
      </c>
      <c r="F552" s="64">
        <v>549</v>
      </c>
      <c r="G552" s="64">
        <f t="shared" ca="1" si="19"/>
        <v>5.5231677613379951E-3</v>
      </c>
    </row>
    <row r="553" spans="2:7" x14ac:dyDescent="0.3">
      <c r="B553" s="55">
        <v>45544</v>
      </c>
      <c r="C553" s="54">
        <v>5361.4</v>
      </c>
      <c r="D553" s="56">
        <f t="shared" si="18"/>
        <v>0.42550617513726197</v>
      </c>
      <c r="E553" s="64">
        <v>1.0926849503624991E-2</v>
      </c>
      <c r="F553" s="64">
        <v>550</v>
      </c>
      <c r="G553" s="64">
        <f t="shared" ca="1" si="19"/>
        <v>7.5611477370757449E-3</v>
      </c>
    </row>
    <row r="554" spans="2:7" x14ac:dyDescent="0.3">
      <c r="B554" s="55">
        <v>45170</v>
      </c>
      <c r="C554" s="54">
        <v>3761.05</v>
      </c>
      <c r="D554" s="56">
        <f t="shared" si="18"/>
        <v>0.5903632288891707</v>
      </c>
      <c r="E554" s="64">
        <v>1.092624448983992E-2</v>
      </c>
      <c r="F554" s="64">
        <v>551</v>
      </c>
      <c r="G554" s="64">
        <f t="shared" ca="1" si="19"/>
        <v>-7.5425735323172479E-3</v>
      </c>
    </row>
    <row r="555" spans="2:7" x14ac:dyDescent="0.3">
      <c r="B555" s="55">
        <v>43879</v>
      </c>
      <c r="C555" s="54">
        <v>2364.9</v>
      </c>
      <c r="D555" s="56">
        <f t="shared" si="18"/>
        <v>0.73915281659067533</v>
      </c>
      <c r="E555" s="64">
        <v>1.0878625317916724E-2</v>
      </c>
      <c r="F555" s="64">
        <v>552</v>
      </c>
      <c r="G555" s="64">
        <f t="shared" ca="1" si="19"/>
        <v>-1.5008584715276363E-2</v>
      </c>
    </row>
    <row r="556" spans="2:7" x14ac:dyDescent="0.3">
      <c r="B556" s="55">
        <v>43174</v>
      </c>
      <c r="C556" s="54">
        <v>1359.8</v>
      </c>
      <c r="D556" s="56">
        <f t="shared" si="18"/>
        <v>-0.62576028622540258</v>
      </c>
      <c r="E556" s="64">
        <v>1.0853404698186075E-2</v>
      </c>
      <c r="F556" s="64">
        <v>553</v>
      </c>
      <c r="G556" s="64">
        <f t="shared" ca="1" si="19"/>
        <v>2.1578526106610679E-2</v>
      </c>
    </row>
    <row r="557" spans="2:7" x14ac:dyDescent="0.3">
      <c r="B557" s="55">
        <v>44424</v>
      </c>
      <c r="C557" s="54">
        <v>3633.5</v>
      </c>
      <c r="D557" s="56">
        <f t="shared" si="18"/>
        <v>0.78042924343394748</v>
      </c>
      <c r="E557" s="64">
        <v>1.0835848715416319E-2</v>
      </c>
      <c r="F557" s="64">
        <v>554</v>
      </c>
      <c r="G557" s="64">
        <f t="shared" ca="1" si="19"/>
        <v>2.6195405629604873E-2</v>
      </c>
    </row>
    <row r="558" spans="2:7" x14ac:dyDescent="0.3">
      <c r="B558" s="55">
        <v>44033</v>
      </c>
      <c r="C558" s="54">
        <v>2040.8</v>
      </c>
      <c r="D558" s="56">
        <f t="shared" si="18"/>
        <v>-0.55571036704837373</v>
      </c>
      <c r="E558" s="64">
        <v>1.0797424467558159E-2</v>
      </c>
      <c r="F558" s="64">
        <v>555</v>
      </c>
      <c r="G558" s="64">
        <f t="shared" ca="1" si="19"/>
        <v>2.5607818416080487E-2</v>
      </c>
    </row>
    <row r="559" spans="2:7" x14ac:dyDescent="0.3">
      <c r="B559" s="55">
        <v>46141</v>
      </c>
      <c r="C559" s="54">
        <v>4593.3999999999996</v>
      </c>
      <c r="D559" s="56">
        <f t="shared" si="18"/>
        <v>3.2688848920863212E-2</v>
      </c>
      <c r="E559" s="64">
        <v>1.0782501540357314E-2</v>
      </c>
      <c r="F559" s="64">
        <v>556</v>
      </c>
      <c r="G559" s="64">
        <f t="shared" ca="1" si="19"/>
        <v>-5.813806730633077E-3</v>
      </c>
    </row>
    <row r="560" spans="2:7" x14ac:dyDescent="0.3">
      <c r="B560" s="55">
        <v>46125</v>
      </c>
      <c r="C560" s="54">
        <v>4448</v>
      </c>
      <c r="D560" s="56">
        <f t="shared" si="18"/>
        <v>1.8915036078788274</v>
      </c>
      <c r="E560" s="64">
        <v>1.0771258464754796E-2</v>
      </c>
      <c r="F560" s="64">
        <v>557</v>
      </c>
      <c r="G560" s="64">
        <f t="shared" ca="1" si="19"/>
        <v>-2.387651843779317E-3</v>
      </c>
    </row>
    <row r="561" spans="2:7" x14ac:dyDescent="0.3">
      <c r="B561" s="55">
        <v>43285</v>
      </c>
      <c r="C561" s="54">
        <v>1538.3</v>
      </c>
      <c r="D561" s="56">
        <f t="shared" si="18"/>
        <v>-0.65162152368873993</v>
      </c>
      <c r="E561" s="64">
        <v>1.0742797069548837E-2</v>
      </c>
      <c r="F561" s="64">
        <v>558</v>
      </c>
      <c r="G561" s="64">
        <f t="shared" ca="1" si="19"/>
        <v>-7.7300303863994304E-3</v>
      </c>
    </row>
    <row r="562" spans="2:7" x14ac:dyDescent="0.3">
      <c r="B562" s="55">
        <v>46121</v>
      </c>
      <c r="C562" s="54">
        <v>4415.6000000000004</v>
      </c>
      <c r="D562" s="56">
        <f t="shared" si="18"/>
        <v>0.12503662560352646</v>
      </c>
      <c r="E562" s="64">
        <v>1.0712323750228903E-2</v>
      </c>
      <c r="F562" s="64">
        <v>559</v>
      </c>
      <c r="G562" s="64">
        <f t="shared" ca="1" si="19"/>
        <v>4.5110911176926873E-3</v>
      </c>
    </row>
    <row r="563" spans="2:7" x14ac:dyDescent="0.3">
      <c r="B563" s="55">
        <v>44756</v>
      </c>
      <c r="C563" s="54">
        <v>3924.85</v>
      </c>
      <c r="D563" s="56">
        <f t="shared" si="18"/>
        <v>-0.13279273506634126</v>
      </c>
      <c r="E563" s="64">
        <v>1.068664941352182E-2</v>
      </c>
      <c r="F563" s="64">
        <v>560</v>
      </c>
      <c r="G563" s="64">
        <f t="shared" ca="1" si="19"/>
        <v>-1.5180288062388176E-2</v>
      </c>
    </row>
    <row r="564" spans="2:7" x14ac:dyDescent="0.3">
      <c r="B564" s="55">
        <v>44819</v>
      </c>
      <c r="C564" s="54">
        <v>4525.8500000000004</v>
      </c>
      <c r="D564" s="56">
        <f t="shared" si="18"/>
        <v>1.4549646063301784</v>
      </c>
      <c r="E564" s="64">
        <v>1.0629152012505028E-2</v>
      </c>
      <c r="F564" s="64">
        <v>561</v>
      </c>
      <c r="G564" s="64">
        <f t="shared" ca="1" si="19"/>
        <v>1.2335857064862324E-2</v>
      </c>
    </row>
    <row r="565" spans="2:7" x14ac:dyDescent="0.3">
      <c r="B565" s="55">
        <v>43833</v>
      </c>
      <c r="C565" s="54">
        <v>1843.55</v>
      </c>
      <c r="D565" s="56">
        <f t="shared" si="18"/>
        <v>0.2524542273854411</v>
      </c>
      <c r="E565" s="64">
        <v>1.060738954062046E-2</v>
      </c>
      <c r="F565" s="64">
        <v>562</v>
      </c>
      <c r="G565" s="64">
        <f t="shared" ca="1" si="19"/>
        <v>5.0383727927055914E-3</v>
      </c>
    </row>
    <row r="566" spans="2:7" x14ac:dyDescent="0.3">
      <c r="B566" s="55">
        <v>43529</v>
      </c>
      <c r="C566" s="54">
        <v>1471.95</v>
      </c>
      <c r="D566" s="56">
        <f t="shared" si="18"/>
        <v>0.65369059656218398</v>
      </c>
      <c r="E566" s="64">
        <v>1.0572929181971169E-2</v>
      </c>
      <c r="F566" s="64">
        <v>563</v>
      </c>
      <c r="G566" s="64">
        <f t="shared" ca="1" si="19"/>
        <v>-4.9607099434767436E-3</v>
      </c>
    </row>
    <row r="567" spans="2:7" x14ac:dyDescent="0.3">
      <c r="B567" s="55">
        <v>42958</v>
      </c>
      <c r="C567" s="54">
        <v>890.1</v>
      </c>
      <c r="D567" s="56">
        <f t="shared" si="18"/>
        <v>-0.77034418700655349</v>
      </c>
      <c r="E567" s="64">
        <v>1.0558583106267116E-2</v>
      </c>
      <c r="F567" s="64">
        <v>564</v>
      </c>
      <c r="G567" s="64">
        <f t="shared" ca="1" si="19"/>
        <v>-2.3121475556569418E-2</v>
      </c>
    </row>
    <row r="568" spans="2:7" x14ac:dyDescent="0.3">
      <c r="B568" s="55">
        <v>46087</v>
      </c>
      <c r="C568" s="54">
        <v>3875.8</v>
      </c>
      <c r="D568" s="56">
        <f t="shared" si="18"/>
        <v>-4.4510458910103856E-2</v>
      </c>
      <c r="E568" s="64">
        <v>1.0533451530479354E-2</v>
      </c>
      <c r="F568" s="64">
        <v>565</v>
      </c>
      <c r="G568" s="64">
        <f t="shared" ca="1" si="19"/>
        <v>2.0903248745867001E-3</v>
      </c>
    </row>
    <row r="569" spans="2:7" x14ac:dyDescent="0.3">
      <c r="B569" s="55">
        <v>45371</v>
      </c>
      <c r="C569" s="54">
        <v>4056.35</v>
      </c>
      <c r="D569" s="56">
        <f t="shared" si="18"/>
        <v>0.10854979981689739</v>
      </c>
      <c r="E569" s="64">
        <v>1.0525397972148243E-2</v>
      </c>
      <c r="F569" s="64">
        <v>566</v>
      </c>
      <c r="G569" s="64">
        <f t="shared" ca="1" si="19"/>
        <v>3.972519587884274E-2</v>
      </c>
    </row>
    <row r="570" spans="2:7" x14ac:dyDescent="0.3">
      <c r="B570" s="55">
        <v>45622</v>
      </c>
      <c r="C570" s="54">
        <v>3659.15</v>
      </c>
      <c r="D570" s="56">
        <f t="shared" si="18"/>
        <v>2.1067668534555954</v>
      </c>
      <c r="E570" s="64">
        <v>1.0521809972245499E-2</v>
      </c>
      <c r="F570" s="64">
        <v>567</v>
      </c>
      <c r="G570" s="64">
        <f t="shared" ca="1" si="19"/>
        <v>-1.9384186871320597E-2</v>
      </c>
    </row>
    <row r="571" spans="2:7" x14ac:dyDescent="0.3">
      <c r="B571" s="55">
        <v>43140</v>
      </c>
      <c r="C571" s="54">
        <v>1177.8</v>
      </c>
      <c r="D571" s="56">
        <f t="shared" si="18"/>
        <v>-0.1012590614269363</v>
      </c>
      <c r="E571" s="64">
        <v>1.0510059628501489E-2</v>
      </c>
      <c r="F571" s="64">
        <v>568</v>
      </c>
      <c r="G571" s="64">
        <f t="shared" ca="1" si="19"/>
        <v>8.9340104677629079E-4</v>
      </c>
    </row>
    <row r="572" spans="2:7" x14ac:dyDescent="0.3">
      <c r="B572" s="55">
        <v>43628</v>
      </c>
      <c r="C572" s="54">
        <v>1310.5</v>
      </c>
      <c r="D572" s="56">
        <f t="shared" si="18"/>
        <v>-0.13930119532378815</v>
      </c>
      <c r="E572" s="64">
        <v>1.0486544837689848E-2</v>
      </c>
      <c r="F572" s="64">
        <v>569</v>
      </c>
      <c r="G572" s="64">
        <f t="shared" ca="1" si="19"/>
        <v>-1.9281242300679811E-2</v>
      </c>
    </row>
    <row r="573" spans="2:7" x14ac:dyDescent="0.3">
      <c r="B573" s="55">
        <v>43355</v>
      </c>
      <c r="C573" s="54">
        <v>1522.6</v>
      </c>
      <c r="D573" s="56">
        <f t="shared" si="18"/>
        <v>-0.59427627371562575</v>
      </c>
      <c r="E573" s="64">
        <v>1.0485797717016077E-2</v>
      </c>
      <c r="F573" s="64">
        <v>570</v>
      </c>
      <c r="G573" s="64">
        <f t="shared" ca="1" si="19"/>
        <v>-3.1126303569285779E-2</v>
      </c>
    </row>
    <row r="574" spans="2:7" x14ac:dyDescent="0.3">
      <c r="B574" s="55">
        <v>45138</v>
      </c>
      <c r="C574" s="54">
        <v>3752.8</v>
      </c>
      <c r="D574" s="56">
        <f t="shared" si="18"/>
        <v>-0.25910863234786041</v>
      </c>
      <c r="E574" s="64">
        <v>1.0474164624787896E-2</v>
      </c>
      <c r="F574" s="64">
        <v>571</v>
      </c>
      <c r="G574" s="64">
        <f t="shared" ca="1" si="19"/>
        <v>2.2410166108034812E-2</v>
      </c>
    </row>
    <row r="575" spans="2:7" x14ac:dyDescent="0.3">
      <c r="B575" s="55">
        <v>45496</v>
      </c>
      <c r="C575" s="54">
        <v>5065.25</v>
      </c>
      <c r="D575" s="56">
        <f t="shared" si="18"/>
        <v>0.18961225017027172</v>
      </c>
      <c r="E575" s="64">
        <v>1.0453135441914174E-2</v>
      </c>
      <c r="F575" s="64">
        <v>572</v>
      </c>
      <c r="G575" s="64">
        <f t="shared" ca="1" si="19"/>
        <v>5.81356072064139E-3</v>
      </c>
    </row>
    <row r="576" spans="2:7" x14ac:dyDescent="0.3">
      <c r="B576" s="55">
        <v>45957</v>
      </c>
      <c r="C576" s="54">
        <v>4257.8999999999996</v>
      </c>
      <c r="D576" s="56">
        <f t="shared" si="18"/>
        <v>2.8127602417730015</v>
      </c>
      <c r="E576" s="64">
        <v>1.0441633641045112E-2</v>
      </c>
      <c r="F576" s="64">
        <v>573</v>
      </c>
      <c r="G576" s="64">
        <f t="shared" ca="1" si="19"/>
        <v>1.4789051214298238E-2</v>
      </c>
    </row>
    <row r="577" spans="2:7" x14ac:dyDescent="0.3">
      <c r="B577" s="55">
        <v>43017</v>
      </c>
      <c r="C577" s="54">
        <v>1116.75</v>
      </c>
      <c r="D577" s="56">
        <f t="shared" si="18"/>
        <v>-0.14526807240442385</v>
      </c>
      <c r="E577" s="64">
        <v>1.040488577244969E-2</v>
      </c>
      <c r="F577" s="64">
        <v>574</v>
      </c>
      <c r="G577" s="64">
        <f t="shared" ca="1" si="19"/>
        <v>1.7282485083991501E-2</v>
      </c>
    </row>
    <row r="578" spans="2:7" x14ac:dyDescent="0.3">
      <c r="B578" s="55">
        <v>43168</v>
      </c>
      <c r="C578" s="54">
        <v>1306.55</v>
      </c>
      <c r="D578" s="56">
        <f t="shared" si="18"/>
        <v>-0.33907479070238</v>
      </c>
      <c r="E578" s="64">
        <v>1.0362293624096131E-2</v>
      </c>
      <c r="F578" s="64">
        <v>575</v>
      </c>
      <c r="G578" s="64">
        <f t="shared" ca="1" si="19"/>
        <v>2.6455751205328545E-2</v>
      </c>
    </row>
    <row r="579" spans="2:7" x14ac:dyDescent="0.3">
      <c r="B579" s="55">
        <v>43774</v>
      </c>
      <c r="C579" s="54">
        <v>1976.85</v>
      </c>
      <c r="D579" s="56">
        <f t="shared" si="18"/>
        <v>-0.45062320230105468</v>
      </c>
      <c r="E579" s="64">
        <v>1.0323767664119687E-2</v>
      </c>
      <c r="F579" s="64">
        <v>576</v>
      </c>
      <c r="G579" s="64">
        <f t="shared" ca="1" si="19"/>
        <v>-2.8078646672905862E-2</v>
      </c>
    </row>
    <row r="580" spans="2:7" x14ac:dyDescent="0.3">
      <c r="B580" s="55">
        <v>45680</v>
      </c>
      <c r="C580" s="54">
        <v>3598.35</v>
      </c>
      <c r="D580" s="56">
        <f t="shared" ref="D580:D643" si="20">C580/C581-1</f>
        <v>2.1347242791183896</v>
      </c>
      <c r="E580" s="64">
        <v>1.0318396226415061E-2</v>
      </c>
      <c r="F580" s="64">
        <v>577</v>
      </c>
      <c r="G580" s="64">
        <f t="shared" ca="1" si="19"/>
        <v>-1.2533022449992179E-2</v>
      </c>
    </row>
    <row r="581" spans="2:7" x14ac:dyDescent="0.3">
      <c r="B581" s="55">
        <v>43038</v>
      </c>
      <c r="C581" s="54">
        <v>1147.9000000000001</v>
      </c>
      <c r="D581" s="56">
        <f t="shared" si="20"/>
        <v>-0.15296635182998819</v>
      </c>
      <c r="E581" s="64">
        <v>1.0297482837528626E-2</v>
      </c>
      <c r="F581" s="64">
        <v>578</v>
      </c>
      <c r="G581" s="64">
        <f t="shared" ref="G581:G644" ca="1" si="21">_xlfn.NORM.INV(RAND(),K$6,K$7)</f>
        <v>-9.8274526375457258E-4</v>
      </c>
    </row>
    <row r="582" spans="2:7" x14ac:dyDescent="0.3">
      <c r="B582" s="55">
        <v>43186</v>
      </c>
      <c r="C582" s="54">
        <v>1355.2</v>
      </c>
      <c r="D582" s="56">
        <f t="shared" si="20"/>
        <v>-0.73110310822742741</v>
      </c>
      <c r="E582" s="64">
        <v>1.0250102501025093E-2</v>
      </c>
      <c r="F582" s="64">
        <v>579</v>
      </c>
      <c r="G582" s="64">
        <f t="shared" ca="1" si="21"/>
        <v>-6.9302694029432961E-3</v>
      </c>
    </row>
    <row r="583" spans="2:7" x14ac:dyDescent="0.3">
      <c r="B583" s="55">
        <v>45489</v>
      </c>
      <c r="C583" s="54">
        <v>5039.8500000000004</v>
      </c>
      <c r="D583" s="56">
        <f t="shared" si="20"/>
        <v>4.6828265204386987E-2</v>
      </c>
      <c r="E583" s="64">
        <v>1.022279683694638E-2</v>
      </c>
      <c r="F583" s="64">
        <v>580</v>
      </c>
      <c r="G583" s="64">
        <f t="shared" ca="1" si="21"/>
        <v>-9.5559139390783629E-3</v>
      </c>
    </row>
    <row r="584" spans="2:7" x14ac:dyDescent="0.3">
      <c r="B584" s="55">
        <v>44544</v>
      </c>
      <c r="C584" s="54">
        <v>4814.3999999999996</v>
      </c>
      <c r="D584" s="56">
        <f t="shared" si="20"/>
        <v>0.23941921532282961</v>
      </c>
      <c r="E584" s="64">
        <v>1.0197658315497904E-2</v>
      </c>
      <c r="F584" s="64">
        <v>581</v>
      </c>
      <c r="G584" s="64">
        <f t="shared" ca="1" si="21"/>
        <v>-1.6149628746576487E-2</v>
      </c>
    </row>
    <row r="585" spans="2:7" x14ac:dyDescent="0.3">
      <c r="B585" s="55">
        <v>45736</v>
      </c>
      <c r="C585" s="54">
        <v>3884.4</v>
      </c>
      <c r="D585" s="56">
        <f t="shared" si="20"/>
        <v>-0.10303422158592346</v>
      </c>
      <c r="E585" s="64">
        <v>1.0194528243004264E-2</v>
      </c>
      <c r="F585" s="64">
        <v>582</v>
      </c>
      <c r="G585" s="64">
        <f t="shared" ca="1" si="21"/>
        <v>-2.4748599570124478E-2</v>
      </c>
    </row>
    <row r="586" spans="2:7" x14ac:dyDescent="0.3">
      <c r="B586" s="55">
        <v>46195</v>
      </c>
      <c r="C586" s="54">
        <v>4330.6000000000004</v>
      </c>
      <c r="D586" s="56">
        <f t="shared" si="20"/>
        <v>0.19833418653236867</v>
      </c>
      <c r="E586" s="64">
        <v>1.0193846369171311E-2</v>
      </c>
      <c r="F586" s="64">
        <v>583</v>
      </c>
      <c r="G586" s="64">
        <f t="shared" ca="1" si="21"/>
        <v>1.9042022214733113E-3</v>
      </c>
    </row>
    <row r="587" spans="2:7" x14ac:dyDescent="0.3">
      <c r="B587" s="55">
        <v>44708</v>
      </c>
      <c r="C587" s="54">
        <v>3613.85</v>
      </c>
      <c r="D587" s="56">
        <f t="shared" si="20"/>
        <v>0.96698870594638731</v>
      </c>
      <c r="E587" s="64">
        <v>1.0174845210974226E-2</v>
      </c>
      <c r="F587" s="64">
        <v>584</v>
      </c>
      <c r="G587" s="64">
        <f t="shared" ca="1" si="21"/>
        <v>3.2744661400910972E-2</v>
      </c>
    </row>
    <row r="588" spans="2:7" x14ac:dyDescent="0.3">
      <c r="B588" s="55">
        <v>43791</v>
      </c>
      <c r="C588" s="54">
        <v>1837.25</v>
      </c>
      <c r="D588" s="56">
        <f t="shared" si="20"/>
        <v>-0.55327400491161516</v>
      </c>
      <c r="E588" s="64">
        <v>1.0171821305841933E-2</v>
      </c>
      <c r="F588" s="64">
        <v>585</v>
      </c>
      <c r="G588" s="64">
        <f t="shared" ca="1" si="21"/>
        <v>5.8849830779862666E-3</v>
      </c>
    </row>
    <row r="589" spans="2:7" x14ac:dyDescent="0.3">
      <c r="B589" s="55">
        <v>45798</v>
      </c>
      <c r="C589" s="54">
        <v>4112.7</v>
      </c>
      <c r="D589" s="56">
        <f t="shared" si="20"/>
        <v>5.7738799444473132E-2</v>
      </c>
      <c r="E589" s="64">
        <v>1.0119120717180463E-2</v>
      </c>
      <c r="F589" s="64">
        <v>586</v>
      </c>
      <c r="G589" s="64">
        <f t="shared" ca="1" si="21"/>
        <v>-2.8630775253705422E-2</v>
      </c>
    </row>
    <row r="590" spans="2:7" x14ac:dyDescent="0.3">
      <c r="B590" s="55">
        <v>46078</v>
      </c>
      <c r="C590" s="54">
        <v>3888.2</v>
      </c>
      <c r="D590" s="56">
        <f t="shared" si="20"/>
        <v>-4.6869637691817512E-2</v>
      </c>
      <c r="E590" s="64">
        <v>1.0105733509988779E-2</v>
      </c>
      <c r="F590" s="64">
        <v>587</v>
      </c>
      <c r="G590" s="64">
        <f t="shared" ca="1" si="21"/>
        <v>-1.8422626176799323E-2</v>
      </c>
    </row>
    <row r="591" spans="2:7" x14ac:dyDescent="0.3">
      <c r="B591" s="55">
        <v>46212</v>
      </c>
      <c r="C591" s="54">
        <v>4079.4</v>
      </c>
      <c r="D591" s="56">
        <f t="shared" si="20"/>
        <v>3.7646711449028647E-3</v>
      </c>
      <c r="E591" s="64">
        <v>1.0102510771059281E-2</v>
      </c>
      <c r="F591" s="64">
        <v>588</v>
      </c>
      <c r="G591" s="64">
        <f t="shared" ca="1" si="21"/>
        <v>2.0975186345885827E-2</v>
      </c>
    </row>
    <row r="592" spans="2:7" x14ac:dyDescent="0.3">
      <c r="B592" s="55">
        <v>45790</v>
      </c>
      <c r="C592" s="54">
        <v>4064.1</v>
      </c>
      <c r="D592" s="56">
        <f t="shared" si="20"/>
        <v>3.8933483306917482E-2</v>
      </c>
      <c r="E592" s="64">
        <v>1.0090717037405161E-2</v>
      </c>
      <c r="F592" s="64">
        <v>589</v>
      </c>
      <c r="G592" s="64">
        <f t="shared" ca="1" si="21"/>
        <v>1.8020234966264624E-3</v>
      </c>
    </row>
    <row r="593" spans="2:7" x14ac:dyDescent="0.3">
      <c r="B593" s="55">
        <v>44938</v>
      </c>
      <c r="C593" s="54">
        <v>3911.8</v>
      </c>
      <c r="D593" s="56">
        <f t="shared" si="20"/>
        <v>1.4822641030522239</v>
      </c>
      <c r="E593" s="64">
        <v>1.0044152960313912E-2</v>
      </c>
      <c r="F593" s="64">
        <v>590</v>
      </c>
      <c r="G593" s="64">
        <f t="shared" ca="1" si="21"/>
        <v>-4.1779665542553005E-3</v>
      </c>
    </row>
    <row r="594" spans="2:7" x14ac:dyDescent="0.3">
      <c r="B594" s="55">
        <v>43468</v>
      </c>
      <c r="C594" s="54">
        <v>1575.9</v>
      </c>
      <c r="D594" s="56">
        <f t="shared" si="20"/>
        <v>0.70247933884297531</v>
      </c>
      <c r="E594" s="64">
        <v>1.0030443839128322E-2</v>
      </c>
      <c r="F594" s="64">
        <v>591</v>
      </c>
      <c r="G594" s="64">
        <f t="shared" ca="1" si="21"/>
        <v>4.7998380515334761E-2</v>
      </c>
    </row>
    <row r="595" spans="2:7" x14ac:dyDescent="0.3">
      <c r="B595" s="55">
        <v>42941</v>
      </c>
      <c r="C595" s="54">
        <v>925.65</v>
      </c>
      <c r="D595" s="56">
        <f t="shared" si="20"/>
        <v>-0.76578274841223659</v>
      </c>
      <c r="E595" s="64">
        <v>9.9285363591730125E-3</v>
      </c>
      <c r="F595" s="64">
        <v>592</v>
      </c>
      <c r="G595" s="64">
        <f t="shared" ca="1" si="21"/>
        <v>-1.951709938925393E-3</v>
      </c>
    </row>
    <row r="596" spans="2:7" x14ac:dyDescent="0.3">
      <c r="B596" s="55">
        <v>45996</v>
      </c>
      <c r="C596" s="54">
        <v>3952.1</v>
      </c>
      <c r="D596" s="56">
        <f t="shared" si="20"/>
        <v>-7.8451554596006279E-3</v>
      </c>
      <c r="E596" s="64">
        <v>9.9149055784120144E-3</v>
      </c>
      <c r="F596" s="64">
        <v>593</v>
      </c>
      <c r="G596" s="64">
        <f t="shared" ca="1" si="21"/>
        <v>1.6134499684602763E-3</v>
      </c>
    </row>
    <row r="597" spans="2:7" x14ac:dyDescent="0.3">
      <c r="B597" s="55">
        <v>44683</v>
      </c>
      <c r="C597" s="54">
        <v>3983.35</v>
      </c>
      <c r="D597" s="56">
        <f t="shared" si="20"/>
        <v>1.5798063534211977</v>
      </c>
      <c r="E597" s="64">
        <v>9.9131647334727013E-3</v>
      </c>
      <c r="F597" s="64">
        <v>594</v>
      </c>
      <c r="G597" s="64">
        <f t="shared" ca="1" si="21"/>
        <v>-5.76510474677689E-4</v>
      </c>
    </row>
    <row r="598" spans="2:7" x14ac:dyDescent="0.3">
      <c r="B598" s="55">
        <v>43249</v>
      </c>
      <c r="C598" s="54">
        <v>1544.05</v>
      </c>
      <c r="D598" s="56">
        <f t="shared" si="20"/>
        <v>-1.6622615673661856E-2</v>
      </c>
      <c r="E598" s="64">
        <v>9.9090849630452116E-3</v>
      </c>
      <c r="F598" s="64">
        <v>595</v>
      </c>
      <c r="G598" s="64">
        <f t="shared" ca="1" si="21"/>
        <v>-4.1219644564689665E-3</v>
      </c>
    </row>
    <row r="599" spans="2:7" x14ac:dyDescent="0.3">
      <c r="B599" s="55">
        <v>43461</v>
      </c>
      <c r="C599" s="54">
        <v>1570.15</v>
      </c>
      <c r="D599" s="56">
        <f t="shared" si="20"/>
        <v>0.36321409967008167</v>
      </c>
      <c r="E599" s="64">
        <v>9.8401775090846133E-3</v>
      </c>
      <c r="F599" s="64">
        <v>596</v>
      </c>
      <c r="G599" s="64">
        <f t="shared" ca="1" si="21"/>
        <v>1.6925626009138182E-2</v>
      </c>
    </row>
    <row r="600" spans="2:7" x14ac:dyDescent="0.3">
      <c r="B600" s="55">
        <v>43040</v>
      </c>
      <c r="C600" s="54">
        <v>1151.8</v>
      </c>
      <c r="D600" s="56">
        <f t="shared" si="20"/>
        <v>-0.71121251629726201</v>
      </c>
      <c r="E600" s="64">
        <v>9.8193933017709512E-3</v>
      </c>
      <c r="F600" s="64">
        <v>597</v>
      </c>
      <c r="G600" s="64">
        <f t="shared" ca="1" si="21"/>
        <v>3.6103461430235552E-2</v>
      </c>
    </row>
    <row r="601" spans="2:7" x14ac:dyDescent="0.3">
      <c r="B601" s="55">
        <v>45261</v>
      </c>
      <c r="C601" s="54">
        <v>3988.4</v>
      </c>
      <c r="D601" s="56">
        <f t="shared" si="20"/>
        <v>0.20215812159025837</v>
      </c>
      <c r="E601" s="64">
        <v>9.7854294575605572E-3</v>
      </c>
      <c r="F601" s="64">
        <v>598</v>
      </c>
      <c r="G601" s="64">
        <f t="shared" ca="1" si="21"/>
        <v>-1.229375308720964E-2</v>
      </c>
    </row>
    <row r="602" spans="2:7" x14ac:dyDescent="0.3">
      <c r="B602" s="55">
        <v>44365</v>
      </c>
      <c r="C602" s="54">
        <v>3317.7</v>
      </c>
      <c r="D602" s="56">
        <f t="shared" si="20"/>
        <v>1.4998681384922574</v>
      </c>
      <c r="E602" s="64">
        <v>9.7852718722890586E-3</v>
      </c>
      <c r="F602" s="64">
        <v>599</v>
      </c>
      <c r="G602" s="64">
        <f t="shared" ca="1" si="21"/>
        <v>-2.8990624598591282E-3</v>
      </c>
    </row>
    <row r="603" spans="2:7" x14ac:dyDescent="0.3">
      <c r="B603" s="55">
        <v>43165</v>
      </c>
      <c r="C603" s="54">
        <v>1327.15</v>
      </c>
      <c r="D603" s="56">
        <f t="shared" si="20"/>
        <v>-0.71739917380009366</v>
      </c>
      <c r="E603" s="64">
        <v>9.7770676405692925E-3</v>
      </c>
      <c r="F603" s="64">
        <v>600</v>
      </c>
      <c r="G603" s="64">
        <f t="shared" ca="1" si="21"/>
        <v>1.1721312752522724E-2</v>
      </c>
    </row>
    <row r="604" spans="2:7" x14ac:dyDescent="0.3">
      <c r="B604" s="55">
        <v>45916</v>
      </c>
      <c r="C604" s="54">
        <v>4696.2</v>
      </c>
      <c r="D604" s="56">
        <f t="shared" si="20"/>
        <v>0.26491858914791311</v>
      </c>
      <c r="E604" s="64">
        <v>9.7183401419049797E-3</v>
      </c>
      <c r="F604" s="64">
        <v>601</v>
      </c>
      <c r="G604" s="64">
        <f t="shared" ca="1" si="21"/>
        <v>-1.4102070084543679E-2</v>
      </c>
    </row>
    <row r="605" spans="2:7" x14ac:dyDescent="0.3">
      <c r="B605" s="55">
        <v>45133</v>
      </c>
      <c r="C605" s="54">
        <v>3712.65</v>
      </c>
      <c r="D605" s="56">
        <f t="shared" si="20"/>
        <v>-0.21999873944283377</v>
      </c>
      <c r="E605" s="64">
        <v>9.6816741681511331E-3</v>
      </c>
      <c r="F605" s="64">
        <v>602</v>
      </c>
      <c r="G605" s="64">
        <f t="shared" ca="1" si="21"/>
        <v>1.501694547941097E-2</v>
      </c>
    </row>
    <row r="606" spans="2:7" x14ac:dyDescent="0.3">
      <c r="B606" s="55">
        <v>45909</v>
      </c>
      <c r="C606" s="54">
        <v>4759.8</v>
      </c>
      <c r="D606" s="56">
        <f t="shared" si="20"/>
        <v>0.34233903945401734</v>
      </c>
      <c r="E606" s="64">
        <v>9.672903143693512E-3</v>
      </c>
      <c r="F606" s="64">
        <v>603</v>
      </c>
      <c r="G606" s="64">
        <f t="shared" ca="1" si="21"/>
        <v>-1.8886178022488716E-2</v>
      </c>
    </row>
    <row r="607" spans="2:7" x14ac:dyDescent="0.3">
      <c r="B607" s="55">
        <v>45048</v>
      </c>
      <c r="C607" s="54">
        <v>3545.9</v>
      </c>
      <c r="D607" s="56">
        <f t="shared" si="20"/>
        <v>-8.600224252812827E-2</v>
      </c>
      <c r="E607" s="64">
        <v>9.666994120075767E-3</v>
      </c>
      <c r="F607" s="64">
        <v>604</v>
      </c>
      <c r="G607" s="64">
        <f t="shared" ca="1" si="21"/>
        <v>5.5149882615280671E-2</v>
      </c>
    </row>
    <row r="608" spans="2:7" x14ac:dyDescent="0.3">
      <c r="B608" s="55">
        <v>44935</v>
      </c>
      <c r="C608" s="54">
        <v>3879.55</v>
      </c>
      <c r="D608" s="56">
        <f t="shared" si="20"/>
        <v>-1.1818795450782571E-2</v>
      </c>
      <c r="E608" s="64">
        <v>9.6421600520495421E-3</v>
      </c>
      <c r="F608" s="64">
        <v>605</v>
      </c>
      <c r="G608" s="64">
        <f t="shared" ca="1" si="21"/>
        <v>-4.61740815373601E-3</v>
      </c>
    </row>
    <row r="609" spans="2:7" x14ac:dyDescent="0.3">
      <c r="B609" s="55">
        <v>45358</v>
      </c>
      <c r="C609" s="54">
        <v>3925.95</v>
      </c>
      <c r="D609" s="56">
        <f t="shared" si="20"/>
        <v>0.96824004211265113</v>
      </c>
      <c r="E609" s="64">
        <v>9.5920177953787711E-3</v>
      </c>
      <c r="F609" s="64">
        <v>606</v>
      </c>
      <c r="G609" s="64">
        <f t="shared" ca="1" si="21"/>
        <v>-8.6608214566562518E-3</v>
      </c>
    </row>
    <row r="610" spans="2:7" x14ac:dyDescent="0.3">
      <c r="B610" s="55">
        <v>43769</v>
      </c>
      <c r="C610" s="54">
        <v>1994.65</v>
      </c>
      <c r="D610" s="56">
        <f t="shared" si="20"/>
        <v>0.33914065122524351</v>
      </c>
      <c r="E610" s="64">
        <v>9.5915371766968072E-3</v>
      </c>
      <c r="F610" s="64">
        <v>607</v>
      </c>
      <c r="G610" s="64">
        <f t="shared" ca="1" si="21"/>
        <v>2.36873780099736E-2</v>
      </c>
    </row>
    <row r="611" spans="2:7" x14ac:dyDescent="0.3">
      <c r="B611" s="55">
        <v>43213</v>
      </c>
      <c r="C611" s="54">
        <v>1489.5</v>
      </c>
      <c r="D611" s="56">
        <f t="shared" si="20"/>
        <v>-0.66777445688539938</v>
      </c>
      <c r="E611" s="64">
        <v>9.5567303782024826E-3</v>
      </c>
      <c r="F611" s="64">
        <v>608</v>
      </c>
      <c r="G611" s="64">
        <f t="shared" ca="1" si="21"/>
        <v>-1.8286385240703024E-3</v>
      </c>
    </row>
    <row r="612" spans="2:7" x14ac:dyDescent="0.3">
      <c r="B612" s="55">
        <v>44580</v>
      </c>
      <c r="C612" s="54">
        <v>4483.3999999999996</v>
      </c>
      <c r="D612" s="56">
        <f t="shared" si="20"/>
        <v>9.2619445087550156E-2</v>
      </c>
      <c r="E612" s="64">
        <v>9.5133017349109394E-3</v>
      </c>
      <c r="F612" s="64">
        <v>609</v>
      </c>
      <c r="G612" s="64">
        <f t="shared" ca="1" si="21"/>
        <v>-2.7945359081186866E-2</v>
      </c>
    </row>
    <row r="613" spans="2:7" x14ac:dyDescent="0.3">
      <c r="B613" s="55">
        <v>45293</v>
      </c>
      <c r="C613" s="54">
        <v>4103.3500000000004</v>
      </c>
      <c r="D613" s="56">
        <f t="shared" si="20"/>
        <v>5.4330955553813594</v>
      </c>
      <c r="E613" s="64">
        <v>9.4962789839474482E-3</v>
      </c>
      <c r="F613" s="64">
        <v>610</v>
      </c>
      <c r="G613" s="64">
        <f t="shared" ca="1" si="21"/>
        <v>2.3144551251718616E-3</v>
      </c>
    </row>
    <row r="614" spans="2:7" x14ac:dyDescent="0.3">
      <c r="B614" s="55">
        <v>42825</v>
      </c>
      <c r="C614" s="54">
        <v>637.85</v>
      </c>
      <c r="D614" s="56">
        <f t="shared" si="20"/>
        <v>-0.81986472556799728</v>
      </c>
      <c r="E614" s="64">
        <v>9.4959246656642904E-3</v>
      </c>
      <c r="F614" s="64">
        <v>611</v>
      </c>
      <c r="G614" s="64">
        <f t="shared" ca="1" si="21"/>
        <v>-2.1970507190812505E-2</v>
      </c>
    </row>
    <row r="615" spans="2:7" x14ac:dyDescent="0.3">
      <c r="B615" s="55">
        <v>45156</v>
      </c>
      <c r="C615" s="54">
        <v>3540.95</v>
      </c>
      <c r="D615" s="56">
        <f t="shared" si="20"/>
        <v>-5.5141957519479146E-2</v>
      </c>
      <c r="E615" s="64">
        <v>9.4935355579945924E-3</v>
      </c>
      <c r="F615" s="64">
        <v>612</v>
      </c>
      <c r="G615" s="64">
        <f t="shared" ca="1" si="21"/>
        <v>1.0241147638844516E-2</v>
      </c>
    </row>
    <row r="616" spans="2:7" x14ac:dyDescent="0.3">
      <c r="B616" s="55">
        <v>45239</v>
      </c>
      <c r="C616" s="54">
        <v>3747.6</v>
      </c>
      <c r="D616" s="56">
        <f t="shared" si="20"/>
        <v>1.0529721858947516E-2</v>
      </c>
      <c r="E616" s="64">
        <v>9.481736881801428E-3</v>
      </c>
      <c r="F616" s="64">
        <v>613</v>
      </c>
      <c r="G616" s="64">
        <f t="shared" ca="1" si="21"/>
        <v>2.2682583985758405E-2</v>
      </c>
    </row>
    <row r="617" spans="2:7" x14ac:dyDescent="0.3">
      <c r="B617" s="55">
        <v>44432</v>
      </c>
      <c r="C617" s="54">
        <v>3708.55</v>
      </c>
      <c r="D617" s="56">
        <f t="shared" si="20"/>
        <v>2.2360820244328101</v>
      </c>
      <c r="E617" s="64">
        <v>9.4726097312012314E-3</v>
      </c>
      <c r="F617" s="64">
        <v>614</v>
      </c>
      <c r="G617" s="64">
        <f t="shared" ca="1" si="21"/>
        <v>-3.9875033174192184E-3</v>
      </c>
    </row>
    <row r="618" spans="2:7" x14ac:dyDescent="0.3">
      <c r="B618" s="55">
        <v>43088</v>
      </c>
      <c r="C618" s="54">
        <v>1146</v>
      </c>
      <c r="D618" s="56">
        <f t="shared" si="20"/>
        <v>-0.66258391237781189</v>
      </c>
      <c r="E618" s="64">
        <v>9.4692798942963563E-3</v>
      </c>
      <c r="F618" s="64">
        <v>615</v>
      </c>
      <c r="G618" s="64">
        <f t="shared" ca="1" si="21"/>
        <v>1.4587175655245775E-2</v>
      </c>
    </row>
    <row r="619" spans="2:7" x14ac:dyDescent="0.3">
      <c r="B619" s="55">
        <v>44384</v>
      </c>
      <c r="C619" s="54">
        <v>3396.4</v>
      </c>
      <c r="D619" s="56">
        <f t="shared" si="20"/>
        <v>-5.5125119973292946E-2</v>
      </c>
      <c r="E619" s="64">
        <v>9.4513463710397261E-3</v>
      </c>
      <c r="F619" s="64">
        <v>616</v>
      </c>
      <c r="G619" s="64">
        <f t="shared" ca="1" si="21"/>
        <v>8.1591914792831666E-3</v>
      </c>
    </row>
    <row r="620" spans="2:7" x14ac:dyDescent="0.3">
      <c r="B620" s="55">
        <v>44421</v>
      </c>
      <c r="C620" s="54">
        <v>3594.55</v>
      </c>
      <c r="D620" s="56">
        <f t="shared" si="20"/>
        <v>-0.11781524566828638</v>
      </c>
      <c r="E620" s="64">
        <v>9.4215108115698332E-3</v>
      </c>
      <c r="F620" s="64">
        <v>617</v>
      </c>
      <c r="G620" s="64">
        <f t="shared" ca="1" si="21"/>
        <v>-1.7647833985520014E-2</v>
      </c>
    </row>
    <row r="621" spans="2:7" x14ac:dyDescent="0.3">
      <c r="B621" s="55">
        <v>44922</v>
      </c>
      <c r="C621" s="54">
        <v>4074.6</v>
      </c>
      <c r="D621" s="56">
        <f t="shared" si="20"/>
        <v>-9.6613073754057144E-3</v>
      </c>
      <c r="E621" s="64">
        <v>9.4138631521578642E-3</v>
      </c>
      <c r="F621" s="64">
        <v>618</v>
      </c>
      <c r="G621" s="64">
        <f t="shared" ca="1" si="21"/>
        <v>-1.381007110715528E-2</v>
      </c>
    </row>
    <row r="622" spans="2:7" x14ac:dyDescent="0.3">
      <c r="B622" s="55">
        <v>44592</v>
      </c>
      <c r="C622" s="54">
        <v>4114.3500000000004</v>
      </c>
      <c r="D622" s="56">
        <f t="shared" si="20"/>
        <v>7.7645646822530612E-3</v>
      </c>
      <c r="E622" s="64">
        <v>9.4087340529931396E-3</v>
      </c>
      <c r="F622" s="64">
        <v>619</v>
      </c>
      <c r="G622" s="64">
        <f t="shared" ca="1" si="21"/>
        <v>9.6229643493749087E-3</v>
      </c>
    </row>
    <row r="623" spans="2:7" x14ac:dyDescent="0.3">
      <c r="B623" s="55">
        <v>45289</v>
      </c>
      <c r="C623" s="54">
        <v>4082.65</v>
      </c>
      <c r="D623" s="56">
        <f t="shared" si="20"/>
        <v>1.7961440997191978</v>
      </c>
      <c r="E623" s="64">
        <v>9.3951268960230649E-3</v>
      </c>
      <c r="F623" s="64">
        <v>620</v>
      </c>
      <c r="G623" s="64">
        <f t="shared" ca="1" si="21"/>
        <v>-1.9707365146920938E-2</v>
      </c>
    </row>
    <row r="624" spans="2:7" x14ac:dyDescent="0.3">
      <c r="B624" s="55">
        <v>43649</v>
      </c>
      <c r="C624" s="54">
        <v>1460.1</v>
      </c>
      <c r="D624" s="56">
        <f t="shared" si="20"/>
        <v>-0.69040424922871413</v>
      </c>
      <c r="E624" s="64">
        <v>9.3322272915803417E-3</v>
      </c>
      <c r="F624" s="64">
        <v>621</v>
      </c>
      <c r="G624" s="64">
        <f t="shared" ca="1" si="21"/>
        <v>-2.9423587625354072E-3</v>
      </c>
    </row>
    <row r="625" spans="2:7" x14ac:dyDescent="0.3">
      <c r="B625" s="55">
        <v>45391</v>
      </c>
      <c r="C625" s="54">
        <v>4716.1499999999996</v>
      </c>
      <c r="D625" s="56">
        <f t="shared" si="20"/>
        <v>6.1920898866284713E-2</v>
      </c>
      <c r="E625" s="64">
        <v>9.2770929635335175E-3</v>
      </c>
      <c r="F625" s="64">
        <v>622</v>
      </c>
      <c r="G625" s="64">
        <f t="shared" ca="1" si="21"/>
        <v>2.8809993461804594E-2</v>
      </c>
    </row>
    <row r="626" spans="2:7" x14ac:dyDescent="0.3">
      <c r="B626" s="55">
        <v>44579</v>
      </c>
      <c r="C626" s="54">
        <v>4441.1499999999996</v>
      </c>
      <c r="D626" s="56">
        <f t="shared" si="20"/>
        <v>0.59232368864508267</v>
      </c>
      <c r="E626" s="64">
        <v>9.2375866378819893E-3</v>
      </c>
      <c r="F626" s="64">
        <v>623</v>
      </c>
      <c r="G626" s="64">
        <f t="shared" ca="1" si="21"/>
        <v>5.5512897885166652E-3</v>
      </c>
    </row>
    <row r="627" spans="2:7" x14ac:dyDescent="0.3">
      <c r="B627" s="55">
        <v>44197</v>
      </c>
      <c r="C627" s="54">
        <v>2789.1</v>
      </c>
      <c r="D627" s="56">
        <f t="shared" si="20"/>
        <v>-0.31829347281459663</v>
      </c>
      <c r="E627" s="64">
        <v>9.2270950933563967E-3</v>
      </c>
      <c r="F627" s="64">
        <v>624</v>
      </c>
      <c r="G627" s="64">
        <f t="shared" ca="1" si="21"/>
        <v>1.0718048548669838E-2</v>
      </c>
    </row>
    <row r="628" spans="2:7" x14ac:dyDescent="0.3">
      <c r="B628" s="55">
        <v>44643</v>
      </c>
      <c r="C628" s="54">
        <v>4091.35</v>
      </c>
      <c r="D628" s="56">
        <f t="shared" si="20"/>
        <v>5.2333509416344626E-3</v>
      </c>
      <c r="E628" s="64">
        <v>9.2131228416378885E-3</v>
      </c>
      <c r="F628" s="64">
        <v>625</v>
      </c>
      <c r="G628" s="64">
        <f t="shared" ca="1" si="21"/>
        <v>2.3261182257819181E-2</v>
      </c>
    </row>
    <row r="629" spans="2:7" x14ac:dyDescent="0.3">
      <c r="B629" s="55">
        <v>45274</v>
      </c>
      <c r="C629" s="54">
        <v>4070.05</v>
      </c>
      <c r="D629" s="56">
        <f t="shared" si="20"/>
        <v>-0.18417070066247732</v>
      </c>
      <c r="E629" s="64">
        <v>9.1741981874760015E-3</v>
      </c>
      <c r="F629" s="64">
        <v>626</v>
      </c>
      <c r="G629" s="64">
        <f t="shared" ca="1" si="21"/>
        <v>1.8653296430961627E-2</v>
      </c>
    </row>
    <row r="630" spans="2:7" x14ac:dyDescent="0.3">
      <c r="B630" s="55">
        <v>45488</v>
      </c>
      <c r="C630" s="54">
        <v>4988.8500000000004</v>
      </c>
      <c r="D630" s="56">
        <f t="shared" si="20"/>
        <v>9.1430420842901761E-3</v>
      </c>
      <c r="E630" s="64">
        <v>9.1430420842901761E-3</v>
      </c>
      <c r="F630" s="64">
        <v>627</v>
      </c>
      <c r="G630" s="64">
        <f t="shared" ca="1" si="21"/>
        <v>-1.1799339585134629E-2</v>
      </c>
    </row>
    <row r="631" spans="2:7" x14ac:dyDescent="0.3">
      <c r="B631" s="55">
        <v>45485</v>
      </c>
      <c r="C631" s="54">
        <v>4943.6499999999996</v>
      </c>
      <c r="D631" s="56">
        <f t="shared" si="20"/>
        <v>0.14558325995272736</v>
      </c>
      <c r="E631" s="64">
        <v>9.1347037089959393E-3</v>
      </c>
      <c r="F631" s="64">
        <v>628</v>
      </c>
      <c r="G631" s="64">
        <f t="shared" ca="1" si="21"/>
        <v>3.379839668861874E-2</v>
      </c>
    </row>
    <row r="632" spans="2:7" x14ac:dyDescent="0.3">
      <c r="B632" s="55">
        <v>45834</v>
      </c>
      <c r="C632" s="54">
        <v>4315.3999999999996</v>
      </c>
      <c r="D632" s="56">
        <f t="shared" si="20"/>
        <v>-9.3460496187215192E-2</v>
      </c>
      <c r="E632" s="64">
        <v>9.1198204096905044E-3</v>
      </c>
      <c r="F632" s="64">
        <v>629</v>
      </c>
      <c r="G632" s="64">
        <f t="shared" ca="1" si="21"/>
        <v>-1.7345562931330723E-2</v>
      </c>
    </row>
    <row r="633" spans="2:7" x14ac:dyDescent="0.3">
      <c r="B633" s="55">
        <v>45918</v>
      </c>
      <c r="C633" s="54">
        <v>4760.3</v>
      </c>
      <c r="D633" s="56">
        <f t="shared" si="20"/>
        <v>0.32195670586928471</v>
      </c>
      <c r="E633" s="64">
        <v>9.1153838000550547E-3</v>
      </c>
      <c r="F633" s="64">
        <v>630</v>
      </c>
      <c r="G633" s="64">
        <f t="shared" ca="1" si="21"/>
        <v>3.5415451430578612E-3</v>
      </c>
    </row>
    <row r="634" spans="2:7" x14ac:dyDescent="0.3">
      <c r="B634" s="55">
        <v>45673</v>
      </c>
      <c r="C634" s="54">
        <v>3600.95</v>
      </c>
      <c r="D634" s="56">
        <f t="shared" si="20"/>
        <v>0.71449316764271753</v>
      </c>
      <c r="E634" s="64">
        <v>9.1075957348427661E-3</v>
      </c>
      <c r="F634" s="64">
        <v>631</v>
      </c>
      <c r="G634" s="64">
        <f t="shared" ca="1" si="21"/>
        <v>5.0133380706810704E-3</v>
      </c>
    </row>
    <row r="635" spans="2:7" x14ac:dyDescent="0.3">
      <c r="B635" s="55">
        <v>44126</v>
      </c>
      <c r="C635" s="54">
        <v>2100.3000000000002</v>
      </c>
      <c r="D635" s="56">
        <f t="shared" si="20"/>
        <v>0.95158892399182315</v>
      </c>
      <c r="E635" s="64">
        <v>9.1046676435968532E-3</v>
      </c>
      <c r="F635" s="64">
        <v>632</v>
      </c>
      <c r="G635" s="64">
        <f t="shared" ca="1" si="21"/>
        <v>-3.1847305137320397E-2</v>
      </c>
    </row>
    <row r="636" spans="2:7" x14ac:dyDescent="0.3">
      <c r="B636" s="55">
        <v>42985</v>
      </c>
      <c r="C636" s="54">
        <v>1076.2</v>
      </c>
      <c r="D636" s="56">
        <f t="shared" si="20"/>
        <v>-0.35545307540276694</v>
      </c>
      <c r="E636" s="64">
        <v>9.0005625351585739E-3</v>
      </c>
      <c r="F636" s="64">
        <v>633</v>
      </c>
      <c r="G636" s="64">
        <f t="shared" ca="1" si="21"/>
        <v>-3.7691202412005818E-2</v>
      </c>
    </row>
    <row r="637" spans="2:7" x14ac:dyDescent="0.3">
      <c r="B637" s="55">
        <v>43313</v>
      </c>
      <c r="C637" s="54">
        <v>1669.7</v>
      </c>
      <c r="D637" s="56">
        <f t="shared" si="20"/>
        <v>-0.65218568705669144</v>
      </c>
      <c r="E637" s="64">
        <v>8.9431385582210421E-3</v>
      </c>
      <c r="F637" s="64">
        <v>634</v>
      </c>
      <c r="G637" s="64">
        <f t="shared" ca="1" si="21"/>
        <v>-9.5568214647378438E-3</v>
      </c>
    </row>
    <row r="638" spans="2:7" x14ac:dyDescent="0.3">
      <c r="B638" s="55">
        <v>45405</v>
      </c>
      <c r="C638" s="54">
        <v>4800.55</v>
      </c>
      <c r="D638" s="56">
        <f t="shared" si="20"/>
        <v>3.522378075548227E-3</v>
      </c>
      <c r="E638" s="64">
        <v>8.9428331231611313E-3</v>
      </c>
      <c r="F638" s="64">
        <v>635</v>
      </c>
      <c r="G638" s="64">
        <f t="shared" ca="1" si="21"/>
        <v>6.2244236233826059E-4</v>
      </c>
    </row>
    <row r="639" spans="2:7" x14ac:dyDescent="0.3">
      <c r="B639" s="55">
        <v>44504</v>
      </c>
      <c r="C639" s="54">
        <v>4783.7</v>
      </c>
      <c r="D639" s="56">
        <f t="shared" si="20"/>
        <v>-4.4940904008944349E-2</v>
      </c>
      <c r="E639" s="64">
        <v>8.9426950414441819E-3</v>
      </c>
      <c r="F639" s="64">
        <v>636</v>
      </c>
      <c r="G639" s="64">
        <f t="shared" ca="1" si="21"/>
        <v>1.6437548293719954E-2</v>
      </c>
    </row>
    <row r="640" spans="2:7" x14ac:dyDescent="0.3">
      <c r="B640" s="55">
        <v>45533</v>
      </c>
      <c r="C640" s="54">
        <v>5008.8</v>
      </c>
      <c r="D640" s="56">
        <f t="shared" si="20"/>
        <v>-2.2940074906366958E-2</v>
      </c>
      <c r="E640" s="64">
        <v>8.8522311852321511E-3</v>
      </c>
      <c r="F640" s="64">
        <v>637</v>
      </c>
      <c r="G640" s="64">
        <f t="shared" ca="1" si="21"/>
        <v>2.1152985485939725E-2</v>
      </c>
    </row>
    <row r="641" spans="2:7" x14ac:dyDescent="0.3">
      <c r="B641" s="55">
        <v>44517</v>
      </c>
      <c r="C641" s="54">
        <v>5126.3999999999996</v>
      </c>
      <c r="D641" s="56">
        <f t="shared" si="20"/>
        <v>0.23295973832315142</v>
      </c>
      <c r="E641" s="64">
        <v>8.8359736298335712E-3</v>
      </c>
      <c r="F641" s="64">
        <v>638</v>
      </c>
      <c r="G641" s="64">
        <f t="shared" ca="1" si="21"/>
        <v>-9.9235330619607941E-4</v>
      </c>
    </row>
    <row r="642" spans="2:7" x14ac:dyDescent="0.3">
      <c r="B642" s="55">
        <v>45750</v>
      </c>
      <c r="C642" s="54">
        <v>4157.8</v>
      </c>
      <c r="D642" s="56">
        <f t="shared" si="20"/>
        <v>0.12231924743228118</v>
      </c>
      <c r="E642" s="64">
        <v>8.8197115092989442E-3</v>
      </c>
      <c r="F642" s="64">
        <v>639</v>
      </c>
      <c r="G642" s="64">
        <f t="shared" ca="1" si="21"/>
        <v>-2.4592598026895052E-3</v>
      </c>
    </row>
    <row r="643" spans="2:7" x14ac:dyDescent="0.3">
      <c r="B643" s="55">
        <v>45057</v>
      </c>
      <c r="C643" s="54">
        <v>3704.65</v>
      </c>
      <c r="D643" s="56">
        <f t="shared" si="20"/>
        <v>8.16180549473009E-2</v>
      </c>
      <c r="E643" s="64">
        <v>8.8091931487077613E-3</v>
      </c>
      <c r="F643" s="64">
        <v>640</v>
      </c>
      <c r="G643" s="64">
        <f t="shared" ca="1" si="21"/>
        <v>-1.5261959097945322E-2</v>
      </c>
    </row>
    <row r="644" spans="2:7" x14ac:dyDescent="0.3">
      <c r="B644" s="55">
        <v>45068</v>
      </c>
      <c r="C644" s="54">
        <v>3425.1</v>
      </c>
      <c r="D644" s="56">
        <f t="shared" ref="D644:D707" si="22">C644/C645-1</f>
        <v>1.1932571318797422</v>
      </c>
      <c r="E644" s="64">
        <v>8.7916942787718E-3</v>
      </c>
      <c r="F644" s="64">
        <v>641</v>
      </c>
      <c r="G644" s="64">
        <f t="shared" ca="1" si="21"/>
        <v>2.1313487056322099E-2</v>
      </c>
    </row>
    <row r="645" spans="2:7" x14ac:dyDescent="0.3">
      <c r="B645" s="55">
        <v>43298</v>
      </c>
      <c r="C645" s="54">
        <v>1561.65</v>
      </c>
      <c r="D645" s="56">
        <f t="shared" si="22"/>
        <v>-0.55780665987087996</v>
      </c>
      <c r="E645" s="64">
        <v>8.7852459545880723E-3</v>
      </c>
      <c r="F645" s="64">
        <v>642</v>
      </c>
      <c r="G645" s="64">
        <f t="shared" ref="G645:G708" ca="1" si="23">_xlfn.NORM.INV(RAND(),K$6,K$7)</f>
        <v>5.2088152911522072E-2</v>
      </c>
    </row>
    <row r="646" spans="2:7" x14ac:dyDescent="0.3">
      <c r="B646" s="55">
        <v>45079</v>
      </c>
      <c r="C646" s="54">
        <v>3531.6</v>
      </c>
      <c r="D646" s="56">
        <f t="shared" si="22"/>
        <v>-0.13087562140079745</v>
      </c>
      <c r="E646" s="64">
        <v>8.7691736410637766E-3</v>
      </c>
      <c r="F646" s="64">
        <v>643</v>
      </c>
      <c r="G646" s="64">
        <f t="shared" ca="1" si="23"/>
        <v>6.1204186028636851E-3</v>
      </c>
    </row>
    <row r="647" spans="2:7" x14ac:dyDescent="0.3">
      <c r="B647" s="55">
        <v>44901</v>
      </c>
      <c r="C647" s="54">
        <v>4063.4</v>
      </c>
      <c r="D647" s="56">
        <f t="shared" si="22"/>
        <v>-3.1012650681419784E-2</v>
      </c>
      <c r="E647" s="64">
        <v>8.7509154326428362E-3</v>
      </c>
      <c r="F647" s="64">
        <v>644</v>
      </c>
      <c r="G647" s="64">
        <f t="shared" ca="1" si="23"/>
        <v>-8.3879636298863722E-3</v>
      </c>
    </row>
    <row r="648" spans="2:7" x14ac:dyDescent="0.3">
      <c r="B648" s="55">
        <v>44615</v>
      </c>
      <c r="C648" s="54">
        <v>4193.45</v>
      </c>
      <c r="D648" s="56">
        <f t="shared" si="22"/>
        <v>-0.20355352123376136</v>
      </c>
      <c r="E648" s="64">
        <v>8.7440763994128812E-3</v>
      </c>
      <c r="F648" s="64">
        <v>645</v>
      </c>
      <c r="G648" s="64">
        <f t="shared" ca="1" si="23"/>
        <v>-7.3489646280364401E-3</v>
      </c>
    </row>
    <row r="649" spans="2:7" x14ac:dyDescent="0.3">
      <c r="B649" s="55">
        <v>45553</v>
      </c>
      <c r="C649" s="54">
        <v>5265.2</v>
      </c>
      <c r="D649" s="56">
        <f t="shared" si="22"/>
        <v>0.28827991191583058</v>
      </c>
      <c r="E649" s="64">
        <v>8.6879891184612479E-3</v>
      </c>
      <c r="F649" s="64">
        <v>646</v>
      </c>
      <c r="G649" s="64">
        <f t="shared" ca="1" si="23"/>
        <v>5.561300325986898E-3</v>
      </c>
    </row>
    <row r="650" spans="2:7" x14ac:dyDescent="0.3">
      <c r="B650" s="55">
        <v>45824</v>
      </c>
      <c r="C650" s="54">
        <v>4087</v>
      </c>
      <c r="D650" s="56">
        <f t="shared" si="22"/>
        <v>-0.19601845203552704</v>
      </c>
      <c r="E650" s="64">
        <v>8.662602729583524E-3</v>
      </c>
      <c r="F650" s="64">
        <v>647</v>
      </c>
      <c r="G650" s="64">
        <f t="shared" ca="1" si="23"/>
        <v>1.2910032194041283E-2</v>
      </c>
    </row>
    <row r="651" spans="2:7" x14ac:dyDescent="0.3">
      <c r="B651" s="55">
        <v>45491</v>
      </c>
      <c r="C651" s="54">
        <v>5083.45</v>
      </c>
      <c r="D651" s="56">
        <f t="shared" si="22"/>
        <v>0.25983890954151168</v>
      </c>
      <c r="E651" s="64">
        <v>8.651051122553044E-3</v>
      </c>
      <c r="F651" s="64">
        <v>648</v>
      </c>
      <c r="G651" s="64">
        <f t="shared" ca="1" si="23"/>
        <v>1.6199784078512098E-2</v>
      </c>
    </row>
    <row r="652" spans="2:7" x14ac:dyDescent="0.3">
      <c r="B652" s="55">
        <v>46226</v>
      </c>
      <c r="C652" s="54">
        <v>4035</v>
      </c>
      <c r="D652" s="56">
        <f t="shared" si="22"/>
        <v>-7.0544198099625643E-2</v>
      </c>
      <c r="E652" s="64">
        <v>8.623922009748819E-3</v>
      </c>
      <c r="F652" s="64">
        <v>649</v>
      </c>
      <c r="G652" s="64">
        <f t="shared" ca="1" si="23"/>
        <v>-3.2630303485751674E-2</v>
      </c>
    </row>
    <row r="653" spans="2:7" x14ac:dyDescent="0.3">
      <c r="B653" s="55">
        <v>44798</v>
      </c>
      <c r="C653" s="54">
        <v>4341.25</v>
      </c>
      <c r="D653" s="56">
        <f t="shared" si="22"/>
        <v>2.1354952872774549</v>
      </c>
      <c r="E653" s="64">
        <v>8.5961549631179413E-3</v>
      </c>
      <c r="F653" s="64">
        <v>650</v>
      </c>
      <c r="G653" s="64">
        <f t="shared" ca="1" si="23"/>
        <v>-7.6317753465171279E-3</v>
      </c>
    </row>
    <row r="654" spans="2:7" x14ac:dyDescent="0.3">
      <c r="B654" s="55">
        <v>43494</v>
      </c>
      <c r="C654" s="54">
        <v>1384.55</v>
      </c>
      <c r="D654" s="56">
        <f t="shared" si="22"/>
        <v>-0.70343675366540648</v>
      </c>
      <c r="E654" s="64">
        <v>8.5958841741029524E-3</v>
      </c>
      <c r="F654" s="64">
        <v>651</v>
      </c>
      <c r="G654" s="64">
        <f t="shared" ca="1" si="23"/>
        <v>1.2626670387801475E-2</v>
      </c>
    </row>
    <row r="655" spans="2:7" x14ac:dyDescent="0.3">
      <c r="B655" s="55">
        <v>44557</v>
      </c>
      <c r="C655" s="54">
        <v>4668.6499999999996</v>
      </c>
      <c r="D655" s="56">
        <f t="shared" si="22"/>
        <v>0.30245501464639402</v>
      </c>
      <c r="E655" s="64">
        <v>8.5873533668905377E-3</v>
      </c>
      <c r="F655" s="64">
        <v>652</v>
      </c>
      <c r="G655" s="64">
        <f t="shared" ca="1" si="23"/>
        <v>-2.8184643095435162E-2</v>
      </c>
    </row>
    <row r="656" spans="2:7" x14ac:dyDescent="0.3">
      <c r="B656" s="55">
        <v>45050</v>
      </c>
      <c r="C656" s="54">
        <v>3584.5</v>
      </c>
      <c r="D656" s="56">
        <f t="shared" si="22"/>
        <v>-0.23920195266900135</v>
      </c>
      <c r="E656" s="64">
        <v>8.5818795723129337E-3</v>
      </c>
      <c r="F656" s="64">
        <v>653</v>
      </c>
      <c r="G656" s="64">
        <f t="shared" ca="1" si="23"/>
        <v>1.7111722170434343E-2</v>
      </c>
    </row>
    <row r="657" spans="2:7" x14ac:dyDescent="0.3">
      <c r="B657" s="55">
        <v>44564</v>
      </c>
      <c r="C657" s="54">
        <v>4711.5</v>
      </c>
      <c r="D657" s="56">
        <f t="shared" si="22"/>
        <v>2.0206763904471869</v>
      </c>
      <c r="E657" s="64">
        <v>8.5733551680955422E-3</v>
      </c>
      <c r="F657" s="64">
        <v>654</v>
      </c>
      <c r="G657" s="64">
        <f t="shared" ca="1" si="23"/>
        <v>8.6390101637811439E-3</v>
      </c>
    </row>
    <row r="658" spans="2:7" x14ac:dyDescent="0.3">
      <c r="B658" s="55">
        <v>43446</v>
      </c>
      <c r="C658" s="54">
        <v>1559.75</v>
      </c>
      <c r="D658" s="56">
        <f t="shared" si="22"/>
        <v>-0.55447170727527206</v>
      </c>
      <c r="E658" s="64">
        <v>8.5677335919818187E-3</v>
      </c>
      <c r="F658" s="64">
        <v>655</v>
      </c>
      <c r="G658" s="64">
        <f t="shared" ca="1" si="23"/>
        <v>-1.5275659833091497E-2</v>
      </c>
    </row>
    <row r="659" spans="2:7" x14ac:dyDescent="0.3">
      <c r="B659" s="55">
        <v>45078</v>
      </c>
      <c r="C659" s="54">
        <v>3500.9</v>
      </c>
      <c r="D659" s="56">
        <f t="shared" si="22"/>
        <v>0.53151931405573305</v>
      </c>
      <c r="E659" s="64">
        <v>8.5415916456608176E-3</v>
      </c>
      <c r="F659" s="64">
        <v>656</v>
      </c>
      <c r="G659" s="64">
        <f t="shared" ca="1" si="23"/>
        <v>1.2976201819488798E-2</v>
      </c>
    </row>
    <row r="660" spans="2:7" x14ac:dyDescent="0.3">
      <c r="B660" s="55">
        <v>44063</v>
      </c>
      <c r="C660" s="54">
        <v>2285.9</v>
      </c>
      <c r="D660" s="56">
        <f t="shared" si="22"/>
        <v>0.42162380671040767</v>
      </c>
      <c r="E660" s="64">
        <v>8.5149563222448599E-3</v>
      </c>
      <c r="F660" s="64">
        <v>657</v>
      </c>
      <c r="G660" s="64">
        <f t="shared" ca="1" si="23"/>
        <v>1.76712092621156E-2</v>
      </c>
    </row>
    <row r="661" spans="2:7" x14ac:dyDescent="0.3">
      <c r="B661" s="55">
        <v>43263</v>
      </c>
      <c r="C661" s="54">
        <v>1607.95</v>
      </c>
      <c r="D661" s="56">
        <f t="shared" si="22"/>
        <v>-0.62355433815610795</v>
      </c>
      <c r="E661" s="64">
        <v>8.4984947315605019E-3</v>
      </c>
      <c r="F661" s="64">
        <v>658</v>
      </c>
      <c r="G661" s="64">
        <f t="shared" ca="1" si="23"/>
        <v>2.2913554866962706E-2</v>
      </c>
    </row>
    <row r="662" spans="2:7" x14ac:dyDescent="0.3">
      <c r="B662" s="55">
        <v>44861</v>
      </c>
      <c r="C662" s="54">
        <v>4271.3999999999996</v>
      </c>
      <c r="D662" s="56">
        <f t="shared" si="22"/>
        <v>0.10474860335195513</v>
      </c>
      <c r="E662" s="64">
        <v>8.45216734346943E-3</v>
      </c>
      <c r="F662" s="64">
        <v>659</v>
      </c>
      <c r="G662" s="64">
        <f t="shared" ca="1" si="23"/>
        <v>-7.259007070739525E-3</v>
      </c>
    </row>
    <row r="663" spans="2:7" x14ac:dyDescent="0.3">
      <c r="B663" s="55">
        <v>46073</v>
      </c>
      <c r="C663" s="54">
        <v>3866.4</v>
      </c>
      <c r="D663" s="56">
        <f t="shared" si="22"/>
        <v>-0.10237152773747205</v>
      </c>
      <c r="E663" s="64">
        <v>8.4244020761066185E-3</v>
      </c>
      <c r="F663" s="64">
        <v>660</v>
      </c>
      <c r="G663" s="64">
        <f t="shared" ca="1" si="23"/>
        <v>-1.4917932496106867E-2</v>
      </c>
    </row>
    <row r="664" spans="2:7" x14ac:dyDescent="0.3">
      <c r="B664" s="55">
        <v>44862</v>
      </c>
      <c r="C664" s="54">
        <v>4307.3500000000004</v>
      </c>
      <c r="D664" s="56">
        <f t="shared" si="22"/>
        <v>0.17246682545083369</v>
      </c>
      <c r="E664" s="64">
        <v>8.4164442571523779E-3</v>
      </c>
      <c r="F664" s="64">
        <v>661</v>
      </c>
      <c r="G664" s="64">
        <f t="shared" ca="1" si="23"/>
        <v>-3.4219312868735877E-2</v>
      </c>
    </row>
    <row r="665" spans="2:7" x14ac:dyDescent="0.3">
      <c r="B665" s="55">
        <v>44431</v>
      </c>
      <c r="C665" s="54">
        <v>3673.75</v>
      </c>
      <c r="D665" s="56">
        <f t="shared" si="22"/>
        <v>0.54343031194202296</v>
      </c>
      <c r="E665" s="64">
        <v>8.4131646125553683E-3</v>
      </c>
      <c r="F665" s="64">
        <v>662</v>
      </c>
      <c r="G665" s="64">
        <f t="shared" ca="1" si="23"/>
        <v>-3.7423300427405215E-3</v>
      </c>
    </row>
    <row r="666" spans="2:7" x14ac:dyDescent="0.3">
      <c r="B666" s="55">
        <v>44159</v>
      </c>
      <c r="C666" s="54">
        <v>2380.25</v>
      </c>
      <c r="D666" s="56">
        <f t="shared" si="22"/>
        <v>0.23281108377573489</v>
      </c>
      <c r="E666" s="64">
        <v>8.4095915946449384E-3</v>
      </c>
      <c r="F666" s="64">
        <v>663</v>
      </c>
      <c r="G666" s="64">
        <f t="shared" ca="1" si="23"/>
        <v>-3.1413438587931629E-2</v>
      </c>
    </row>
    <row r="667" spans="2:7" x14ac:dyDescent="0.3">
      <c r="B667" s="55">
        <v>43844</v>
      </c>
      <c r="C667" s="54">
        <v>1930.75</v>
      </c>
      <c r="D667" s="56">
        <f t="shared" si="22"/>
        <v>1.9107439761421041E-2</v>
      </c>
      <c r="E667" s="64">
        <v>8.4088475700518917E-3</v>
      </c>
      <c r="F667" s="64">
        <v>664</v>
      </c>
      <c r="G667" s="64">
        <f t="shared" ca="1" si="23"/>
        <v>-9.5828841822282775E-3</v>
      </c>
    </row>
    <row r="668" spans="2:7" x14ac:dyDescent="0.3">
      <c r="B668" s="55">
        <v>43735</v>
      </c>
      <c r="C668" s="54">
        <v>1894.55</v>
      </c>
      <c r="D668" s="56">
        <f t="shared" si="22"/>
        <v>0.27889158903739686</v>
      </c>
      <c r="E668" s="64">
        <v>8.3830104321906962E-3</v>
      </c>
      <c r="F668" s="64">
        <v>665</v>
      </c>
      <c r="G668" s="64">
        <f t="shared" ca="1" si="23"/>
        <v>-4.2313851447497199E-3</v>
      </c>
    </row>
    <row r="669" spans="2:7" x14ac:dyDescent="0.3">
      <c r="B669" s="55">
        <v>43206</v>
      </c>
      <c r="C669" s="54">
        <v>1481.4</v>
      </c>
      <c r="D669" s="56">
        <f t="shared" si="22"/>
        <v>-0.62232306750968791</v>
      </c>
      <c r="E669" s="64">
        <v>8.3724729426180033E-3</v>
      </c>
      <c r="F669" s="64">
        <v>666</v>
      </c>
      <c r="G669" s="64">
        <f t="shared" ca="1" si="23"/>
        <v>-5.4146061248692146E-2</v>
      </c>
    </row>
    <row r="670" spans="2:7" x14ac:dyDescent="0.3">
      <c r="B670" s="55">
        <v>46062</v>
      </c>
      <c r="C670" s="54">
        <v>3922.4</v>
      </c>
      <c r="D670" s="56">
        <f t="shared" si="22"/>
        <v>6.846814943953361E-2</v>
      </c>
      <c r="E670" s="64">
        <v>8.3549705647960604E-3</v>
      </c>
      <c r="F670" s="64">
        <v>667</v>
      </c>
      <c r="G670" s="64">
        <f t="shared" ca="1" si="23"/>
        <v>-1.5174199939151726E-2</v>
      </c>
    </row>
    <row r="671" spans="2:7" x14ac:dyDescent="0.3">
      <c r="B671" s="55">
        <v>45197</v>
      </c>
      <c r="C671" s="54">
        <v>3671.05</v>
      </c>
      <c r="D671" s="56">
        <f t="shared" si="22"/>
        <v>-0.19218158612798164</v>
      </c>
      <c r="E671" s="64">
        <v>8.336308951575333E-3</v>
      </c>
      <c r="F671" s="64">
        <v>668</v>
      </c>
      <c r="G671" s="64">
        <f t="shared" ca="1" si="23"/>
        <v>-1.2586302963786777E-2</v>
      </c>
    </row>
    <row r="672" spans="2:7" x14ac:dyDescent="0.3">
      <c r="B672" s="55">
        <v>46140</v>
      </c>
      <c r="C672" s="54">
        <v>4544.3999999999996</v>
      </c>
      <c r="D672" s="56">
        <f t="shared" si="22"/>
        <v>3.3346051125524605</v>
      </c>
      <c r="E672" s="64">
        <v>8.2758314659092669E-3</v>
      </c>
      <c r="F672" s="64">
        <v>669</v>
      </c>
      <c r="G672" s="64">
        <f t="shared" ca="1" si="23"/>
        <v>3.958319758393853E-3</v>
      </c>
    </row>
    <row r="673" spans="2:7" x14ac:dyDescent="0.3">
      <c r="B673" s="55">
        <v>42979</v>
      </c>
      <c r="C673" s="54">
        <v>1048.4000000000001</v>
      </c>
      <c r="D673" s="56">
        <f t="shared" si="22"/>
        <v>-0.75819917892891731</v>
      </c>
      <c r="E673" s="64">
        <v>8.2708213117907992E-3</v>
      </c>
      <c r="F673" s="64">
        <v>670</v>
      </c>
      <c r="G673" s="64">
        <f t="shared" ca="1" si="23"/>
        <v>-1.6113176490799387E-2</v>
      </c>
    </row>
    <row r="674" spans="2:7" x14ac:dyDescent="0.3">
      <c r="B674" s="55">
        <v>45831</v>
      </c>
      <c r="C674" s="54">
        <v>4335.8</v>
      </c>
      <c r="D674" s="56">
        <f t="shared" si="22"/>
        <v>1.8243494121095658</v>
      </c>
      <c r="E674" s="64">
        <v>8.2552380066507336E-3</v>
      </c>
      <c r="F674" s="64">
        <v>671</v>
      </c>
      <c r="G674" s="64">
        <f t="shared" ca="1" si="23"/>
        <v>-9.6739761559415816E-4</v>
      </c>
    </row>
    <row r="675" spans="2:7" x14ac:dyDescent="0.3">
      <c r="B675" s="55">
        <v>43357</v>
      </c>
      <c r="C675" s="54">
        <v>1535.15</v>
      </c>
      <c r="D675" s="56">
        <f t="shared" si="22"/>
        <v>-0.59943900848010434</v>
      </c>
      <c r="E675" s="64">
        <v>8.2424799684750472E-3</v>
      </c>
      <c r="F675" s="64">
        <v>672</v>
      </c>
      <c r="G675" s="64">
        <f t="shared" ca="1" si="23"/>
        <v>1.6857502491250988E-3</v>
      </c>
    </row>
    <row r="676" spans="2:7" x14ac:dyDescent="0.3">
      <c r="B676" s="55">
        <v>46034</v>
      </c>
      <c r="C676" s="54">
        <v>3832.5</v>
      </c>
      <c r="D676" s="56">
        <f t="shared" si="22"/>
        <v>4.3661439372724722</v>
      </c>
      <c r="E676" s="64">
        <v>8.2077184121220892E-3</v>
      </c>
      <c r="F676" s="64">
        <v>673</v>
      </c>
      <c r="G676" s="64">
        <f t="shared" ca="1" si="23"/>
        <v>-2.1674973727265337E-3</v>
      </c>
    </row>
    <row r="677" spans="2:7" x14ac:dyDescent="0.3">
      <c r="B677" s="55">
        <v>42879</v>
      </c>
      <c r="C677" s="54">
        <v>714.2</v>
      </c>
      <c r="D677" s="56">
        <f t="shared" si="22"/>
        <v>-0.83460509709018904</v>
      </c>
      <c r="E677" s="64">
        <v>8.187464709203951E-3</v>
      </c>
      <c r="F677" s="64">
        <v>674</v>
      </c>
      <c r="G677" s="64">
        <f t="shared" ca="1" si="23"/>
        <v>1.9693989201931716E-2</v>
      </c>
    </row>
    <row r="678" spans="2:7" x14ac:dyDescent="0.3">
      <c r="B678" s="55">
        <v>44832</v>
      </c>
      <c r="C678" s="54">
        <v>4318.1499999999996</v>
      </c>
      <c r="D678" s="56">
        <f t="shared" si="22"/>
        <v>0.11961989213856028</v>
      </c>
      <c r="E678" s="64">
        <v>8.159787075084024E-3</v>
      </c>
      <c r="F678" s="64">
        <v>675</v>
      </c>
      <c r="G678" s="64">
        <f t="shared" ca="1" si="23"/>
        <v>-5.4333257255100419E-3</v>
      </c>
    </row>
    <row r="679" spans="2:7" x14ac:dyDescent="0.3">
      <c r="B679" s="55">
        <v>46007</v>
      </c>
      <c r="C679" s="54">
        <v>3856.8</v>
      </c>
      <c r="D679" s="56">
        <f t="shared" si="22"/>
        <v>-0.24566533342460661</v>
      </c>
      <c r="E679" s="64">
        <v>8.1555834378921332E-3</v>
      </c>
      <c r="F679" s="64">
        <v>676</v>
      </c>
      <c r="G679" s="64">
        <f t="shared" ca="1" si="23"/>
        <v>2.7055062493179523E-2</v>
      </c>
    </row>
    <row r="680" spans="2:7" x14ac:dyDescent="0.3">
      <c r="B680" s="55">
        <v>45502</v>
      </c>
      <c r="C680" s="54">
        <v>5112.8500000000004</v>
      </c>
      <c r="D680" s="56">
        <f t="shared" si="22"/>
        <v>0.43957034054594346</v>
      </c>
      <c r="E680" s="64">
        <v>8.1335278807477263E-3</v>
      </c>
      <c r="F680" s="64">
        <v>677</v>
      </c>
      <c r="G680" s="64">
        <f t="shared" ca="1" si="23"/>
        <v>-4.1429579543674593E-2</v>
      </c>
    </row>
    <row r="681" spans="2:7" x14ac:dyDescent="0.3">
      <c r="B681" s="55">
        <v>44418</v>
      </c>
      <c r="C681" s="54">
        <v>3551.65</v>
      </c>
      <c r="D681" s="56">
        <f t="shared" si="22"/>
        <v>-0.27259042313521487</v>
      </c>
      <c r="E681" s="64">
        <v>8.1322736304285659E-3</v>
      </c>
      <c r="F681" s="64">
        <v>678</v>
      </c>
      <c r="G681" s="64">
        <f t="shared" ca="1" si="23"/>
        <v>-3.2279646570424715E-3</v>
      </c>
    </row>
    <row r="682" spans="2:7" x14ac:dyDescent="0.3">
      <c r="B682" s="55">
        <v>44524</v>
      </c>
      <c r="C682" s="54">
        <v>4882.6000000000004</v>
      </c>
      <c r="D682" s="56">
        <f t="shared" si="22"/>
        <v>2.4752838179294638</v>
      </c>
      <c r="E682" s="64">
        <v>8.1143022319494218E-3</v>
      </c>
      <c r="F682" s="64">
        <v>679</v>
      </c>
      <c r="G682" s="64">
        <f t="shared" ca="1" si="23"/>
        <v>-6.6384634400154848E-3</v>
      </c>
    </row>
    <row r="683" spans="2:7" x14ac:dyDescent="0.3">
      <c r="B683" s="55">
        <v>43431</v>
      </c>
      <c r="C683" s="54">
        <v>1404.95</v>
      </c>
      <c r="D683" s="56">
        <f t="shared" si="22"/>
        <v>-0.68636358562802069</v>
      </c>
      <c r="E683" s="64">
        <v>8.0720384587786853E-3</v>
      </c>
      <c r="F683" s="64">
        <v>680</v>
      </c>
      <c r="G683" s="64">
        <f t="shared" ca="1" si="23"/>
        <v>8.8150463222709235E-3</v>
      </c>
    </row>
    <row r="684" spans="2:7" x14ac:dyDescent="0.3">
      <c r="B684" s="55">
        <v>44838</v>
      </c>
      <c r="C684" s="54">
        <v>4479.55</v>
      </c>
      <c r="D684" s="56">
        <f t="shared" si="22"/>
        <v>0.27948758229673953</v>
      </c>
      <c r="E684" s="64">
        <v>8.0562587904360328E-3</v>
      </c>
      <c r="F684" s="64">
        <v>681</v>
      </c>
      <c r="G684" s="64">
        <f t="shared" ca="1" si="23"/>
        <v>-7.0083132923061085E-3</v>
      </c>
    </row>
    <row r="685" spans="2:7" x14ac:dyDescent="0.3">
      <c r="B685" s="55">
        <v>45029</v>
      </c>
      <c r="C685" s="54">
        <v>3501.05</v>
      </c>
      <c r="D685" s="56">
        <f t="shared" si="22"/>
        <v>1.3267428723333556</v>
      </c>
      <c r="E685" s="64">
        <v>8.0475655754226327E-3</v>
      </c>
      <c r="F685" s="64">
        <v>682</v>
      </c>
      <c r="G685" s="64">
        <f t="shared" ca="1" si="23"/>
        <v>-1.8958722423690649E-2</v>
      </c>
    </row>
    <row r="686" spans="2:7" x14ac:dyDescent="0.3">
      <c r="B686" s="55">
        <v>43696</v>
      </c>
      <c r="C686" s="54">
        <v>1504.7</v>
      </c>
      <c r="D686" s="56">
        <f t="shared" si="22"/>
        <v>-0.68059181897302001</v>
      </c>
      <c r="E686" s="64">
        <v>8.0391237355128542E-3</v>
      </c>
      <c r="F686" s="64">
        <v>683</v>
      </c>
      <c r="G686" s="64">
        <f t="shared" ca="1" si="23"/>
        <v>-4.3832834910921617E-3</v>
      </c>
    </row>
    <row r="687" spans="2:7" x14ac:dyDescent="0.3">
      <c r="B687" s="55">
        <v>44530</v>
      </c>
      <c r="C687" s="54">
        <v>4710.8999999999996</v>
      </c>
      <c r="D687" s="56">
        <f t="shared" si="22"/>
        <v>-9.0660496424064263E-3</v>
      </c>
      <c r="E687" s="64">
        <v>8.0349214161146154E-3</v>
      </c>
      <c r="F687" s="64">
        <v>684</v>
      </c>
      <c r="G687" s="64">
        <f t="shared" ca="1" si="23"/>
        <v>-2.079662298182778E-2</v>
      </c>
    </row>
    <row r="688" spans="2:7" x14ac:dyDescent="0.3">
      <c r="B688" s="55">
        <v>45392</v>
      </c>
      <c r="C688" s="54">
        <v>4754</v>
      </c>
      <c r="D688" s="56">
        <f t="shared" si="22"/>
        <v>-4.1580694827026976E-3</v>
      </c>
      <c r="E688" s="64">
        <v>8.0256141132069025E-3</v>
      </c>
      <c r="F688" s="64">
        <v>685</v>
      </c>
      <c r="G688" s="64">
        <f t="shared" ca="1" si="23"/>
        <v>-8.0985445958369796E-3</v>
      </c>
    </row>
    <row r="689" spans="2:7" x14ac:dyDescent="0.3">
      <c r="B689" s="55">
        <v>45475</v>
      </c>
      <c r="C689" s="54">
        <v>4773.8500000000004</v>
      </c>
      <c r="D689" s="56">
        <f t="shared" si="22"/>
        <v>0.19191301308299225</v>
      </c>
      <c r="E689" s="64">
        <v>8.0132604151270659E-3</v>
      </c>
      <c r="F689" s="64">
        <v>686</v>
      </c>
      <c r="G689" s="64">
        <f t="shared" ca="1" si="23"/>
        <v>-1.0613043063053058E-2</v>
      </c>
    </row>
    <row r="690" spans="2:7" x14ac:dyDescent="0.3">
      <c r="B690" s="55">
        <v>45587</v>
      </c>
      <c r="C690" s="54">
        <v>4005.2</v>
      </c>
      <c r="D690" s="56">
        <f t="shared" si="22"/>
        <v>8.0777689329033731E-2</v>
      </c>
      <c r="E690" s="64">
        <v>7.990537190602609E-3</v>
      </c>
      <c r="F690" s="64">
        <v>687</v>
      </c>
      <c r="G690" s="64">
        <f t="shared" ca="1" si="23"/>
        <v>7.6092138067957111E-3</v>
      </c>
    </row>
    <row r="691" spans="2:7" x14ac:dyDescent="0.3">
      <c r="B691" s="55">
        <v>45126</v>
      </c>
      <c r="C691" s="54">
        <v>3705.85</v>
      </c>
      <c r="D691" s="56">
        <f t="shared" si="22"/>
        <v>2.1215043800539082</v>
      </c>
      <c r="E691" s="64">
        <v>7.9831361349109731E-3</v>
      </c>
      <c r="F691" s="64">
        <v>688</v>
      </c>
      <c r="G691" s="64">
        <f t="shared" ca="1" si="23"/>
        <v>3.2889100273173228E-3</v>
      </c>
    </row>
    <row r="692" spans="2:7" x14ac:dyDescent="0.3">
      <c r="B692" s="55">
        <v>43143</v>
      </c>
      <c r="C692" s="54">
        <v>1187.2</v>
      </c>
      <c r="D692" s="56">
        <f t="shared" si="22"/>
        <v>-0.26008102212527262</v>
      </c>
      <c r="E692" s="64">
        <v>7.9809814909153065E-3</v>
      </c>
      <c r="F692" s="64">
        <v>689</v>
      </c>
      <c r="G692" s="64">
        <f t="shared" ca="1" si="23"/>
        <v>-6.3360717001453466E-3</v>
      </c>
    </row>
    <row r="693" spans="2:7" x14ac:dyDescent="0.3">
      <c r="B693" s="55">
        <v>43343</v>
      </c>
      <c r="C693" s="54">
        <v>1604.5</v>
      </c>
      <c r="D693" s="56">
        <f t="shared" si="22"/>
        <v>-0.52742802444591708</v>
      </c>
      <c r="E693" s="64">
        <v>7.9783892448801463E-3</v>
      </c>
      <c r="F693" s="64">
        <v>690</v>
      </c>
      <c r="G693" s="64">
        <f t="shared" ca="1" si="23"/>
        <v>1.705137444600878E-2</v>
      </c>
    </row>
    <row r="694" spans="2:7" x14ac:dyDescent="0.3">
      <c r="B694" s="55">
        <v>45065</v>
      </c>
      <c r="C694" s="54">
        <v>3395.25</v>
      </c>
      <c r="D694" s="56">
        <f t="shared" si="22"/>
        <v>1.9669681478568624</v>
      </c>
      <c r="E694" s="64">
        <v>7.9262590728947924E-3</v>
      </c>
      <c r="F694" s="64">
        <v>691</v>
      </c>
      <c r="G694" s="64">
        <f t="shared" ca="1" si="23"/>
        <v>1.1367805028527855E-2</v>
      </c>
    </row>
    <row r="695" spans="2:7" x14ac:dyDescent="0.3">
      <c r="B695" s="55">
        <v>43119</v>
      </c>
      <c r="C695" s="54">
        <v>1144.3499999999999</v>
      </c>
      <c r="D695" s="56">
        <f t="shared" si="22"/>
        <v>-0.68489529552682671</v>
      </c>
      <c r="E695" s="64">
        <v>7.8383019948036203E-3</v>
      </c>
      <c r="F695" s="64">
        <v>692</v>
      </c>
      <c r="G695" s="64">
        <f t="shared" ca="1" si="23"/>
        <v>-1.9129642687316234E-2</v>
      </c>
    </row>
    <row r="696" spans="2:7" x14ac:dyDescent="0.3">
      <c r="B696" s="55">
        <v>45727</v>
      </c>
      <c r="C696" s="54">
        <v>3631.65</v>
      </c>
      <c r="D696" s="56">
        <f t="shared" si="22"/>
        <v>0.71583473104816786</v>
      </c>
      <c r="E696" s="64">
        <v>7.7419354838710319E-3</v>
      </c>
      <c r="F696" s="64">
        <v>693</v>
      </c>
      <c r="G696" s="64">
        <f t="shared" ca="1" si="23"/>
        <v>-1.421206759799037E-4</v>
      </c>
    </row>
    <row r="697" spans="2:7" x14ac:dyDescent="0.3">
      <c r="B697" s="55">
        <v>44127</v>
      </c>
      <c r="C697" s="54">
        <v>2116.5500000000002</v>
      </c>
      <c r="D697" s="56">
        <f t="shared" si="22"/>
        <v>-0.47337712423179312</v>
      </c>
      <c r="E697" s="64">
        <v>7.7369899538162201E-3</v>
      </c>
      <c r="F697" s="64">
        <v>694</v>
      </c>
      <c r="G697" s="64">
        <f t="shared" ca="1" si="23"/>
        <v>-1.470836436837286E-2</v>
      </c>
    </row>
    <row r="698" spans="2:7" x14ac:dyDescent="0.3">
      <c r="B698" s="55">
        <v>45987</v>
      </c>
      <c r="C698" s="54">
        <v>4019.1</v>
      </c>
      <c r="D698" s="56">
        <f t="shared" si="22"/>
        <v>6.2635503146317051E-2</v>
      </c>
      <c r="E698" s="64">
        <v>7.6467933610790961E-3</v>
      </c>
      <c r="F698" s="64">
        <v>695</v>
      </c>
      <c r="G698" s="64">
        <f t="shared" ca="1" si="23"/>
        <v>4.5418304884860773E-3</v>
      </c>
    </row>
    <row r="699" spans="2:7" x14ac:dyDescent="0.3">
      <c r="B699" s="55">
        <v>46022</v>
      </c>
      <c r="C699" s="54">
        <v>3782.2</v>
      </c>
      <c r="D699" s="56">
        <f t="shared" si="22"/>
        <v>1.5581332431518429</v>
      </c>
      <c r="E699" s="64">
        <v>7.6461968829091287E-3</v>
      </c>
      <c r="F699" s="64">
        <v>696</v>
      </c>
      <c r="G699" s="64">
        <f t="shared" ca="1" si="23"/>
        <v>2.5577687615685823E-2</v>
      </c>
    </row>
    <row r="700" spans="2:7" x14ac:dyDescent="0.3">
      <c r="B700" s="55">
        <v>43539</v>
      </c>
      <c r="C700" s="54">
        <v>1478.5</v>
      </c>
      <c r="D700" s="56">
        <f t="shared" si="22"/>
        <v>-0.63528497601045919</v>
      </c>
      <c r="E700" s="64">
        <v>7.6330675390172686E-3</v>
      </c>
      <c r="F700" s="64">
        <v>697</v>
      </c>
      <c r="G700" s="64">
        <f t="shared" ca="1" si="23"/>
        <v>1.0154267825807655E-2</v>
      </c>
    </row>
    <row r="701" spans="2:7" x14ac:dyDescent="0.3">
      <c r="B701" s="55">
        <v>45755</v>
      </c>
      <c r="C701" s="54">
        <v>4053.85</v>
      </c>
      <c r="D701" s="56">
        <f t="shared" si="22"/>
        <v>-0.11213684198999097</v>
      </c>
      <c r="E701" s="64">
        <v>7.6308365335620021E-3</v>
      </c>
      <c r="F701" s="64">
        <v>698</v>
      </c>
      <c r="G701" s="64">
        <f t="shared" ca="1" si="23"/>
        <v>3.3261088601513597E-2</v>
      </c>
    </row>
    <row r="702" spans="2:7" x14ac:dyDescent="0.3">
      <c r="B702" s="55">
        <v>44805</v>
      </c>
      <c r="C702" s="54">
        <v>4565.8500000000004</v>
      </c>
      <c r="D702" s="56">
        <f t="shared" si="22"/>
        <v>0.89729898192395607</v>
      </c>
      <c r="E702" s="64">
        <v>7.6136250786189574E-3</v>
      </c>
      <c r="F702" s="64">
        <v>699</v>
      </c>
      <c r="G702" s="64">
        <f t="shared" ca="1" si="23"/>
        <v>-6.0918258834540481E-3</v>
      </c>
    </row>
    <row r="703" spans="2:7" x14ac:dyDescent="0.3">
      <c r="B703" s="55">
        <v>43993</v>
      </c>
      <c r="C703" s="54">
        <v>2406.5</v>
      </c>
      <c r="D703" s="56">
        <f t="shared" si="22"/>
        <v>-0.15828684353194244</v>
      </c>
      <c r="E703" s="64">
        <v>7.5993886993113158E-3</v>
      </c>
      <c r="F703" s="64">
        <v>700</v>
      </c>
      <c r="G703" s="64">
        <f t="shared" ca="1" si="23"/>
        <v>-1.2417951027921278E-2</v>
      </c>
    </row>
    <row r="704" spans="2:7" x14ac:dyDescent="0.3">
      <c r="B704" s="55">
        <v>44286</v>
      </c>
      <c r="C704" s="54">
        <v>2859.05</v>
      </c>
      <c r="D704" s="56">
        <f t="shared" si="22"/>
        <v>-0.4279325696563453</v>
      </c>
      <c r="E704" s="64">
        <v>7.5769589963172734E-3</v>
      </c>
      <c r="F704" s="64">
        <v>701</v>
      </c>
      <c r="G704" s="64">
        <f t="shared" ca="1" si="23"/>
        <v>-4.596389326951277E-3</v>
      </c>
    </row>
    <row r="705" spans="2:7" x14ac:dyDescent="0.3">
      <c r="B705" s="55">
        <v>44511</v>
      </c>
      <c r="C705" s="54">
        <v>4997.75</v>
      </c>
      <c r="D705" s="56">
        <f t="shared" si="22"/>
        <v>6.2017892432903565E-2</v>
      </c>
      <c r="E705" s="64">
        <v>7.5499465758119833E-3</v>
      </c>
      <c r="F705" s="64">
        <v>702</v>
      </c>
      <c r="G705" s="64">
        <f t="shared" ca="1" si="23"/>
        <v>2.4580036983772875E-2</v>
      </c>
    </row>
    <row r="706" spans="2:7" x14ac:dyDescent="0.3">
      <c r="B706" s="55">
        <v>45433</v>
      </c>
      <c r="C706" s="54">
        <v>4705.8999999999996</v>
      </c>
      <c r="D706" s="56">
        <f t="shared" si="22"/>
        <v>0.17549052668390219</v>
      </c>
      <c r="E706" s="64">
        <v>7.5471294145355028E-3</v>
      </c>
      <c r="F706" s="64">
        <v>703</v>
      </c>
      <c r="G706" s="64">
        <f t="shared" ca="1" si="23"/>
        <v>7.815095056639642E-3</v>
      </c>
    </row>
    <row r="707" spans="2:7" x14ac:dyDescent="0.3">
      <c r="B707" s="55">
        <v>44651</v>
      </c>
      <c r="C707" s="54">
        <v>4003.35</v>
      </c>
      <c r="D707" s="56">
        <f t="shared" si="22"/>
        <v>0.11419267753023199</v>
      </c>
      <c r="E707" s="64">
        <v>7.5376252076306827E-3</v>
      </c>
      <c r="F707" s="64">
        <v>704</v>
      </c>
      <c r="G707" s="64">
        <f t="shared" ca="1" si="23"/>
        <v>-1.8287531487637819E-3</v>
      </c>
    </row>
    <row r="708" spans="2:7" x14ac:dyDescent="0.3">
      <c r="B708" s="55">
        <v>44412</v>
      </c>
      <c r="C708" s="54">
        <v>3593.05</v>
      </c>
      <c r="D708" s="56">
        <f t="shared" ref="D708:D771" si="24">C708/C709-1</f>
        <v>-2.9744545258155064E-2</v>
      </c>
      <c r="E708" s="64">
        <v>7.5148966000702089E-3</v>
      </c>
      <c r="F708" s="64">
        <v>705</v>
      </c>
      <c r="G708" s="64">
        <f t="shared" ca="1" si="23"/>
        <v>-1.8595973318697619E-2</v>
      </c>
    </row>
    <row r="709" spans="2:7" x14ac:dyDescent="0.3">
      <c r="B709" s="55">
        <v>45335</v>
      </c>
      <c r="C709" s="54">
        <v>3703.2</v>
      </c>
      <c r="D709" s="56">
        <f t="shared" si="24"/>
        <v>-2.8222790789214747E-2</v>
      </c>
      <c r="E709" s="64">
        <v>7.5089781260202493E-3</v>
      </c>
      <c r="F709" s="64">
        <v>706</v>
      </c>
      <c r="G709" s="64">
        <f t="shared" ref="G709:G772" ca="1" si="25">_xlfn.NORM.INV(RAND(),K$6,K$7)</f>
        <v>-1.1474788466385361E-3</v>
      </c>
    </row>
    <row r="710" spans="2:7" x14ac:dyDescent="0.3">
      <c r="B710" s="55">
        <v>45180</v>
      </c>
      <c r="C710" s="54">
        <v>3810.75</v>
      </c>
      <c r="D710" s="56">
        <f t="shared" si="24"/>
        <v>2.3243915205443604</v>
      </c>
      <c r="E710" s="64">
        <v>7.4952411167512611E-3</v>
      </c>
      <c r="F710" s="64">
        <v>707</v>
      </c>
      <c r="G710" s="64">
        <f t="shared" ca="1" si="25"/>
        <v>-8.6522631785274917E-3</v>
      </c>
    </row>
    <row r="711" spans="2:7" x14ac:dyDescent="0.3">
      <c r="B711" s="55">
        <v>43062</v>
      </c>
      <c r="C711" s="54">
        <v>1146.3</v>
      </c>
      <c r="D711" s="56">
        <f t="shared" si="24"/>
        <v>-0.67794229202371259</v>
      </c>
      <c r="E711" s="64">
        <v>7.4705572156794631E-3</v>
      </c>
      <c r="F711" s="64">
        <v>708</v>
      </c>
      <c r="G711" s="64">
        <f t="shared" ca="1" si="25"/>
        <v>1.5985001026988445E-2</v>
      </c>
    </row>
    <row r="712" spans="2:7" x14ac:dyDescent="0.3">
      <c r="B712" s="55">
        <v>45685</v>
      </c>
      <c r="C712" s="54">
        <v>3559.3</v>
      </c>
      <c r="D712" s="56">
        <f t="shared" si="24"/>
        <v>-0.23472371533003655</v>
      </c>
      <c r="E712" s="64">
        <v>7.4583563311114709E-3</v>
      </c>
      <c r="F712" s="64">
        <v>709</v>
      </c>
      <c r="G712" s="64">
        <f t="shared" ca="1" si="25"/>
        <v>-1.172316969551913E-2</v>
      </c>
    </row>
    <row r="713" spans="2:7" x14ac:dyDescent="0.3">
      <c r="B713" s="55">
        <v>45915</v>
      </c>
      <c r="C713" s="54">
        <v>4651</v>
      </c>
      <c r="D713" s="56">
        <f t="shared" si="24"/>
        <v>0.21585235144955939</v>
      </c>
      <c r="E713" s="64">
        <v>7.4513711389332382E-3</v>
      </c>
      <c r="F713" s="64">
        <v>710</v>
      </c>
      <c r="G713" s="64">
        <f t="shared" ca="1" si="25"/>
        <v>-2.0356388623492996E-2</v>
      </c>
    </row>
    <row r="714" spans="2:7" x14ac:dyDescent="0.3">
      <c r="B714" s="55">
        <v>45733</v>
      </c>
      <c r="C714" s="54">
        <v>3825.3</v>
      </c>
      <c r="D714" s="56">
        <f t="shared" si="24"/>
        <v>-6.0122850122850124E-2</v>
      </c>
      <c r="E714" s="64">
        <v>7.4267203918780833E-3</v>
      </c>
      <c r="F714" s="64">
        <v>711</v>
      </c>
      <c r="G714" s="64">
        <f t="shared" ca="1" si="25"/>
        <v>1.3473668641353867E-2</v>
      </c>
    </row>
    <row r="715" spans="2:7" x14ac:dyDescent="0.3">
      <c r="B715" s="55">
        <v>46247</v>
      </c>
      <c r="C715" s="54">
        <v>4070</v>
      </c>
      <c r="D715" s="56">
        <f t="shared" si="24"/>
        <v>3.6496350364962904E-3</v>
      </c>
      <c r="E715" s="64">
        <v>7.4257425742574323E-3</v>
      </c>
      <c r="F715" s="64">
        <v>712</v>
      </c>
      <c r="G715" s="64">
        <f t="shared" ca="1" si="25"/>
        <v>6.6778699261606528E-3</v>
      </c>
    </row>
    <row r="716" spans="2:7" x14ac:dyDescent="0.3">
      <c r="B716" s="55">
        <v>45811</v>
      </c>
      <c r="C716" s="54">
        <v>4055.2</v>
      </c>
      <c r="D716" s="56">
        <f t="shared" si="24"/>
        <v>7.1277784676517797E-3</v>
      </c>
      <c r="E716" s="64">
        <v>7.3779654701278119E-3</v>
      </c>
      <c r="F716" s="64">
        <v>713</v>
      </c>
      <c r="G716" s="64">
        <f t="shared" ca="1" si="25"/>
        <v>9.5261697854146128E-4</v>
      </c>
    </row>
    <row r="717" spans="2:7" x14ac:dyDescent="0.3">
      <c r="B717" s="55">
        <v>45980</v>
      </c>
      <c r="C717" s="54">
        <v>4026.5</v>
      </c>
      <c r="D717" s="56">
        <f t="shared" si="24"/>
        <v>1.5252430228911886</v>
      </c>
      <c r="E717" s="64">
        <v>7.3301310917643914E-3</v>
      </c>
      <c r="F717" s="64">
        <v>714</v>
      </c>
      <c r="G717" s="64">
        <f t="shared" ca="1" si="25"/>
        <v>6.7064783153764082E-3</v>
      </c>
    </row>
    <row r="718" spans="2:7" x14ac:dyDescent="0.3">
      <c r="B718" s="55">
        <v>43448</v>
      </c>
      <c r="C718" s="54">
        <v>1594.5</v>
      </c>
      <c r="D718" s="56">
        <f t="shared" si="24"/>
        <v>-0.56961820316612011</v>
      </c>
      <c r="E718" s="64">
        <v>7.3283214353401238E-3</v>
      </c>
      <c r="F718" s="64">
        <v>715</v>
      </c>
      <c r="G718" s="64">
        <f t="shared" ca="1" si="25"/>
        <v>-8.3977639064243912E-3</v>
      </c>
    </row>
    <row r="719" spans="2:7" x14ac:dyDescent="0.3">
      <c r="B719" s="55">
        <v>45091</v>
      </c>
      <c r="C719" s="54">
        <v>3704.85</v>
      </c>
      <c r="D719" s="56">
        <f t="shared" si="24"/>
        <v>1.0255597167928707</v>
      </c>
      <c r="E719" s="64">
        <v>7.3275510481525252E-3</v>
      </c>
      <c r="F719" s="64">
        <v>716</v>
      </c>
      <c r="G719" s="64">
        <f t="shared" ca="1" si="25"/>
        <v>1.1048386764840433E-2</v>
      </c>
    </row>
    <row r="720" spans="2:7" x14ac:dyDescent="0.3">
      <c r="B720" s="55">
        <v>43838</v>
      </c>
      <c r="C720" s="54">
        <v>1829.05</v>
      </c>
      <c r="D720" s="56">
        <f t="shared" si="24"/>
        <v>-0.14207650273224037</v>
      </c>
      <c r="E720" s="64">
        <v>7.3247969158749537E-3</v>
      </c>
      <c r="F720" s="64">
        <v>717</v>
      </c>
      <c r="G720" s="64">
        <f t="shared" ca="1" si="25"/>
        <v>3.2512872279766639E-2</v>
      </c>
    </row>
    <row r="721" spans="2:7" x14ac:dyDescent="0.3">
      <c r="B721" s="55">
        <v>44054</v>
      </c>
      <c r="C721" s="54">
        <v>2131.9499999999998</v>
      </c>
      <c r="D721" s="56">
        <f t="shared" si="24"/>
        <v>-0.49226592362376309</v>
      </c>
      <c r="E721" s="64">
        <v>7.2997873848332784E-3</v>
      </c>
      <c r="F721" s="64">
        <v>718</v>
      </c>
      <c r="G721" s="64">
        <f t="shared" ca="1" si="25"/>
        <v>-4.3392474734083204E-3</v>
      </c>
    </row>
    <row r="722" spans="2:7" x14ac:dyDescent="0.3">
      <c r="B722" s="55">
        <v>44631</v>
      </c>
      <c r="C722" s="54">
        <v>4198.95</v>
      </c>
      <c r="D722" s="56">
        <f t="shared" si="24"/>
        <v>0.75526711813393543</v>
      </c>
      <c r="E722" s="64">
        <v>7.280621791488695E-3</v>
      </c>
      <c r="F722" s="64">
        <v>719</v>
      </c>
      <c r="G722" s="64">
        <f t="shared" ca="1" si="25"/>
        <v>4.8506999904963152E-3</v>
      </c>
    </row>
    <row r="723" spans="2:7" x14ac:dyDescent="0.3">
      <c r="B723" s="55">
        <v>44154</v>
      </c>
      <c r="C723" s="54">
        <v>2392.1999999999998</v>
      </c>
      <c r="D723" s="56">
        <f t="shared" si="24"/>
        <v>0.24522409036489501</v>
      </c>
      <c r="E723" s="64">
        <v>7.220900612618486E-3</v>
      </c>
      <c r="F723" s="64">
        <v>720</v>
      </c>
      <c r="G723" s="64">
        <f t="shared" ca="1" si="25"/>
        <v>3.0632579028181645E-2</v>
      </c>
    </row>
    <row r="724" spans="2:7" x14ac:dyDescent="0.3">
      <c r="B724" s="55">
        <v>43825</v>
      </c>
      <c r="C724" s="54">
        <v>1921.1</v>
      </c>
      <c r="D724" s="56">
        <f t="shared" si="24"/>
        <v>-0.56436653892378508</v>
      </c>
      <c r="E724" s="64">
        <v>7.1825521652510993E-3</v>
      </c>
      <c r="F724" s="64">
        <v>721</v>
      </c>
      <c r="G724" s="64">
        <f t="shared" ca="1" si="25"/>
        <v>-1.9264945396091686E-2</v>
      </c>
    </row>
    <row r="725" spans="2:7" x14ac:dyDescent="0.3">
      <c r="B725" s="55">
        <v>44462</v>
      </c>
      <c r="C725" s="54">
        <v>4409.8999999999996</v>
      </c>
      <c r="D725" s="56">
        <f t="shared" si="24"/>
        <v>-4.0710890679892642E-2</v>
      </c>
      <c r="E725" s="64">
        <v>7.1369029267012163E-3</v>
      </c>
      <c r="F725" s="64">
        <v>722</v>
      </c>
      <c r="G725" s="64">
        <f t="shared" ca="1" si="25"/>
        <v>-2.3048090421347943E-2</v>
      </c>
    </row>
    <row r="726" spans="2:7" x14ac:dyDescent="0.3">
      <c r="B726" s="55">
        <v>44502</v>
      </c>
      <c r="C726" s="54">
        <v>4597.05</v>
      </c>
      <c r="D726" s="56">
        <f t="shared" si="24"/>
        <v>0.12342375366568925</v>
      </c>
      <c r="E726" s="64">
        <v>7.0759625390219849E-3</v>
      </c>
      <c r="F726" s="64">
        <v>723</v>
      </c>
      <c r="G726" s="64">
        <f t="shared" ca="1" si="25"/>
        <v>3.7145924755246529E-2</v>
      </c>
    </row>
    <row r="727" spans="2:7" x14ac:dyDescent="0.3">
      <c r="B727" s="55">
        <v>46182</v>
      </c>
      <c r="C727" s="54">
        <v>4092</v>
      </c>
      <c r="D727" s="56">
        <f t="shared" si="24"/>
        <v>0.33455090992107506</v>
      </c>
      <c r="E727" s="64">
        <v>7.0632244727191207E-3</v>
      </c>
      <c r="F727" s="64">
        <v>724</v>
      </c>
      <c r="G727" s="64">
        <f t="shared" ca="1" si="25"/>
        <v>3.1614291347316657E-2</v>
      </c>
    </row>
    <row r="728" spans="2:7" x14ac:dyDescent="0.3">
      <c r="B728" s="55">
        <v>44349</v>
      </c>
      <c r="C728" s="54">
        <v>3066.2</v>
      </c>
      <c r="D728" s="56">
        <f t="shared" si="24"/>
        <v>1.3305590392581612</v>
      </c>
      <c r="E728" s="64">
        <v>7.0283762480292111E-3</v>
      </c>
      <c r="F728" s="64">
        <v>725</v>
      </c>
      <c r="G728" s="64">
        <f t="shared" ca="1" si="25"/>
        <v>-1.9565161683593171E-3</v>
      </c>
    </row>
    <row r="729" spans="2:7" x14ac:dyDescent="0.3">
      <c r="B729" s="55">
        <v>43171</v>
      </c>
      <c r="C729" s="54">
        <v>1315.65</v>
      </c>
      <c r="D729" s="56">
        <f t="shared" si="24"/>
        <v>-9.9425011978917066E-2</v>
      </c>
      <c r="E729" s="64">
        <v>6.9649075810340744E-3</v>
      </c>
      <c r="F729" s="64">
        <v>726</v>
      </c>
      <c r="G729" s="64">
        <f t="shared" ca="1" si="25"/>
        <v>1.438464623259683E-2</v>
      </c>
    </row>
    <row r="730" spans="2:7" x14ac:dyDescent="0.3">
      <c r="B730" s="55">
        <v>43690</v>
      </c>
      <c r="C730" s="54">
        <v>1460.9</v>
      </c>
      <c r="D730" s="56">
        <f t="shared" si="24"/>
        <v>-0.68727054768861917</v>
      </c>
      <c r="E730" s="64">
        <v>6.9616763165152307E-3</v>
      </c>
      <c r="F730" s="64">
        <v>727</v>
      </c>
      <c r="G730" s="64">
        <f t="shared" ca="1" si="25"/>
        <v>6.0723594139032288E-3</v>
      </c>
    </row>
    <row r="731" spans="2:7" x14ac:dyDescent="0.3">
      <c r="B731" s="55">
        <v>44561</v>
      </c>
      <c r="C731" s="54">
        <v>4671.45</v>
      </c>
      <c r="D731" s="56">
        <f t="shared" si="24"/>
        <v>0.12082968436963881</v>
      </c>
      <c r="E731" s="64">
        <v>6.9190727149275322E-3</v>
      </c>
      <c r="F731" s="64">
        <v>728</v>
      </c>
      <c r="G731" s="64">
        <f t="shared" ca="1" si="25"/>
        <v>6.5582811168217276E-3</v>
      </c>
    </row>
    <row r="732" spans="2:7" x14ac:dyDescent="0.3">
      <c r="B732" s="55">
        <v>44853</v>
      </c>
      <c r="C732" s="54">
        <v>4167.8500000000004</v>
      </c>
      <c r="D732" s="56">
        <f t="shared" si="24"/>
        <v>0.19695294438620925</v>
      </c>
      <c r="E732" s="64">
        <v>6.88513897109444E-3</v>
      </c>
      <c r="F732" s="64">
        <v>729</v>
      </c>
      <c r="G732" s="64">
        <f t="shared" ca="1" si="25"/>
        <v>-1.1976244616240795E-2</v>
      </c>
    </row>
    <row r="733" spans="2:7" x14ac:dyDescent="0.3">
      <c r="B733" s="55">
        <v>44966</v>
      </c>
      <c r="C733" s="54">
        <v>3482.05</v>
      </c>
      <c r="D733" s="56">
        <f t="shared" si="24"/>
        <v>0.55604960339626874</v>
      </c>
      <c r="E733" s="64">
        <v>6.780200080957588E-3</v>
      </c>
      <c r="F733" s="64">
        <v>730</v>
      </c>
      <c r="G733" s="64">
        <f t="shared" ca="1" si="25"/>
        <v>-3.1115795392695163E-2</v>
      </c>
    </row>
    <row r="734" spans="2:7" x14ac:dyDescent="0.3">
      <c r="B734" s="55">
        <v>44084</v>
      </c>
      <c r="C734" s="54">
        <v>2237.75</v>
      </c>
      <c r="D734" s="56">
        <f t="shared" si="24"/>
        <v>0.53302048366102617</v>
      </c>
      <c r="E734" s="64">
        <v>6.7710442254915737E-3</v>
      </c>
      <c r="F734" s="64">
        <v>731</v>
      </c>
      <c r="G734" s="64">
        <f t="shared" ca="1" si="25"/>
        <v>1.3619914322178439E-2</v>
      </c>
    </row>
    <row r="735" spans="2:7" x14ac:dyDescent="0.3">
      <c r="B735" s="55">
        <v>43676</v>
      </c>
      <c r="C735" s="54">
        <v>1459.7</v>
      </c>
      <c r="D735" s="56">
        <f t="shared" si="24"/>
        <v>-0.62320598864223031</v>
      </c>
      <c r="E735" s="64">
        <v>6.7590868335747345E-3</v>
      </c>
      <c r="F735" s="64">
        <v>732</v>
      </c>
      <c r="G735" s="64">
        <f t="shared" ca="1" si="25"/>
        <v>3.9136879286361295E-2</v>
      </c>
    </row>
    <row r="736" spans="2:7" x14ac:dyDescent="0.3">
      <c r="B736" s="55">
        <v>46233</v>
      </c>
      <c r="C736" s="54">
        <v>3874</v>
      </c>
      <c r="D736" s="56">
        <f t="shared" si="24"/>
        <v>1.4165678996943423</v>
      </c>
      <c r="E736" s="64">
        <v>6.7305943192743634E-3</v>
      </c>
      <c r="F736" s="64">
        <v>733</v>
      </c>
      <c r="G736" s="64">
        <f t="shared" ca="1" si="25"/>
        <v>-1.9020609529117149E-4</v>
      </c>
    </row>
    <row r="737" spans="2:7" x14ac:dyDescent="0.3">
      <c r="B737" s="55">
        <v>43341</v>
      </c>
      <c r="C737" s="54">
        <v>1603.1</v>
      </c>
      <c r="D737" s="56">
        <f t="shared" si="24"/>
        <v>0.47785203964046996</v>
      </c>
      <c r="E737" s="64">
        <v>6.6878080944454688E-3</v>
      </c>
      <c r="F737" s="64">
        <v>734</v>
      </c>
      <c r="G737" s="64">
        <f t="shared" ca="1" si="25"/>
        <v>1.2561301989815036E-2</v>
      </c>
    </row>
    <row r="738" spans="2:7" x14ac:dyDescent="0.3">
      <c r="B738" s="55">
        <v>42998</v>
      </c>
      <c r="C738" s="54">
        <v>1084.75</v>
      </c>
      <c r="D738" s="56">
        <f t="shared" si="24"/>
        <v>-0.41099014470719197</v>
      </c>
      <c r="E738" s="64">
        <v>6.6818245093036577E-3</v>
      </c>
      <c r="F738" s="64">
        <v>735</v>
      </c>
      <c r="G738" s="64">
        <f t="shared" ca="1" si="25"/>
        <v>4.4961104759745844E-2</v>
      </c>
    </row>
    <row r="739" spans="2:7" x14ac:dyDescent="0.3">
      <c r="B739" s="55">
        <v>43788</v>
      </c>
      <c r="C739" s="54">
        <v>1841.65</v>
      </c>
      <c r="D739" s="56">
        <f t="shared" si="24"/>
        <v>-0.34853817718742808</v>
      </c>
      <c r="E739" s="64">
        <v>6.6686709120227228E-3</v>
      </c>
      <c r="F739" s="64">
        <v>736</v>
      </c>
      <c r="G739" s="64">
        <f t="shared" ca="1" si="25"/>
        <v>1.1777914591145208E-2</v>
      </c>
    </row>
    <row r="740" spans="2:7" x14ac:dyDescent="0.3">
      <c r="B740" s="55">
        <v>44313</v>
      </c>
      <c r="C740" s="54">
        <v>2826.95</v>
      </c>
      <c r="D740" s="56">
        <f t="shared" si="24"/>
        <v>1.421577865341785</v>
      </c>
      <c r="E740" s="64">
        <v>6.6589513041930282E-3</v>
      </c>
      <c r="F740" s="64">
        <v>737</v>
      </c>
      <c r="G740" s="64">
        <f t="shared" ca="1" si="25"/>
        <v>-5.6793389923967584E-3</v>
      </c>
    </row>
    <row r="741" spans="2:7" x14ac:dyDescent="0.3">
      <c r="B741" s="55">
        <v>43027</v>
      </c>
      <c r="C741" s="54">
        <v>1167.4000000000001</v>
      </c>
      <c r="D741" s="56">
        <f t="shared" si="24"/>
        <v>-0.23779054583442139</v>
      </c>
      <c r="E741" s="64">
        <v>6.6396481848753908E-3</v>
      </c>
      <c r="F741" s="64">
        <v>738</v>
      </c>
      <c r="G741" s="64">
        <f t="shared" ca="1" si="25"/>
        <v>2.3066515861695343E-2</v>
      </c>
    </row>
    <row r="742" spans="2:7" x14ac:dyDescent="0.3">
      <c r="B742" s="55">
        <v>43304</v>
      </c>
      <c r="C742" s="54">
        <v>1531.6</v>
      </c>
      <c r="D742" s="56">
        <f t="shared" si="24"/>
        <v>0.1522720433343363</v>
      </c>
      <c r="E742" s="64">
        <v>6.6381860006572424E-3</v>
      </c>
      <c r="F742" s="64">
        <v>739</v>
      </c>
      <c r="G742" s="64">
        <f t="shared" ca="1" si="25"/>
        <v>7.4405379403527528E-3</v>
      </c>
    </row>
    <row r="743" spans="2:7" x14ac:dyDescent="0.3">
      <c r="B743" s="55">
        <v>43640</v>
      </c>
      <c r="C743" s="54">
        <v>1329.2</v>
      </c>
      <c r="D743" s="56">
        <f t="shared" si="24"/>
        <v>-0.72183157542273557</v>
      </c>
      <c r="E743" s="64">
        <v>6.6265288348668072E-3</v>
      </c>
      <c r="F743" s="64">
        <v>740</v>
      </c>
      <c r="G743" s="64">
        <f t="shared" ca="1" si="25"/>
        <v>2.7502653067841445E-4</v>
      </c>
    </row>
    <row r="744" spans="2:7" x14ac:dyDescent="0.3">
      <c r="B744" s="55">
        <v>45453</v>
      </c>
      <c r="C744" s="54">
        <v>4778.3999999999996</v>
      </c>
      <c r="D744" s="56">
        <f t="shared" si="24"/>
        <v>0.38933228662392594</v>
      </c>
      <c r="E744" s="64">
        <v>6.5616936120911351E-3</v>
      </c>
      <c r="F744" s="64">
        <v>741</v>
      </c>
      <c r="G744" s="64">
        <f t="shared" ca="1" si="25"/>
        <v>-4.3918688581519358E-2</v>
      </c>
    </row>
    <row r="745" spans="2:7" x14ac:dyDescent="0.3">
      <c r="B745" s="55">
        <v>44986</v>
      </c>
      <c r="C745" s="54">
        <v>3439.35</v>
      </c>
      <c r="D745" s="56">
        <f t="shared" si="24"/>
        <v>0.13337836947208848</v>
      </c>
      <c r="E745" s="64">
        <v>6.5555539296742182E-3</v>
      </c>
      <c r="F745" s="64">
        <v>742</v>
      </c>
      <c r="G745" s="64">
        <f t="shared" ca="1" si="25"/>
        <v>-1.189322340542137E-2</v>
      </c>
    </row>
    <row r="746" spans="2:7" x14ac:dyDescent="0.3">
      <c r="B746" s="55">
        <v>44273</v>
      </c>
      <c r="C746" s="54">
        <v>3034.6</v>
      </c>
      <c r="D746" s="56">
        <f t="shared" si="24"/>
        <v>0.97732455854564404</v>
      </c>
      <c r="E746" s="64">
        <v>6.5509063469160189E-3</v>
      </c>
      <c r="F746" s="64">
        <v>743</v>
      </c>
      <c r="G746" s="64">
        <f t="shared" ca="1" si="25"/>
        <v>1.2134292566324584E-2</v>
      </c>
    </row>
    <row r="747" spans="2:7" x14ac:dyDescent="0.3">
      <c r="B747" s="55">
        <v>43361</v>
      </c>
      <c r="C747" s="54">
        <v>1534.7</v>
      </c>
      <c r="D747" s="56">
        <f t="shared" si="24"/>
        <v>-2.0425097338354514E-2</v>
      </c>
      <c r="E747" s="64">
        <v>6.4926547743966445E-3</v>
      </c>
      <c r="F747" s="64">
        <v>744</v>
      </c>
      <c r="G747" s="64">
        <f t="shared" ca="1" si="25"/>
        <v>-2.6911548486224124E-2</v>
      </c>
    </row>
    <row r="748" spans="2:7" x14ac:dyDescent="0.3">
      <c r="B748" s="55">
        <v>43308</v>
      </c>
      <c r="C748" s="54">
        <v>1566.7</v>
      </c>
      <c r="D748" s="56">
        <f t="shared" si="24"/>
        <v>-0.36577269507134902</v>
      </c>
      <c r="E748" s="64">
        <v>6.4885005781833982E-3</v>
      </c>
      <c r="F748" s="64">
        <v>745</v>
      </c>
      <c r="G748" s="64">
        <f t="shared" ca="1" si="25"/>
        <v>-1.2720566868740782E-3</v>
      </c>
    </row>
    <row r="749" spans="2:7" x14ac:dyDescent="0.3">
      <c r="B749" s="55">
        <v>43972</v>
      </c>
      <c r="C749" s="54">
        <v>2470.25</v>
      </c>
      <c r="D749" s="56">
        <f t="shared" si="24"/>
        <v>0.26936615194881952</v>
      </c>
      <c r="E749" s="64">
        <v>6.4782936419012227E-3</v>
      </c>
      <c r="F749" s="64">
        <v>746</v>
      </c>
      <c r="G749" s="64">
        <f t="shared" ca="1" si="25"/>
        <v>-2.1785660806650932E-2</v>
      </c>
    </row>
    <row r="750" spans="2:7" x14ac:dyDescent="0.3">
      <c r="B750" s="55">
        <v>43846</v>
      </c>
      <c r="C750" s="54">
        <v>1946.05</v>
      </c>
      <c r="D750" s="56">
        <f t="shared" si="24"/>
        <v>0.30174922238201929</v>
      </c>
      <c r="E750" s="64">
        <v>6.4647927387448956E-3</v>
      </c>
      <c r="F750" s="64">
        <v>747</v>
      </c>
      <c r="G750" s="64">
        <f t="shared" ca="1" si="25"/>
        <v>3.5437535330558052E-2</v>
      </c>
    </row>
    <row r="751" spans="2:7" x14ac:dyDescent="0.3">
      <c r="B751" s="55">
        <v>43236</v>
      </c>
      <c r="C751" s="54">
        <v>1494.95</v>
      </c>
      <c r="D751" s="56">
        <f t="shared" si="24"/>
        <v>-0.64256168706962513</v>
      </c>
      <c r="E751" s="64">
        <v>6.395368406880042E-3</v>
      </c>
      <c r="F751" s="64">
        <v>748</v>
      </c>
      <c r="G751" s="64">
        <f t="shared" ca="1" si="25"/>
        <v>-2.1730592324504423E-2</v>
      </c>
    </row>
    <row r="752" spans="2:7" x14ac:dyDescent="0.3">
      <c r="B752" s="55">
        <v>45965</v>
      </c>
      <c r="C752" s="54">
        <v>4182.3999999999996</v>
      </c>
      <c r="D752" s="56">
        <f t="shared" si="24"/>
        <v>0.47647121121191782</v>
      </c>
      <c r="E752" s="64">
        <v>6.3522617901827783E-3</v>
      </c>
      <c r="F752" s="64">
        <v>749</v>
      </c>
      <c r="G752" s="64">
        <f t="shared" ca="1" si="25"/>
        <v>-1.6860884061535575E-2</v>
      </c>
    </row>
    <row r="753" spans="2:7" x14ac:dyDescent="0.3">
      <c r="B753" s="55">
        <v>44299</v>
      </c>
      <c r="C753" s="54">
        <v>2832.7</v>
      </c>
      <c r="D753" s="56">
        <f t="shared" si="24"/>
        <v>-0.20463287940474528</v>
      </c>
      <c r="E753" s="64">
        <v>6.3234928416640024E-3</v>
      </c>
      <c r="F753" s="64">
        <v>750</v>
      </c>
      <c r="G753" s="64">
        <f t="shared" ca="1" si="25"/>
        <v>-2.87167246402215E-2</v>
      </c>
    </row>
    <row r="754" spans="2:7" x14ac:dyDescent="0.3">
      <c r="B754" s="55">
        <v>45162</v>
      </c>
      <c r="C754" s="54">
        <v>3561.5</v>
      </c>
      <c r="D754" s="56">
        <f t="shared" si="24"/>
        <v>1.5057163963837197</v>
      </c>
      <c r="E754" s="64">
        <v>6.2724267510523291E-3</v>
      </c>
      <c r="F754" s="64">
        <v>751</v>
      </c>
      <c r="G754" s="64">
        <f t="shared" ca="1" si="25"/>
        <v>6.3965407898049099E-3</v>
      </c>
    </row>
    <row r="755" spans="2:7" x14ac:dyDescent="0.3">
      <c r="B755" s="55">
        <v>43425</v>
      </c>
      <c r="C755" s="54">
        <v>1421.35</v>
      </c>
      <c r="D755" s="56">
        <f t="shared" si="24"/>
        <v>-0.64470691163604554</v>
      </c>
      <c r="E755" s="64">
        <v>6.2654867256637381E-3</v>
      </c>
      <c r="F755" s="64">
        <v>752</v>
      </c>
      <c r="G755" s="64">
        <f t="shared" ca="1" si="25"/>
        <v>-6.8323492066030538E-3</v>
      </c>
    </row>
    <row r="756" spans="2:7" x14ac:dyDescent="0.3">
      <c r="B756" s="55">
        <v>46225</v>
      </c>
      <c r="C756" s="54">
        <v>4000.5</v>
      </c>
      <c r="D756" s="56">
        <f t="shared" si="24"/>
        <v>-0.19349636110719115</v>
      </c>
      <c r="E756" s="64">
        <v>6.2632055538787146E-3</v>
      </c>
      <c r="F756" s="64">
        <v>753</v>
      </c>
      <c r="G756" s="64">
        <f t="shared" ca="1" si="25"/>
        <v>5.2280587406369778E-3</v>
      </c>
    </row>
    <row r="757" spans="2:7" x14ac:dyDescent="0.3">
      <c r="B757" s="55">
        <v>45518</v>
      </c>
      <c r="C757" s="54">
        <v>4960.3</v>
      </c>
      <c r="D757" s="56">
        <f t="shared" si="24"/>
        <v>0.48104024841753268</v>
      </c>
      <c r="E757" s="64">
        <v>6.248098184399975E-3</v>
      </c>
      <c r="F757" s="64">
        <v>754</v>
      </c>
      <c r="G757" s="64">
        <f t="shared" ca="1" si="25"/>
        <v>-1.4688266418155757E-2</v>
      </c>
    </row>
    <row r="758" spans="2:7" x14ac:dyDescent="0.3">
      <c r="B758" s="55">
        <v>44393</v>
      </c>
      <c r="C758" s="54">
        <v>3349.2</v>
      </c>
      <c r="D758" s="56">
        <f t="shared" si="24"/>
        <v>-0.13504299992252267</v>
      </c>
      <c r="E758" s="64">
        <v>6.2190175754843757E-3</v>
      </c>
      <c r="F758" s="64">
        <v>755</v>
      </c>
      <c r="G758" s="64">
        <f t="shared" ca="1" si="25"/>
        <v>-2.0578561304659612E-2</v>
      </c>
    </row>
    <row r="759" spans="2:7" x14ac:dyDescent="0.3">
      <c r="B759" s="55">
        <v>45104</v>
      </c>
      <c r="C759" s="54">
        <v>3872.1</v>
      </c>
      <c r="D759" s="56">
        <f t="shared" si="24"/>
        <v>1.1242997610373173E-2</v>
      </c>
      <c r="E759" s="64">
        <v>6.1976222958486371E-3</v>
      </c>
      <c r="F759" s="64">
        <v>756</v>
      </c>
      <c r="G759" s="64">
        <f t="shared" ca="1" si="25"/>
        <v>-1.7492230053779E-2</v>
      </c>
    </row>
    <row r="760" spans="2:7" x14ac:dyDescent="0.3">
      <c r="B760" s="55">
        <v>45635</v>
      </c>
      <c r="C760" s="54">
        <v>3829.05</v>
      </c>
      <c r="D760" s="56">
        <f t="shared" si="24"/>
        <v>-8.2114776105091658E-2</v>
      </c>
      <c r="E760" s="64">
        <v>6.1751914966299282E-3</v>
      </c>
      <c r="F760" s="64">
        <v>757</v>
      </c>
      <c r="G760" s="64">
        <f t="shared" ca="1" si="25"/>
        <v>1.0168244074675235E-2</v>
      </c>
    </row>
    <row r="761" spans="2:7" x14ac:dyDescent="0.3">
      <c r="B761" s="55">
        <v>44662</v>
      </c>
      <c r="C761" s="54">
        <v>4171.6000000000004</v>
      </c>
      <c r="D761" s="56">
        <f t="shared" si="24"/>
        <v>8.6849475672507115E-2</v>
      </c>
      <c r="E761" s="64">
        <v>6.1139583961411503E-3</v>
      </c>
      <c r="F761" s="64">
        <v>758</v>
      </c>
      <c r="G761" s="64">
        <f t="shared" ca="1" si="25"/>
        <v>-8.2740152542081641E-3</v>
      </c>
    </row>
    <row r="762" spans="2:7" x14ac:dyDescent="0.3">
      <c r="B762" s="55">
        <v>45252</v>
      </c>
      <c r="C762" s="54">
        <v>3838.25</v>
      </c>
      <c r="D762" s="56">
        <f t="shared" si="24"/>
        <v>3.1959551790106584</v>
      </c>
      <c r="E762" s="64">
        <v>6.1075505576744238E-3</v>
      </c>
      <c r="F762" s="64">
        <v>759</v>
      </c>
      <c r="G762" s="64">
        <f t="shared" ca="1" si="25"/>
        <v>2.359399252948099E-3</v>
      </c>
    </row>
    <row r="763" spans="2:7" x14ac:dyDescent="0.3">
      <c r="B763" s="55">
        <v>42937</v>
      </c>
      <c r="C763" s="54">
        <v>914.75</v>
      </c>
      <c r="D763" s="56">
        <f t="shared" si="24"/>
        <v>-0.75206667570131458</v>
      </c>
      <c r="E763" s="64">
        <v>6.1042674879014935E-3</v>
      </c>
      <c r="F763" s="64">
        <v>760</v>
      </c>
      <c r="G763" s="64">
        <f t="shared" ca="1" si="25"/>
        <v>7.1653070593495558E-3</v>
      </c>
    </row>
    <row r="764" spans="2:7" x14ac:dyDescent="0.3">
      <c r="B764" s="55">
        <v>46052</v>
      </c>
      <c r="C764" s="54">
        <v>3689.5</v>
      </c>
      <c r="D764" s="56">
        <f t="shared" si="24"/>
        <v>-0.137241605088392</v>
      </c>
      <c r="E764" s="64">
        <v>6.0809336823735016E-3</v>
      </c>
      <c r="F764" s="64">
        <v>761</v>
      </c>
      <c r="G764" s="64">
        <f t="shared" ca="1" si="25"/>
        <v>-1.2335289422444497E-2</v>
      </c>
    </row>
    <row r="765" spans="2:7" x14ac:dyDescent="0.3">
      <c r="B765" s="55">
        <v>45833</v>
      </c>
      <c r="C765" s="54">
        <v>4276.3999999999996</v>
      </c>
      <c r="D765" s="56">
        <f t="shared" si="24"/>
        <v>4.6502609499900895</v>
      </c>
      <c r="E765" s="64">
        <v>6.0697313320470236E-3</v>
      </c>
      <c r="F765" s="64">
        <v>762</v>
      </c>
      <c r="G765" s="64">
        <f t="shared" ca="1" si="25"/>
        <v>-1.4928021845612342E-2</v>
      </c>
    </row>
    <row r="766" spans="2:7" x14ac:dyDescent="0.3">
      <c r="B766" s="55">
        <v>42858</v>
      </c>
      <c r="C766" s="54">
        <v>756.85</v>
      </c>
      <c r="D766" s="56">
        <f t="shared" si="24"/>
        <v>-0.6936884068235627</v>
      </c>
      <c r="E766" s="64">
        <v>6.0481191014223334E-3</v>
      </c>
      <c r="F766" s="64">
        <v>763</v>
      </c>
      <c r="G766" s="64">
        <f t="shared" ca="1" si="25"/>
        <v>-7.4071181846088671E-3</v>
      </c>
    </row>
    <row r="767" spans="2:7" x14ac:dyDescent="0.3">
      <c r="B767" s="55">
        <v>44168</v>
      </c>
      <c r="C767" s="54">
        <v>2470.85</v>
      </c>
      <c r="D767" s="56">
        <f t="shared" si="24"/>
        <v>-0.14665860818511489</v>
      </c>
      <c r="E767" s="64">
        <v>6.0464169381106991E-3</v>
      </c>
      <c r="F767" s="64">
        <v>764</v>
      </c>
      <c r="G767" s="64">
        <f t="shared" ca="1" si="25"/>
        <v>-1.5953335799022285E-2</v>
      </c>
    </row>
    <row r="768" spans="2:7" x14ac:dyDescent="0.3">
      <c r="B768" s="55">
        <v>44323</v>
      </c>
      <c r="C768" s="54">
        <v>2895.5</v>
      </c>
      <c r="D768" s="56">
        <f t="shared" si="24"/>
        <v>0.98805314291599422</v>
      </c>
      <c r="E768" s="64">
        <v>6.0281778225594884E-3</v>
      </c>
      <c r="F768" s="64">
        <v>765</v>
      </c>
      <c r="G768" s="64">
        <f t="shared" ca="1" si="25"/>
        <v>7.5481252845528419E-4</v>
      </c>
    </row>
    <row r="769" spans="2:7" x14ac:dyDescent="0.3">
      <c r="B769" s="55">
        <v>43230</v>
      </c>
      <c r="C769" s="54">
        <v>1456.45</v>
      </c>
      <c r="D769" s="56">
        <f t="shared" si="24"/>
        <v>-0.69868837536462747</v>
      </c>
      <c r="E769" s="64">
        <v>6.0093248143671119E-3</v>
      </c>
      <c r="F769" s="64">
        <v>766</v>
      </c>
      <c r="G769" s="64">
        <f t="shared" ca="1" si="25"/>
        <v>-1.5291997727029808E-2</v>
      </c>
    </row>
    <row r="770" spans="2:7" x14ac:dyDescent="0.3">
      <c r="B770" s="55">
        <v>45467</v>
      </c>
      <c r="C770" s="54">
        <v>4833.7</v>
      </c>
      <c r="D770" s="56">
        <f t="shared" si="24"/>
        <v>0.18662084202774021</v>
      </c>
      <c r="E770" s="64">
        <v>6.004349771584927E-3</v>
      </c>
      <c r="F770" s="64">
        <v>767</v>
      </c>
      <c r="G770" s="64">
        <f t="shared" ca="1" si="25"/>
        <v>3.8681793741348084E-3</v>
      </c>
    </row>
    <row r="771" spans="2:7" x14ac:dyDescent="0.3">
      <c r="B771" s="55">
        <v>45792</v>
      </c>
      <c r="C771" s="54">
        <v>4073.5</v>
      </c>
      <c r="D771" s="56">
        <f t="shared" si="24"/>
        <v>-8.0722730205884385E-3</v>
      </c>
      <c r="E771" s="64">
        <v>6.0011854193422476E-3</v>
      </c>
      <c r="F771" s="64">
        <v>768</v>
      </c>
      <c r="G771" s="64">
        <f t="shared" ca="1" si="25"/>
        <v>-1.7535773544725269E-2</v>
      </c>
    </row>
    <row r="772" spans="2:7" x14ac:dyDescent="0.3">
      <c r="B772" s="55">
        <v>44655</v>
      </c>
      <c r="C772" s="54">
        <v>4106.6499999999996</v>
      </c>
      <c r="D772" s="56">
        <f t="shared" ref="D772:D835" si="26">C772/C773-1</f>
        <v>0.15067667908879478</v>
      </c>
      <c r="E772" s="64">
        <v>5.9894174709715919E-3</v>
      </c>
      <c r="F772" s="64">
        <v>769</v>
      </c>
      <c r="G772" s="64">
        <f t="shared" ca="1" si="25"/>
        <v>-1.6852734084828479E-2</v>
      </c>
    </row>
    <row r="773" spans="2:7" x14ac:dyDescent="0.3">
      <c r="B773" s="55">
        <v>45160</v>
      </c>
      <c r="C773" s="54">
        <v>3568.9</v>
      </c>
      <c r="D773" s="56">
        <f t="shared" si="26"/>
        <v>-0.10227644321468998</v>
      </c>
      <c r="E773" s="64">
        <v>5.9757025678608411E-3</v>
      </c>
      <c r="F773" s="64">
        <v>770</v>
      </c>
      <c r="G773" s="64">
        <f t="shared" ref="G773:G836" ca="1" si="27">_xlfn.NORM.INV(RAND(),K$6,K$7)</f>
        <v>1.1007622712328578E-2</v>
      </c>
    </row>
    <row r="774" spans="2:7" x14ac:dyDescent="0.3">
      <c r="B774" s="55">
        <v>46223</v>
      </c>
      <c r="C774" s="54">
        <v>3975.5</v>
      </c>
      <c r="D774" s="56">
        <f t="shared" si="26"/>
        <v>2.2213759014666561</v>
      </c>
      <c r="E774" s="64">
        <v>5.9718110276070213E-3</v>
      </c>
      <c r="F774" s="64">
        <v>771</v>
      </c>
      <c r="G774" s="64">
        <f t="shared" ca="1" si="27"/>
        <v>-1.455986915190949E-2</v>
      </c>
    </row>
    <row r="775" spans="2:7" x14ac:dyDescent="0.3">
      <c r="B775" s="55">
        <v>43109</v>
      </c>
      <c r="C775" s="54">
        <v>1234.0999999999999</v>
      </c>
      <c r="D775" s="56">
        <f t="shared" si="26"/>
        <v>0.35944040537563327</v>
      </c>
      <c r="E775" s="64">
        <v>5.9504401695467113E-3</v>
      </c>
      <c r="F775" s="64">
        <v>772</v>
      </c>
      <c r="G775" s="64">
        <f t="shared" ca="1" si="27"/>
        <v>4.4878842296091473E-2</v>
      </c>
    </row>
    <row r="776" spans="2:7" x14ac:dyDescent="0.3">
      <c r="B776" s="55">
        <v>42963</v>
      </c>
      <c r="C776" s="54">
        <v>907.8</v>
      </c>
      <c r="D776" s="56">
        <f t="shared" si="26"/>
        <v>-1.9919028340080969E-2</v>
      </c>
      <c r="E776" s="64">
        <v>5.9283062773560768E-3</v>
      </c>
      <c r="F776" s="64">
        <v>773</v>
      </c>
      <c r="G776" s="64">
        <f t="shared" ca="1" si="27"/>
        <v>-1.0106515302991741E-2</v>
      </c>
    </row>
    <row r="777" spans="2:7" x14ac:dyDescent="0.3">
      <c r="B777" s="55">
        <v>42965</v>
      </c>
      <c r="C777" s="54">
        <v>926.25</v>
      </c>
      <c r="D777" s="56">
        <f t="shared" si="26"/>
        <v>-0.40428337138630732</v>
      </c>
      <c r="E777" s="64">
        <v>5.9187662901825089E-3</v>
      </c>
      <c r="F777" s="64">
        <v>774</v>
      </c>
      <c r="G777" s="64">
        <f t="shared" ca="1" si="27"/>
        <v>1.0447067766516181E-2</v>
      </c>
    </row>
    <row r="778" spans="2:7" x14ac:dyDescent="0.3">
      <c r="B778" s="55">
        <v>43460</v>
      </c>
      <c r="C778" s="54">
        <v>1554.85</v>
      </c>
      <c r="D778" s="56">
        <f t="shared" si="26"/>
        <v>-0.55565557841792412</v>
      </c>
      <c r="E778" s="64">
        <v>5.887109817240832E-3</v>
      </c>
      <c r="F778" s="64">
        <v>775</v>
      </c>
      <c r="G778" s="64">
        <f t="shared" ca="1" si="27"/>
        <v>2.2159856387342206E-2</v>
      </c>
    </row>
    <row r="779" spans="2:7" x14ac:dyDescent="0.3">
      <c r="B779" s="55">
        <v>44981</v>
      </c>
      <c r="C779" s="54">
        <v>3499.2</v>
      </c>
      <c r="D779" s="56">
        <f t="shared" si="26"/>
        <v>0.51907966138484896</v>
      </c>
      <c r="E779" s="64">
        <v>5.8785483291412532E-3</v>
      </c>
      <c r="F779" s="64">
        <v>776</v>
      </c>
      <c r="G779" s="64">
        <f t="shared" ca="1" si="27"/>
        <v>1.9581071282742023E-2</v>
      </c>
    </row>
    <row r="780" spans="2:7" x14ac:dyDescent="0.3">
      <c r="B780" s="55">
        <v>43944</v>
      </c>
      <c r="C780" s="54">
        <v>2303.5</v>
      </c>
      <c r="D780" s="56">
        <f t="shared" si="26"/>
        <v>0.55327039784221177</v>
      </c>
      <c r="E780" s="64">
        <v>5.8732342088598788E-3</v>
      </c>
      <c r="F780" s="64">
        <v>777</v>
      </c>
      <c r="G780" s="64">
        <f t="shared" ca="1" si="27"/>
        <v>9.761163999398215E-3</v>
      </c>
    </row>
    <row r="781" spans="2:7" x14ac:dyDescent="0.3">
      <c r="B781" s="55">
        <v>43217</v>
      </c>
      <c r="C781" s="54">
        <v>1483</v>
      </c>
      <c r="D781" s="56">
        <f t="shared" si="26"/>
        <v>-0.67876792444656242</v>
      </c>
      <c r="E781" s="64">
        <v>5.8669922338658864E-3</v>
      </c>
      <c r="F781" s="64">
        <v>778</v>
      </c>
      <c r="G781" s="64">
        <f t="shared" ca="1" si="27"/>
        <v>3.2308359335407157E-3</v>
      </c>
    </row>
    <row r="782" spans="2:7" x14ac:dyDescent="0.3">
      <c r="B782" s="55">
        <v>45912</v>
      </c>
      <c r="C782" s="54">
        <v>4616.6000000000004</v>
      </c>
      <c r="D782" s="56">
        <f t="shared" si="26"/>
        <v>0.14683890199975158</v>
      </c>
      <c r="E782" s="64">
        <v>5.8609495173977955E-3</v>
      </c>
      <c r="F782" s="64">
        <v>779</v>
      </c>
      <c r="G782" s="64">
        <f t="shared" ca="1" si="27"/>
        <v>8.3653584253431945E-3</v>
      </c>
    </row>
    <row r="783" spans="2:7" x14ac:dyDescent="0.3">
      <c r="B783" s="55">
        <v>45810</v>
      </c>
      <c r="C783" s="54">
        <v>4025.5</v>
      </c>
      <c r="D783" s="56">
        <f t="shared" si="26"/>
        <v>0.34864398545990594</v>
      </c>
      <c r="E783" s="64">
        <v>5.8469303615602541E-3</v>
      </c>
      <c r="F783" s="64">
        <v>780</v>
      </c>
      <c r="G783" s="64">
        <f t="shared" ca="1" si="27"/>
        <v>-1.9702044799735412E-2</v>
      </c>
    </row>
    <row r="784" spans="2:7" x14ac:dyDescent="0.3">
      <c r="B784" s="55">
        <v>44207</v>
      </c>
      <c r="C784" s="54">
        <v>2984.85</v>
      </c>
      <c r="D784" s="56">
        <f t="shared" si="26"/>
        <v>-0.38258747117045366</v>
      </c>
      <c r="E784" s="64">
        <v>5.8466722830665674E-3</v>
      </c>
      <c r="F784" s="64">
        <v>781</v>
      </c>
      <c r="G784" s="64">
        <f t="shared" ca="1" si="27"/>
        <v>5.8008112788809994E-3</v>
      </c>
    </row>
    <row r="785" spans="2:7" x14ac:dyDescent="0.3">
      <c r="B785" s="55">
        <v>45483</v>
      </c>
      <c r="C785" s="54">
        <v>4834.45</v>
      </c>
      <c r="D785" s="56">
        <f t="shared" si="26"/>
        <v>1.6292761189971174</v>
      </c>
      <c r="E785" s="64">
        <v>5.8464323239046934E-3</v>
      </c>
      <c r="F785" s="64">
        <v>782</v>
      </c>
      <c r="G785" s="64">
        <f t="shared" ca="1" si="27"/>
        <v>-5.2830246234198703E-3</v>
      </c>
    </row>
    <row r="786" spans="2:7" x14ac:dyDescent="0.3">
      <c r="B786" s="55">
        <v>43753</v>
      </c>
      <c r="C786" s="54">
        <v>1838.7</v>
      </c>
      <c r="D786" s="56">
        <f t="shared" si="26"/>
        <v>-0.46908250920378258</v>
      </c>
      <c r="E786" s="64">
        <v>5.8258800361041807E-3</v>
      </c>
      <c r="F786" s="64">
        <v>783</v>
      </c>
      <c r="G786" s="64">
        <f t="shared" ca="1" si="27"/>
        <v>5.3661099289394096E-2</v>
      </c>
    </row>
    <row r="787" spans="2:7" x14ac:dyDescent="0.3">
      <c r="B787" s="55">
        <v>44988</v>
      </c>
      <c r="C787" s="54">
        <v>3463.25</v>
      </c>
      <c r="D787" s="56">
        <f t="shared" si="26"/>
        <v>0.49024290539813697</v>
      </c>
      <c r="E787" s="64">
        <v>5.8230715613383222E-3</v>
      </c>
      <c r="F787" s="64">
        <v>784</v>
      </c>
      <c r="G787" s="64">
        <f t="shared" ca="1" si="27"/>
        <v>1.4917685395545856E-2</v>
      </c>
    </row>
    <row r="788" spans="2:7" x14ac:dyDescent="0.3">
      <c r="B788" s="55">
        <v>43948</v>
      </c>
      <c r="C788" s="54">
        <v>2323.9499999999998</v>
      </c>
      <c r="D788" s="56">
        <f t="shared" si="26"/>
        <v>-0.39083081036448708</v>
      </c>
      <c r="E788" s="64">
        <v>5.8212508115125239E-3</v>
      </c>
      <c r="F788" s="64">
        <v>785</v>
      </c>
      <c r="G788" s="64">
        <f t="shared" ca="1" si="27"/>
        <v>1.703456714184288E-3</v>
      </c>
    </row>
    <row r="789" spans="2:7" x14ac:dyDescent="0.3">
      <c r="B789" s="55">
        <v>45251</v>
      </c>
      <c r="C789" s="54">
        <v>3814.95</v>
      </c>
      <c r="D789" s="56">
        <f t="shared" si="26"/>
        <v>-6.8752135917590329E-2</v>
      </c>
      <c r="E789" s="64">
        <v>5.8134936328402276E-3</v>
      </c>
      <c r="F789" s="64">
        <v>786</v>
      </c>
      <c r="G789" s="64">
        <f t="shared" ca="1" si="27"/>
        <v>-1.0407652172586492E-2</v>
      </c>
    </row>
    <row r="790" spans="2:7" x14ac:dyDescent="0.3">
      <c r="B790" s="55">
        <v>44613</v>
      </c>
      <c r="C790" s="54">
        <v>4096.6000000000004</v>
      </c>
      <c r="D790" s="56">
        <f t="shared" si="26"/>
        <v>4.2618328944833355</v>
      </c>
      <c r="E790" s="64">
        <v>5.7695612678305697E-3</v>
      </c>
      <c r="F790" s="64">
        <v>787</v>
      </c>
      <c r="G790" s="64">
        <f t="shared" ca="1" si="27"/>
        <v>-1.0516674371852015E-2</v>
      </c>
    </row>
    <row r="791" spans="2:7" x14ac:dyDescent="0.3">
      <c r="B791" s="55">
        <v>42836</v>
      </c>
      <c r="C791" s="54">
        <v>778.55</v>
      </c>
      <c r="D791" s="56">
        <f t="shared" si="26"/>
        <v>0.23217535807549239</v>
      </c>
      <c r="E791" s="64">
        <v>5.7486112905309472E-3</v>
      </c>
      <c r="F791" s="64">
        <v>788</v>
      </c>
      <c r="G791" s="64">
        <f t="shared" ca="1" si="27"/>
        <v>3.1147399992548203E-2</v>
      </c>
    </row>
    <row r="792" spans="2:7" x14ac:dyDescent="0.3">
      <c r="B792" s="55">
        <v>42824</v>
      </c>
      <c r="C792" s="54">
        <v>631.85</v>
      </c>
      <c r="D792" s="56">
        <f t="shared" si="26"/>
        <v>-0.83810756104435158</v>
      </c>
      <c r="E792" s="64">
        <v>5.7302029446877345E-3</v>
      </c>
      <c r="F792" s="64">
        <v>789</v>
      </c>
      <c r="G792" s="64">
        <f t="shared" ca="1" si="27"/>
        <v>-2.4324790988948758E-4</v>
      </c>
    </row>
    <row r="793" spans="2:7" x14ac:dyDescent="0.3">
      <c r="B793" s="55">
        <v>46070</v>
      </c>
      <c r="C793" s="54">
        <v>3902.9</v>
      </c>
      <c r="D793" s="56">
        <f t="shared" si="26"/>
        <v>-0.12751212751212748</v>
      </c>
      <c r="E793" s="64">
        <v>5.7206174143840105E-3</v>
      </c>
      <c r="F793" s="64">
        <v>790</v>
      </c>
      <c r="G793" s="64">
        <f t="shared" ca="1" si="27"/>
        <v>-2.1004785613637937E-2</v>
      </c>
    </row>
    <row r="794" spans="2:7" x14ac:dyDescent="0.3">
      <c r="B794" s="55">
        <v>46127</v>
      </c>
      <c r="C794" s="54">
        <v>4473.3</v>
      </c>
      <c r="D794" s="56">
        <f t="shared" si="26"/>
        <v>4.6422681497596319E-2</v>
      </c>
      <c r="E794" s="64">
        <v>5.6879496402877372E-3</v>
      </c>
      <c r="F794" s="64">
        <v>791</v>
      </c>
      <c r="G794" s="64">
        <f t="shared" ca="1" si="27"/>
        <v>7.5388429519523672E-3</v>
      </c>
    </row>
    <row r="795" spans="2:7" x14ac:dyDescent="0.3">
      <c r="B795" s="55">
        <v>44784</v>
      </c>
      <c r="C795" s="54">
        <v>4274.8500000000004</v>
      </c>
      <c r="D795" s="56">
        <f t="shared" si="26"/>
        <v>0.19124716110964046</v>
      </c>
      <c r="E795" s="64">
        <v>5.6814171783472478E-3</v>
      </c>
      <c r="F795" s="64">
        <v>792</v>
      </c>
      <c r="G795" s="64">
        <f t="shared" ca="1" si="27"/>
        <v>-1.157780224855613E-3</v>
      </c>
    </row>
    <row r="796" spans="2:7" x14ac:dyDescent="0.3">
      <c r="B796" s="55">
        <v>45656</v>
      </c>
      <c r="C796" s="54">
        <v>3588.55</v>
      </c>
      <c r="D796" s="56">
        <f t="shared" si="26"/>
        <v>-0.24056673650350247</v>
      </c>
      <c r="E796" s="64">
        <v>5.6608796782826598E-3</v>
      </c>
      <c r="F796" s="64">
        <v>793</v>
      </c>
      <c r="G796" s="64">
        <f t="shared" ca="1" si="27"/>
        <v>-2.8997659256575582E-2</v>
      </c>
    </row>
    <row r="797" spans="2:7" x14ac:dyDescent="0.3">
      <c r="B797" s="55">
        <v>45894</v>
      </c>
      <c r="C797" s="54">
        <v>4725.3</v>
      </c>
      <c r="D797" s="56">
        <f t="shared" si="26"/>
        <v>0.25110540390267144</v>
      </c>
      <c r="E797" s="64">
        <v>5.6397378053971714E-3</v>
      </c>
      <c r="F797" s="64">
        <v>794</v>
      </c>
      <c r="G797" s="64">
        <f t="shared" ca="1" si="27"/>
        <v>-3.5241644837699281E-2</v>
      </c>
    </row>
    <row r="798" spans="2:7" x14ac:dyDescent="0.3">
      <c r="B798" s="55">
        <v>45174</v>
      </c>
      <c r="C798" s="54">
        <v>3776.9</v>
      </c>
      <c r="D798" s="56">
        <f t="shared" si="26"/>
        <v>1.7202275919190466</v>
      </c>
      <c r="E798" s="64">
        <v>5.6313652399653247E-3</v>
      </c>
      <c r="F798" s="64">
        <v>795</v>
      </c>
      <c r="G798" s="64">
        <f t="shared" ca="1" si="27"/>
        <v>-2.3928533860409155E-2</v>
      </c>
    </row>
    <row r="799" spans="2:7" x14ac:dyDescent="0.3">
      <c r="B799" s="55">
        <v>43419</v>
      </c>
      <c r="C799" s="54">
        <v>1388.45</v>
      </c>
      <c r="D799" s="56">
        <f t="shared" si="26"/>
        <v>-0.5169600612301698</v>
      </c>
      <c r="E799" s="64">
        <v>5.6130948069819109E-3</v>
      </c>
      <c r="F799" s="64">
        <v>796</v>
      </c>
      <c r="G799" s="64">
        <f t="shared" ca="1" si="27"/>
        <v>-1.7042837299546545E-2</v>
      </c>
    </row>
    <row r="800" spans="2:7" x14ac:dyDescent="0.3">
      <c r="B800" s="55">
        <v>44321</v>
      </c>
      <c r="C800" s="54">
        <v>2874.4</v>
      </c>
      <c r="D800" s="56">
        <f t="shared" si="26"/>
        <v>-0.2864218065364994</v>
      </c>
      <c r="E800" s="64">
        <v>5.5975370836831573E-3</v>
      </c>
      <c r="F800" s="64">
        <v>797</v>
      </c>
      <c r="G800" s="64">
        <f t="shared" ca="1" si="27"/>
        <v>1.5130448892229701E-2</v>
      </c>
    </row>
    <row r="801" spans="2:7" x14ac:dyDescent="0.3">
      <c r="B801" s="55">
        <v>44900</v>
      </c>
      <c r="C801" s="54">
        <v>4028.15</v>
      </c>
      <c r="D801" s="56">
        <f t="shared" si="26"/>
        <v>1.7112808777007471</v>
      </c>
      <c r="E801" s="64">
        <v>5.5919615552644242E-3</v>
      </c>
      <c r="F801" s="64">
        <v>798</v>
      </c>
      <c r="G801" s="64">
        <f t="shared" ca="1" si="27"/>
        <v>-1.6395036474860084E-2</v>
      </c>
    </row>
    <row r="802" spans="2:7" x14ac:dyDescent="0.3">
      <c r="B802" s="55">
        <v>43438</v>
      </c>
      <c r="C802" s="54">
        <v>1485.7</v>
      </c>
      <c r="D802" s="56">
        <f t="shared" si="26"/>
        <v>-0.64565022956293605</v>
      </c>
      <c r="E802" s="64">
        <v>5.5839453111781179E-3</v>
      </c>
      <c r="F802" s="64">
        <v>799</v>
      </c>
      <c r="G802" s="64">
        <f t="shared" ca="1" si="27"/>
        <v>-1.4295074653594296E-2</v>
      </c>
    </row>
    <row r="803" spans="2:7" x14ac:dyDescent="0.3">
      <c r="B803" s="55">
        <v>44637</v>
      </c>
      <c r="C803" s="54">
        <v>4192.75</v>
      </c>
      <c r="D803" s="56">
        <f t="shared" si="26"/>
        <v>0.12893454320256326</v>
      </c>
      <c r="E803" s="64">
        <v>5.5641496084708475E-3</v>
      </c>
      <c r="F803" s="64">
        <v>800</v>
      </c>
      <c r="G803" s="64">
        <f t="shared" ca="1" si="27"/>
        <v>-1.0220158581458976E-2</v>
      </c>
    </row>
    <row r="804" spans="2:7" x14ac:dyDescent="0.3">
      <c r="B804" s="55">
        <v>45135</v>
      </c>
      <c r="C804" s="54">
        <v>3713.9</v>
      </c>
      <c r="D804" s="56">
        <f t="shared" si="26"/>
        <v>2.3389373370493574</v>
      </c>
      <c r="E804" s="64">
        <v>5.5640543138344434E-3</v>
      </c>
      <c r="F804" s="64">
        <v>801</v>
      </c>
      <c r="G804" s="64">
        <f t="shared" ca="1" si="27"/>
        <v>-2.5248131077753623E-2</v>
      </c>
    </row>
    <row r="805" spans="2:7" x14ac:dyDescent="0.3">
      <c r="B805" s="55">
        <v>43060</v>
      </c>
      <c r="C805" s="54">
        <v>1112.3</v>
      </c>
      <c r="D805" s="56">
        <f t="shared" si="26"/>
        <v>-0.51525320317266621</v>
      </c>
      <c r="E805" s="64">
        <v>5.5598246169143994E-3</v>
      </c>
      <c r="F805" s="64">
        <v>802</v>
      </c>
      <c r="G805" s="64">
        <f t="shared" ca="1" si="27"/>
        <v>-1.6167066693332371E-2</v>
      </c>
    </row>
    <row r="806" spans="2:7" x14ac:dyDescent="0.3">
      <c r="B806" s="55">
        <v>44141</v>
      </c>
      <c r="C806" s="54">
        <v>2294.6</v>
      </c>
      <c r="D806" s="56">
        <f t="shared" si="26"/>
        <v>-0.41922093700169583</v>
      </c>
      <c r="E806" s="64">
        <v>5.5435044589058347E-3</v>
      </c>
      <c r="F806" s="64">
        <v>803</v>
      </c>
      <c r="G806" s="64">
        <f t="shared" ca="1" si="27"/>
        <v>3.4993645817289936E-3</v>
      </c>
    </row>
    <row r="807" spans="2:7" x14ac:dyDescent="0.3">
      <c r="B807" s="55">
        <v>46219</v>
      </c>
      <c r="C807" s="54">
        <v>3950.9</v>
      </c>
      <c r="D807" s="56">
        <f t="shared" si="26"/>
        <v>0.47405141215535562</v>
      </c>
      <c r="E807" s="64">
        <v>5.497162344437978E-3</v>
      </c>
      <c r="F807" s="64">
        <v>804</v>
      </c>
      <c r="G807" s="64">
        <f t="shared" ca="1" si="27"/>
        <v>1.379806471046041E-2</v>
      </c>
    </row>
    <row r="808" spans="2:7" x14ac:dyDescent="0.3">
      <c r="B808" s="55">
        <v>44195</v>
      </c>
      <c r="C808" s="54">
        <v>2680.3</v>
      </c>
      <c r="D808" s="56">
        <f t="shared" si="26"/>
        <v>-0.22826869367423908</v>
      </c>
      <c r="E808" s="64">
        <v>5.4769854072103108E-3</v>
      </c>
      <c r="F808" s="64">
        <v>805</v>
      </c>
      <c r="G808" s="64">
        <f t="shared" ca="1" si="27"/>
        <v>8.2588439155256883E-3</v>
      </c>
    </row>
    <row r="809" spans="2:7" x14ac:dyDescent="0.3">
      <c r="B809" s="55">
        <v>45028</v>
      </c>
      <c r="C809" s="54">
        <v>3473.1</v>
      </c>
      <c r="D809" s="56">
        <f t="shared" si="26"/>
        <v>-4.0752351097178785E-2</v>
      </c>
      <c r="E809" s="64">
        <v>5.4715997915582015E-3</v>
      </c>
      <c r="F809" s="64">
        <v>806</v>
      </c>
      <c r="G809" s="64">
        <f t="shared" ca="1" si="27"/>
        <v>-1.4788952125431231E-2</v>
      </c>
    </row>
    <row r="810" spans="2:7" x14ac:dyDescent="0.3">
      <c r="B810" s="55">
        <v>45674</v>
      </c>
      <c r="C810" s="54">
        <v>3620.65</v>
      </c>
      <c r="D810" s="56">
        <f t="shared" si="26"/>
        <v>-0.23475329451425075</v>
      </c>
      <c r="E810" s="64">
        <v>5.4707785445509138E-3</v>
      </c>
      <c r="F810" s="64">
        <v>807</v>
      </c>
      <c r="G810" s="64">
        <f t="shared" ca="1" si="27"/>
        <v>2.7814254998582803E-4</v>
      </c>
    </row>
    <row r="811" spans="2:7" x14ac:dyDescent="0.3">
      <c r="B811" s="55">
        <v>44568</v>
      </c>
      <c r="C811" s="54">
        <v>4731.3500000000004</v>
      </c>
      <c r="D811" s="56">
        <f t="shared" si="26"/>
        <v>2.5172093369015762</v>
      </c>
      <c r="E811" s="64">
        <v>5.4615196625333873E-3</v>
      </c>
      <c r="F811" s="64">
        <v>808</v>
      </c>
      <c r="G811" s="64">
        <f t="shared" ca="1" si="27"/>
        <v>7.3649342273209382E-3</v>
      </c>
    </row>
    <row r="812" spans="2:7" x14ac:dyDescent="0.3">
      <c r="B812" s="55">
        <v>43173</v>
      </c>
      <c r="C812" s="54">
        <v>1345.2</v>
      </c>
      <c r="D812" s="56">
        <f t="shared" si="26"/>
        <v>-0.64701251672833182</v>
      </c>
      <c r="E812" s="64">
        <v>5.4563121309514351E-3</v>
      </c>
      <c r="F812" s="64">
        <v>809</v>
      </c>
      <c r="G812" s="64">
        <f t="shared" ca="1" si="27"/>
        <v>-2.4271812394583703E-3</v>
      </c>
    </row>
    <row r="813" spans="2:7" x14ac:dyDescent="0.3">
      <c r="B813" s="55">
        <v>45247</v>
      </c>
      <c r="C813" s="54">
        <v>3810.9</v>
      </c>
      <c r="D813" s="56">
        <f t="shared" si="26"/>
        <v>-0.12557936762883759</v>
      </c>
      <c r="E813" s="64">
        <v>5.4481894334146297E-3</v>
      </c>
      <c r="F813" s="64">
        <v>810</v>
      </c>
      <c r="G813" s="64">
        <f t="shared" ca="1" si="27"/>
        <v>1.9704273949278468E-3</v>
      </c>
    </row>
    <row r="814" spans="2:7" x14ac:dyDescent="0.3">
      <c r="B814" s="55">
        <v>45883</v>
      </c>
      <c r="C814" s="54">
        <v>4358.2</v>
      </c>
      <c r="D814" s="56">
        <f t="shared" si="26"/>
        <v>-5.1361654530097667E-3</v>
      </c>
      <c r="E814" s="64">
        <v>5.4445623586949488E-3</v>
      </c>
      <c r="F814" s="64">
        <v>811</v>
      </c>
      <c r="G814" s="64">
        <f t="shared" ca="1" si="27"/>
        <v>-1.0435411251045483E-2</v>
      </c>
    </row>
    <row r="815" spans="2:7" x14ac:dyDescent="0.3">
      <c r="B815" s="55">
        <v>46203</v>
      </c>
      <c r="C815" s="54">
        <v>4380.7</v>
      </c>
      <c r="D815" s="56">
        <f t="shared" si="26"/>
        <v>0.11216329432074934</v>
      </c>
      <c r="E815" s="64">
        <v>5.4395226072985192E-3</v>
      </c>
      <c r="F815" s="64">
        <v>812</v>
      </c>
      <c r="G815" s="64">
        <f t="shared" ca="1" si="27"/>
        <v>1.0538642268708391E-2</v>
      </c>
    </row>
    <row r="816" spans="2:7" x14ac:dyDescent="0.3">
      <c r="B816" s="55">
        <v>44442</v>
      </c>
      <c r="C816" s="54">
        <v>3938.9</v>
      </c>
      <c r="D816" s="56">
        <f t="shared" si="26"/>
        <v>1.9461834773177755</v>
      </c>
      <c r="E816" s="64">
        <v>5.4241701019743793E-3</v>
      </c>
      <c r="F816" s="64">
        <v>813</v>
      </c>
      <c r="G816" s="64">
        <f t="shared" ca="1" si="27"/>
        <v>-9.7611728514300049E-3</v>
      </c>
    </row>
    <row r="817" spans="2:7" x14ac:dyDescent="0.3">
      <c r="B817" s="55">
        <v>43389</v>
      </c>
      <c r="C817" s="54">
        <v>1336.95</v>
      </c>
      <c r="D817" s="56">
        <f t="shared" si="26"/>
        <v>-0.10628697483204652</v>
      </c>
      <c r="E817" s="64">
        <v>5.4145516074450839E-3</v>
      </c>
      <c r="F817" s="64">
        <v>814</v>
      </c>
      <c r="G817" s="64">
        <f t="shared" ca="1" si="27"/>
        <v>-4.4245986687153245E-2</v>
      </c>
    </row>
    <row r="818" spans="2:7" x14ac:dyDescent="0.3">
      <c r="B818" s="55">
        <v>43521</v>
      </c>
      <c r="C818" s="54">
        <v>1495.95</v>
      </c>
      <c r="D818" s="56">
        <f t="shared" si="26"/>
        <v>-0.31683982189747684</v>
      </c>
      <c r="E818" s="64">
        <v>5.4103098326501176E-3</v>
      </c>
      <c r="F818" s="64">
        <v>815</v>
      </c>
      <c r="G818" s="64">
        <f t="shared" ca="1" si="27"/>
        <v>4.549788436293843E-3</v>
      </c>
    </row>
    <row r="819" spans="2:7" x14ac:dyDescent="0.3">
      <c r="B819" s="55">
        <v>44060</v>
      </c>
      <c r="C819" s="54">
        <v>2189.75</v>
      </c>
      <c r="D819" s="56">
        <f t="shared" si="26"/>
        <v>-0.40537935154510396</v>
      </c>
      <c r="E819" s="64">
        <v>5.3948576675848514E-3</v>
      </c>
      <c r="F819" s="64">
        <v>816</v>
      </c>
      <c r="G819" s="64">
        <f t="shared" ca="1" si="27"/>
        <v>-1.1984054369541501E-2</v>
      </c>
    </row>
    <row r="820" spans="2:7" x14ac:dyDescent="0.3">
      <c r="B820" s="55">
        <v>44728</v>
      </c>
      <c r="C820" s="54">
        <v>3682.6</v>
      </c>
      <c r="D820" s="56">
        <f t="shared" si="26"/>
        <v>5.8492138771521374E-2</v>
      </c>
      <c r="E820" s="64">
        <v>5.3782522045373593E-3</v>
      </c>
      <c r="F820" s="64">
        <v>817</v>
      </c>
      <c r="G820" s="64">
        <f t="shared" ca="1" si="27"/>
        <v>2.0856209928624581E-2</v>
      </c>
    </row>
    <row r="821" spans="2:7" x14ac:dyDescent="0.3">
      <c r="B821" s="55">
        <v>44732</v>
      </c>
      <c r="C821" s="54">
        <v>3479.1</v>
      </c>
      <c r="D821" s="56">
        <f t="shared" si="26"/>
        <v>2.8016718570726109</v>
      </c>
      <c r="E821" s="64">
        <v>5.3604195864818127E-3</v>
      </c>
      <c r="F821" s="64">
        <v>818</v>
      </c>
      <c r="G821" s="64">
        <f t="shared" ca="1" si="27"/>
        <v>3.58175126589537E-2</v>
      </c>
    </row>
    <row r="822" spans="2:7" x14ac:dyDescent="0.3">
      <c r="B822" s="55">
        <v>42929</v>
      </c>
      <c r="C822" s="54">
        <v>915.15</v>
      </c>
      <c r="D822" s="56">
        <f t="shared" si="26"/>
        <v>-0.40822529018073661</v>
      </c>
      <c r="E822" s="64">
        <v>5.3279138745467858E-3</v>
      </c>
      <c r="F822" s="64">
        <v>819</v>
      </c>
      <c r="G822" s="64">
        <f t="shared" ca="1" si="27"/>
        <v>6.5106645705688563E-3</v>
      </c>
    </row>
    <row r="823" spans="2:7" x14ac:dyDescent="0.3">
      <c r="B823" s="55">
        <v>43286</v>
      </c>
      <c r="C823" s="54">
        <v>1546.45</v>
      </c>
      <c r="D823" s="56">
        <f t="shared" si="26"/>
        <v>-0.59833510817900826</v>
      </c>
      <c r="E823" s="64">
        <v>5.2980562959110689E-3</v>
      </c>
      <c r="F823" s="64">
        <v>820</v>
      </c>
      <c r="G823" s="64">
        <f t="shared" ca="1" si="27"/>
        <v>-4.0472945952033088E-2</v>
      </c>
    </row>
    <row r="824" spans="2:7" x14ac:dyDescent="0.3">
      <c r="B824" s="55">
        <v>45630</v>
      </c>
      <c r="C824" s="54">
        <v>3850.1</v>
      </c>
      <c r="D824" s="56">
        <f t="shared" si="26"/>
        <v>1.7542027326704339</v>
      </c>
      <c r="E824" s="64">
        <v>5.2874133451701333E-3</v>
      </c>
      <c r="F824" s="64">
        <v>821</v>
      </c>
      <c r="G824" s="64">
        <f t="shared" ca="1" si="27"/>
        <v>3.1058517214492182E-2</v>
      </c>
    </row>
    <row r="825" spans="2:7" x14ac:dyDescent="0.3">
      <c r="B825" s="55">
        <v>43644</v>
      </c>
      <c r="C825" s="54">
        <v>1397.9</v>
      </c>
      <c r="D825" s="56">
        <f t="shared" si="26"/>
        <v>-0.63182153392330376</v>
      </c>
      <c r="E825" s="64">
        <v>5.2856783287189568E-3</v>
      </c>
      <c r="F825" s="64">
        <v>822</v>
      </c>
      <c r="G825" s="64">
        <f t="shared" ca="1" si="27"/>
        <v>8.7225531042197067E-3</v>
      </c>
    </row>
    <row r="826" spans="2:7" x14ac:dyDescent="0.3">
      <c r="B826" s="55">
        <v>45175</v>
      </c>
      <c r="C826" s="54">
        <v>3796.8</v>
      </c>
      <c r="D826" s="56">
        <f t="shared" si="26"/>
        <v>0.60666906459598424</v>
      </c>
      <c r="E826" s="64">
        <v>5.2688712965660578E-3</v>
      </c>
      <c r="F826" s="64">
        <v>823</v>
      </c>
      <c r="G826" s="64">
        <f t="shared" ca="1" si="27"/>
        <v>2.4998798455670351E-2</v>
      </c>
    </row>
    <row r="827" spans="2:7" x14ac:dyDescent="0.3">
      <c r="B827" s="55">
        <v>44001</v>
      </c>
      <c r="C827" s="54">
        <v>2363.15</v>
      </c>
      <c r="D827" s="56">
        <f t="shared" si="26"/>
        <v>0.5448453945218017</v>
      </c>
      <c r="E827" s="64">
        <v>5.2321500733778503E-3</v>
      </c>
      <c r="F827" s="64">
        <v>824</v>
      </c>
      <c r="G827" s="64">
        <f t="shared" ca="1" si="27"/>
        <v>-3.4308724459561016E-3</v>
      </c>
    </row>
    <row r="828" spans="2:7" x14ac:dyDescent="0.3">
      <c r="B828" s="55">
        <v>43714</v>
      </c>
      <c r="C828" s="54">
        <v>1529.7</v>
      </c>
      <c r="D828" s="56">
        <f t="shared" si="26"/>
        <v>-0.20522678859042964</v>
      </c>
      <c r="E828" s="64">
        <v>5.2242483982256616E-3</v>
      </c>
      <c r="F828" s="64">
        <v>825</v>
      </c>
      <c r="G828" s="64">
        <f t="shared" ca="1" si="27"/>
        <v>-1.671541190380771E-3</v>
      </c>
    </row>
    <row r="829" spans="2:7" x14ac:dyDescent="0.3">
      <c r="B829" s="55">
        <v>43853</v>
      </c>
      <c r="C829" s="54">
        <v>1924.7</v>
      </c>
      <c r="D829" s="56">
        <f t="shared" si="26"/>
        <v>-0.188934072185584</v>
      </c>
      <c r="E829" s="64">
        <v>5.2227503003081654E-3</v>
      </c>
      <c r="F829" s="64">
        <v>826</v>
      </c>
      <c r="G829" s="64">
        <f t="shared" ca="1" si="27"/>
        <v>1.4380400875267273E-2</v>
      </c>
    </row>
    <row r="830" spans="2:7" x14ac:dyDescent="0.3">
      <c r="B830" s="55">
        <v>44161</v>
      </c>
      <c r="C830" s="54">
        <v>2373.0500000000002</v>
      </c>
      <c r="D830" s="56">
        <f t="shared" si="26"/>
        <v>-0.36249462712228664</v>
      </c>
      <c r="E830" s="64">
        <v>5.1889190105049998E-3</v>
      </c>
      <c r="F830" s="64">
        <v>827</v>
      </c>
      <c r="G830" s="64">
        <f t="shared" ca="1" si="27"/>
        <v>-6.1286722445853831E-3</v>
      </c>
    </row>
    <row r="831" spans="2:7" x14ac:dyDescent="0.3">
      <c r="B831" s="55">
        <v>45336</v>
      </c>
      <c r="C831" s="54">
        <v>3722.4</v>
      </c>
      <c r="D831" s="56">
        <f t="shared" si="26"/>
        <v>1.7116372245492624</v>
      </c>
      <c r="E831" s="64">
        <v>5.1847051198963268E-3</v>
      </c>
      <c r="F831" s="64">
        <v>828</v>
      </c>
      <c r="G831" s="64">
        <f t="shared" ca="1" si="27"/>
        <v>3.906560202506426E-5</v>
      </c>
    </row>
    <row r="832" spans="2:7" x14ac:dyDescent="0.3">
      <c r="B832" s="55">
        <v>43493</v>
      </c>
      <c r="C832" s="54">
        <v>1372.75</v>
      </c>
      <c r="D832" s="56">
        <f t="shared" si="26"/>
        <v>-7.9093013115084099E-2</v>
      </c>
      <c r="E832" s="64">
        <v>5.1621878889946959E-3</v>
      </c>
      <c r="F832" s="64">
        <v>829</v>
      </c>
      <c r="G832" s="64">
        <f t="shared" ca="1" si="27"/>
        <v>7.3041445490954057E-3</v>
      </c>
    </row>
    <row r="833" spans="2:7" x14ac:dyDescent="0.3">
      <c r="B833" s="55">
        <v>43220</v>
      </c>
      <c r="C833" s="54">
        <v>1490.65</v>
      </c>
      <c r="D833" s="56">
        <f t="shared" si="26"/>
        <v>9.2611595690097692E-2</v>
      </c>
      <c r="E833" s="64">
        <v>5.1584625758598346E-3</v>
      </c>
      <c r="F833" s="64">
        <v>830</v>
      </c>
      <c r="G833" s="64">
        <f t="shared" ca="1" si="27"/>
        <v>-1.1292413044282773E-2</v>
      </c>
    </row>
    <row r="834" spans="2:7" x14ac:dyDescent="0.3">
      <c r="B834" s="55">
        <v>43193</v>
      </c>
      <c r="C834" s="54">
        <v>1364.3</v>
      </c>
      <c r="D834" s="56">
        <f t="shared" si="26"/>
        <v>0.37170721898250547</v>
      </c>
      <c r="E834" s="64">
        <v>5.1572975760700857E-3</v>
      </c>
      <c r="F834" s="64">
        <v>831</v>
      </c>
      <c r="G834" s="64">
        <f t="shared" ca="1" si="27"/>
        <v>1.5158860352620923E-2</v>
      </c>
    </row>
    <row r="835" spans="2:7" x14ac:dyDescent="0.3">
      <c r="B835" s="55">
        <v>42971</v>
      </c>
      <c r="C835" s="54">
        <v>994.6</v>
      </c>
      <c r="D835" s="56">
        <f t="shared" si="26"/>
        <v>-0.71242699358121775</v>
      </c>
      <c r="E835" s="64">
        <v>5.1541182415362208E-3</v>
      </c>
      <c r="F835" s="64">
        <v>832</v>
      </c>
      <c r="G835" s="64">
        <f t="shared" ca="1" si="27"/>
        <v>-2.138008331247692E-2</v>
      </c>
    </row>
    <row r="836" spans="2:7" x14ac:dyDescent="0.3">
      <c r="B836" s="55">
        <v>44965</v>
      </c>
      <c r="C836" s="54">
        <v>3458.6</v>
      </c>
      <c r="D836" s="56">
        <f t="shared" ref="D836:D899" si="28">C836/C837-1</f>
        <v>-9.9557406925279923E-2</v>
      </c>
      <c r="E836" s="64">
        <v>5.1440030224649824E-3</v>
      </c>
      <c r="F836" s="64">
        <v>833</v>
      </c>
      <c r="G836" s="64">
        <f t="shared" ca="1" si="27"/>
        <v>-1.9531741484321491E-2</v>
      </c>
    </row>
    <row r="837" spans="2:7" x14ac:dyDescent="0.3">
      <c r="B837" s="55">
        <v>45303</v>
      </c>
      <c r="C837" s="54">
        <v>3841</v>
      </c>
      <c r="D837" s="56">
        <f t="shared" si="28"/>
        <v>-9.7795577060847738E-2</v>
      </c>
      <c r="E837" s="64">
        <v>5.1421618014575454E-3</v>
      </c>
      <c r="F837" s="64">
        <v>834</v>
      </c>
      <c r="G837" s="64">
        <f t="shared" ref="G837:G900" ca="1" si="29">_xlfn.NORM.INV(RAND(),K$6,K$7)</f>
        <v>2.5704841534104177E-2</v>
      </c>
    </row>
    <row r="838" spans="2:7" x14ac:dyDescent="0.3">
      <c r="B838" s="55">
        <v>44473</v>
      </c>
      <c r="C838" s="54">
        <v>4257.3500000000004</v>
      </c>
      <c r="D838" s="56">
        <f t="shared" si="28"/>
        <v>0.27763939739511456</v>
      </c>
      <c r="E838" s="64">
        <v>5.1350458022476619E-3</v>
      </c>
      <c r="F838" s="64">
        <v>835</v>
      </c>
      <c r="G838" s="64">
        <f t="shared" ca="1" si="29"/>
        <v>5.4875640804658591E-3</v>
      </c>
    </row>
    <row r="839" spans="2:7" x14ac:dyDescent="0.3">
      <c r="B839" s="55">
        <v>44375</v>
      </c>
      <c r="C839" s="54">
        <v>3332.2</v>
      </c>
      <c r="D839" s="56">
        <f t="shared" si="28"/>
        <v>-0.19207642323731933</v>
      </c>
      <c r="E839" s="64">
        <v>5.0824196540335542E-3</v>
      </c>
      <c r="F839" s="64">
        <v>836</v>
      </c>
      <c r="G839" s="64">
        <f t="shared" ca="1" si="29"/>
        <v>7.228752259882322E-3</v>
      </c>
    </row>
    <row r="840" spans="2:7" x14ac:dyDescent="0.3">
      <c r="B840" s="55">
        <v>46169</v>
      </c>
      <c r="C840" s="54">
        <v>4124.3999999999996</v>
      </c>
      <c r="D840" s="56">
        <f t="shared" si="28"/>
        <v>-3.2625776943825624E-2</v>
      </c>
      <c r="E840" s="64">
        <v>5.0687201481625088E-3</v>
      </c>
      <c r="F840" s="64">
        <v>837</v>
      </c>
      <c r="G840" s="64">
        <f t="shared" ca="1" si="29"/>
        <v>3.169986422023356E-3</v>
      </c>
    </row>
    <row r="841" spans="2:7" x14ac:dyDescent="0.3">
      <c r="B841" s="55">
        <v>45876</v>
      </c>
      <c r="C841" s="54">
        <v>4263.5</v>
      </c>
      <c r="D841" s="56">
        <f t="shared" si="28"/>
        <v>1.2502836935581767</v>
      </c>
      <c r="E841" s="64">
        <v>5.0683639792550306E-3</v>
      </c>
      <c r="F841" s="64">
        <v>838</v>
      </c>
      <c r="G841" s="64">
        <f t="shared" ca="1" si="29"/>
        <v>2.3375304362134664E-3</v>
      </c>
    </row>
    <row r="842" spans="2:7" x14ac:dyDescent="0.3">
      <c r="B842" s="55">
        <v>43742</v>
      </c>
      <c r="C842" s="54">
        <v>1894.65</v>
      </c>
      <c r="D842" s="56">
        <f t="shared" si="28"/>
        <v>-0.57246335932123071</v>
      </c>
      <c r="E842" s="64">
        <v>5.0127307447485059E-3</v>
      </c>
      <c r="F842" s="64">
        <v>839</v>
      </c>
      <c r="G842" s="64">
        <f t="shared" ca="1" si="29"/>
        <v>3.3894683692332651E-2</v>
      </c>
    </row>
    <row r="843" spans="2:7" x14ac:dyDescent="0.3">
      <c r="B843" s="55">
        <v>44802</v>
      </c>
      <c r="C843" s="54">
        <v>4431.55</v>
      </c>
      <c r="D843" s="56">
        <f t="shared" si="28"/>
        <v>2.2635319242948668</v>
      </c>
      <c r="E843" s="64">
        <v>4.9663805517445869E-3</v>
      </c>
      <c r="F843" s="64">
        <v>840</v>
      </c>
      <c r="G843" s="64">
        <f t="shared" ca="1" si="29"/>
        <v>-2.2269694968275237E-3</v>
      </c>
    </row>
    <row r="844" spans="2:7" x14ac:dyDescent="0.3">
      <c r="B844" s="55">
        <v>43487</v>
      </c>
      <c r="C844" s="54">
        <v>1357.9</v>
      </c>
      <c r="D844" s="56">
        <f t="shared" si="28"/>
        <v>-0.66743812987521889</v>
      </c>
      <c r="E844" s="64">
        <v>4.8841855990529037E-3</v>
      </c>
      <c r="F844" s="64">
        <v>841</v>
      </c>
      <c r="G844" s="64">
        <f t="shared" ca="1" si="29"/>
        <v>1.5453695102730725E-2</v>
      </c>
    </row>
    <row r="845" spans="2:7" x14ac:dyDescent="0.3">
      <c r="B845" s="55">
        <v>44902</v>
      </c>
      <c r="C845" s="54">
        <v>4083.15</v>
      </c>
      <c r="D845" s="56">
        <f t="shared" si="28"/>
        <v>2.2623441994247369</v>
      </c>
      <c r="E845" s="64">
        <v>4.8604616823348934E-3</v>
      </c>
      <c r="F845" s="64">
        <v>842</v>
      </c>
      <c r="G845" s="64">
        <f t="shared" ca="1" si="29"/>
        <v>8.4336034480086627E-3</v>
      </c>
    </row>
    <row r="846" spans="2:7" x14ac:dyDescent="0.3">
      <c r="B846" s="55">
        <v>43594</v>
      </c>
      <c r="C846" s="54">
        <v>1251.5999999999999</v>
      </c>
      <c r="D846" s="56">
        <f t="shared" si="28"/>
        <v>-0.68279794715833497</v>
      </c>
      <c r="E846" s="64">
        <v>4.8572919593752317E-3</v>
      </c>
      <c r="F846" s="64">
        <v>843</v>
      </c>
      <c r="G846" s="64">
        <f t="shared" ca="1" si="29"/>
        <v>-1.071202980977713E-2</v>
      </c>
    </row>
    <row r="847" spans="2:7" x14ac:dyDescent="0.3">
      <c r="B847" s="55">
        <v>44760</v>
      </c>
      <c r="C847" s="54">
        <v>3945.75</v>
      </c>
      <c r="D847" s="56">
        <f t="shared" si="28"/>
        <v>0.12772768195264161</v>
      </c>
      <c r="E847" s="64">
        <v>4.8258123663031949E-3</v>
      </c>
      <c r="F847" s="64">
        <v>844</v>
      </c>
      <c r="G847" s="64">
        <f t="shared" ca="1" si="29"/>
        <v>6.3140026801325102E-3</v>
      </c>
    </row>
    <row r="848" spans="2:7" x14ac:dyDescent="0.3">
      <c r="B848" s="55">
        <v>44967</v>
      </c>
      <c r="C848" s="54">
        <v>3498.85</v>
      </c>
      <c r="D848" s="56">
        <f t="shared" si="28"/>
        <v>-0.30215604930392126</v>
      </c>
      <c r="E848" s="64">
        <v>4.8247440444564305E-3</v>
      </c>
      <c r="F848" s="64">
        <v>845</v>
      </c>
      <c r="G848" s="64">
        <f t="shared" ca="1" si="29"/>
        <v>1.1086314258817054E-3</v>
      </c>
    </row>
    <row r="849" spans="2:7" x14ac:dyDescent="0.3">
      <c r="B849" s="55">
        <v>45516</v>
      </c>
      <c r="C849" s="54">
        <v>5013.8</v>
      </c>
      <c r="D849" s="56">
        <f t="shared" si="28"/>
        <v>0.36850724677238866</v>
      </c>
      <c r="E849" s="64">
        <v>4.779607010090281E-3</v>
      </c>
      <c r="F849" s="64">
        <v>846</v>
      </c>
      <c r="G849" s="64">
        <f t="shared" ca="1" si="29"/>
        <v>-2.1599491130463513E-2</v>
      </c>
    </row>
    <row r="850" spans="2:7" x14ac:dyDescent="0.3">
      <c r="B850" s="55">
        <v>46028</v>
      </c>
      <c r="C850" s="54">
        <v>3663.7</v>
      </c>
      <c r="D850" s="56">
        <f t="shared" si="28"/>
        <v>-0.10082218677138299</v>
      </c>
      <c r="E850" s="64">
        <v>4.7719606176122031E-3</v>
      </c>
      <c r="F850" s="64">
        <v>847</v>
      </c>
      <c r="G850" s="64">
        <f t="shared" ca="1" si="29"/>
        <v>-1.8970953655240722E-2</v>
      </c>
    </row>
    <row r="851" spans="2:7" x14ac:dyDescent="0.3">
      <c r="B851" s="55">
        <v>45812</v>
      </c>
      <c r="C851" s="54">
        <v>4074.5</v>
      </c>
      <c r="D851" s="56">
        <f t="shared" si="28"/>
        <v>-6.2902483900644013E-2</v>
      </c>
      <c r="E851" s="64">
        <v>4.7593213651608846E-3</v>
      </c>
      <c r="F851" s="64">
        <v>848</v>
      </c>
      <c r="G851" s="64">
        <f t="shared" ca="1" si="29"/>
        <v>1.0449529631173521E-2</v>
      </c>
    </row>
    <row r="852" spans="2:7" x14ac:dyDescent="0.3">
      <c r="B852" s="55">
        <v>44823</v>
      </c>
      <c r="C852" s="54">
        <v>4348</v>
      </c>
      <c r="D852" s="56">
        <f t="shared" si="28"/>
        <v>0.36100416314520922</v>
      </c>
      <c r="E852" s="64">
        <v>4.725537544338021E-3</v>
      </c>
      <c r="F852" s="64">
        <v>849</v>
      </c>
      <c r="G852" s="64">
        <f t="shared" ca="1" si="29"/>
        <v>5.5764789227242383E-3</v>
      </c>
    </row>
    <row r="853" spans="2:7" x14ac:dyDescent="0.3">
      <c r="B853" s="55">
        <v>44356</v>
      </c>
      <c r="C853" s="54">
        <v>3194.7</v>
      </c>
      <c r="D853" s="56">
        <f t="shared" si="28"/>
        <v>0.48656383052976881</v>
      </c>
      <c r="E853" s="64">
        <v>4.6858292974398807E-3</v>
      </c>
      <c r="F853" s="64">
        <v>850</v>
      </c>
      <c r="G853" s="64">
        <f t="shared" ca="1" si="29"/>
        <v>1.1626482882581377E-3</v>
      </c>
    </row>
    <row r="854" spans="2:7" x14ac:dyDescent="0.3">
      <c r="B854" s="55">
        <v>44092</v>
      </c>
      <c r="C854" s="54">
        <v>2149.0500000000002</v>
      </c>
      <c r="D854" s="56">
        <f t="shared" si="28"/>
        <v>-0.3703709129262861</v>
      </c>
      <c r="E854" s="64">
        <v>4.6749725345363036E-3</v>
      </c>
      <c r="F854" s="64">
        <v>851</v>
      </c>
      <c r="G854" s="64">
        <f t="shared" ca="1" si="29"/>
        <v>3.360975334436524E-3</v>
      </c>
    </row>
    <row r="855" spans="2:7" x14ac:dyDescent="0.3">
      <c r="B855" s="55">
        <v>44400</v>
      </c>
      <c r="C855" s="54">
        <v>3413.2</v>
      </c>
      <c r="D855" s="56">
        <f t="shared" si="28"/>
        <v>-0.15601547914889413</v>
      </c>
      <c r="E855" s="64">
        <v>4.6654009742888025E-3</v>
      </c>
      <c r="F855" s="64">
        <v>852</v>
      </c>
      <c r="G855" s="64">
        <f t="shared" ca="1" si="29"/>
        <v>-1.7009482321885344E-2</v>
      </c>
    </row>
    <row r="856" spans="2:7" x14ac:dyDescent="0.3">
      <c r="B856" s="55">
        <v>44896</v>
      </c>
      <c r="C856" s="54">
        <v>4044.15</v>
      </c>
      <c r="D856" s="56">
        <f t="shared" si="28"/>
        <v>0.14110974732297787</v>
      </c>
      <c r="E856" s="64">
        <v>4.6329648490870401E-3</v>
      </c>
      <c r="F856" s="64">
        <v>853</v>
      </c>
      <c r="G856" s="64">
        <f t="shared" ca="1" si="29"/>
        <v>3.8935731508550606E-3</v>
      </c>
    </row>
    <row r="857" spans="2:7" x14ac:dyDescent="0.3">
      <c r="B857" s="55">
        <v>45084</v>
      </c>
      <c r="C857" s="54">
        <v>3544.05</v>
      </c>
      <c r="D857" s="56">
        <f t="shared" si="28"/>
        <v>1.5668501484754112</v>
      </c>
      <c r="E857" s="64">
        <v>4.6205088229041014E-3</v>
      </c>
      <c r="F857" s="64">
        <v>854</v>
      </c>
      <c r="G857" s="64">
        <f t="shared" ca="1" si="29"/>
        <v>-1.7606215239641405E-2</v>
      </c>
    </row>
    <row r="858" spans="2:7" x14ac:dyDescent="0.3">
      <c r="B858" s="55">
        <v>43418</v>
      </c>
      <c r="C858" s="54">
        <v>1380.7</v>
      </c>
      <c r="D858" s="56">
        <f t="shared" si="28"/>
        <v>-6.5800602185459578E-2</v>
      </c>
      <c r="E858" s="64">
        <v>4.6203659911958628E-3</v>
      </c>
      <c r="F858" s="64">
        <v>855</v>
      </c>
      <c r="G858" s="64">
        <f t="shared" ca="1" si="29"/>
        <v>-1.031877708550025E-2</v>
      </c>
    </row>
    <row r="859" spans="2:7" x14ac:dyDescent="0.3">
      <c r="B859" s="55">
        <v>43550</v>
      </c>
      <c r="C859" s="54">
        <v>1477.95</v>
      </c>
      <c r="D859" s="56">
        <f t="shared" si="28"/>
        <v>-2.5645351779989278E-3</v>
      </c>
      <c r="E859" s="64">
        <v>4.5880913539968482E-3</v>
      </c>
      <c r="F859" s="64">
        <v>856</v>
      </c>
      <c r="G859" s="64">
        <f t="shared" ca="1" si="29"/>
        <v>-1.6640103855542918E-2</v>
      </c>
    </row>
    <row r="860" spans="2:7" x14ac:dyDescent="0.3">
      <c r="B860" s="55">
        <v>43698</v>
      </c>
      <c r="C860" s="54">
        <v>1481.75</v>
      </c>
      <c r="D860" s="56">
        <f t="shared" si="28"/>
        <v>-0.19511665172872705</v>
      </c>
      <c r="E860" s="64">
        <v>4.5762711864407724E-3</v>
      </c>
      <c r="F860" s="64">
        <v>857</v>
      </c>
      <c r="G860" s="64">
        <f t="shared" ca="1" si="29"/>
        <v>1.2313309310417634E-2</v>
      </c>
    </row>
    <row r="861" spans="2:7" x14ac:dyDescent="0.3">
      <c r="B861" s="55">
        <v>43803</v>
      </c>
      <c r="C861" s="54">
        <v>1840.95</v>
      </c>
      <c r="D861" s="56">
        <f t="shared" si="28"/>
        <v>-0.47392410127450424</v>
      </c>
      <c r="E861" s="64">
        <v>4.5563680017461916E-3</v>
      </c>
      <c r="F861" s="64">
        <v>858</v>
      </c>
      <c r="G861" s="64">
        <f t="shared" ca="1" si="29"/>
        <v>2.1609871326077501E-2</v>
      </c>
    </row>
    <row r="862" spans="2:7" x14ac:dyDescent="0.3">
      <c r="B862" s="55">
        <v>44404</v>
      </c>
      <c r="C862" s="54">
        <v>3499.4</v>
      </c>
      <c r="D862" s="56">
        <f t="shared" si="28"/>
        <v>0.76039439595542935</v>
      </c>
      <c r="E862" s="64">
        <v>4.5499562228186186E-3</v>
      </c>
      <c r="F862" s="64">
        <v>859</v>
      </c>
      <c r="G862" s="64">
        <f t="shared" ca="1" si="29"/>
        <v>1.8539466208224276E-2</v>
      </c>
    </row>
    <row r="863" spans="2:7" x14ac:dyDescent="0.3">
      <c r="B863" s="55">
        <v>43776</v>
      </c>
      <c r="C863" s="54">
        <v>1987.85</v>
      </c>
      <c r="D863" s="56">
        <f t="shared" si="28"/>
        <v>-0.50050255044350078</v>
      </c>
      <c r="E863" s="64">
        <v>4.548096116431255E-3</v>
      </c>
      <c r="F863" s="64">
        <v>860</v>
      </c>
      <c r="G863" s="64">
        <f t="shared" ca="1" si="29"/>
        <v>-2.27312547234454E-2</v>
      </c>
    </row>
    <row r="864" spans="2:7" x14ac:dyDescent="0.3">
      <c r="B864" s="55">
        <v>44453</v>
      </c>
      <c r="C864" s="54">
        <v>3979.7</v>
      </c>
      <c r="D864" s="56">
        <f t="shared" si="28"/>
        <v>-0.15636063002141065</v>
      </c>
      <c r="E864" s="64">
        <v>4.5054709289851225E-3</v>
      </c>
      <c r="F864" s="64">
        <v>861</v>
      </c>
      <c r="G864" s="64">
        <f t="shared" ca="1" si="29"/>
        <v>3.9237012950758675E-2</v>
      </c>
    </row>
    <row r="865" spans="2:7" x14ac:dyDescent="0.3">
      <c r="B865" s="55">
        <v>45917</v>
      </c>
      <c r="C865" s="54">
        <v>4717.3</v>
      </c>
      <c r="D865" s="56">
        <f t="shared" si="28"/>
        <v>0.22265275707898669</v>
      </c>
      <c r="E865" s="64">
        <v>4.4929943358460456E-3</v>
      </c>
      <c r="F865" s="64">
        <v>862</v>
      </c>
      <c r="G865" s="64">
        <f t="shared" ca="1" si="29"/>
        <v>1.2206949645050404E-2</v>
      </c>
    </row>
    <row r="866" spans="2:7" x14ac:dyDescent="0.3">
      <c r="B866" s="55">
        <v>45306</v>
      </c>
      <c r="C866" s="54">
        <v>3858.25</v>
      </c>
      <c r="D866" s="56">
        <f t="shared" si="28"/>
        <v>-0.10412845101818091</v>
      </c>
      <c r="E866" s="64">
        <v>4.4910179640718084E-3</v>
      </c>
      <c r="F866" s="64">
        <v>863</v>
      </c>
      <c r="G866" s="64">
        <f t="shared" ca="1" si="29"/>
        <v>1.7511482695060032E-2</v>
      </c>
    </row>
    <row r="867" spans="2:7" x14ac:dyDescent="0.3">
      <c r="B867" s="55">
        <v>46191</v>
      </c>
      <c r="C867" s="54">
        <v>4306.7</v>
      </c>
      <c r="D867" s="56">
        <f t="shared" si="28"/>
        <v>5.4736481191222541E-2</v>
      </c>
      <c r="E867" s="64">
        <v>4.4781341107871242E-3</v>
      </c>
      <c r="F867" s="64">
        <v>864</v>
      </c>
      <c r="G867" s="64">
        <f t="shared" ca="1" si="29"/>
        <v>1.2320551274352243E-2</v>
      </c>
    </row>
    <row r="868" spans="2:7" x14ac:dyDescent="0.3">
      <c r="B868" s="55">
        <v>45744</v>
      </c>
      <c r="C868" s="54">
        <v>4083.2</v>
      </c>
      <c r="D868" s="56">
        <f t="shared" si="28"/>
        <v>6.3679583197655543E-2</v>
      </c>
      <c r="E868" s="64">
        <v>4.4772447724477082E-3</v>
      </c>
      <c r="F868" s="64">
        <v>865</v>
      </c>
      <c r="G868" s="64">
        <f t="shared" ca="1" si="29"/>
        <v>3.534980224909725E-3</v>
      </c>
    </row>
    <row r="869" spans="2:7" x14ac:dyDescent="0.3">
      <c r="B869" s="55">
        <v>45121</v>
      </c>
      <c r="C869" s="54">
        <v>3838.75</v>
      </c>
      <c r="D869" s="56">
        <f t="shared" si="28"/>
        <v>0.2803515442598894</v>
      </c>
      <c r="E869" s="64">
        <v>4.4745070846361479E-3</v>
      </c>
      <c r="F869" s="64">
        <v>866</v>
      </c>
      <c r="G869" s="64">
        <f t="shared" ca="1" si="29"/>
        <v>1.0281975119245696E-3</v>
      </c>
    </row>
    <row r="870" spans="2:7" x14ac:dyDescent="0.3">
      <c r="B870" s="55">
        <v>44208</v>
      </c>
      <c r="C870" s="54">
        <v>2998.2</v>
      </c>
      <c r="D870" s="56">
        <f t="shared" si="28"/>
        <v>-0.17871034898372873</v>
      </c>
      <c r="E870" s="64">
        <v>4.4725865621386696E-3</v>
      </c>
      <c r="F870" s="64">
        <v>867</v>
      </c>
      <c r="G870" s="64">
        <f t="shared" ca="1" si="29"/>
        <v>1.4596727690004715E-2</v>
      </c>
    </row>
    <row r="871" spans="2:7" x14ac:dyDescent="0.3">
      <c r="B871" s="55">
        <v>44426</v>
      </c>
      <c r="C871" s="54">
        <v>3650.6</v>
      </c>
      <c r="D871" s="56">
        <f t="shared" si="28"/>
        <v>0.55288512665631573</v>
      </c>
      <c r="E871" s="64">
        <v>4.4712259413650646E-3</v>
      </c>
      <c r="F871" s="64">
        <v>868</v>
      </c>
      <c r="G871" s="64">
        <f t="shared" ca="1" si="29"/>
        <v>-7.1933318517550839E-3</v>
      </c>
    </row>
    <row r="872" spans="2:7" x14ac:dyDescent="0.3">
      <c r="B872" s="55">
        <v>44000</v>
      </c>
      <c r="C872" s="54">
        <v>2350.85</v>
      </c>
      <c r="D872" s="56">
        <f t="shared" si="28"/>
        <v>-0.40492342741425136</v>
      </c>
      <c r="E872" s="64">
        <v>4.4650487096222768E-3</v>
      </c>
      <c r="F872" s="64">
        <v>869</v>
      </c>
      <c r="G872" s="64">
        <f t="shared" ca="1" si="29"/>
        <v>-3.0902950768989645E-3</v>
      </c>
    </row>
    <row r="873" spans="2:7" x14ac:dyDescent="0.3">
      <c r="B873" s="55">
        <v>44448</v>
      </c>
      <c r="C873" s="54">
        <v>3950.5</v>
      </c>
      <c r="D873" s="56">
        <f t="shared" si="28"/>
        <v>1.6507196296172042</v>
      </c>
      <c r="E873" s="64">
        <v>4.4622992918801341E-3</v>
      </c>
      <c r="F873" s="64">
        <v>870</v>
      </c>
      <c r="G873" s="64">
        <f t="shared" ca="1" si="29"/>
        <v>1.1373990894360683E-2</v>
      </c>
    </row>
    <row r="874" spans="2:7" x14ac:dyDescent="0.3">
      <c r="B874" s="55">
        <v>43272</v>
      </c>
      <c r="C874" s="54">
        <v>1490.35</v>
      </c>
      <c r="D874" s="56">
        <f t="shared" si="28"/>
        <v>-0.3409613513752543</v>
      </c>
      <c r="E874" s="64">
        <v>4.4481887110361384E-3</v>
      </c>
      <c r="F874" s="64">
        <v>871</v>
      </c>
      <c r="G874" s="64">
        <f t="shared" ca="1" si="29"/>
        <v>8.1879151338064054E-4</v>
      </c>
    </row>
    <row r="875" spans="2:7" x14ac:dyDescent="0.3">
      <c r="B875" s="55">
        <v>44081</v>
      </c>
      <c r="C875" s="54">
        <v>2261.4</v>
      </c>
      <c r="D875" s="56">
        <f t="shared" si="28"/>
        <v>0.65573290379264915</v>
      </c>
      <c r="E875" s="64">
        <v>4.419374181083402E-3</v>
      </c>
      <c r="F875" s="64">
        <v>872</v>
      </c>
      <c r="G875" s="64">
        <f t="shared" ca="1" si="29"/>
        <v>-9.2752126451366625E-3</v>
      </c>
    </row>
    <row r="876" spans="2:7" x14ac:dyDescent="0.3">
      <c r="B876" s="55">
        <v>43175</v>
      </c>
      <c r="C876" s="54">
        <v>1365.8</v>
      </c>
      <c r="D876" s="56">
        <f t="shared" si="28"/>
        <v>8.8200143414867371E-2</v>
      </c>
      <c r="E876" s="64">
        <v>4.4124135902339212E-3</v>
      </c>
      <c r="F876" s="64">
        <v>873</v>
      </c>
      <c r="G876" s="64">
        <f t="shared" ca="1" si="29"/>
        <v>2.2676901309213175E-2</v>
      </c>
    </row>
    <row r="877" spans="2:7" x14ac:dyDescent="0.3">
      <c r="B877" s="55">
        <v>43592</v>
      </c>
      <c r="C877" s="54">
        <v>1255.0999999999999</v>
      </c>
      <c r="D877" s="56">
        <f t="shared" si="28"/>
        <v>-0.65428052005288673</v>
      </c>
      <c r="E877" s="64">
        <v>4.3612211419195024E-3</v>
      </c>
      <c r="F877" s="64">
        <v>874</v>
      </c>
      <c r="G877" s="64">
        <f t="shared" ca="1" si="29"/>
        <v>2.8717652262436798E-2</v>
      </c>
    </row>
    <row r="878" spans="2:7" x14ac:dyDescent="0.3">
      <c r="B878" s="55">
        <v>44701</v>
      </c>
      <c r="C878" s="54">
        <v>3630.4</v>
      </c>
      <c r="D878" s="56">
        <f t="shared" si="28"/>
        <v>-0.10241924517572598</v>
      </c>
      <c r="E878" s="64">
        <v>4.3016999322240679E-3</v>
      </c>
      <c r="F878" s="64">
        <v>875</v>
      </c>
      <c r="G878" s="64">
        <f t="shared" ca="1" si="29"/>
        <v>-1.4513182047868346E-2</v>
      </c>
    </row>
    <row r="879" spans="2:7" x14ac:dyDescent="0.3">
      <c r="B879" s="55">
        <v>45288</v>
      </c>
      <c r="C879" s="54">
        <v>4044.65</v>
      </c>
      <c r="D879" s="56">
        <f t="shared" si="28"/>
        <v>-6.6678127609410831E-3</v>
      </c>
      <c r="E879" s="64">
        <v>4.2706923735862379E-3</v>
      </c>
      <c r="F879" s="64">
        <v>876</v>
      </c>
      <c r="G879" s="64">
        <f t="shared" ca="1" si="29"/>
        <v>-6.2290386996794601E-2</v>
      </c>
    </row>
    <row r="880" spans="2:7" x14ac:dyDescent="0.3">
      <c r="B880" s="55">
        <v>46174</v>
      </c>
      <c r="C880" s="54">
        <v>4071.8</v>
      </c>
      <c r="D880" s="56">
        <f t="shared" si="28"/>
        <v>1.5400330619756093</v>
      </c>
      <c r="E880" s="64">
        <v>4.2668639782956763E-3</v>
      </c>
      <c r="F880" s="64">
        <v>877</v>
      </c>
      <c r="G880" s="64">
        <f t="shared" ca="1" si="29"/>
        <v>3.3235289661677522E-3</v>
      </c>
    </row>
    <row r="881" spans="2:7" x14ac:dyDescent="0.3">
      <c r="B881" s="55">
        <v>43725</v>
      </c>
      <c r="C881" s="54">
        <v>1603.05</v>
      </c>
      <c r="D881" s="56">
        <f t="shared" si="28"/>
        <v>0.45203804347826093</v>
      </c>
      <c r="E881" s="64">
        <v>4.2599843382928881E-3</v>
      </c>
      <c r="F881" s="64">
        <v>878</v>
      </c>
      <c r="G881" s="64">
        <f t="shared" ca="1" si="29"/>
        <v>9.7491357823906392E-3</v>
      </c>
    </row>
    <row r="882" spans="2:7" x14ac:dyDescent="0.3">
      <c r="B882" s="55">
        <v>43013</v>
      </c>
      <c r="C882" s="54">
        <v>1104</v>
      </c>
      <c r="D882" s="56">
        <f t="shared" si="28"/>
        <v>-0.58699637125434889</v>
      </c>
      <c r="E882" s="64">
        <v>4.2297721380817332E-3</v>
      </c>
      <c r="F882" s="64">
        <v>879</v>
      </c>
      <c r="G882" s="64">
        <f t="shared" ca="1" si="29"/>
        <v>3.0587373467361269E-2</v>
      </c>
    </row>
    <row r="883" spans="2:7" x14ac:dyDescent="0.3">
      <c r="B883" s="55">
        <v>44189</v>
      </c>
      <c r="C883" s="54">
        <v>2673.1</v>
      </c>
      <c r="D883" s="56">
        <f t="shared" si="28"/>
        <v>-0.37104269361536923</v>
      </c>
      <c r="E883" s="64">
        <v>4.2263839059299979E-3</v>
      </c>
      <c r="F883" s="64">
        <v>880</v>
      </c>
      <c r="G883" s="64">
        <f t="shared" ca="1" si="29"/>
        <v>-2.5080184740315828E-2</v>
      </c>
    </row>
    <row r="884" spans="2:7" x14ac:dyDescent="0.3">
      <c r="B884" s="55">
        <v>44781</v>
      </c>
      <c r="C884" s="54">
        <v>4250.05</v>
      </c>
      <c r="D884" s="56">
        <f t="shared" si="28"/>
        <v>7.9364071567345151E-2</v>
      </c>
      <c r="E884" s="64">
        <v>4.2058006970289163E-3</v>
      </c>
      <c r="F884" s="64">
        <v>881</v>
      </c>
      <c r="G884" s="64">
        <f t="shared" ca="1" si="29"/>
        <v>2.346720207675352E-2</v>
      </c>
    </row>
    <row r="885" spans="2:7" x14ac:dyDescent="0.3">
      <c r="B885" s="55">
        <v>44446</v>
      </c>
      <c r="C885" s="54">
        <v>3937.55</v>
      </c>
      <c r="D885" s="56">
        <f t="shared" si="28"/>
        <v>-0.16911795737497359</v>
      </c>
      <c r="E885" s="64">
        <v>4.1440338663198961E-3</v>
      </c>
      <c r="F885" s="64">
        <v>882</v>
      </c>
      <c r="G885" s="64">
        <f t="shared" ca="1" si="29"/>
        <v>-2.4374268628428418E-2</v>
      </c>
    </row>
    <row r="886" spans="2:7" x14ac:dyDescent="0.3">
      <c r="B886" s="55">
        <v>44481</v>
      </c>
      <c r="C886" s="54">
        <v>4739</v>
      </c>
      <c r="D886" s="56">
        <f t="shared" si="28"/>
        <v>0.23044567630372992</v>
      </c>
      <c r="E886" s="64">
        <v>4.1424318511691371E-3</v>
      </c>
      <c r="F886" s="64">
        <v>883</v>
      </c>
      <c r="G886" s="64">
        <f t="shared" ca="1" si="29"/>
        <v>-2.345107985907563E-2</v>
      </c>
    </row>
    <row r="887" spans="2:7" x14ac:dyDescent="0.3">
      <c r="B887" s="55">
        <v>45344</v>
      </c>
      <c r="C887" s="54">
        <v>3851.45</v>
      </c>
      <c r="D887" s="56">
        <f t="shared" si="28"/>
        <v>1.1357071582374978E-2</v>
      </c>
      <c r="E887" s="64">
        <v>4.0930717591083354E-3</v>
      </c>
      <c r="F887" s="64">
        <v>884</v>
      </c>
      <c r="G887" s="64">
        <f t="shared" ca="1" si="29"/>
        <v>-1.2217492429363973E-2</v>
      </c>
    </row>
    <row r="888" spans="2:7" x14ac:dyDescent="0.3">
      <c r="B888" s="55">
        <v>45323</v>
      </c>
      <c r="C888" s="54">
        <v>3808.2</v>
      </c>
      <c r="D888" s="56">
        <f t="shared" si="28"/>
        <v>-9.4751354949130118E-2</v>
      </c>
      <c r="E888" s="64">
        <v>4.0867983230943317E-3</v>
      </c>
      <c r="F888" s="64">
        <v>885</v>
      </c>
      <c r="G888" s="64">
        <f t="shared" ca="1" si="29"/>
        <v>-1.9708081031307237E-2</v>
      </c>
    </row>
    <row r="889" spans="2:7" x14ac:dyDescent="0.3">
      <c r="B889" s="55">
        <v>45796</v>
      </c>
      <c r="C889" s="54">
        <v>4206.8</v>
      </c>
      <c r="D889" s="56">
        <f t="shared" si="28"/>
        <v>-0.11172110897611842</v>
      </c>
      <c r="E889" s="64">
        <v>4.0814378117766115E-3</v>
      </c>
      <c r="F889" s="64">
        <v>886</v>
      </c>
      <c r="G889" s="64">
        <f t="shared" ca="1" si="29"/>
        <v>2.2094131291920428E-2</v>
      </c>
    </row>
    <row r="890" spans="2:7" x14ac:dyDescent="0.3">
      <c r="B890" s="55">
        <v>45474</v>
      </c>
      <c r="C890" s="54">
        <v>4735.8999999999996</v>
      </c>
      <c r="D890" s="56">
        <f t="shared" si="28"/>
        <v>0.26310876406891759</v>
      </c>
      <c r="E890" s="64">
        <v>4.0599989399479064E-3</v>
      </c>
      <c r="F890" s="64">
        <v>887</v>
      </c>
      <c r="G890" s="64">
        <f t="shared" ca="1" si="29"/>
        <v>-1.3178698308404447E-2</v>
      </c>
    </row>
    <row r="891" spans="2:7" x14ac:dyDescent="0.3">
      <c r="B891" s="55">
        <v>45320</v>
      </c>
      <c r="C891" s="54">
        <v>3749.4</v>
      </c>
      <c r="D891" s="56">
        <f t="shared" si="28"/>
        <v>0.60656440140543322</v>
      </c>
      <c r="E891" s="64">
        <v>4.0570395661778669E-3</v>
      </c>
      <c r="F891" s="64">
        <v>888</v>
      </c>
      <c r="G891" s="64">
        <f t="shared" ca="1" si="29"/>
        <v>-3.4269068560386223E-3</v>
      </c>
    </row>
    <row r="892" spans="2:7" x14ac:dyDescent="0.3">
      <c r="B892" s="55">
        <v>43966</v>
      </c>
      <c r="C892" s="54">
        <v>2333.8000000000002</v>
      </c>
      <c r="D892" s="56">
        <f t="shared" si="28"/>
        <v>-1.1059790669096126E-2</v>
      </c>
      <c r="E892" s="64">
        <v>4.0440543796249617E-3</v>
      </c>
      <c r="F892" s="64">
        <v>889</v>
      </c>
      <c r="G892" s="64">
        <f t="shared" ca="1" si="29"/>
        <v>1.891742803935522E-2</v>
      </c>
    </row>
    <row r="893" spans="2:7" x14ac:dyDescent="0.3">
      <c r="B893" s="55">
        <v>44005</v>
      </c>
      <c r="C893" s="54">
        <v>2359.9</v>
      </c>
      <c r="D893" s="56">
        <f t="shared" si="28"/>
        <v>-0.32624336207388793</v>
      </c>
      <c r="E893" s="64">
        <v>4.0418652144316169E-3</v>
      </c>
      <c r="F893" s="64">
        <v>890</v>
      </c>
      <c r="G893" s="64">
        <f t="shared" ca="1" si="29"/>
        <v>-2.5404297993765045E-3</v>
      </c>
    </row>
    <row r="894" spans="2:7" x14ac:dyDescent="0.3">
      <c r="B894" s="55">
        <v>44406</v>
      </c>
      <c r="C894" s="54">
        <v>3502.6</v>
      </c>
      <c r="D894" s="56">
        <f t="shared" si="28"/>
        <v>-0.25017928819909019</v>
      </c>
      <c r="E894" s="64">
        <v>4.0418517987672598E-3</v>
      </c>
      <c r="F894" s="64">
        <v>891</v>
      </c>
      <c r="G894" s="64">
        <f t="shared" ca="1" si="29"/>
        <v>-1.0472584942950043E-2</v>
      </c>
    </row>
    <row r="895" spans="2:7" x14ac:dyDescent="0.3">
      <c r="B895" s="55">
        <v>45428</v>
      </c>
      <c r="C895" s="54">
        <v>4671.25</v>
      </c>
      <c r="D895" s="56">
        <f t="shared" si="28"/>
        <v>0.22231235199455734</v>
      </c>
      <c r="E895" s="64">
        <v>4.0408816859933694E-3</v>
      </c>
      <c r="F895" s="64">
        <v>892</v>
      </c>
      <c r="G895" s="64">
        <f t="shared" ca="1" si="29"/>
        <v>-8.3840162167156083E-3</v>
      </c>
    </row>
    <row r="896" spans="2:7" x14ac:dyDescent="0.3">
      <c r="B896" s="55">
        <v>45120</v>
      </c>
      <c r="C896" s="54">
        <v>3821.65</v>
      </c>
      <c r="D896" s="56">
        <f t="shared" si="28"/>
        <v>4.3339976521335588E-2</v>
      </c>
      <c r="E896" s="64">
        <v>4.0195988282738515E-3</v>
      </c>
      <c r="F896" s="64">
        <v>893</v>
      </c>
      <c r="G896" s="64">
        <f t="shared" ca="1" si="29"/>
        <v>2.548729623758287E-2</v>
      </c>
    </row>
    <row r="897" spans="2:7" x14ac:dyDescent="0.3">
      <c r="B897" s="55">
        <v>44727</v>
      </c>
      <c r="C897" s="54">
        <v>3662.9</v>
      </c>
      <c r="D897" s="56">
        <f t="shared" si="28"/>
        <v>-8.2311212195056438E-3</v>
      </c>
      <c r="E897" s="64">
        <v>4.0018638818080099E-3</v>
      </c>
      <c r="F897" s="64">
        <v>894</v>
      </c>
      <c r="G897" s="64">
        <f t="shared" ca="1" si="29"/>
        <v>2.922307585909379E-2</v>
      </c>
    </row>
    <row r="898" spans="2:7" x14ac:dyDescent="0.3">
      <c r="B898" s="55">
        <v>45338</v>
      </c>
      <c r="C898" s="54">
        <v>3693.3</v>
      </c>
      <c r="D898" s="56">
        <f t="shared" si="28"/>
        <v>-0.22942268772559404</v>
      </c>
      <c r="E898" s="64">
        <v>3.99608546729735E-3</v>
      </c>
      <c r="F898" s="64">
        <v>895</v>
      </c>
      <c r="G898" s="64">
        <f t="shared" ca="1" si="29"/>
        <v>1.8224780325979135E-2</v>
      </c>
    </row>
    <row r="899" spans="2:7" x14ac:dyDescent="0.3">
      <c r="B899" s="55">
        <v>45476</v>
      </c>
      <c r="C899" s="54">
        <v>4792.8999999999996</v>
      </c>
      <c r="D899" s="56">
        <f t="shared" si="28"/>
        <v>-6.0114326054770628E-2</v>
      </c>
      <c r="E899" s="64">
        <v>3.9904898561955449E-3</v>
      </c>
      <c r="F899" s="64">
        <v>896</v>
      </c>
      <c r="G899" s="64">
        <f t="shared" ca="1" si="29"/>
        <v>-1.7914633741365163E-2</v>
      </c>
    </row>
    <row r="900" spans="2:7" x14ac:dyDescent="0.3">
      <c r="B900" s="55">
        <v>45525</v>
      </c>
      <c r="C900" s="54">
        <v>5099.45</v>
      </c>
      <c r="D900" s="56">
        <f t="shared" ref="D900:D963" si="30">C900/C901-1</f>
        <v>0.16994746139904104</v>
      </c>
      <c r="E900" s="64">
        <v>3.9868483225704576E-3</v>
      </c>
      <c r="F900" s="64">
        <v>897</v>
      </c>
      <c r="G900" s="64">
        <f t="shared" ca="1" si="29"/>
        <v>-6.0437372677278134E-5</v>
      </c>
    </row>
    <row r="901" spans="2:7" x14ac:dyDescent="0.3">
      <c r="B901" s="55">
        <v>46157</v>
      </c>
      <c r="C901" s="54">
        <v>4358.7</v>
      </c>
      <c r="D901" s="56">
        <f t="shared" si="30"/>
        <v>1.7724453773494893</v>
      </c>
      <c r="E901" s="64">
        <v>3.9848896669276712E-3</v>
      </c>
      <c r="F901" s="64">
        <v>898</v>
      </c>
      <c r="G901" s="64">
        <f t="shared" ref="G901:G964" ca="1" si="31">_xlfn.NORM.INV(RAND(),K$6,K$7)</f>
        <v>-4.4075840179900669E-2</v>
      </c>
    </row>
    <row r="902" spans="2:7" x14ac:dyDescent="0.3">
      <c r="B902" s="55">
        <v>43251</v>
      </c>
      <c r="C902" s="54">
        <v>1572.15</v>
      </c>
      <c r="D902" s="56">
        <f t="shared" si="30"/>
        <v>8.4765058993997222E-2</v>
      </c>
      <c r="E902" s="64">
        <v>3.9592579584277754E-3</v>
      </c>
      <c r="F902" s="64">
        <v>899</v>
      </c>
      <c r="G902" s="64">
        <f t="shared" ca="1" si="31"/>
        <v>-9.0617445824974011E-3</v>
      </c>
    </row>
    <row r="903" spans="2:7" x14ac:dyDescent="0.3">
      <c r="B903" s="55">
        <v>43560</v>
      </c>
      <c r="C903" s="54">
        <v>1449.3</v>
      </c>
      <c r="D903" s="56">
        <f t="shared" si="30"/>
        <v>-0.56396293399121489</v>
      </c>
      <c r="E903" s="64">
        <v>3.9484621778886897E-3</v>
      </c>
      <c r="F903" s="64">
        <v>900</v>
      </c>
      <c r="G903" s="64">
        <f t="shared" ca="1" si="31"/>
        <v>3.6289937527546764E-2</v>
      </c>
    </row>
    <row r="904" spans="2:7" x14ac:dyDescent="0.3">
      <c r="B904" s="55">
        <v>44371</v>
      </c>
      <c r="C904" s="54">
        <v>3323.8</v>
      </c>
      <c r="D904" s="56">
        <f t="shared" si="30"/>
        <v>1.2831432889133123</v>
      </c>
      <c r="E904" s="64">
        <v>3.8962215711739745E-3</v>
      </c>
      <c r="F904" s="64">
        <v>901</v>
      </c>
      <c r="G904" s="64">
        <f t="shared" ca="1" si="31"/>
        <v>-1.200235632439858E-2</v>
      </c>
    </row>
    <row r="905" spans="2:7" x14ac:dyDescent="0.3">
      <c r="B905" s="55">
        <v>43524</v>
      </c>
      <c r="C905" s="54">
        <v>1455.8</v>
      </c>
      <c r="D905" s="56">
        <f t="shared" si="30"/>
        <v>-0.69062722471922044</v>
      </c>
      <c r="E905" s="64">
        <v>3.8961486742750129E-3</v>
      </c>
      <c r="F905" s="64">
        <v>902</v>
      </c>
      <c r="G905" s="64">
        <f t="shared" ca="1" si="31"/>
        <v>-1.3446056093259018E-2</v>
      </c>
    </row>
    <row r="906" spans="2:7" x14ac:dyDescent="0.3">
      <c r="B906" s="55">
        <v>44567</v>
      </c>
      <c r="C906" s="54">
        <v>4705.6499999999996</v>
      </c>
      <c r="D906" s="56">
        <f t="shared" si="30"/>
        <v>0.16955597807851475</v>
      </c>
      <c r="E906" s="64">
        <v>3.8934163928829868E-3</v>
      </c>
      <c r="F906" s="64">
        <v>903</v>
      </c>
      <c r="G906" s="64">
        <f t="shared" ca="1" si="31"/>
        <v>-1.7624780906441755E-2</v>
      </c>
    </row>
    <row r="907" spans="2:7" x14ac:dyDescent="0.3">
      <c r="B907" s="55">
        <v>45286</v>
      </c>
      <c r="C907" s="54">
        <v>4023.45</v>
      </c>
      <c r="D907" s="56">
        <f t="shared" si="30"/>
        <v>-8.0711252390297528E-4</v>
      </c>
      <c r="E907" s="64">
        <v>3.8673137139935143E-3</v>
      </c>
      <c r="F907" s="64">
        <v>904</v>
      </c>
      <c r="G907" s="64">
        <f t="shared" ca="1" si="31"/>
        <v>4.6003708035708107E-2</v>
      </c>
    </row>
    <row r="908" spans="2:7" x14ac:dyDescent="0.3">
      <c r="B908" s="55">
        <v>45853</v>
      </c>
      <c r="C908" s="54">
        <v>4026.7</v>
      </c>
      <c r="D908" s="56">
        <f t="shared" si="30"/>
        <v>0.36602493427190219</v>
      </c>
      <c r="E908" s="64">
        <v>3.8391543888514068E-3</v>
      </c>
      <c r="F908" s="64">
        <v>905</v>
      </c>
      <c r="G908" s="64">
        <f t="shared" ca="1" si="31"/>
        <v>2.553976610359502E-2</v>
      </c>
    </row>
    <row r="909" spans="2:7" x14ac:dyDescent="0.3">
      <c r="B909" s="55">
        <v>44295</v>
      </c>
      <c r="C909" s="54">
        <v>2947.75</v>
      </c>
      <c r="D909" s="56">
        <f t="shared" si="30"/>
        <v>-0.32679022073013364</v>
      </c>
      <c r="E909" s="64">
        <v>3.8310914353822945E-3</v>
      </c>
      <c r="F909" s="64">
        <v>906</v>
      </c>
      <c r="G909" s="64">
        <f t="shared" ca="1" si="31"/>
        <v>-3.9708980240186062E-3</v>
      </c>
    </row>
    <row r="910" spans="2:7" x14ac:dyDescent="0.3">
      <c r="B910" s="55">
        <v>44461</v>
      </c>
      <c r="C910" s="54">
        <v>4378.6499999999996</v>
      </c>
      <c r="D910" s="56">
        <f t="shared" si="30"/>
        <v>0.21690011672502907</v>
      </c>
      <c r="E910" s="64">
        <v>3.8285629133758547E-3</v>
      </c>
      <c r="F910" s="64">
        <v>907</v>
      </c>
      <c r="G910" s="64">
        <f t="shared" ca="1" si="31"/>
        <v>-2.6400696056724784E-3</v>
      </c>
    </row>
    <row r="911" spans="2:7" x14ac:dyDescent="0.3">
      <c r="B911" s="55">
        <v>45051</v>
      </c>
      <c r="C911" s="54">
        <v>3598.2</v>
      </c>
      <c r="D911" s="56">
        <f t="shared" si="30"/>
        <v>-6.0718387804114093E-2</v>
      </c>
      <c r="E911" s="64">
        <v>3.8220114381364301E-3</v>
      </c>
      <c r="F911" s="64">
        <v>908</v>
      </c>
      <c r="G911" s="64">
        <f t="shared" ca="1" si="31"/>
        <v>3.7055287410550702E-3</v>
      </c>
    </row>
    <row r="912" spans="2:7" x14ac:dyDescent="0.3">
      <c r="B912" s="55">
        <v>46002</v>
      </c>
      <c r="C912" s="54">
        <v>3830.8</v>
      </c>
      <c r="D912" s="56">
        <f t="shared" si="30"/>
        <v>3.3326589790275918E-2</v>
      </c>
      <c r="E912" s="64">
        <v>3.7994916542201107E-3</v>
      </c>
      <c r="F912" s="64">
        <v>909</v>
      </c>
      <c r="G912" s="64">
        <f t="shared" ca="1" si="31"/>
        <v>3.6002936535737926E-2</v>
      </c>
    </row>
    <row r="913" spans="2:7" x14ac:dyDescent="0.3">
      <c r="B913" s="55">
        <v>45341</v>
      </c>
      <c r="C913" s="54">
        <v>3707.25</v>
      </c>
      <c r="D913" s="56">
        <f t="shared" si="30"/>
        <v>3.6075689783743474</v>
      </c>
      <c r="E913" s="64">
        <v>3.777109901713871E-3</v>
      </c>
      <c r="F913" s="64">
        <v>910</v>
      </c>
      <c r="G913" s="64">
        <f t="shared" ca="1" si="31"/>
        <v>1.638585912763986E-2</v>
      </c>
    </row>
    <row r="914" spans="2:7" x14ac:dyDescent="0.3">
      <c r="B914" s="55">
        <v>42913</v>
      </c>
      <c r="C914" s="54">
        <v>804.6</v>
      </c>
      <c r="D914" s="56">
        <f t="shared" si="30"/>
        <v>-0.83240991460112479</v>
      </c>
      <c r="E914" s="64">
        <v>3.7425149700598404E-3</v>
      </c>
      <c r="F914" s="64">
        <v>911</v>
      </c>
      <c r="G914" s="64">
        <f t="shared" ca="1" si="31"/>
        <v>-2.1236009645498689E-2</v>
      </c>
    </row>
    <row r="915" spans="2:7" x14ac:dyDescent="0.3">
      <c r="B915" s="55">
        <v>45469</v>
      </c>
      <c r="C915" s="54">
        <v>4801</v>
      </c>
      <c r="D915" s="56">
        <f t="shared" si="30"/>
        <v>5.5515829694323147</v>
      </c>
      <c r="E915" s="64">
        <v>3.6898826136493312E-3</v>
      </c>
      <c r="F915" s="64">
        <v>912</v>
      </c>
      <c r="G915" s="64">
        <f t="shared" ca="1" si="31"/>
        <v>1.4379886421637164E-2</v>
      </c>
    </row>
    <row r="916" spans="2:7" x14ac:dyDescent="0.3">
      <c r="B916" s="55">
        <v>42844</v>
      </c>
      <c r="C916" s="54">
        <v>732.8</v>
      </c>
      <c r="D916" s="56">
        <f t="shared" si="30"/>
        <v>-6.0091066504200596E-2</v>
      </c>
      <c r="E916" s="64">
        <v>3.6293912209819368E-3</v>
      </c>
      <c r="F916" s="64">
        <v>913</v>
      </c>
      <c r="G916" s="64">
        <f t="shared" ca="1" si="31"/>
        <v>1.9127347316533289E-2</v>
      </c>
    </row>
    <row r="917" spans="2:7" x14ac:dyDescent="0.3">
      <c r="B917" s="55">
        <v>42888</v>
      </c>
      <c r="C917" s="54">
        <v>779.65</v>
      </c>
      <c r="D917" s="56">
        <f t="shared" si="30"/>
        <v>-0.76888987698236255</v>
      </c>
      <c r="E917" s="64">
        <v>3.604299414301293E-3</v>
      </c>
      <c r="F917" s="64">
        <v>914</v>
      </c>
      <c r="G917" s="64">
        <f t="shared" ca="1" si="31"/>
        <v>-1.9724056091420389E-2</v>
      </c>
    </row>
    <row r="918" spans="2:7" x14ac:dyDescent="0.3">
      <c r="B918" s="55">
        <v>45008</v>
      </c>
      <c r="C918" s="54">
        <v>3373.5</v>
      </c>
      <c r="D918" s="56">
        <f t="shared" si="30"/>
        <v>-0.12692969629524187</v>
      </c>
      <c r="E918" s="64">
        <v>3.5996906051050104E-3</v>
      </c>
      <c r="F918" s="64">
        <v>915</v>
      </c>
      <c r="G918" s="64">
        <f t="shared" ca="1" si="31"/>
        <v>-3.3105892657027763E-2</v>
      </c>
    </row>
    <row r="919" spans="2:7" x14ac:dyDescent="0.3">
      <c r="B919" s="55">
        <v>45631</v>
      </c>
      <c r="C919" s="54">
        <v>3863.95</v>
      </c>
      <c r="D919" s="56">
        <f t="shared" si="30"/>
        <v>3.5619999731978824E-2</v>
      </c>
      <c r="E919" s="64">
        <v>3.5973091608010321E-3</v>
      </c>
      <c r="F919" s="64">
        <v>916</v>
      </c>
      <c r="G919" s="64">
        <f t="shared" ca="1" si="31"/>
        <v>1.6876297793046495E-2</v>
      </c>
    </row>
    <row r="920" spans="2:7" x14ac:dyDescent="0.3">
      <c r="B920" s="55">
        <v>45330</v>
      </c>
      <c r="C920" s="54">
        <v>3731.05</v>
      </c>
      <c r="D920" s="56">
        <f t="shared" si="30"/>
        <v>-0.1524386088457782</v>
      </c>
      <c r="E920" s="64">
        <v>3.5909298759986275E-3</v>
      </c>
      <c r="F920" s="64">
        <v>917</v>
      </c>
      <c r="G920" s="64">
        <f t="shared" ca="1" si="31"/>
        <v>-2.3324760672026816E-2</v>
      </c>
    </row>
    <row r="921" spans="2:7" x14ac:dyDescent="0.3">
      <c r="B921" s="55">
        <v>46150</v>
      </c>
      <c r="C921" s="54">
        <v>4402.1000000000004</v>
      </c>
      <c r="D921" s="56">
        <f t="shared" si="30"/>
        <v>1.8910286084621974E-2</v>
      </c>
      <c r="E921" s="64">
        <v>3.556366123333099E-3</v>
      </c>
      <c r="F921" s="64">
        <v>918</v>
      </c>
      <c r="G921" s="64">
        <f t="shared" ca="1" si="31"/>
        <v>-8.7633685779596095E-3</v>
      </c>
    </row>
    <row r="922" spans="2:7" x14ac:dyDescent="0.3">
      <c r="B922" s="55">
        <v>45940</v>
      </c>
      <c r="C922" s="54">
        <v>4320.3999999999996</v>
      </c>
      <c r="D922" s="56">
        <f t="shared" si="30"/>
        <v>1.7490455586663272</v>
      </c>
      <c r="E922" s="64">
        <v>3.5539244152282823E-3</v>
      </c>
      <c r="F922" s="64">
        <v>919</v>
      </c>
      <c r="G922" s="64">
        <f t="shared" ca="1" si="31"/>
        <v>-7.4947423846198642E-3</v>
      </c>
    </row>
    <row r="923" spans="2:7" x14ac:dyDescent="0.3">
      <c r="B923" s="55">
        <v>43326</v>
      </c>
      <c r="C923" s="54">
        <v>1571.6</v>
      </c>
      <c r="D923" s="56">
        <f t="shared" si="30"/>
        <v>1.1983494194992308</v>
      </c>
      <c r="E923" s="64">
        <v>3.5439481498036329E-3</v>
      </c>
      <c r="F923" s="64">
        <v>920</v>
      </c>
      <c r="G923" s="64">
        <f t="shared" ca="1" si="31"/>
        <v>2.1829194318283437E-2</v>
      </c>
    </row>
    <row r="924" spans="2:7" x14ac:dyDescent="0.3">
      <c r="B924" s="55">
        <v>42881</v>
      </c>
      <c r="C924" s="54">
        <v>714.9</v>
      </c>
      <c r="D924" s="56">
        <f t="shared" si="30"/>
        <v>-0.81986090812881118</v>
      </c>
      <c r="E924" s="64">
        <v>3.5092644581695698E-3</v>
      </c>
      <c r="F924" s="64">
        <v>921</v>
      </c>
      <c r="G924" s="64">
        <f t="shared" ca="1" si="31"/>
        <v>-2.2390627784823744E-2</v>
      </c>
    </row>
    <row r="925" spans="2:7" x14ac:dyDescent="0.3">
      <c r="B925" s="55">
        <v>44440</v>
      </c>
      <c r="C925" s="54">
        <v>3968.6</v>
      </c>
      <c r="D925" s="56">
        <f t="shared" si="30"/>
        <v>1.6530735033592943</v>
      </c>
      <c r="E925" s="64">
        <v>3.4894305653887514E-3</v>
      </c>
      <c r="F925" s="64">
        <v>922</v>
      </c>
      <c r="G925" s="64">
        <f t="shared" ca="1" si="31"/>
        <v>-1.4164821249704274E-3</v>
      </c>
    </row>
    <row r="926" spans="2:7" x14ac:dyDescent="0.3">
      <c r="B926" s="55">
        <v>43222</v>
      </c>
      <c r="C926" s="54">
        <v>1495.85</v>
      </c>
      <c r="D926" s="56">
        <f t="shared" si="30"/>
        <v>-0.52941454053543902</v>
      </c>
      <c r="E926" s="64">
        <v>3.4884110958306458E-3</v>
      </c>
      <c r="F926" s="64">
        <v>923</v>
      </c>
      <c r="G926" s="64">
        <f t="shared" ca="1" si="31"/>
        <v>-1.1076333624055819E-3</v>
      </c>
    </row>
    <row r="927" spans="2:7" x14ac:dyDescent="0.3">
      <c r="B927" s="55">
        <v>44259</v>
      </c>
      <c r="C927" s="54">
        <v>3178.7</v>
      </c>
      <c r="D927" s="56">
        <f t="shared" si="30"/>
        <v>-0.10809635376478344</v>
      </c>
      <c r="E927" s="64">
        <v>3.4725510622848343E-3</v>
      </c>
      <c r="F927" s="64">
        <v>924</v>
      </c>
      <c r="G927" s="64">
        <f t="shared" ca="1" si="31"/>
        <v>-7.0121534588129062E-3</v>
      </c>
    </row>
    <row r="928" spans="2:7" x14ac:dyDescent="0.3">
      <c r="B928" s="55">
        <v>44419</v>
      </c>
      <c r="C928" s="54">
        <v>3563.95</v>
      </c>
      <c r="D928" s="56">
        <f t="shared" si="30"/>
        <v>-0.14829728760903338</v>
      </c>
      <c r="E928" s="64">
        <v>3.4631790857768685E-3</v>
      </c>
      <c r="F928" s="64">
        <v>925</v>
      </c>
      <c r="G928" s="64">
        <f t="shared" ca="1" si="31"/>
        <v>-7.9692412286071906E-3</v>
      </c>
    </row>
    <row r="929" spans="2:7" x14ac:dyDescent="0.3">
      <c r="B929" s="55">
        <v>45880</v>
      </c>
      <c r="C929" s="54">
        <v>4184.5</v>
      </c>
      <c r="D929" s="56">
        <f t="shared" si="30"/>
        <v>1.936388196905372</v>
      </c>
      <c r="E929" s="64">
        <v>3.4531546006089098E-3</v>
      </c>
      <c r="F929" s="64">
        <v>926</v>
      </c>
      <c r="G929" s="64">
        <f t="shared" ca="1" si="31"/>
        <v>-2.1059143687173036E-2</v>
      </c>
    </row>
    <row r="930" spans="2:7" x14ac:dyDescent="0.3">
      <c r="B930" s="55">
        <v>43672</v>
      </c>
      <c r="C930" s="54">
        <v>1425.05</v>
      </c>
      <c r="D930" s="56">
        <f t="shared" si="30"/>
        <v>-0.61194619175993248</v>
      </c>
      <c r="E930" s="64">
        <v>3.4503397528429236E-3</v>
      </c>
      <c r="F930" s="64">
        <v>927</v>
      </c>
      <c r="G930" s="64">
        <f t="shared" ca="1" si="31"/>
        <v>8.6761117218762205E-3</v>
      </c>
    </row>
    <row r="931" spans="2:7" x14ac:dyDescent="0.3">
      <c r="B931" s="55">
        <v>45056</v>
      </c>
      <c r="C931" s="54">
        <v>3672.3</v>
      </c>
      <c r="D931" s="56">
        <f t="shared" si="30"/>
        <v>-0.29443974792499228</v>
      </c>
      <c r="E931" s="64">
        <v>3.442905156160414E-3</v>
      </c>
      <c r="F931" s="64">
        <v>928</v>
      </c>
      <c r="G931" s="64">
        <f t="shared" ca="1" si="31"/>
        <v>2.0440835503765339E-2</v>
      </c>
    </row>
    <row r="932" spans="2:7" x14ac:dyDescent="0.3">
      <c r="B932" s="55">
        <v>45551</v>
      </c>
      <c r="C932" s="54">
        <v>5204.8</v>
      </c>
      <c r="D932" s="56">
        <f t="shared" si="30"/>
        <v>0.32461252640419413</v>
      </c>
      <c r="E932" s="64">
        <v>3.4219835937574494E-3</v>
      </c>
      <c r="F932" s="64">
        <v>929</v>
      </c>
      <c r="G932" s="64">
        <f t="shared" ca="1" si="31"/>
        <v>8.3813755987465714E-3</v>
      </c>
    </row>
    <row r="933" spans="2:7" x14ac:dyDescent="0.3">
      <c r="B933" s="55">
        <v>46218</v>
      </c>
      <c r="C933" s="54">
        <v>3929.3</v>
      </c>
      <c r="D933" s="56">
        <f t="shared" si="30"/>
        <v>-7.1076490265842285E-2</v>
      </c>
      <c r="E933" s="64">
        <v>3.4219464235552E-3</v>
      </c>
      <c r="F933" s="64">
        <v>930</v>
      </c>
      <c r="G933" s="64">
        <f t="shared" ca="1" si="31"/>
        <v>-1.9065966996052376E-2</v>
      </c>
    </row>
    <row r="934" spans="2:7" x14ac:dyDescent="0.3">
      <c r="B934" s="55">
        <v>44858</v>
      </c>
      <c r="C934" s="54">
        <v>4229.95</v>
      </c>
      <c r="D934" s="56">
        <f t="shared" si="30"/>
        <v>0.13118414718938864</v>
      </c>
      <c r="E934" s="64">
        <v>3.4159243752296398E-3</v>
      </c>
      <c r="F934" s="64">
        <v>931</v>
      </c>
      <c r="G934" s="64">
        <f t="shared" ca="1" si="31"/>
        <v>2.6295291676112137E-2</v>
      </c>
    </row>
    <row r="935" spans="2:7" x14ac:dyDescent="0.3">
      <c r="B935" s="55">
        <v>44720</v>
      </c>
      <c r="C935" s="54">
        <v>3739.4</v>
      </c>
      <c r="D935" s="56">
        <f t="shared" si="30"/>
        <v>-0.22080411748158491</v>
      </c>
      <c r="E935" s="64">
        <v>3.4078407169881864E-3</v>
      </c>
      <c r="F935" s="64">
        <v>932</v>
      </c>
      <c r="G935" s="64">
        <f t="shared" ca="1" si="31"/>
        <v>-1.0349354600667523E-2</v>
      </c>
    </row>
    <row r="936" spans="2:7" x14ac:dyDescent="0.3">
      <c r="B936" s="55">
        <v>44533</v>
      </c>
      <c r="C936" s="54">
        <v>4799.05</v>
      </c>
      <c r="D936" s="56">
        <f t="shared" si="30"/>
        <v>0.20942276433008655</v>
      </c>
      <c r="E936" s="64">
        <v>3.366123417556155E-3</v>
      </c>
      <c r="F936" s="64">
        <v>933</v>
      </c>
      <c r="G936" s="64">
        <f t="shared" ca="1" si="31"/>
        <v>4.0747035536420643E-5</v>
      </c>
    </row>
    <row r="937" spans="2:7" x14ac:dyDescent="0.3">
      <c r="B937" s="55">
        <v>44889</v>
      </c>
      <c r="C937" s="54">
        <v>3968.05</v>
      </c>
      <c r="D937" s="56">
        <f t="shared" si="30"/>
        <v>3.2539682539682646E-2</v>
      </c>
      <c r="E937" s="64">
        <v>3.3630444402301674E-3</v>
      </c>
      <c r="F937" s="64">
        <v>934</v>
      </c>
      <c r="G937" s="64">
        <f t="shared" ca="1" si="31"/>
        <v>-1.9563803210793769E-2</v>
      </c>
    </row>
    <row r="938" spans="2:7" x14ac:dyDescent="0.3">
      <c r="B938" s="55">
        <v>45665</v>
      </c>
      <c r="C938" s="54">
        <v>3843</v>
      </c>
      <c r="D938" s="56">
        <f t="shared" si="30"/>
        <v>-1.5902281631712367E-2</v>
      </c>
      <c r="E938" s="64">
        <v>3.3156671801164439E-3</v>
      </c>
      <c r="F938" s="64">
        <v>935</v>
      </c>
      <c r="G938" s="64">
        <f t="shared" ca="1" si="31"/>
        <v>1.6221790466751547E-2</v>
      </c>
    </row>
    <row r="939" spans="2:7" x14ac:dyDescent="0.3">
      <c r="B939" s="55">
        <v>45740</v>
      </c>
      <c r="C939" s="54">
        <v>3905.1</v>
      </c>
      <c r="D939" s="56">
        <f t="shared" si="30"/>
        <v>0.96809797399455699</v>
      </c>
      <c r="E939" s="64">
        <v>3.3143209495916093E-3</v>
      </c>
      <c r="F939" s="64">
        <v>936</v>
      </c>
      <c r="G939" s="64">
        <f t="shared" ca="1" si="31"/>
        <v>1.073957909451213E-2</v>
      </c>
    </row>
    <row r="940" spans="2:7" x14ac:dyDescent="0.3">
      <c r="B940" s="55">
        <v>44120</v>
      </c>
      <c r="C940" s="54">
        <v>1984.2</v>
      </c>
      <c r="D940" s="56">
        <f t="shared" si="30"/>
        <v>-0.58023672769967949</v>
      </c>
      <c r="E940" s="64">
        <v>3.2866461040603756E-3</v>
      </c>
      <c r="F940" s="64">
        <v>937</v>
      </c>
      <c r="G940" s="64">
        <f t="shared" ca="1" si="31"/>
        <v>3.0470808903032616E-2</v>
      </c>
    </row>
    <row r="941" spans="2:7" x14ac:dyDescent="0.3">
      <c r="B941" s="55">
        <v>44565</v>
      </c>
      <c r="C941" s="54">
        <v>4726.95</v>
      </c>
      <c r="D941" s="56">
        <f t="shared" si="30"/>
        <v>0.3633335256114445</v>
      </c>
      <c r="E941" s="64">
        <v>3.2792104425340973E-3</v>
      </c>
      <c r="F941" s="64">
        <v>938</v>
      </c>
      <c r="G941" s="64">
        <f t="shared" ca="1" si="31"/>
        <v>4.7431683341975367E-3</v>
      </c>
    </row>
    <row r="942" spans="2:7" x14ac:dyDescent="0.3">
      <c r="B942" s="55">
        <v>45040</v>
      </c>
      <c r="C942" s="54">
        <v>3467.2</v>
      </c>
      <c r="D942" s="56">
        <f t="shared" si="30"/>
        <v>-1.2742208744429773E-2</v>
      </c>
      <c r="E942" s="64">
        <v>3.2697705373418984E-3</v>
      </c>
      <c r="F942" s="64">
        <v>939</v>
      </c>
      <c r="G942" s="64">
        <f t="shared" ca="1" si="31"/>
        <v>1.2764126320759584E-2</v>
      </c>
    </row>
    <row r="943" spans="2:7" x14ac:dyDescent="0.3">
      <c r="B943" s="55">
        <v>45044</v>
      </c>
      <c r="C943" s="54">
        <v>3511.95</v>
      </c>
      <c r="D943" s="56">
        <f t="shared" si="30"/>
        <v>-8.6143637782982063E-2</v>
      </c>
      <c r="E943" s="64">
        <v>3.1849862888482239E-3</v>
      </c>
      <c r="F943" s="64">
        <v>940</v>
      </c>
      <c r="G943" s="64">
        <f t="shared" ca="1" si="31"/>
        <v>3.3385475646783631E-2</v>
      </c>
    </row>
    <row r="944" spans="2:7" x14ac:dyDescent="0.3">
      <c r="B944" s="55">
        <v>46003</v>
      </c>
      <c r="C944" s="54">
        <v>3843</v>
      </c>
      <c r="D944" s="56">
        <f t="shared" si="30"/>
        <v>0.69549104385423099</v>
      </c>
      <c r="E944" s="64">
        <v>3.1847133757960666E-3</v>
      </c>
      <c r="F944" s="64">
        <v>941</v>
      </c>
      <c r="G944" s="64">
        <f t="shared" ca="1" si="31"/>
        <v>2.3174351692694585E-2</v>
      </c>
    </row>
    <row r="945" spans="2:7" x14ac:dyDescent="0.3">
      <c r="B945" s="55">
        <v>44062</v>
      </c>
      <c r="C945" s="54">
        <v>2266.6</v>
      </c>
      <c r="D945" s="56">
        <f t="shared" si="30"/>
        <v>-0.42107682876992236</v>
      </c>
      <c r="E945" s="64">
        <v>3.1644869326605818E-3</v>
      </c>
      <c r="F945" s="64">
        <v>942</v>
      </c>
      <c r="G945" s="64">
        <f t="shared" ca="1" si="31"/>
        <v>9.9118916013183067E-3</v>
      </c>
    </row>
    <row r="946" spans="2:7" x14ac:dyDescent="0.3">
      <c r="B946" s="55">
        <v>46071</v>
      </c>
      <c r="C946" s="54">
        <v>3915.2</v>
      </c>
      <c r="D946" s="56">
        <f t="shared" si="30"/>
        <v>-0.18011433836617596</v>
      </c>
      <c r="E946" s="64">
        <v>3.1515027287400965E-3</v>
      </c>
      <c r="F946" s="64">
        <v>943</v>
      </c>
      <c r="G946" s="64">
        <f t="shared" ca="1" si="31"/>
        <v>1.7944932301027734E-2</v>
      </c>
    </row>
    <row r="947" spans="2:7" x14ac:dyDescent="0.3">
      <c r="B947" s="55">
        <v>45919</v>
      </c>
      <c r="C947" s="54">
        <v>4775.3</v>
      </c>
      <c r="D947" s="56">
        <f t="shared" si="30"/>
        <v>0.10516327616931664</v>
      </c>
      <c r="E947" s="64">
        <v>3.151061907862962E-3</v>
      </c>
      <c r="F947" s="64">
        <v>944</v>
      </c>
      <c r="G947" s="64">
        <f t="shared" ca="1" si="31"/>
        <v>-2.2330881493500182E-2</v>
      </c>
    </row>
    <row r="948" spans="2:7" x14ac:dyDescent="0.3">
      <c r="B948" s="55">
        <v>44865</v>
      </c>
      <c r="C948" s="54">
        <v>4320.8999999999996</v>
      </c>
      <c r="D948" s="56">
        <f t="shared" si="30"/>
        <v>2.7576310983563781</v>
      </c>
      <c r="E948" s="64">
        <v>3.145785691898606E-3</v>
      </c>
      <c r="F948" s="64">
        <v>945</v>
      </c>
      <c r="G948" s="64">
        <f t="shared" ca="1" si="31"/>
        <v>-1.9330226850006779E-2</v>
      </c>
    </row>
    <row r="949" spans="2:7" x14ac:dyDescent="0.3">
      <c r="B949" s="55">
        <v>43063</v>
      </c>
      <c r="C949" s="54">
        <v>1149.9000000000001</v>
      </c>
      <c r="D949" s="56">
        <f t="shared" si="30"/>
        <v>-0.71788518155053971</v>
      </c>
      <c r="E949" s="64">
        <v>3.1405391258834126E-3</v>
      </c>
      <c r="F949" s="64">
        <v>946</v>
      </c>
      <c r="G949" s="64">
        <f t="shared" ca="1" si="31"/>
        <v>-5.5419930325239716E-3</v>
      </c>
    </row>
    <row r="950" spans="2:7" x14ac:dyDescent="0.3">
      <c r="B950" s="55">
        <v>44589</v>
      </c>
      <c r="C950" s="54">
        <v>4076</v>
      </c>
      <c r="D950" s="56">
        <f t="shared" si="30"/>
        <v>1.6133230749503107</v>
      </c>
      <c r="E950" s="64">
        <v>3.1255383555237604E-3</v>
      </c>
      <c r="F950" s="64">
        <v>947</v>
      </c>
      <c r="G950" s="64">
        <f t="shared" ca="1" si="31"/>
        <v>2.0256375721293941E-2</v>
      </c>
    </row>
    <row r="951" spans="2:7" x14ac:dyDescent="0.3">
      <c r="B951" s="55">
        <v>43336</v>
      </c>
      <c r="C951" s="54">
        <v>1559.7</v>
      </c>
      <c r="D951" s="56">
        <f t="shared" si="30"/>
        <v>-0.57729416228521879</v>
      </c>
      <c r="E951" s="64">
        <v>3.1192719554942183E-3</v>
      </c>
      <c r="F951" s="64">
        <v>948</v>
      </c>
      <c r="G951" s="64">
        <f t="shared" ca="1" si="31"/>
        <v>-2.3858357830475836E-4</v>
      </c>
    </row>
    <row r="952" spans="2:7" x14ac:dyDescent="0.3">
      <c r="B952" s="55">
        <v>44943</v>
      </c>
      <c r="C952" s="54">
        <v>3689.8</v>
      </c>
      <c r="D952" s="56">
        <f t="shared" si="30"/>
        <v>-0.23816406169347348</v>
      </c>
      <c r="E952" s="64">
        <v>3.11280873217612E-3</v>
      </c>
      <c r="F952" s="64">
        <v>949</v>
      </c>
      <c r="G952" s="64">
        <f t="shared" ca="1" si="31"/>
        <v>-5.9563261210505529E-3</v>
      </c>
    </row>
    <row r="953" spans="2:7" x14ac:dyDescent="0.3">
      <c r="B953" s="55">
        <v>44523</v>
      </c>
      <c r="C953" s="54">
        <v>4843.3</v>
      </c>
      <c r="D953" s="56">
        <f t="shared" si="30"/>
        <v>2.7166097532901046</v>
      </c>
      <c r="E953" s="64">
        <v>3.1066835117949942E-3</v>
      </c>
      <c r="F953" s="64">
        <v>950</v>
      </c>
      <c r="G953" s="64">
        <f t="shared" ca="1" si="31"/>
        <v>5.2632022198785293E-3</v>
      </c>
    </row>
    <row r="954" spans="2:7" x14ac:dyDescent="0.3">
      <c r="B954" s="55">
        <v>43608</v>
      </c>
      <c r="C954" s="54">
        <v>1303.1500000000001</v>
      </c>
      <c r="D954" s="56">
        <f t="shared" si="30"/>
        <v>-0.11964195237290987</v>
      </c>
      <c r="E954" s="64">
        <v>3.0789362275334131E-3</v>
      </c>
      <c r="F954" s="64">
        <v>951</v>
      </c>
      <c r="G954" s="64">
        <f t="shared" ca="1" si="31"/>
        <v>1.0142810166297415E-2</v>
      </c>
    </row>
    <row r="955" spans="2:7" x14ac:dyDescent="0.3">
      <c r="B955" s="55">
        <v>43215</v>
      </c>
      <c r="C955" s="54">
        <v>1480.25</v>
      </c>
      <c r="D955" s="56">
        <f t="shared" si="30"/>
        <v>-0.35933780566976847</v>
      </c>
      <c r="E955" s="64">
        <v>3.0492969676436665E-3</v>
      </c>
      <c r="F955" s="64">
        <v>952</v>
      </c>
      <c r="G955" s="64">
        <f t="shared" ca="1" si="31"/>
        <v>1.0862849874862496E-2</v>
      </c>
    </row>
    <row r="956" spans="2:7" x14ac:dyDescent="0.3">
      <c r="B956" s="55">
        <v>43945</v>
      </c>
      <c r="C956" s="54">
        <v>2310.5</v>
      </c>
      <c r="D956" s="56">
        <f t="shared" si="30"/>
        <v>-0.39218162207665797</v>
      </c>
      <c r="E956" s="64">
        <v>3.03885391795089E-3</v>
      </c>
      <c r="F956" s="64">
        <v>953</v>
      </c>
      <c r="G956" s="64">
        <f t="shared" ca="1" si="31"/>
        <v>-2.5145305015993713E-2</v>
      </c>
    </row>
    <row r="957" spans="2:7" x14ac:dyDescent="0.3">
      <c r="B957" s="55">
        <v>46031</v>
      </c>
      <c r="C957" s="54">
        <v>3801.3</v>
      </c>
      <c r="D957" s="56">
        <f t="shared" si="30"/>
        <v>0.74203748682461868</v>
      </c>
      <c r="E957" s="64">
        <v>3.0344609214205676E-3</v>
      </c>
      <c r="F957" s="64">
        <v>954</v>
      </c>
      <c r="G957" s="64">
        <f t="shared" ca="1" si="31"/>
        <v>-1.3530523617986444E-2</v>
      </c>
    </row>
    <row r="958" spans="2:7" x14ac:dyDescent="0.3">
      <c r="B958" s="55">
        <v>43958</v>
      </c>
      <c r="C958" s="54">
        <v>2182.1</v>
      </c>
      <c r="D958" s="56">
        <f t="shared" si="30"/>
        <v>-0.43251326328929574</v>
      </c>
      <c r="E958" s="64">
        <v>2.9876815591101114E-3</v>
      </c>
      <c r="F958" s="64">
        <v>955</v>
      </c>
      <c r="G958" s="64">
        <f t="shared" ca="1" si="31"/>
        <v>-4.1193694765451535E-3</v>
      </c>
    </row>
    <row r="959" spans="2:7" x14ac:dyDescent="0.3">
      <c r="B959" s="55">
        <v>45735</v>
      </c>
      <c r="C959" s="54">
        <v>3845.2</v>
      </c>
      <c r="D959" s="56">
        <f t="shared" si="30"/>
        <v>6.0701203558346517E-3</v>
      </c>
      <c r="E959" s="64">
        <v>2.960470545274374E-3</v>
      </c>
      <c r="F959" s="64">
        <v>956</v>
      </c>
      <c r="G959" s="64">
        <f t="shared" ca="1" si="31"/>
        <v>2.7908738836293662E-2</v>
      </c>
    </row>
    <row r="960" spans="2:7" x14ac:dyDescent="0.3">
      <c r="B960" s="55">
        <v>45301</v>
      </c>
      <c r="C960" s="54">
        <v>3822</v>
      </c>
      <c r="D960" s="56">
        <f t="shared" si="30"/>
        <v>1.8384701076865948</v>
      </c>
      <c r="E960" s="64">
        <v>2.9521747687462074E-3</v>
      </c>
      <c r="F960" s="64">
        <v>957</v>
      </c>
      <c r="G960" s="64">
        <f t="shared" ca="1" si="31"/>
        <v>-8.6585146645161478E-3</v>
      </c>
    </row>
    <row r="961" spans="2:7" x14ac:dyDescent="0.3">
      <c r="B961" s="55">
        <v>43179</v>
      </c>
      <c r="C961" s="54">
        <v>1346.5</v>
      </c>
      <c r="D961" s="56">
        <f t="shared" si="30"/>
        <v>-9.3998116000538312E-2</v>
      </c>
      <c r="E961" s="64">
        <v>2.942162303080087E-3</v>
      </c>
      <c r="F961" s="64">
        <v>958</v>
      </c>
      <c r="G961" s="64">
        <f t="shared" ca="1" si="31"/>
        <v>-1.2438725154039503E-2</v>
      </c>
    </row>
    <row r="962" spans="2:7" x14ac:dyDescent="0.3">
      <c r="B962" s="55">
        <v>43564</v>
      </c>
      <c r="C962" s="54">
        <v>1486.2</v>
      </c>
      <c r="D962" s="56">
        <f t="shared" si="30"/>
        <v>-0.27689388410451032</v>
      </c>
      <c r="E962" s="64">
        <v>2.9355197894525009E-3</v>
      </c>
      <c r="F962" s="64">
        <v>959</v>
      </c>
      <c r="G962" s="64">
        <f t="shared" ca="1" si="31"/>
        <v>5.5767239117588425E-3</v>
      </c>
    </row>
    <row r="963" spans="2:7" x14ac:dyDescent="0.3">
      <c r="B963" s="55">
        <v>44097</v>
      </c>
      <c r="C963" s="54">
        <v>2055.3000000000002</v>
      </c>
      <c r="D963" s="56">
        <f t="shared" si="30"/>
        <v>-0.38027107298466722</v>
      </c>
      <c r="E963" s="64">
        <v>2.9278290147856101E-3</v>
      </c>
      <c r="F963" s="64">
        <v>960</v>
      </c>
      <c r="G963" s="64">
        <f t="shared" ca="1" si="31"/>
        <v>-9.0029822237354135E-3</v>
      </c>
    </row>
    <row r="964" spans="2:7" x14ac:dyDescent="0.3">
      <c r="B964" s="55">
        <v>45013</v>
      </c>
      <c r="C964" s="54">
        <v>3316.45</v>
      </c>
      <c r="D964" s="56">
        <f t="shared" ref="D964:D1027" si="32">C964/C965-1</f>
        <v>-0.36464649367318991</v>
      </c>
      <c r="E964" s="64">
        <v>2.9182291036651264E-3</v>
      </c>
      <c r="F964" s="64">
        <v>961</v>
      </c>
      <c r="G964" s="64">
        <f t="shared" ca="1" si="31"/>
        <v>2.5745490412123428E-2</v>
      </c>
    </row>
    <row r="965" spans="2:7" x14ac:dyDescent="0.3">
      <c r="B965" s="55">
        <v>45552</v>
      </c>
      <c r="C965" s="54">
        <v>5219.8500000000004</v>
      </c>
      <c r="D965" s="56">
        <f t="shared" si="32"/>
        <v>0.34334868878194413</v>
      </c>
      <c r="E965" s="64">
        <v>2.8915616354134865E-3</v>
      </c>
      <c r="F965" s="64">
        <v>962</v>
      </c>
      <c r="G965" s="64">
        <f t="shared" ref="G965:G1028" ca="1" si="33">_xlfn.NORM.INV(RAND(),K$6,K$7)</f>
        <v>2.9919852438410298E-2</v>
      </c>
    </row>
    <row r="966" spans="2:7" x14ac:dyDescent="0.3">
      <c r="B966" s="55">
        <v>45607</v>
      </c>
      <c r="C966" s="54">
        <v>3885.7</v>
      </c>
      <c r="D966" s="56">
        <f t="shared" si="32"/>
        <v>-1.9220818556987318E-2</v>
      </c>
      <c r="E966" s="64">
        <v>2.890695573622315E-3</v>
      </c>
      <c r="F966" s="64">
        <v>963</v>
      </c>
      <c r="G966" s="64">
        <f t="shared" ca="1" si="33"/>
        <v>4.9238955027784215E-3</v>
      </c>
    </row>
    <row r="967" spans="2:7" x14ac:dyDescent="0.3">
      <c r="B967" s="55">
        <v>44452</v>
      </c>
      <c r="C967" s="54">
        <v>3961.85</v>
      </c>
      <c r="D967" s="56">
        <f t="shared" si="32"/>
        <v>9.9368713146028353E-2</v>
      </c>
      <c r="E967" s="64">
        <v>2.8730540437920116E-3</v>
      </c>
      <c r="F967" s="64">
        <v>964</v>
      </c>
      <c r="G967" s="64">
        <f t="shared" ca="1" si="33"/>
        <v>-1.6909884153457821E-3</v>
      </c>
    </row>
    <row r="968" spans="2:7" x14ac:dyDescent="0.3">
      <c r="B968" s="55">
        <v>45726</v>
      </c>
      <c r="C968" s="54">
        <v>3603.75</v>
      </c>
      <c r="D968" s="56">
        <f t="shared" si="32"/>
        <v>-0.18510520424661103</v>
      </c>
      <c r="E968" s="64">
        <v>2.824465716829927E-3</v>
      </c>
      <c r="F968" s="64">
        <v>965</v>
      </c>
      <c r="G968" s="64">
        <f t="shared" ca="1" si="33"/>
        <v>1.7706027839554148E-2</v>
      </c>
    </row>
    <row r="969" spans="2:7" x14ac:dyDescent="0.3">
      <c r="B969" s="55">
        <v>44463</v>
      </c>
      <c r="C969" s="54">
        <v>4422.3500000000004</v>
      </c>
      <c r="D969" s="56">
        <f t="shared" si="32"/>
        <v>0.10922019614236622</v>
      </c>
      <c r="E969" s="64">
        <v>2.8231932696887174E-3</v>
      </c>
      <c r="F969" s="64">
        <v>966</v>
      </c>
      <c r="G969" s="64">
        <f t="shared" ca="1" si="33"/>
        <v>-1.3397680385007323E-2</v>
      </c>
    </row>
    <row r="970" spans="2:7" x14ac:dyDescent="0.3">
      <c r="B970" s="55">
        <v>45097</v>
      </c>
      <c r="C970" s="54">
        <v>3986.9</v>
      </c>
      <c r="D970" s="56">
        <f t="shared" si="32"/>
        <v>2.6526797984425103</v>
      </c>
      <c r="E970" s="64">
        <v>2.8171139673516254E-3</v>
      </c>
      <c r="F970" s="64">
        <v>967</v>
      </c>
      <c r="G970" s="64">
        <f t="shared" ca="1" si="33"/>
        <v>-2.4683152104159754E-4</v>
      </c>
    </row>
    <row r="971" spans="2:7" x14ac:dyDescent="0.3">
      <c r="B971" s="55">
        <v>42991</v>
      </c>
      <c r="C971" s="54">
        <v>1091.5</v>
      </c>
      <c r="D971" s="56">
        <f t="shared" si="32"/>
        <v>-0.72857373767515887</v>
      </c>
      <c r="E971" s="64">
        <v>2.8021498461114902E-3</v>
      </c>
      <c r="F971" s="64">
        <v>968</v>
      </c>
      <c r="G971" s="64">
        <f t="shared" ca="1" si="33"/>
        <v>-1.693371367814725E-2</v>
      </c>
    </row>
    <row r="972" spans="2:7" x14ac:dyDescent="0.3">
      <c r="B972" s="55">
        <v>45279</v>
      </c>
      <c r="C972" s="54">
        <v>4021.35</v>
      </c>
      <c r="D972" s="56">
        <f t="shared" si="32"/>
        <v>4.1058831143615304E-2</v>
      </c>
      <c r="E972" s="64">
        <v>2.7929129833048627E-3</v>
      </c>
      <c r="F972" s="64">
        <v>969</v>
      </c>
      <c r="G972" s="64">
        <f t="shared" ca="1" si="33"/>
        <v>2.1005004276577324E-2</v>
      </c>
    </row>
    <row r="973" spans="2:7" x14ac:dyDescent="0.3">
      <c r="B973" s="55">
        <v>45211</v>
      </c>
      <c r="C973" s="54">
        <v>3862.75</v>
      </c>
      <c r="D973" s="56">
        <f t="shared" si="32"/>
        <v>0.10150279457054867</v>
      </c>
      <c r="E973" s="64">
        <v>2.777741721940119E-3</v>
      </c>
      <c r="F973" s="64">
        <v>970</v>
      </c>
      <c r="G973" s="64">
        <f t="shared" ca="1" si="33"/>
        <v>8.2138788365819365E-3</v>
      </c>
    </row>
    <row r="974" spans="2:7" x14ac:dyDescent="0.3">
      <c r="B974" s="55">
        <v>45034</v>
      </c>
      <c r="C974" s="54">
        <v>3506.8</v>
      </c>
      <c r="D974" s="56">
        <f t="shared" si="32"/>
        <v>0.21890858533194302</v>
      </c>
      <c r="E974" s="64">
        <v>2.7737268022076655E-3</v>
      </c>
      <c r="F974" s="64">
        <v>971</v>
      </c>
      <c r="G974" s="64">
        <f t="shared" ca="1" si="33"/>
        <v>-1.0068435281658569E-2</v>
      </c>
    </row>
    <row r="975" spans="2:7" x14ac:dyDescent="0.3">
      <c r="B975" s="55">
        <v>44230</v>
      </c>
      <c r="C975" s="54">
        <v>2877</v>
      </c>
      <c r="D975" s="56">
        <f t="shared" si="32"/>
        <v>0.80665013030236432</v>
      </c>
      <c r="E975" s="64">
        <v>2.753476700010582E-3</v>
      </c>
      <c r="F975" s="64">
        <v>972</v>
      </c>
      <c r="G975" s="64">
        <f t="shared" ca="1" si="33"/>
        <v>-1.6622201223361888E-2</v>
      </c>
    </row>
    <row r="976" spans="2:7" x14ac:dyDescent="0.3">
      <c r="B976" s="55">
        <v>43340</v>
      </c>
      <c r="C976" s="54">
        <v>1592.45</v>
      </c>
      <c r="D976" s="56">
        <f t="shared" si="32"/>
        <v>-0.5211324783112059</v>
      </c>
      <c r="E976" s="64">
        <v>2.7391222215227273E-3</v>
      </c>
      <c r="F976" s="64">
        <v>973</v>
      </c>
      <c r="G976" s="64">
        <f t="shared" ca="1" si="33"/>
        <v>-1.2249039528449721E-2</v>
      </c>
    </row>
    <row r="977" spans="2:7" x14ac:dyDescent="0.3">
      <c r="B977" s="55">
        <v>45014</v>
      </c>
      <c r="C977" s="54">
        <v>3325.45</v>
      </c>
      <c r="D977" s="56">
        <f t="shared" si="32"/>
        <v>0.57723866439005866</v>
      </c>
      <c r="E977" s="64">
        <v>2.7137451190277773E-3</v>
      </c>
      <c r="F977" s="64">
        <v>974</v>
      </c>
      <c r="G977" s="64">
        <f t="shared" ca="1" si="33"/>
        <v>-1.3298635221678574E-2</v>
      </c>
    </row>
    <row r="978" spans="2:7" x14ac:dyDescent="0.3">
      <c r="B978" s="55">
        <v>44102</v>
      </c>
      <c r="C978" s="54">
        <v>2108.4</v>
      </c>
      <c r="D978" s="56">
        <f t="shared" si="32"/>
        <v>0.41908127208480561</v>
      </c>
      <c r="E978" s="64">
        <v>2.7108003994864571E-3</v>
      </c>
      <c r="F978" s="64">
        <v>975</v>
      </c>
      <c r="G978" s="64">
        <f t="shared" ca="1" si="33"/>
        <v>2.1508587112278273E-2</v>
      </c>
    </row>
    <row r="979" spans="2:7" x14ac:dyDescent="0.3">
      <c r="B979" s="55">
        <v>43699</v>
      </c>
      <c r="C979" s="54">
        <v>1485.75</v>
      </c>
      <c r="D979" s="56">
        <f t="shared" si="32"/>
        <v>0.85695538057742771</v>
      </c>
      <c r="E979" s="64">
        <v>2.6995107136831287E-3</v>
      </c>
      <c r="F979" s="64">
        <v>976</v>
      </c>
      <c r="G979" s="64">
        <f t="shared" ca="1" si="33"/>
        <v>2.4363332686361622E-2</v>
      </c>
    </row>
    <row r="980" spans="2:7" x14ac:dyDescent="0.3">
      <c r="B980" s="55">
        <v>42902</v>
      </c>
      <c r="C980" s="54">
        <v>800.1</v>
      </c>
      <c r="D980" s="56">
        <f t="shared" si="32"/>
        <v>-0.65144848616859075</v>
      </c>
      <c r="E980" s="64">
        <v>2.6944044113039745E-3</v>
      </c>
      <c r="F980" s="64">
        <v>977</v>
      </c>
      <c r="G980" s="64">
        <f t="shared" ca="1" si="33"/>
        <v>-2.9966167193720586E-4</v>
      </c>
    </row>
    <row r="981" spans="2:7" x14ac:dyDescent="0.3">
      <c r="B981" s="55">
        <v>44014</v>
      </c>
      <c r="C981" s="54">
        <v>2295.5</v>
      </c>
      <c r="D981" s="56">
        <f t="shared" si="32"/>
        <v>-0.49325592176427735</v>
      </c>
      <c r="E981" s="64">
        <v>2.686352021316063E-3</v>
      </c>
      <c r="F981" s="64">
        <v>978</v>
      </c>
      <c r="G981" s="64">
        <f t="shared" ca="1" si="33"/>
        <v>1.7047084006667032E-2</v>
      </c>
    </row>
    <row r="982" spans="2:7" x14ac:dyDescent="0.3">
      <c r="B982" s="55">
        <v>45929</v>
      </c>
      <c r="C982" s="54">
        <v>4529.8999999999996</v>
      </c>
      <c r="D982" s="56">
        <f t="shared" si="32"/>
        <v>0.12018101337817444</v>
      </c>
      <c r="E982" s="64">
        <v>2.6782947452299588E-3</v>
      </c>
      <c r="F982" s="64">
        <v>979</v>
      </c>
      <c r="G982" s="64">
        <f t="shared" ca="1" si="33"/>
        <v>2.4819866824103275E-2</v>
      </c>
    </row>
    <row r="983" spans="2:7" x14ac:dyDescent="0.3">
      <c r="B983" s="55">
        <v>45861</v>
      </c>
      <c r="C983" s="54">
        <v>4043.9</v>
      </c>
      <c r="D983" s="56">
        <f t="shared" si="32"/>
        <v>1.7063075121298312</v>
      </c>
      <c r="E983" s="64">
        <v>2.6281208935610145E-3</v>
      </c>
      <c r="F983" s="64">
        <v>980</v>
      </c>
      <c r="G983" s="64">
        <f t="shared" ca="1" si="33"/>
        <v>-8.7932715323412007E-3</v>
      </c>
    </row>
    <row r="984" spans="2:7" x14ac:dyDescent="0.3">
      <c r="B984" s="55">
        <v>43273</v>
      </c>
      <c r="C984" s="54">
        <v>1494.25</v>
      </c>
      <c r="D984" s="56">
        <f t="shared" si="32"/>
        <v>-0.64730388396492511</v>
      </c>
      <c r="E984" s="64">
        <v>2.6168349716511052E-3</v>
      </c>
      <c r="F984" s="64">
        <v>981</v>
      </c>
      <c r="G984" s="64">
        <f t="shared" ca="1" si="33"/>
        <v>-1.6906698488216479E-2</v>
      </c>
    </row>
    <row r="985" spans="2:7" x14ac:dyDescent="0.3">
      <c r="B985" s="55">
        <v>44594</v>
      </c>
      <c r="C985" s="54">
        <v>4236.6499999999996</v>
      </c>
      <c r="D985" s="56">
        <f t="shared" si="32"/>
        <v>-8.8068793318696548E-2</v>
      </c>
      <c r="E985" s="64">
        <v>2.6150132525557535E-3</v>
      </c>
      <c r="F985" s="64">
        <v>982</v>
      </c>
      <c r="G985" s="64">
        <f t="shared" ca="1" si="33"/>
        <v>-4.8315495858994749E-3</v>
      </c>
    </row>
    <row r="986" spans="2:7" x14ac:dyDescent="0.3">
      <c r="B986" s="55">
        <v>45924</v>
      </c>
      <c r="C986" s="54">
        <v>4645.8</v>
      </c>
      <c r="D986" s="56">
        <f t="shared" si="32"/>
        <v>0.20659160855506653</v>
      </c>
      <c r="E986" s="64">
        <v>2.5680312479769984E-3</v>
      </c>
      <c r="F986" s="64">
        <v>983</v>
      </c>
      <c r="G986" s="64">
        <f t="shared" ca="1" si="33"/>
        <v>-1.8787679569626105E-2</v>
      </c>
    </row>
    <row r="987" spans="2:7" x14ac:dyDescent="0.3">
      <c r="B987" s="55">
        <v>45348</v>
      </c>
      <c r="C987" s="54">
        <v>3850.35</v>
      </c>
      <c r="D987" s="56">
        <f t="shared" si="32"/>
        <v>5.786009090434252E-3</v>
      </c>
      <c r="E987" s="64">
        <v>2.5517178529115281E-3</v>
      </c>
      <c r="F987" s="64">
        <v>984</v>
      </c>
      <c r="G987" s="64">
        <f t="shared" ca="1" si="33"/>
        <v>-2.4143661440584233E-2</v>
      </c>
    </row>
    <row r="988" spans="2:7" x14ac:dyDescent="0.3">
      <c r="B988" s="55">
        <v>46014</v>
      </c>
      <c r="C988" s="54">
        <v>3828.2</v>
      </c>
      <c r="D988" s="56">
        <f t="shared" si="32"/>
        <v>-0.2597290842816673</v>
      </c>
      <c r="E988" s="64">
        <v>2.5140103702927519E-3</v>
      </c>
      <c r="F988" s="64">
        <v>985</v>
      </c>
      <c r="G988" s="64">
        <f t="shared" ca="1" si="33"/>
        <v>-1.9734841927386795E-2</v>
      </c>
    </row>
    <row r="989" spans="2:7" x14ac:dyDescent="0.3">
      <c r="B989" s="55">
        <v>45498</v>
      </c>
      <c r="C989" s="54">
        <v>5171.3500000000004</v>
      </c>
      <c r="D989" s="56">
        <f t="shared" si="32"/>
        <v>0.7043817873209961</v>
      </c>
      <c r="E989" s="64">
        <v>2.5007511946419925E-3</v>
      </c>
      <c r="F989" s="64">
        <v>986</v>
      </c>
      <c r="G989" s="64">
        <f t="shared" ca="1" si="33"/>
        <v>-8.7997076076278078E-3</v>
      </c>
    </row>
    <row r="990" spans="2:7" x14ac:dyDescent="0.3">
      <c r="B990" s="55">
        <v>44337</v>
      </c>
      <c r="C990" s="54">
        <v>3034.15</v>
      </c>
      <c r="D990" s="56">
        <f t="shared" si="32"/>
        <v>-0.35207884003502099</v>
      </c>
      <c r="E990" s="64">
        <v>2.4945483380691691E-3</v>
      </c>
      <c r="F990" s="64">
        <v>987</v>
      </c>
      <c r="G990" s="64">
        <f t="shared" ca="1" si="33"/>
        <v>-6.6506247046824512E-3</v>
      </c>
    </row>
    <row r="991" spans="2:7" x14ac:dyDescent="0.3">
      <c r="B991" s="55">
        <v>45429</v>
      </c>
      <c r="C991" s="54">
        <v>4682.8999999999996</v>
      </c>
      <c r="D991" s="56">
        <f t="shared" si="32"/>
        <v>8.7756381965575558E-2</v>
      </c>
      <c r="E991" s="64">
        <v>2.4939791276423762E-3</v>
      </c>
      <c r="F991" s="64">
        <v>988</v>
      </c>
      <c r="G991" s="64">
        <f t="shared" ca="1" si="33"/>
        <v>-2.3662966812481097E-2</v>
      </c>
    </row>
    <row r="992" spans="2:7" x14ac:dyDescent="0.3">
      <c r="B992" s="55">
        <v>45939</v>
      </c>
      <c r="C992" s="54">
        <v>4305.1000000000004</v>
      </c>
      <c r="D992" s="56">
        <f t="shared" si="32"/>
        <v>0.20655250693646487</v>
      </c>
      <c r="E992" s="64">
        <v>2.4916169895679019E-3</v>
      </c>
      <c r="F992" s="64">
        <v>989</v>
      </c>
      <c r="G992" s="64">
        <f t="shared" ca="1" si="33"/>
        <v>-8.4899689085106683E-3</v>
      </c>
    </row>
    <row r="993" spans="2:7" x14ac:dyDescent="0.3">
      <c r="B993" s="55">
        <v>45686</v>
      </c>
      <c r="C993" s="54">
        <v>3568.1</v>
      </c>
      <c r="D993" s="56">
        <f t="shared" si="32"/>
        <v>-0.27099805904586782</v>
      </c>
      <c r="E993" s="64">
        <v>2.472396257691134E-3</v>
      </c>
      <c r="F993" s="64">
        <v>990</v>
      </c>
      <c r="G993" s="64">
        <f t="shared" ca="1" si="33"/>
        <v>1.3642243545954613E-2</v>
      </c>
    </row>
    <row r="994" spans="2:7" x14ac:dyDescent="0.3">
      <c r="B994" s="55">
        <v>44525</v>
      </c>
      <c r="C994" s="54">
        <v>4894.5</v>
      </c>
      <c r="D994" s="56">
        <f t="shared" si="32"/>
        <v>0.33109421955099871</v>
      </c>
      <c r="E994" s="64">
        <v>2.4372260680785018E-3</v>
      </c>
      <c r="F994" s="64">
        <v>991</v>
      </c>
      <c r="G994" s="64">
        <f t="shared" ca="1" si="33"/>
        <v>-8.9592100968824157E-3</v>
      </c>
    </row>
    <row r="995" spans="2:7" x14ac:dyDescent="0.3">
      <c r="B995" s="55">
        <v>45132</v>
      </c>
      <c r="C995" s="54">
        <v>3677.05</v>
      </c>
      <c r="D995" s="56">
        <f t="shared" si="32"/>
        <v>8.2169607251644461E-2</v>
      </c>
      <c r="E995" s="64">
        <v>2.4126274467042297E-3</v>
      </c>
      <c r="F995" s="64">
        <v>992</v>
      </c>
      <c r="G995" s="64">
        <f t="shared" ca="1" si="33"/>
        <v>-5.6968098478599677E-3</v>
      </c>
    </row>
    <row r="996" spans="2:7" x14ac:dyDescent="0.3">
      <c r="B996" s="55">
        <v>44994</v>
      </c>
      <c r="C996" s="54">
        <v>3397.85</v>
      </c>
      <c r="D996" s="56">
        <f t="shared" si="32"/>
        <v>-0.2575926411466527</v>
      </c>
      <c r="E996" s="64">
        <v>2.4043425671889107E-3</v>
      </c>
      <c r="F996" s="64">
        <v>993</v>
      </c>
      <c r="G996" s="64">
        <f t="shared" ca="1" si="33"/>
        <v>-4.9840322666386142E-3</v>
      </c>
    </row>
    <row r="997" spans="2:7" x14ac:dyDescent="0.3">
      <c r="B997" s="55">
        <v>44806</v>
      </c>
      <c r="C997" s="54">
        <v>4576.8</v>
      </c>
      <c r="D997" s="56">
        <f t="shared" si="32"/>
        <v>0.13475317977834522</v>
      </c>
      <c r="E997" s="64">
        <v>2.3982391011529991E-3</v>
      </c>
      <c r="F997" s="64">
        <v>994</v>
      </c>
      <c r="G997" s="64">
        <f t="shared" ca="1" si="33"/>
        <v>1.0676662858659593E-3</v>
      </c>
    </row>
    <row r="998" spans="2:7" x14ac:dyDescent="0.3">
      <c r="B998" s="55">
        <v>45860</v>
      </c>
      <c r="C998" s="54">
        <v>4033.3</v>
      </c>
      <c r="D998" s="56">
        <f t="shared" si="32"/>
        <v>-3.8213446840981935E-2</v>
      </c>
      <c r="E998" s="64">
        <v>2.3858637572384822E-3</v>
      </c>
      <c r="F998" s="64">
        <v>995</v>
      </c>
      <c r="G998" s="64">
        <f t="shared" ca="1" si="33"/>
        <v>-4.1752322123850584E-3</v>
      </c>
    </row>
    <row r="999" spans="2:7" x14ac:dyDescent="0.3">
      <c r="B999" s="55">
        <v>45580</v>
      </c>
      <c r="C999" s="54">
        <v>4193.55</v>
      </c>
      <c r="D999" s="56">
        <f t="shared" si="32"/>
        <v>0.19554402520205838</v>
      </c>
      <c r="E999" s="64">
        <v>2.3783344487999791E-3</v>
      </c>
      <c r="F999" s="64">
        <v>996</v>
      </c>
      <c r="G999" s="64">
        <f t="shared" ca="1" si="33"/>
        <v>2.5983258181324145E-2</v>
      </c>
    </row>
    <row r="1000" spans="2:7" x14ac:dyDescent="0.3">
      <c r="B1000" s="55">
        <v>45155</v>
      </c>
      <c r="C1000" s="54">
        <v>3507.65</v>
      </c>
      <c r="D1000" s="56">
        <f t="shared" si="32"/>
        <v>0.96755013322114714</v>
      </c>
      <c r="E1000" s="64">
        <v>2.3718690613971916E-3</v>
      </c>
      <c r="F1000" s="64">
        <v>997</v>
      </c>
      <c r="G1000" s="64">
        <f t="shared" ca="1" si="33"/>
        <v>1.4952254579499521E-2</v>
      </c>
    </row>
    <row r="1001" spans="2:7" x14ac:dyDescent="0.3">
      <c r="B1001" s="55">
        <v>43812</v>
      </c>
      <c r="C1001" s="54">
        <v>1782.75</v>
      </c>
      <c r="D1001" s="56">
        <f t="shared" si="32"/>
        <v>0.37166269139032071</v>
      </c>
      <c r="E1001" s="64">
        <v>2.3614742346294015E-3</v>
      </c>
      <c r="F1001" s="64">
        <v>998</v>
      </c>
      <c r="G1001" s="64">
        <f t="shared" ca="1" si="33"/>
        <v>2.328912472361986E-2</v>
      </c>
    </row>
    <row r="1002" spans="2:7" x14ac:dyDescent="0.3">
      <c r="B1002" s="55">
        <v>43626</v>
      </c>
      <c r="C1002" s="54">
        <v>1299.7</v>
      </c>
      <c r="D1002" s="56">
        <f t="shared" si="32"/>
        <v>-6.7145164184460815E-2</v>
      </c>
      <c r="E1002" s="64">
        <v>2.3522153241044563E-3</v>
      </c>
      <c r="F1002" s="64">
        <v>999</v>
      </c>
      <c r="G1002" s="64">
        <f t="shared" ca="1" si="33"/>
        <v>1.7046781689913117E-2</v>
      </c>
    </row>
    <row r="1003" spans="2:7" x14ac:dyDescent="0.3">
      <c r="B1003" s="55">
        <v>43481</v>
      </c>
      <c r="C1003" s="54">
        <v>1393.25</v>
      </c>
      <c r="D1003" s="56">
        <f t="shared" si="32"/>
        <v>-0.70761062318338741</v>
      </c>
      <c r="E1003" s="64">
        <v>2.3381294964028854E-3</v>
      </c>
      <c r="F1003" s="64">
        <v>1000</v>
      </c>
      <c r="G1003" s="64">
        <f t="shared" ca="1" si="33"/>
        <v>1.9978056147573059E-2</v>
      </c>
    </row>
    <row r="1004" spans="2:7" x14ac:dyDescent="0.3">
      <c r="B1004" s="55">
        <v>45394</v>
      </c>
      <c r="C1004" s="54">
        <v>4765.05</v>
      </c>
      <c r="D1004" s="56">
        <f t="shared" si="32"/>
        <v>1.4746436083197012</v>
      </c>
      <c r="E1004" s="64">
        <v>2.3243584350021163E-3</v>
      </c>
      <c r="F1004" s="64">
        <v>1001</v>
      </c>
      <c r="G1004" s="64">
        <f t="shared" ca="1" si="33"/>
        <v>2.658773211038206E-2</v>
      </c>
    </row>
    <row r="1005" spans="2:7" x14ac:dyDescent="0.3">
      <c r="B1005" s="55">
        <v>43826</v>
      </c>
      <c r="C1005" s="54">
        <v>1925.55</v>
      </c>
      <c r="D1005" s="56">
        <f t="shared" si="32"/>
        <v>0.55204932898077597</v>
      </c>
      <c r="E1005" s="64">
        <v>2.3163812399147332E-3</v>
      </c>
      <c r="F1005" s="64">
        <v>1002</v>
      </c>
      <c r="G1005" s="64">
        <f t="shared" ca="1" si="33"/>
        <v>2.7638528729652468E-3</v>
      </c>
    </row>
    <row r="1006" spans="2:7" x14ac:dyDescent="0.3">
      <c r="B1006" s="55">
        <v>43153</v>
      </c>
      <c r="C1006" s="54">
        <v>1240.6500000000001</v>
      </c>
      <c r="D1006" s="56">
        <f t="shared" si="32"/>
        <v>-0.63860528117216964</v>
      </c>
      <c r="E1006" s="64">
        <v>2.3024721279691907E-3</v>
      </c>
      <c r="F1006" s="64">
        <v>1003</v>
      </c>
      <c r="G1006" s="64">
        <f t="shared" ca="1" si="33"/>
        <v>2.6119381195405876E-2</v>
      </c>
    </row>
    <row r="1007" spans="2:7" x14ac:dyDescent="0.3">
      <c r="B1007" s="55">
        <v>45069</v>
      </c>
      <c r="C1007" s="54">
        <v>3432.95</v>
      </c>
      <c r="D1007" s="56">
        <f t="shared" si="32"/>
        <v>-6.8398914518317588E-2</v>
      </c>
      <c r="E1007" s="64">
        <v>2.2919038860178542E-3</v>
      </c>
      <c r="F1007" s="64">
        <v>1004</v>
      </c>
      <c r="G1007" s="64">
        <f t="shared" ca="1" si="33"/>
        <v>1.9229629495661961E-2</v>
      </c>
    </row>
    <row r="1008" spans="2:7" x14ac:dyDescent="0.3">
      <c r="B1008" s="55">
        <v>45707</v>
      </c>
      <c r="C1008" s="54">
        <v>3685</v>
      </c>
      <c r="D1008" s="56">
        <f t="shared" si="32"/>
        <v>2.110754685125781</v>
      </c>
      <c r="E1008" s="64">
        <v>2.2847195778707974E-3</v>
      </c>
      <c r="F1008" s="64">
        <v>1005</v>
      </c>
      <c r="G1008" s="64">
        <f t="shared" ca="1" si="33"/>
        <v>4.3201737281514307E-3</v>
      </c>
    </row>
    <row r="1009" spans="2:7" x14ac:dyDescent="0.3">
      <c r="B1009" s="55">
        <v>43130</v>
      </c>
      <c r="C1009" s="54">
        <v>1184.5999999999999</v>
      </c>
      <c r="D1009" s="56">
        <f t="shared" si="32"/>
        <v>-0.66668542487338212</v>
      </c>
      <c r="E1009" s="64">
        <v>2.2844572298839072E-3</v>
      </c>
      <c r="F1009" s="64">
        <v>1006</v>
      </c>
      <c r="G1009" s="64">
        <f t="shared" ca="1" si="33"/>
        <v>8.4565145556428772E-3</v>
      </c>
    </row>
    <row r="1010" spans="2:7" x14ac:dyDescent="0.3">
      <c r="B1010" s="55">
        <v>45049</v>
      </c>
      <c r="C1010" s="54">
        <v>3554</v>
      </c>
      <c r="D1010" s="56">
        <f t="shared" si="32"/>
        <v>-7.2994509435684751E-2</v>
      </c>
      <c r="E1010" s="64">
        <v>2.2843283792548519E-3</v>
      </c>
      <c r="F1010" s="64">
        <v>1007</v>
      </c>
      <c r="G1010" s="64">
        <f t="shared" ca="1" si="33"/>
        <v>-5.7398299059958835E-3</v>
      </c>
    </row>
    <row r="1011" spans="2:7" x14ac:dyDescent="0.3">
      <c r="B1011" s="55">
        <v>45734</v>
      </c>
      <c r="C1011" s="54">
        <v>3833.85</v>
      </c>
      <c r="D1011" s="56">
        <f t="shared" si="32"/>
        <v>1.7570745388515334</v>
      </c>
      <c r="E1011" s="64">
        <v>2.2351188142106793E-3</v>
      </c>
      <c r="F1011" s="64">
        <v>1008</v>
      </c>
      <c r="G1011" s="64">
        <f t="shared" ca="1" si="33"/>
        <v>2.0555311584299393E-2</v>
      </c>
    </row>
    <row r="1012" spans="2:7" x14ac:dyDescent="0.3">
      <c r="B1012" s="55">
        <v>43643</v>
      </c>
      <c r="C1012" s="54">
        <v>1390.55</v>
      </c>
      <c r="D1012" s="56">
        <f t="shared" si="32"/>
        <v>-0.64828257790368271</v>
      </c>
      <c r="E1012" s="64">
        <v>2.2343147500809568E-3</v>
      </c>
      <c r="F1012" s="64">
        <v>1009</v>
      </c>
      <c r="G1012" s="64">
        <f t="shared" ca="1" si="33"/>
        <v>-2.5722181496842585E-2</v>
      </c>
    </row>
    <row r="1013" spans="2:7" x14ac:dyDescent="0.3">
      <c r="B1013" s="55">
        <v>46093</v>
      </c>
      <c r="C1013" s="54">
        <v>3953.6</v>
      </c>
      <c r="D1013" s="56">
        <f t="shared" si="32"/>
        <v>0.35330058703725897</v>
      </c>
      <c r="E1013" s="64">
        <v>2.2307848306630795E-3</v>
      </c>
      <c r="F1013" s="64">
        <v>1010</v>
      </c>
      <c r="G1013" s="64">
        <f t="shared" ca="1" si="33"/>
        <v>1.8121821750727517E-3</v>
      </c>
    </row>
    <row r="1014" spans="2:7" x14ac:dyDescent="0.3">
      <c r="B1014" s="55">
        <v>44203</v>
      </c>
      <c r="C1014" s="54">
        <v>2921.45</v>
      </c>
      <c r="D1014" s="56">
        <f t="shared" si="32"/>
        <v>-0.19926270059888451</v>
      </c>
      <c r="E1014" s="64">
        <v>2.2298838745089533E-3</v>
      </c>
      <c r="F1014" s="64">
        <v>1011</v>
      </c>
      <c r="G1014" s="64">
        <f t="shared" ca="1" si="33"/>
        <v>-1.6731481268511574E-2</v>
      </c>
    </row>
    <row r="1015" spans="2:7" x14ac:dyDescent="0.3">
      <c r="B1015" s="55">
        <v>45146</v>
      </c>
      <c r="C1015" s="54">
        <v>3648.45</v>
      </c>
      <c r="D1015" s="56">
        <f t="shared" si="32"/>
        <v>-9.4160438960200654E-2</v>
      </c>
      <c r="E1015" s="64">
        <v>2.2250607771230335E-3</v>
      </c>
      <c r="F1015" s="64">
        <v>1012</v>
      </c>
      <c r="G1015" s="64">
        <f t="shared" ca="1" si="33"/>
        <v>-3.4532222588153895E-2</v>
      </c>
    </row>
    <row r="1016" spans="2:7" x14ac:dyDescent="0.3">
      <c r="B1016" s="55">
        <v>46230</v>
      </c>
      <c r="C1016" s="54">
        <v>4027.7</v>
      </c>
      <c r="D1016" s="56">
        <f t="shared" si="32"/>
        <v>0.13365326428078861</v>
      </c>
      <c r="E1016" s="64">
        <v>2.2145914203244299E-3</v>
      </c>
      <c r="F1016" s="64">
        <v>1013</v>
      </c>
      <c r="G1016" s="64">
        <f t="shared" ca="1" si="33"/>
        <v>-1.3092578406318767E-2</v>
      </c>
    </row>
    <row r="1017" spans="2:7" x14ac:dyDescent="0.3">
      <c r="B1017" s="55">
        <v>44977</v>
      </c>
      <c r="C1017" s="54">
        <v>3552.85</v>
      </c>
      <c r="D1017" s="56">
        <f t="shared" si="32"/>
        <v>-2.5935927839997763E-2</v>
      </c>
      <c r="E1017" s="64">
        <v>2.214386459802542E-3</v>
      </c>
      <c r="F1017" s="64">
        <v>1014</v>
      </c>
      <c r="G1017" s="64">
        <f t="shared" ca="1" si="33"/>
        <v>-9.1040469121449561E-3</v>
      </c>
    </row>
    <row r="1018" spans="2:7" x14ac:dyDescent="0.3">
      <c r="B1018" s="55">
        <v>45232</v>
      </c>
      <c r="C1018" s="54">
        <v>3647.45</v>
      </c>
      <c r="D1018" s="56">
        <f t="shared" si="32"/>
        <v>-9.042281268313368E-2</v>
      </c>
      <c r="E1018" s="64">
        <v>2.1981343334844805E-3</v>
      </c>
      <c r="F1018" s="64">
        <v>1015</v>
      </c>
      <c r="G1018" s="64">
        <f t="shared" ca="1" si="33"/>
        <v>4.109445925886903E-2</v>
      </c>
    </row>
    <row r="1019" spans="2:7" x14ac:dyDescent="0.3">
      <c r="B1019" s="55">
        <v>44648</v>
      </c>
      <c r="C1019" s="54">
        <v>4010.05</v>
      </c>
      <c r="D1019" s="56">
        <f t="shared" si="32"/>
        <v>3.987004103967168</v>
      </c>
      <c r="E1019" s="64">
        <v>2.1867892934797073E-3</v>
      </c>
      <c r="F1019" s="64">
        <v>1016</v>
      </c>
      <c r="G1019" s="64">
        <f t="shared" ca="1" si="33"/>
        <v>-2.6910990142327185E-3</v>
      </c>
    </row>
    <row r="1020" spans="2:7" x14ac:dyDescent="0.3">
      <c r="B1020" s="55">
        <v>42898</v>
      </c>
      <c r="C1020" s="54">
        <v>804.1</v>
      </c>
      <c r="D1020" s="56">
        <f t="shared" si="32"/>
        <v>-0.80952268151131113</v>
      </c>
      <c r="E1020" s="64">
        <v>2.1810930391974459E-3</v>
      </c>
      <c r="F1020" s="64">
        <v>1017</v>
      </c>
      <c r="G1020" s="64">
        <f t="shared" ca="1" si="33"/>
        <v>7.7908960044797077E-3</v>
      </c>
    </row>
    <row r="1021" spans="2:7" x14ac:dyDescent="0.3">
      <c r="B1021" s="55">
        <v>45763</v>
      </c>
      <c r="C1021" s="54">
        <v>4221.5</v>
      </c>
      <c r="D1021" s="56">
        <f t="shared" si="32"/>
        <v>0.38844578927461404</v>
      </c>
      <c r="E1021" s="64">
        <v>2.0889215942270223E-3</v>
      </c>
      <c r="F1021" s="64">
        <v>1018</v>
      </c>
      <c r="G1021" s="64">
        <f t="shared" ca="1" si="33"/>
        <v>-3.2812011085802853E-2</v>
      </c>
    </row>
    <row r="1022" spans="2:7" x14ac:dyDescent="0.3">
      <c r="B1022" s="55">
        <v>44340</v>
      </c>
      <c r="C1022" s="54">
        <v>3040.45</v>
      </c>
      <c r="D1022" s="56">
        <f t="shared" si="32"/>
        <v>1.4669966327234367</v>
      </c>
      <c r="E1022" s="64">
        <v>2.0763640558310037E-3</v>
      </c>
      <c r="F1022" s="64">
        <v>1019</v>
      </c>
      <c r="G1022" s="64">
        <f t="shared" ca="1" si="33"/>
        <v>2.0185502620581025E-2</v>
      </c>
    </row>
    <row r="1023" spans="2:7" x14ac:dyDescent="0.3">
      <c r="B1023" s="55">
        <v>43024</v>
      </c>
      <c r="C1023" s="54">
        <v>1232.45</v>
      </c>
      <c r="D1023" s="56">
        <f t="shared" si="32"/>
        <v>-0.65964292125212298</v>
      </c>
      <c r="E1023" s="64">
        <v>2.0733392958776076E-3</v>
      </c>
      <c r="F1023" s="64">
        <v>1020</v>
      </c>
      <c r="G1023" s="64">
        <f t="shared" ca="1" si="33"/>
        <v>1.0639276004508187E-2</v>
      </c>
    </row>
    <row r="1024" spans="2:7" x14ac:dyDescent="0.3">
      <c r="B1024" s="55">
        <v>45621</v>
      </c>
      <c r="C1024" s="54">
        <v>3621.05</v>
      </c>
      <c r="D1024" s="56">
        <f t="shared" si="32"/>
        <v>1.2767802203949241E-2</v>
      </c>
      <c r="E1024" s="64">
        <v>2.0477910146250444E-3</v>
      </c>
      <c r="F1024" s="64">
        <v>1021</v>
      </c>
      <c r="G1024" s="64">
        <f t="shared" ca="1" si="33"/>
        <v>2.716547660226111E-2</v>
      </c>
    </row>
    <row r="1025" spans="2:7" x14ac:dyDescent="0.3">
      <c r="B1025" s="55">
        <v>45687</v>
      </c>
      <c r="C1025" s="54">
        <v>3575.4</v>
      </c>
      <c r="D1025" s="56">
        <f t="shared" si="32"/>
        <v>-0.15463186267555673</v>
      </c>
      <c r="E1025" s="64">
        <v>2.04590678512373E-3</v>
      </c>
      <c r="F1025" s="64">
        <v>1022</v>
      </c>
      <c r="G1025" s="64">
        <f t="shared" ca="1" si="33"/>
        <v>2.891304618423577E-3</v>
      </c>
    </row>
    <row r="1026" spans="2:7" x14ac:dyDescent="0.3">
      <c r="B1026" s="55">
        <v>45959</v>
      </c>
      <c r="C1026" s="54">
        <v>4229.3999999999996</v>
      </c>
      <c r="D1026" s="56">
        <f t="shared" si="32"/>
        <v>8.6634808077693748E-2</v>
      </c>
      <c r="E1026" s="64">
        <v>2.013788528512972E-3</v>
      </c>
      <c r="F1026" s="64">
        <v>1023</v>
      </c>
      <c r="G1026" s="64">
        <f t="shared" ca="1" si="33"/>
        <v>-2.1437774325354139E-2</v>
      </c>
    </row>
    <row r="1027" spans="2:7" x14ac:dyDescent="0.3">
      <c r="B1027" s="55">
        <v>45737</v>
      </c>
      <c r="C1027" s="54">
        <v>3892.2</v>
      </c>
      <c r="D1027" s="56">
        <f t="shared" si="32"/>
        <v>-3.1550136849962773E-2</v>
      </c>
      <c r="E1027" s="64">
        <v>2.0080321285140812E-3</v>
      </c>
      <c r="F1027" s="64">
        <v>1024</v>
      </c>
      <c r="G1027" s="64">
        <f t="shared" ca="1" si="33"/>
        <v>2.1875155211369117E-2</v>
      </c>
    </row>
    <row r="1028" spans="2:7" x14ac:dyDescent="0.3">
      <c r="B1028" s="55">
        <v>45971</v>
      </c>
      <c r="C1028" s="54">
        <v>4019</v>
      </c>
      <c r="D1028" s="56">
        <f t="shared" ref="D1028:D1091" si="34">C1028/C1029-1</f>
        <v>-9.9428287347747002E-4</v>
      </c>
      <c r="E1028" s="64">
        <v>1.9945150835203318E-3</v>
      </c>
      <c r="F1028" s="64">
        <v>1025</v>
      </c>
      <c r="G1028" s="64">
        <f t="shared" ca="1" si="33"/>
        <v>-2.0197581806157597E-3</v>
      </c>
    </row>
    <row r="1029" spans="2:7" x14ac:dyDescent="0.3">
      <c r="B1029" s="55">
        <v>46238</v>
      </c>
      <c r="C1029" s="54">
        <v>4023</v>
      </c>
      <c r="D1029" s="56">
        <f t="shared" si="34"/>
        <v>1.6223844599439414</v>
      </c>
      <c r="E1029" s="64">
        <v>1.9925280199253326E-3</v>
      </c>
      <c r="F1029" s="64">
        <v>1026</v>
      </c>
      <c r="G1029" s="64">
        <f t="shared" ref="G1029:G1092" ca="1" si="35">_xlfn.NORM.INV(RAND(),K$6,K$7)</f>
        <v>1.911009861904278E-3</v>
      </c>
    </row>
    <row r="1030" spans="2:7" x14ac:dyDescent="0.3">
      <c r="B1030" s="55">
        <v>43704</v>
      </c>
      <c r="C1030" s="54">
        <v>1534.1</v>
      </c>
      <c r="D1030" s="56">
        <f t="shared" si="34"/>
        <v>-0.69256204971993707</v>
      </c>
      <c r="E1030" s="64">
        <v>1.9920969269455746E-3</v>
      </c>
      <c r="F1030" s="64">
        <v>1027</v>
      </c>
      <c r="G1030" s="64">
        <f t="shared" ca="1" si="35"/>
        <v>-8.8691109220370816E-3</v>
      </c>
    </row>
    <row r="1031" spans="2:7" x14ac:dyDescent="0.3">
      <c r="B1031" s="55">
        <v>45513</v>
      </c>
      <c r="C1031" s="54">
        <v>4989.95</v>
      </c>
      <c r="D1031" s="56">
        <f t="shared" si="34"/>
        <v>4.4442747258742026</v>
      </c>
      <c r="E1031" s="64">
        <v>1.9778719302823156E-3</v>
      </c>
      <c r="F1031" s="64">
        <v>1028</v>
      </c>
      <c r="G1031" s="64">
        <f t="shared" ca="1" si="35"/>
        <v>1.8277038140784747E-2</v>
      </c>
    </row>
    <row r="1032" spans="2:7" x14ac:dyDescent="0.3">
      <c r="B1032" s="55">
        <v>42940</v>
      </c>
      <c r="C1032" s="54">
        <v>916.55</v>
      </c>
      <c r="D1032" s="56">
        <f t="shared" si="34"/>
        <v>-0.67909598585508468</v>
      </c>
      <c r="E1032" s="64">
        <v>1.9677507515714066E-3</v>
      </c>
      <c r="F1032" s="64">
        <v>1029</v>
      </c>
      <c r="G1032" s="64">
        <f t="shared" ca="1" si="35"/>
        <v>2.8388723646752562E-3</v>
      </c>
    </row>
    <row r="1033" spans="2:7" x14ac:dyDescent="0.3">
      <c r="B1033" s="55">
        <v>44328</v>
      </c>
      <c r="C1033" s="54">
        <v>2856.15</v>
      </c>
      <c r="D1033" s="56">
        <f t="shared" si="34"/>
        <v>-0.22595463291688123</v>
      </c>
      <c r="E1033" s="64">
        <v>1.9645331602673455E-3</v>
      </c>
      <c r="F1033" s="64">
        <v>1030</v>
      </c>
      <c r="G1033" s="64">
        <f t="shared" ca="1" si="35"/>
        <v>-9.427228557779296E-3</v>
      </c>
    </row>
    <row r="1034" spans="2:7" x14ac:dyDescent="0.3">
      <c r="B1034" s="55">
        <v>45700</v>
      </c>
      <c r="C1034" s="54">
        <v>3689.9</v>
      </c>
      <c r="D1034" s="56">
        <f t="shared" si="34"/>
        <v>1.3513884692504252E-2</v>
      </c>
      <c r="E1034" s="64">
        <v>1.9550873000788727E-3</v>
      </c>
      <c r="F1034" s="64">
        <v>1031</v>
      </c>
      <c r="G1034" s="64">
        <f t="shared" ca="1" si="35"/>
        <v>-3.2294996128476472E-2</v>
      </c>
    </row>
    <row r="1035" spans="2:7" x14ac:dyDescent="0.3">
      <c r="B1035" s="55">
        <v>45196</v>
      </c>
      <c r="C1035" s="54">
        <v>3640.7</v>
      </c>
      <c r="D1035" s="56">
        <f t="shared" si="34"/>
        <v>-6.3727296297813041E-3</v>
      </c>
      <c r="E1035" s="64">
        <v>1.953985028621652E-3</v>
      </c>
      <c r="F1035" s="64">
        <v>1032</v>
      </c>
      <c r="G1035" s="64">
        <f t="shared" ca="1" si="35"/>
        <v>-4.729994047828247E-3</v>
      </c>
    </row>
    <row r="1036" spans="2:7" x14ac:dyDescent="0.3">
      <c r="B1036" s="55">
        <v>44699</v>
      </c>
      <c r="C1036" s="54">
        <v>3664.05</v>
      </c>
      <c r="D1036" s="56">
        <f t="shared" si="34"/>
        <v>3.2795895932576036E-2</v>
      </c>
      <c r="E1036" s="64">
        <v>1.927809680065673E-3</v>
      </c>
      <c r="F1036" s="64">
        <v>1033</v>
      </c>
      <c r="G1036" s="64">
        <f t="shared" ca="1" si="35"/>
        <v>2.6427168616044765E-2</v>
      </c>
    </row>
    <row r="1037" spans="2:7" x14ac:dyDescent="0.3">
      <c r="B1037" s="55">
        <v>45159</v>
      </c>
      <c r="C1037" s="54">
        <v>3547.7</v>
      </c>
      <c r="D1037" s="56">
        <f t="shared" si="34"/>
        <v>-0.18915274381185299</v>
      </c>
      <c r="E1037" s="64">
        <v>1.9062680918962016E-3</v>
      </c>
      <c r="F1037" s="64">
        <v>1034</v>
      </c>
      <c r="G1037" s="64">
        <f t="shared" ca="1" si="35"/>
        <v>-1.6889236616916256E-2</v>
      </c>
    </row>
    <row r="1038" spans="2:7" x14ac:dyDescent="0.3">
      <c r="B1038" s="55">
        <v>44830</v>
      </c>
      <c r="C1038" s="54">
        <v>4375.3</v>
      </c>
      <c r="D1038" s="56">
        <f t="shared" si="34"/>
        <v>1.6877783579568146</v>
      </c>
      <c r="E1038" s="64">
        <v>1.9006182734142563E-3</v>
      </c>
      <c r="F1038" s="64">
        <v>1035</v>
      </c>
      <c r="G1038" s="64">
        <f t="shared" ca="1" si="35"/>
        <v>2.8508577318814059E-2</v>
      </c>
    </row>
    <row r="1039" spans="2:7" x14ac:dyDescent="0.3">
      <c r="B1039" s="55">
        <v>43320</v>
      </c>
      <c r="C1039" s="54">
        <v>1627.85</v>
      </c>
      <c r="D1039" s="56">
        <f t="shared" si="34"/>
        <v>0.81164097712982031</v>
      </c>
      <c r="E1039" s="64">
        <v>1.8463242760871079E-3</v>
      </c>
      <c r="F1039" s="64">
        <v>1036</v>
      </c>
      <c r="G1039" s="64">
        <f t="shared" ca="1" si="35"/>
        <v>-2.3026660844172445E-2</v>
      </c>
    </row>
    <row r="1040" spans="2:7" x14ac:dyDescent="0.3">
      <c r="B1040" s="55">
        <v>42944</v>
      </c>
      <c r="C1040" s="54">
        <v>898.55</v>
      </c>
      <c r="D1040" s="56">
        <f t="shared" si="34"/>
        <v>-0.59761313002395833</v>
      </c>
      <c r="E1040" s="64">
        <v>1.8396699743561395E-3</v>
      </c>
      <c r="F1040" s="64">
        <v>1037</v>
      </c>
      <c r="G1040" s="64">
        <f t="shared" ca="1" si="35"/>
        <v>4.2565755409710321E-3</v>
      </c>
    </row>
    <row r="1041" spans="2:7" x14ac:dyDescent="0.3">
      <c r="B1041" s="55">
        <v>43893</v>
      </c>
      <c r="C1041" s="54">
        <v>2233.0500000000002</v>
      </c>
      <c r="D1041" s="56">
        <f t="shared" si="34"/>
        <v>-0.1661501120238984</v>
      </c>
      <c r="E1041" s="64">
        <v>1.8394311222775794E-3</v>
      </c>
      <c r="F1041" s="64">
        <v>1038</v>
      </c>
      <c r="G1041" s="64">
        <f t="shared" ca="1" si="35"/>
        <v>-1.8665549716121582E-2</v>
      </c>
    </row>
    <row r="1042" spans="2:7" x14ac:dyDescent="0.3">
      <c r="B1042" s="55">
        <v>44193</v>
      </c>
      <c r="C1042" s="54">
        <v>2678</v>
      </c>
      <c r="D1042" s="56">
        <f t="shared" si="34"/>
        <v>0.15234837238322685</v>
      </c>
      <c r="E1042" s="64">
        <v>1.8330777000485909E-3</v>
      </c>
      <c r="F1042" s="64">
        <v>1039</v>
      </c>
      <c r="G1042" s="64">
        <f t="shared" ca="1" si="35"/>
        <v>2.507548460761666E-2</v>
      </c>
    </row>
    <row r="1043" spans="2:7" x14ac:dyDescent="0.3">
      <c r="B1043" s="55">
        <v>43889</v>
      </c>
      <c r="C1043" s="54">
        <v>2323.9499999999998</v>
      </c>
      <c r="D1043" s="56">
        <f t="shared" si="34"/>
        <v>0.20843949872601519</v>
      </c>
      <c r="E1043" s="64">
        <v>1.8321334655342358E-3</v>
      </c>
      <c r="F1043" s="64">
        <v>1040</v>
      </c>
      <c r="G1043" s="64">
        <f t="shared" ca="1" si="35"/>
        <v>3.5904582284431164E-2</v>
      </c>
    </row>
    <row r="1044" spans="2:7" x14ac:dyDescent="0.3">
      <c r="B1044" s="55">
        <v>43822</v>
      </c>
      <c r="C1044" s="54">
        <v>1923.1</v>
      </c>
      <c r="D1044" s="56">
        <f t="shared" si="34"/>
        <v>-0.59574535173370613</v>
      </c>
      <c r="E1044" s="64">
        <v>1.8232965201083751E-3</v>
      </c>
      <c r="F1044" s="64">
        <v>1041</v>
      </c>
      <c r="G1044" s="64">
        <f t="shared" ca="1" si="35"/>
        <v>7.0634627365788911E-3</v>
      </c>
    </row>
    <row r="1045" spans="2:7" x14ac:dyDescent="0.3">
      <c r="B1045" s="55">
        <v>44509</v>
      </c>
      <c r="C1045" s="54">
        <v>4757.1499999999996</v>
      </c>
      <c r="D1045" s="56">
        <f t="shared" si="34"/>
        <v>0.28693358582442841</v>
      </c>
      <c r="E1045" s="64">
        <v>1.8216278824891852E-3</v>
      </c>
      <c r="F1045" s="64">
        <v>1042</v>
      </c>
      <c r="G1045" s="64">
        <f t="shared" ca="1" si="35"/>
        <v>1.0287609916463759E-2</v>
      </c>
    </row>
    <row r="1046" spans="2:7" x14ac:dyDescent="0.3">
      <c r="B1046" s="55">
        <v>45701</v>
      </c>
      <c r="C1046" s="54">
        <v>3696.5</v>
      </c>
      <c r="D1046" s="56">
        <f t="shared" si="34"/>
        <v>0.10178837555886733</v>
      </c>
      <c r="E1046" s="64">
        <v>1.7886663595219066E-3</v>
      </c>
      <c r="F1046" s="64">
        <v>1043</v>
      </c>
      <c r="G1046" s="64">
        <f t="shared" ca="1" si="35"/>
        <v>-8.026879225737393E-3</v>
      </c>
    </row>
    <row r="1047" spans="2:7" x14ac:dyDescent="0.3">
      <c r="B1047" s="55">
        <v>44390</v>
      </c>
      <c r="C1047" s="54">
        <v>3355</v>
      </c>
      <c r="D1047" s="56">
        <f t="shared" si="34"/>
        <v>1.2636035488985593</v>
      </c>
      <c r="E1047" s="64">
        <v>1.7766232215106204E-3</v>
      </c>
      <c r="F1047" s="64">
        <v>1044</v>
      </c>
      <c r="G1047" s="64">
        <f t="shared" ca="1" si="35"/>
        <v>-2.1820527757615968E-3</v>
      </c>
    </row>
    <row r="1048" spans="2:7" x14ac:dyDescent="0.3">
      <c r="B1048" s="55">
        <v>43544</v>
      </c>
      <c r="C1048" s="54">
        <v>1482.15</v>
      </c>
      <c r="D1048" s="56">
        <f t="shared" si="34"/>
        <v>0.29067792920276947</v>
      </c>
      <c r="E1048" s="64">
        <v>1.7572910682301934E-3</v>
      </c>
      <c r="F1048" s="64">
        <v>1045</v>
      </c>
      <c r="G1048" s="64">
        <f t="shared" ca="1" si="35"/>
        <v>-9.8823171341774398E-3</v>
      </c>
    </row>
    <row r="1049" spans="2:7" x14ac:dyDescent="0.3">
      <c r="B1049" s="55">
        <v>43097</v>
      </c>
      <c r="C1049" s="54">
        <v>1148.3499999999999</v>
      </c>
      <c r="D1049" s="56">
        <f t="shared" si="34"/>
        <v>-0.69248175671152179</v>
      </c>
      <c r="E1049" s="64">
        <v>1.744667858856408E-3</v>
      </c>
      <c r="F1049" s="64">
        <v>1046</v>
      </c>
      <c r="G1049" s="64">
        <f t="shared" ca="1" si="35"/>
        <v>-2.5449081752173149E-2</v>
      </c>
    </row>
    <row r="1050" spans="2:7" x14ac:dyDescent="0.3">
      <c r="B1050" s="55">
        <v>45316</v>
      </c>
      <c r="C1050" s="54">
        <v>3734.25</v>
      </c>
      <c r="D1050" s="56">
        <f t="shared" si="34"/>
        <v>7.2382401929814488E-2</v>
      </c>
      <c r="E1050" s="64">
        <v>1.7436791630340842E-3</v>
      </c>
      <c r="F1050" s="64">
        <v>1047</v>
      </c>
      <c r="G1050" s="64">
        <f t="shared" ca="1" si="35"/>
        <v>5.7583587237667226E-3</v>
      </c>
    </row>
    <row r="1051" spans="2:7" x14ac:dyDescent="0.3">
      <c r="B1051" s="55">
        <v>45036</v>
      </c>
      <c r="C1051" s="54">
        <v>3482.2</v>
      </c>
      <c r="D1051" s="56">
        <f t="shared" si="34"/>
        <v>1.3637620620897462E-2</v>
      </c>
      <c r="E1051" s="64">
        <v>1.7260226684310265E-3</v>
      </c>
      <c r="F1051" s="64">
        <v>1048</v>
      </c>
      <c r="G1051" s="64">
        <f t="shared" ca="1" si="35"/>
        <v>-2.1132019105213451E-2</v>
      </c>
    </row>
    <row r="1052" spans="2:7" x14ac:dyDescent="0.3">
      <c r="B1052" s="55">
        <v>45071</v>
      </c>
      <c r="C1052" s="54">
        <v>3435.35</v>
      </c>
      <c r="D1052" s="56">
        <f t="shared" si="34"/>
        <v>-9.8510791838876899E-2</v>
      </c>
      <c r="E1052" s="64">
        <v>1.6911839745739066E-3</v>
      </c>
      <c r="F1052" s="64">
        <v>1049</v>
      </c>
      <c r="G1052" s="64">
        <f t="shared" ca="1" si="35"/>
        <v>6.9741773681919524E-3</v>
      </c>
    </row>
    <row r="1053" spans="2:7" x14ac:dyDescent="0.3">
      <c r="B1053" s="55">
        <v>45300</v>
      </c>
      <c r="C1053" s="54">
        <v>3810.75</v>
      </c>
      <c r="D1053" s="56">
        <f t="shared" si="34"/>
        <v>4.7067551415735931E-2</v>
      </c>
      <c r="E1053" s="64">
        <v>1.6691199663547707E-3</v>
      </c>
      <c r="F1053" s="64">
        <v>1050</v>
      </c>
      <c r="G1053" s="64">
        <f t="shared" ca="1" si="35"/>
        <v>2.7038690488763017E-3</v>
      </c>
    </row>
    <row r="1054" spans="2:7" x14ac:dyDescent="0.3">
      <c r="B1054" s="55">
        <v>45231</v>
      </c>
      <c r="C1054" s="54">
        <v>3639.45</v>
      </c>
      <c r="D1054" s="56">
        <f t="shared" si="34"/>
        <v>-8.8679387019230838E-2</v>
      </c>
      <c r="E1054" s="64">
        <v>1.6651070622557551E-3</v>
      </c>
      <c r="F1054" s="64">
        <v>1051</v>
      </c>
      <c r="G1054" s="64">
        <f t="shared" ca="1" si="35"/>
        <v>7.7471189922206892E-3</v>
      </c>
    </row>
    <row r="1055" spans="2:7" x14ac:dyDescent="0.3">
      <c r="B1055" s="55">
        <v>46185</v>
      </c>
      <c r="C1055" s="54">
        <v>3993.6</v>
      </c>
      <c r="D1055" s="56">
        <f t="shared" si="34"/>
        <v>2.6655346489215237</v>
      </c>
      <c r="E1055" s="64">
        <v>1.655379984951022E-3</v>
      </c>
      <c r="F1055" s="64">
        <v>1052</v>
      </c>
      <c r="G1055" s="64">
        <f t="shared" ca="1" si="35"/>
        <v>2.5388309966618082E-2</v>
      </c>
    </row>
    <row r="1056" spans="2:7" x14ac:dyDescent="0.3">
      <c r="B1056" s="55">
        <v>42996</v>
      </c>
      <c r="C1056" s="54">
        <v>1089.5</v>
      </c>
      <c r="D1056" s="56">
        <f t="shared" si="34"/>
        <v>-0.71660076995109767</v>
      </c>
      <c r="E1056" s="64">
        <v>1.6088255573432075E-3</v>
      </c>
      <c r="F1056" s="64">
        <v>1053</v>
      </c>
      <c r="G1056" s="64">
        <f t="shared" ca="1" si="35"/>
        <v>2.0605247220193176E-2</v>
      </c>
    </row>
    <row r="1057" spans="2:7" x14ac:dyDescent="0.3">
      <c r="B1057" s="55">
        <v>45253</v>
      </c>
      <c r="C1057" s="54">
        <v>3844.4</v>
      </c>
      <c r="D1057" s="56">
        <f t="shared" si="34"/>
        <v>0.94387419729989386</v>
      </c>
      <c r="E1057" s="64">
        <v>1.6022927115222352E-3</v>
      </c>
      <c r="F1057" s="64">
        <v>1054</v>
      </c>
      <c r="G1057" s="64">
        <f t="shared" ca="1" si="35"/>
        <v>-2.4120521434558999E-2</v>
      </c>
    </row>
    <row r="1058" spans="2:7" x14ac:dyDescent="0.3">
      <c r="B1058" s="55">
        <v>44119</v>
      </c>
      <c r="C1058" s="54">
        <v>1977.7</v>
      </c>
      <c r="D1058" s="56">
        <f t="shared" si="34"/>
        <v>-0.57121640812167329</v>
      </c>
      <c r="E1058" s="64">
        <v>1.5953001949811085E-3</v>
      </c>
      <c r="F1058" s="64">
        <v>1055</v>
      </c>
      <c r="G1058" s="64">
        <f t="shared" ca="1" si="35"/>
        <v>-1.0247975629691885E-2</v>
      </c>
    </row>
    <row r="1059" spans="2:7" x14ac:dyDescent="0.3">
      <c r="B1059" s="55">
        <v>45415</v>
      </c>
      <c r="C1059" s="54">
        <v>4612.3500000000004</v>
      </c>
      <c r="D1059" s="56">
        <f t="shared" si="34"/>
        <v>0.12397650843162111</v>
      </c>
      <c r="E1059" s="64">
        <v>1.5852162300082906E-3</v>
      </c>
      <c r="F1059" s="64">
        <v>1056</v>
      </c>
      <c r="G1059" s="64">
        <f t="shared" ca="1" si="35"/>
        <v>-7.777071805770296E-3</v>
      </c>
    </row>
    <row r="1060" spans="2:7" x14ac:dyDescent="0.3">
      <c r="B1060" s="55">
        <v>46168</v>
      </c>
      <c r="C1060" s="54">
        <v>4103.6000000000004</v>
      </c>
      <c r="D1060" s="56">
        <f t="shared" si="34"/>
        <v>-5.4774957387017875E-2</v>
      </c>
      <c r="E1060" s="64">
        <v>1.5620423703994746E-3</v>
      </c>
      <c r="F1060" s="64">
        <v>1057</v>
      </c>
      <c r="G1060" s="64">
        <f t="shared" ca="1" si="35"/>
        <v>-8.230376831400198E-3</v>
      </c>
    </row>
    <row r="1061" spans="2:7" x14ac:dyDescent="0.3">
      <c r="B1061" s="55">
        <v>46156</v>
      </c>
      <c r="C1061" s="54">
        <v>4341.3999999999996</v>
      </c>
      <c r="D1061" s="56">
        <f t="shared" si="34"/>
        <v>6.6447222972806808E-2</v>
      </c>
      <c r="E1061" s="64">
        <v>1.5456663667612336E-3</v>
      </c>
      <c r="F1061" s="64">
        <v>1058</v>
      </c>
      <c r="G1061" s="64">
        <f t="shared" ca="1" si="35"/>
        <v>1.7112054112365285E-2</v>
      </c>
    </row>
    <row r="1062" spans="2:7" x14ac:dyDescent="0.3">
      <c r="B1062" s="55">
        <v>46210</v>
      </c>
      <c r="C1062" s="54">
        <v>4070.9</v>
      </c>
      <c r="D1062" s="56">
        <f t="shared" si="34"/>
        <v>0.84282836513433357</v>
      </c>
      <c r="E1062" s="64">
        <v>1.5253278224716116E-3</v>
      </c>
      <c r="F1062" s="64">
        <v>1059</v>
      </c>
      <c r="G1062" s="64">
        <f t="shared" ca="1" si="35"/>
        <v>-1.4806394587989784E-2</v>
      </c>
    </row>
    <row r="1063" spans="2:7" x14ac:dyDescent="0.3">
      <c r="B1063" s="55">
        <v>44138</v>
      </c>
      <c r="C1063" s="54">
        <v>2209.0500000000002</v>
      </c>
      <c r="D1063" s="56">
        <f t="shared" si="34"/>
        <v>0.13197540353574189</v>
      </c>
      <c r="E1063" s="64">
        <v>1.4960897653859551E-3</v>
      </c>
      <c r="F1063" s="64">
        <v>1060</v>
      </c>
      <c r="G1063" s="64">
        <f t="shared" ca="1" si="35"/>
        <v>9.3821846196388945E-4</v>
      </c>
    </row>
    <row r="1064" spans="2:7" x14ac:dyDescent="0.3">
      <c r="B1064" s="55">
        <v>43857</v>
      </c>
      <c r="C1064" s="54">
        <v>1951.5</v>
      </c>
      <c r="D1064" s="56">
        <f t="shared" si="34"/>
        <v>-0.44823783875482415</v>
      </c>
      <c r="E1064" s="64">
        <v>1.4882479729037001E-3</v>
      </c>
      <c r="F1064" s="64">
        <v>1061</v>
      </c>
      <c r="G1064" s="64">
        <f t="shared" ca="1" si="35"/>
        <v>3.6912055149496271E-3</v>
      </c>
    </row>
    <row r="1065" spans="2:7" x14ac:dyDescent="0.3">
      <c r="B1065" s="55">
        <v>45082</v>
      </c>
      <c r="C1065" s="54">
        <v>3536.85</v>
      </c>
      <c r="D1065" s="56">
        <f t="shared" si="34"/>
        <v>-0.15254582484725054</v>
      </c>
      <c r="E1065" s="64">
        <v>1.4865783214406125E-3</v>
      </c>
      <c r="F1065" s="64">
        <v>1062</v>
      </c>
      <c r="G1065" s="64">
        <f t="shared" ca="1" si="35"/>
        <v>1.8605634170402875E-2</v>
      </c>
    </row>
    <row r="1066" spans="2:7" x14ac:dyDescent="0.3">
      <c r="B1066" s="55">
        <v>44872</v>
      </c>
      <c r="C1066" s="54">
        <v>4173.5</v>
      </c>
      <c r="D1066" s="56">
        <f t="shared" si="34"/>
        <v>-0.11179450072358899</v>
      </c>
      <c r="E1066" s="64">
        <v>1.4757579756918826E-3</v>
      </c>
      <c r="F1066" s="64">
        <v>1063</v>
      </c>
      <c r="G1066" s="64">
        <f t="shared" ca="1" si="35"/>
        <v>-2.3042140059972134E-2</v>
      </c>
    </row>
    <row r="1067" spans="2:7" x14ac:dyDescent="0.3">
      <c r="B1067" s="55">
        <v>45891</v>
      </c>
      <c r="C1067" s="54">
        <v>4698.8</v>
      </c>
      <c r="D1067" s="56">
        <f t="shared" si="34"/>
        <v>2.2026718467777662</v>
      </c>
      <c r="E1067" s="64">
        <v>1.4706195784224274E-3</v>
      </c>
      <c r="F1067" s="64">
        <v>1064</v>
      </c>
      <c r="G1067" s="64">
        <f t="shared" ca="1" si="35"/>
        <v>1.4097600969228047E-2</v>
      </c>
    </row>
    <row r="1068" spans="2:7" x14ac:dyDescent="0.3">
      <c r="B1068" s="55">
        <v>43228</v>
      </c>
      <c r="C1068" s="54">
        <v>1467.15</v>
      </c>
      <c r="D1068" s="56">
        <f t="shared" si="34"/>
        <v>-0.65535183640869632</v>
      </c>
      <c r="E1068" s="64">
        <v>1.4675767918088667E-3</v>
      </c>
      <c r="F1068" s="64">
        <v>1065</v>
      </c>
      <c r="G1068" s="64">
        <f t="shared" ca="1" si="35"/>
        <v>1.3511955160817012E-2</v>
      </c>
    </row>
    <row r="1069" spans="2:7" x14ac:dyDescent="0.3">
      <c r="B1069" s="55">
        <v>44796</v>
      </c>
      <c r="C1069" s="54">
        <v>4256.95</v>
      </c>
      <c r="D1069" s="56">
        <f t="shared" si="34"/>
        <v>0.99011243308945529</v>
      </c>
      <c r="E1069" s="64">
        <v>1.4585661353878621E-3</v>
      </c>
      <c r="F1069" s="64">
        <v>1066</v>
      </c>
      <c r="G1069" s="64">
        <f t="shared" ca="1" si="35"/>
        <v>4.9288863204750245E-3</v>
      </c>
    </row>
    <row r="1070" spans="2:7" x14ac:dyDescent="0.3">
      <c r="B1070" s="55">
        <v>44091</v>
      </c>
      <c r="C1070" s="54">
        <v>2139.0500000000002</v>
      </c>
      <c r="D1070" s="56">
        <f t="shared" si="34"/>
        <v>0.10628119262496449</v>
      </c>
      <c r="E1070" s="64">
        <v>1.4513448348512092E-3</v>
      </c>
      <c r="F1070" s="64">
        <v>1067</v>
      </c>
      <c r="G1070" s="64">
        <f t="shared" ca="1" si="35"/>
        <v>3.3478050310499601E-2</v>
      </c>
    </row>
    <row r="1071" spans="2:7" x14ac:dyDescent="0.3">
      <c r="B1071" s="55">
        <v>43845</v>
      </c>
      <c r="C1071" s="54">
        <v>1933.55</v>
      </c>
      <c r="D1071" s="56">
        <f t="shared" si="34"/>
        <v>0.23073740492027617</v>
      </c>
      <c r="E1071" s="64">
        <v>1.4502136475462724E-3</v>
      </c>
      <c r="F1071" s="64">
        <v>1068</v>
      </c>
      <c r="G1071" s="64">
        <f t="shared" ca="1" si="35"/>
        <v>-1.2960091732731873E-2</v>
      </c>
    </row>
    <row r="1072" spans="2:7" x14ac:dyDescent="0.3">
      <c r="B1072" s="55">
        <v>43719</v>
      </c>
      <c r="C1072" s="54">
        <v>1571.05</v>
      </c>
      <c r="D1072" s="56">
        <f t="shared" si="34"/>
        <v>5.2488778723119189E-2</v>
      </c>
      <c r="E1072" s="64">
        <v>1.4342172361039296E-3</v>
      </c>
      <c r="F1072" s="64">
        <v>1069</v>
      </c>
      <c r="G1072" s="64">
        <f t="shared" ca="1" si="35"/>
        <v>-1.1312715013189525E-2</v>
      </c>
    </row>
    <row r="1073" spans="2:7" x14ac:dyDescent="0.3">
      <c r="B1073" s="55">
        <v>43693</v>
      </c>
      <c r="C1073" s="54">
        <v>1492.7</v>
      </c>
      <c r="D1073" s="56">
        <f t="shared" si="34"/>
        <v>-0.65779066701819144</v>
      </c>
      <c r="E1073" s="64">
        <v>1.4088286596003474E-3</v>
      </c>
      <c r="F1073" s="64">
        <v>1070</v>
      </c>
      <c r="G1073" s="64">
        <f t="shared" ca="1" si="35"/>
        <v>-3.8151803862597207E-2</v>
      </c>
    </row>
    <row r="1074" spans="2:7" x14ac:dyDescent="0.3">
      <c r="B1074" s="55">
        <v>44460</v>
      </c>
      <c r="C1074" s="54">
        <v>4361.95</v>
      </c>
      <c r="D1074" s="56">
        <f t="shared" si="34"/>
        <v>7.0312116602051278E-2</v>
      </c>
      <c r="E1074" s="64">
        <v>1.3889207741224485E-3</v>
      </c>
      <c r="F1074" s="64">
        <v>1071</v>
      </c>
      <c r="G1074" s="64">
        <f t="shared" ca="1" si="35"/>
        <v>2.2391320871025257E-3</v>
      </c>
    </row>
    <row r="1075" spans="2:7" x14ac:dyDescent="0.3">
      <c r="B1075" s="55">
        <v>45272</v>
      </c>
      <c r="C1075" s="54">
        <v>4075.4</v>
      </c>
      <c r="D1075" s="56">
        <f t="shared" si="34"/>
        <v>1.9652211874272409</v>
      </c>
      <c r="E1075" s="64">
        <v>1.3882916641072551E-3</v>
      </c>
      <c r="F1075" s="64">
        <v>1072</v>
      </c>
      <c r="G1075" s="64">
        <f t="shared" ca="1" si="35"/>
        <v>3.7564006333599104E-2</v>
      </c>
    </row>
    <row r="1076" spans="2:7" x14ac:dyDescent="0.3">
      <c r="B1076" s="55">
        <v>43383</v>
      </c>
      <c r="C1076" s="54">
        <v>1374.4</v>
      </c>
      <c r="D1076" s="56">
        <f t="shared" si="34"/>
        <v>-0.71492574462789338</v>
      </c>
      <c r="E1076" s="64">
        <v>1.3843351548270544E-3</v>
      </c>
      <c r="F1076" s="64">
        <v>1073</v>
      </c>
      <c r="G1076" s="64">
        <f t="shared" ca="1" si="35"/>
        <v>-2.2906571597813424E-2</v>
      </c>
    </row>
    <row r="1077" spans="2:7" x14ac:dyDescent="0.3">
      <c r="B1077" s="55">
        <v>44539</v>
      </c>
      <c r="C1077" s="54">
        <v>4821.2</v>
      </c>
      <c r="D1077" s="56">
        <f t="shared" si="34"/>
        <v>0.31346373889827284</v>
      </c>
      <c r="E1077" s="64">
        <v>1.3708303908941399E-3</v>
      </c>
      <c r="F1077" s="64">
        <v>1074</v>
      </c>
      <c r="G1077" s="64">
        <f t="shared" ca="1" si="35"/>
        <v>-2.5186105787525989E-2</v>
      </c>
    </row>
    <row r="1078" spans="2:7" x14ac:dyDescent="0.3">
      <c r="B1078" s="55">
        <v>46049</v>
      </c>
      <c r="C1078" s="54">
        <v>3670.6</v>
      </c>
      <c r="D1078" s="56">
        <f t="shared" si="34"/>
        <v>0.14813888020018773</v>
      </c>
      <c r="E1078" s="64">
        <v>1.364033173286705E-3</v>
      </c>
      <c r="F1078" s="64">
        <v>1075</v>
      </c>
      <c r="G1078" s="64">
        <f t="shared" ca="1" si="35"/>
        <v>5.4874146348328337E-2</v>
      </c>
    </row>
    <row r="1079" spans="2:7" x14ac:dyDescent="0.3">
      <c r="B1079" s="55">
        <v>44351</v>
      </c>
      <c r="C1079" s="54">
        <v>3197</v>
      </c>
      <c r="D1079" s="56">
        <f t="shared" si="34"/>
        <v>-0.24520729058456892</v>
      </c>
      <c r="E1079" s="64">
        <v>1.3468224386883332E-3</v>
      </c>
      <c r="F1079" s="64">
        <v>1076</v>
      </c>
      <c r="G1079" s="64">
        <f t="shared" ca="1" si="35"/>
        <v>-8.620519848372428E-3</v>
      </c>
    </row>
    <row r="1080" spans="2:7" x14ac:dyDescent="0.3">
      <c r="B1080" s="55">
        <v>44859</v>
      </c>
      <c r="C1080" s="54">
        <v>4235.6000000000004</v>
      </c>
      <c r="D1080" s="56">
        <f t="shared" si="34"/>
        <v>0.4716397686013587</v>
      </c>
      <c r="E1080" s="64">
        <v>1.33571318809933E-3</v>
      </c>
      <c r="F1080" s="64">
        <v>1077</v>
      </c>
      <c r="G1080" s="64">
        <f t="shared" ca="1" si="35"/>
        <v>1.428340331545698E-2</v>
      </c>
    </row>
    <row r="1081" spans="2:7" x14ac:dyDescent="0.3">
      <c r="B1081" s="55">
        <v>44322</v>
      </c>
      <c r="C1081" s="54">
        <v>2878.15</v>
      </c>
      <c r="D1081" s="56">
        <f t="shared" si="34"/>
        <v>-0.25884867446920823</v>
      </c>
      <c r="E1081" s="64">
        <v>1.3046200946285058E-3</v>
      </c>
      <c r="F1081" s="64">
        <v>1078</v>
      </c>
      <c r="G1081" s="64">
        <f t="shared" ca="1" si="35"/>
        <v>4.4599531713281924E-2</v>
      </c>
    </row>
    <row r="1082" spans="2:7" x14ac:dyDescent="0.3">
      <c r="B1082" s="55">
        <v>44755</v>
      </c>
      <c r="C1082" s="54">
        <v>3883.35</v>
      </c>
      <c r="D1082" s="56">
        <f t="shared" si="34"/>
        <v>-0.21783135442158386</v>
      </c>
      <c r="E1082" s="64">
        <v>1.2762995049504511E-3</v>
      </c>
      <c r="F1082" s="64">
        <v>1079</v>
      </c>
      <c r="G1082" s="64">
        <f t="shared" ca="1" si="35"/>
        <v>-9.976155444510245E-3</v>
      </c>
    </row>
    <row r="1083" spans="2:7" x14ac:dyDescent="0.3">
      <c r="B1083" s="55">
        <v>45532</v>
      </c>
      <c r="C1083" s="54">
        <v>4964.8500000000004</v>
      </c>
      <c r="D1083" s="56">
        <f t="shared" si="34"/>
        <v>0.35075905974534782</v>
      </c>
      <c r="E1083" s="64">
        <v>1.2705327162174651E-3</v>
      </c>
      <c r="F1083" s="64">
        <v>1080</v>
      </c>
      <c r="G1083" s="64">
        <f t="shared" ca="1" si="35"/>
        <v>-2.6509131752678601E-3</v>
      </c>
    </row>
    <row r="1084" spans="2:7" x14ac:dyDescent="0.3">
      <c r="B1084" s="55">
        <v>45198</v>
      </c>
      <c r="C1084" s="54">
        <v>3675.6</v>
      </c>
      <c r="D1084" s="56">
        <f t="shared" si="34"/>
        <v>0.91967410038126074</v>
      </c>
      <c r="E1084" s="64">
        <v>1.2394274117757398E-3</v>
      </c>
      <c r="F1084" s="64">
        <v>1081</v>
      </c>
      <c r="G1084" s="64">
        <f t="shared" ca="1" si="35"/>
        <v>-1.3859453410602273E-2</v>
      </c>
    </row>
    <row r="1085" spans="2:7" x14ac:dyDescent="0.3">
      <c r="B1085" s="55">
        <v>43852</v>
      </c>
      <c r="C1085" s="54">
        <v>1914.7</v>
      </c>
      <c r="D1085" s="56">
        <f t="shared" si="34"/>
        <v>0.16176202900309455</v>
      </c>
      <c r="E1085" s="64">
        <v>1.2288545506837778E-3</v>
      </c>
      <c r="F1085" s="64">
        <v>1082</v>
      </c>
      <c r="G1085" s="64">
        <f t="shared" ca="1" si="35"/>
        <v>-4.434712824035133E-3</v>
      </c>
    </row>
    <row r="1086" spans="2:7" x14ac:dyDescent="0.3">
      <c r="B1086" s="55">
        <v>43455</v>
      </c>
      <c r="C1086" s="54">
        <v>1648.1</v>
      </c>
      <c r="D1086" s="56">
        <f t="shared" si="34"/>
        <v>-0.53012116892373484</v>
      </c>
      <c r="E1086" s="64">
        <v>1.2149930137901332E-3</v>
      </c>
      <c r="F1086" s="64">
        <v>1083</v>
      </c>
      <c r="G1086" s="64">
        <f t="shared" ca="1" si="35"/>
        <v>3.5556477100079607E-2</v>
      </c>
    </row>
    <row r="1087" spans="2:7" x14ac:dyDescent="0.3">
      <c r="B1087" s="55">
        <v>45076</v>
      </c>
      <c r="C1087" s="54">
        <v>3507.5</v>
      </c>
      <c r="D1087" s="56">
        <f t="shared" si="34"/>
        <v>-0.15363640750929008</v>
      </c>
      <c r="E1087" s="64">
        <v>1.1988696371991736E-3</v>
      </c>
      <c r="F1087" s="64">
        <v>1084</v>
      </c>
      <c r="G1087" s="64">
        <f t="shared" ca="1" si="35"/>
        <v>4.6549498882370501E-3</v>
      </c>
    </row>
    <row r="1088" spans="2:7" x14ac:dyDescent="0.3">
      <c r="B1088" s="55">
        <v>46178</v>
      </c>
      <c r="C1088" s="54">
        <v>4144.2</v>
      </c>
      <c r="D1088" s="56">
        <f t="shared" si="34"/>
        <v>-9.8067380517106395E-2</v>
      </c>
      <c r="E1088" s="64">
        <v>1.1837750344261266E-3</v>
      </c>
      <c r="F1088" s="64">
        <v>1085</v>
      </c>
      <c r="G1088" s="64">
        <f t="shared" ca="1" si="35"/>
        <v>8.2396686051481195E-3</v>
      </c>
    </row>
    <row r="1089" spans="2:7" x14ac:dyDescent="0.3">
      <c r="B1089" s="55">
        <v>46134</v>
      </c>
      <c r="C1089" s="54">
        <v>4594.8</v>
      </c>
      <c r="D1089" s="56">
        <f t="shared" si="34"/>
        <v>0.36563038697021932</v>
      </c>
      <c r="E1089" s="64">
        <v>1.1766243953459377E-3</v>
      </c>
      <c r="F1089" s="64">
        <v>1086</v>
      </c>
      <c r="G1089" s="64">
        <f t="shared" ca="1" si="35"/>
        <v>2.7203711079089789E-2</v>
      </c>
    </row>
    <row r="1090" spans="2:7" x14ac:dyDescent="0.3">
      <c r="B1090" s="55">
        <v>44383</v>
      </c>
      <c r="C1090" s="54">
        <v>3364.6</v>
      </c>
      <c r="D1090" s="56">
        <f t="shared" si="34"/>
        <v>1.1325305022975756</v>
      </c>
      <c r="E1090" s="64">
        <v>1.17536786038408E-3</v>
      </c>
      <c r="F1090" s="64">
        <v>1087</v>
      </c>
      <c r="G1090" s="64">
        <f t="shared" ca="1" si="35"/>
        <v>-1.7351513107168794E-2</v>
      </c>
    </row>
    <row r="1091" spans="2:7" x14ac:dyDescent="0.3">
      <c r="B1091" s="55">
        <v>43469</v>
      </c>
      <c r="C1091" s="54">
        <v>1577.75</v>
      </c>
      <c r="D1091" s="56">
        <f t="shared" si="34"/>
        <v>0.73055829768564218</v>
      </c>
      <c r="E1091" s="64">
        <v>1.1739323561139603E-3</v>
      </c>
      <c r="F1091" s="64">
        <v>1088</v>
      </c>
      <c r="G1091" s="64">
        <f t="shared" ca="1" si="35"/>
        <v>1.1170843722894902E-2</v>
      </c>
    </row>
    <row r="1092" spans="2:7" x14ac:dyDescent="0.3">
      <c r="B1092" s="55">
        <v>42935</v>
      </c>
      <c r="C1092" s="54">
        <v>911.7</v>
      </c>
      <c r="D1092" s="56">
        <f t="shared" ref="D1092:D1155" si="36">C1092/C1093-1</f>
        <v>-0.17511875141370725</v>
      </c>
      <c r="E1092" s="64">
        <v>1.1530225662987892E-3</v>
      </c>
      <c r="F1092" s="64">
        <v>1089</v>
      </c>
      <c r="G1092" s="64">
        <f t="shared" ca="1" si="35"/>
        <v>2.6848189803146578E-2</v>
      </c>
    </row>
    <row r="1093" spans="2:7" x14ac:dyDescent="0.3">
      <c r="B1093" s="55">
        <v>43014</v>
      </c>
      <c r="C1093" s="54">
        <v>1105.25</v>
      </c>
      <c r="D1093" s="56">
        <f t="shared" si="36"/>
        <v>-0.70935125042732794</v>
      </c>
      <c r="E1093" s="64">
        <v>1.1322463768115298E-3</v>
      </c>
      <c r="F1093" s="64">
        <v>1090</v>
      </c>
      <c r="G1093" s="64">
        <f t="shared" ref="G1093:G1156" ca="1" si="37">_xlfn.NORM.INV(RAND(),K$6,K$7)</f>
        <v>-8.3482808395041672E-3</v>
      </c>
    </row>
    <row r="1094" spans="2:7" x14ac:dyDescent="0.3">
      <c r="B1094" s="55">
        <v>45242</v>
      </c>
      <c r="C1094" s="54">
        <v>3802.7</v>
      </c>
      <c r="D1094" s="56">
        <f t="shared" si="36"/>
        <v>0.13128458380436725</v>
      </c>
      <c r="E1094" s="64">
        <v>1.1320556023588502E-3</v>
      </c>
      <c r="F1094" s="64">
        <v>1091</v>
      </c>
      <c r="G1094" s="64">
        <f t="shared" ca="1" si="37"/>
        <v>-4.2363364813356274E-4</v>
      </c>
    </row>
    <row r="1095" spans="2:7" x14ac:dyDescent="0.3">
      <c r="B1095" s="55">
        <v>45007</v>
      </c>
      <c r="C1095" s="54">
        <v>3361.4</v>
      </c>
      <c r="D1095" s="56">
        <f t="shared" si="36"/>
        <v>1.8953873982514318</v>
      </c>
      <c r="E1095" s="64">
        <v>1.1317607815106712E-3</v>
      </c>
      <c r="F1095" s="64">
        <v>1092</v>
      </c>
      <c r="G1095" s="64">
        <f t="shared" ca="1" si="37"/>
        <v>4.5095853919879206E-2</v>
      </c>
    </row>
    <row r="1096" spans="2:7" x14ac:dyDescent="0.3">
      <c r="B1096" s="55">
        <v>43052</v>
      </c>
      <c r="C1096" s="54">
        <v>1160.95</v>
      </c>
      <c r="D1096" s="56">
        <f t="shared" si="36"/>
        <v>-0.66282818308550184</v>
      </c>
      <c r="E1096" s="64">
        <v>1.121027896348048E-3</v>
      </c>
      <c r="F1096" s="64">
        <v>1093</v>
      </c>
      <c r="G1096" s="64">
        <f t="shared" ca="1" si="37"/>
        <v>7.645014015538759E-3</v>
      </c>
    </row>
    <row r="1097" spans="2:7" x14ac:dyDescent="0.3">
      <c r="B1097" s="55">
        <v>44987</v>
      </c>
      <c r="C1097" s="54">
        <v>3443.2</v>
      </c>
      <c r="D1097" s="56">
        <f t="shared" si="36"/>
        <v>-0.15244307692307701</v>
      </c>
      <c r="E1097" s="64">
        <v>1.1193975605856554E-3</v>
      </c>
      <c r="F1097" s="64">
        <v>1094</v>
      </c>
      <c r="G1097" s="64">
        <f t="shared" ca="1" si="37"/>
        <v>-1.0831226035150528E-2</v>
      </c>
    </row>
    <row r="1098" spans="2:7" x14ac:dyDescent="0.3">
      <c r="B1098" s="55">
        <v>45974</v>
      </c>
      <c r="C1098" s="54">
        <v>4062.5</v>
      </c>
      <c r="D1098" s="56">
        <f t="shared" si="36"/>
        <v>2.0530192011422987</v>
      </c>
      <c r="E1098" s="64">
        <v>1.1089206505667804E-3</v>
      </c>
      <c r="F1098" s="64">
        <v>1095</v>
      </c>
      <c r="G1098" s="64">
        <f t="shared" ca="1" si="37"/>
        <v>-2.4630642883312305E-3</v>
      </c>
    </row>
    <row r="1099" spans="2:7" x14ac:dyDescent="0.3">
      <c r="B1099" s="55">
        <v>43641</v>
      </c>
      <c r="C1099" s="54">
        <v>1330.65</v>
      </c>
      <c r="D1099" s="56">
        <f t="shared" si="36"/>
        <v>-0.57826762170385393</v>
      </c>
      <c r="E1099" s="64">
        <v>1.0908817333734611E-3</v>
      </c>
      <c r="F1099" s="64">
        <v>1096</v>
      </c>
      <c r="G1099" s="64">
        <f t="shared" ca="1" si="37"/>
        <v>-1.6278953593228881E-2</v>
      </c>
    </row>
    <row r="1100" spans="2:7" x14ac:dyDescent="0.3">
      <c r="B1100" s="55">
        <v>44265</v>
      </c>
      <c r="C1100" s="54">
        <v>3155.2</v>
      </c>
      <c r="D1100" s="56">
        <f t="shared" si="36"/>
        <v>-0.18031849946743572</v>
      </c>
      <c r="E1100" s="64">
        <v>1.0628678395228075E-3</v>
      </c>
      <c r="F1100" s="64">
        <v>1097</v>
      </c>
      <c r="G1100" s="64">
        <f t="shared" ca="1" si="37"/>
        <v>-3.436117178040083E-2</v>
      </c>
    </row>
    <row r="1101" spans="2:7" x14ac:dyDescent="0.3">
      <c r="B1101" s="55">
        <v>46077</v>
      </c>
      <c r="C1101" s="54">
        <v>3849.3</v>
      </c>
      <c r="D1101" s="56">
        <f t="shared" si="36"/>
        <v>5.3650124544931899E-2</v>
      </c>
      <c r="E1101" s="64">
        <v>1.0402309312667057E-3</v>
      </c>
      <c r="F1101" s="64">
        <v>1098</v>
      </c>
      <c r="G1101" s="64">
        <f t="shared" ca="1" si="37"/>
        <v>2.0125328925013564E-2</v>
      </c>
    </row>
    <row r="1102" spans="2:7" x14ac:dyDescent="0.3">
      <c r="B1102" s="55">
        <v>45237</v>
      </c>
      <c r="C1102" s="54">
        <v>3653.3</v>
      </c>
      <c r="D1102" s="56">
        <f t="shared" si="36"/>
        <v>5.7639974523768345E-2</v>
      </c>
      <c r="E1102" s="64">
        <v>1.0275239413077841E-3</v>
      </c>
      <c r="F1102" s="64">
        <v>1099</v>
      </c>
      <c r="G1102" s="64">
        <f t="shared" ca="1" si="37"/>
        <v>8.9214632661017874E-3</v>
      </c>
    </row>
    <row r="1103" spans="2:7" x14ac:dyDescent="0.3">
      <c r="B1103" s="55">
        <v>45027</v>
      </c>
      <c r="C1103" s="54">
        <v>3454.2</v>
      </c>
      <c r="D1103" s="56">
        <f t="shared" si="36"/>
        <v>0.48714857708701076</v>
      </c>
      <c r="E1103" s="64">
        <v>1.0142869562697054E-3</v>
      </c>
      <c r="F1103" s="64">
        <v>1100</v>
      </c>
      <c r="G1103" s="64">
        <f t="shared" ca="1" si="37"/>
        <v>1.9336954190969074E-3</v>
      </c>
    </row>
    <row r="1104" spans="2:7" x14ac:dyDescent="0.3">
      <c r="B1104" s="55">
        <v>44022</v>
      </c>
      <c r="C1104" s="54">
        <v>2322.6999999999998</v>
      </c>
      <c r="D1104" s="56">
        <f t="shared" si="36"/>
        <v>0.17376253884832105</v>
      </c>
      <c r="E1104" s="64">
        <v>1.0127782446613942E-3</v>
      </c>
      <c r="F1104" s="64">
        <v>1101</v>
      </c>
      <c r="G1104" s="64">
        <f t="shared" ca="1" si="37"/>
        <v>-8.2774221994087269E-3</v>
      </c>
    </row>
    <row r="1105" spans="2:7" x14ac:dyDescent="0.3">
      <c r="B1105" s="55">
        <v>43775</v>
      </c>
      <c r="C1105" s="54">
        <v>1978.85</v>
      </c>
      <c r="D1105" s="56">
        <f t="shared" si="36"/>
        <v>-0.46802247432657673</v>
      </c>
      <c r="E1105" s="64">
        <v>1.0117105496116885E-3</v>
      </c>
      <c r="F1105" s="64">
        <v>1102</v>
      </c>
      <c r="G1105" s="64">
        <f t="shared" ca="1" si="37"/>
        <v>8.3741283202670887E-3</v>
      </c>
    </row>
    <row r="1106" spans="2:7" x14ac:dyDescent="0.3">
      <c r="B1106" s="55">
        <v>46024</v>
      </c>
      <c r="C1106" s="54">
        <v>3719.8</v>
      </c>
      <c r="D1106" s="56">
        <f t="shared" si="36"/>
        <v>-7.6388285391500776E-2</v>
      </c>
      <c r="E1106" s="64">
        <v>9.9566750087465294E-4</v>
      </c>
      <c r="F1106" s="64">
        <v>1103</v>
      </c>
      <c r="G1106" s="64">
        <f t="shared" ca="1" si="37"/>
        <v>-2.2188607732090693E-3</v>
      </c>
    </row>
    <row r="1107" spans="2:7" x14ac:dyDescent="0.3">
      <c r="B1107" s="55">
        <v>45287</v>
      </c>
      <c r="C1107" s="54">
        <v>4027.45</v>
      </c>
      <c r="D1107" s="56">
        <f t="shared" si="36"/>
        <v>-1.1122705788472187E-2</v>
      </c>
      <c r="E1107" s="64">
        <v>9.941716685928359E-4</v>
      </c>
      <c r="F1107" s="64">
        <v>1104</v>
      </c>
      <c r="G1107" s="64">
        <f t="shared" ca="1" si="37"/>
        <v>-2.4502673225242501E-2</v>
      </c>
    </row>
    <row r="1108" spans="2:7" x14ac:dyDescent="0.3">
      <c r="B1108" s="55">
        <v>44928</v>
      </c>
      <c r="C1108" s="54">
        <v>4072.75</v>
      </c>
      <c r="D1108" s="56">
        <f t="shared" si="36"/>
        <v>1.7529741787211028</v>
      </c>
      <c r="E1108" s="64">
        <v>9.8310291858672016E-4</v>
      </c>
      <c r="F1108" s="64">
        <v>1105</v>
      </c>
      <c r="G1108" s="64">
        <f t="shared" ca="1" si="37"/>
        <v>-6.8800681801552774E-3</v>
      </c>
    </row>
    <row r="1109" spans="2:7" x14ac:dyDescent="0.3">
      <c r="B1109" s="55">
        <v>43551</v>
      </c>
      <c r="C1109" s="54">
        <v>1479.4</v>
      </c>
      <c r="D1109" s="56">
        <f t="shared" si="36"/>
        <v>-0.58267983074753171</v>
      </c>
      <c r="E1109" s="64">
        <v>9.8108867011736933E-4</v>
      </c>
      <c r="F1109" s="64">
        <v>1106</v>
      </c>
      <c r="G1109" s="64">
        <f t="shared" ca="1" si="37"/>
        <v>2.4948362400017243E-2</v>
      </c>
    </row>
    <row r="1110" spans="2:7" x14ac:dyDescent="0.3">
      <c r="B1110" s="55">
        <v>44974</v>
      </c>
      <c r="C1110" s="54">
        <v>3545</v>
      </c>
      <c r="D1110" s="56">
        <f t="shared" si="36"/>
        <v>-9.4114941353844572E-2</v>
      </c>
      <c r="E1110" s="64">
        <v>9.3175593641481314E-4</v>
      </c>
      <c r="F1110" s="64">
        <v>1107</v>
      </c>
      <c r="G1110" s="64">
        <f t="shared" ca="1" si="37"/>
        <v>8.3368496684340428E-3</v>
      </c>
    </row>
    <row r="1111" spans="2:7" x14ac:dyDescent="0.3">
      <c r="B1111" s="55">
        <v>45995</v>
      </c>
      <c r="C1111" s="54">
        <v>3913.3</v>
      </c>
      <c r="D1111" s="56">
        <f t="shared" si="36"/>
        <v>2.125888649253135</v>
      </c>
      <c r="E1111" s="64">
        <v>9.2078676113271918E-4</v>
      </c>
      <c r="F1111" s="64">
        <v>1108</v>
      </c>
      <c r="G1111" s="64">
        <f t="shared" ca="1" si="37"/>
        <v>-1.9039193313932577E-2</v>
      </c>
    </row>
    <row r="1112" spans="2:7" x14ac:dyDescent="0.3">
      <c r="B1112" s="55">
        <v>43598</v>
      </c>
      <c r="C1112" s="54">
        <v>1251.9000000000001</v>
      </c>
      <c r="D1112" s="56">
        <f t="shared" si="36"/>
        <v>0.35033976917268905</v>
      </c>
      <c r="E1112" s="64">
        <v>9.1944833100154888E-4</v>
      </c>
      <c r="F1112" s="64">
        <v>1109</v>
      </c>
      <c r="G1112" s="64">
        <f t="shared" ca="1" si="37"/>
        <v>1.1430316153842005E-2</v>
      </c>
    </row>
    <row r="1113" spans="2:7" x14ac:dyDescent="0.3">
      <c r="B1113" s="55">
        <v>42968</v>
      </c>
      <c r="C1113" s="54">
        <v>927.1</v>
      </c>
      <c r="D1113" s="56">
        <f t="shared" si="36"/>
        <v>-0.75795629585149993</v>
      </c>
      <c r="E1113" s="64">
        <v>9.1767881241566762E-4</v>
      </c>
      <c r="F1113" s="64">
        <v>1110</v>
      </c>
      <c r="G1113" s="64">
        <f t="shared" ca="1" si="37"/>
        <v>-1.2632312190932863E-2</v>
      </c>
    </row>
    <row r="1114" spans="2:7" x14ac:dyDescent="0.3">
      <c r="B1114" s="55">
        <v>46036</v>
      </c>
      <c r="C1114" s="54">
        <v>3830.3</v>
      </c>
      <c r="D1114" s="56">
        <f t="shared" si="36"/>
        <v>-4.578859520191314E-2</v>
      </c>
      <c r="E1114" s="64">
        <v>8.8844756852801687E-4</v>
      </c>
      <c r="F1114" s="64">
        <v>1111</v>
      </c>
      <c r="G1114" s="64">
        <f t="shared" ca="1" si="37"/>
        <v>1.6829762116928472E-2</v>
      </c>
    </row>
    <row r="1115" spans="2:7" x14ac:dyDescent="0.3">
      <c r="B1115" s="55">
        <v>45370</v>
      </c>
      <c r="C1115" s="54">
        <v>4014.1</v>
      </c>
      <c r="D1115" s="56">
        <f t="shared" si="36"/>
        <v>0.67233262508853042</v>
      </c>
      <c r="E1115" s="64">
        <v>8.8516537631999626E-4</v>
      </c>
      <c r="F1115" s="64">
        <v>1112</v>
      </c>
      <c r="G1115" s="64">
        <f t="shared" ca="1" si="37"/>
        <v>1.3964797792713427E-2</v>
      </c>
    </row>
    <row r="1116" spans="2:7" x14ac:dyDescent="0.3">
      <c r="B1116" s="55">
        <v>44147</v>
      </c>
      <c r="C1116" s="54">
        <v>2400.3000000000002</v>
      </c>
      <c r="D1116" s="56">
        <f t="shared" si="36"/>
        <v>-0.38575120915116301</v>
      </c>
      <c r="E1116" s="64">
        <v>8.756567425569628E-4</v>
      </c>
      <c r="F1116" s="64">
        <v>1113</v>
      </c>
      <c r="G1116" s="64">
        <f t="shared" ca="1" si="37"/>
        <v>-4.1025250920013936E-3</v>
      </c>
    </row>
    <row r="1117" spans="2:7" x14ac:dyDescent="0.3">
      <c r="B1117" s="55">
        <v>44893</v>
      </c>
      <c r="C1117" s="54">
        <v>3907.7</v>
      </c>
      <c r="D1117" s="56">
        <f t="shared" si="36"/>
        <v>1.4896944984231149</v>
      </c>
      <c r="E1117" s="64">
        <v>8.3238356234560662E-4</v>
      </c>
      <c r="F1117" s="64">
        <v>1114</v>
      </c>
      <c r="G1117" s="64">
        <f t="shared" ca="1" si="37"/>
        <v>-4.4905112561610394E-3</v>
      </c>
    </row>
    <row r="1118" spans="2:7" x14ac:dyDescent="0.3">
      <c r="B1118" s="55">
        <v>43721</v>
      </c>
      <c r="C1118" s="54">
        <v>1569.55</v>
      </c>
      <c r="D1118" s="56">
        <f t="shared" si="36"/>
        <v>0.1013226677893555</v>
      </c>
      <c r="E1118" s="64">
        <v>8.2894946596523411E-4</v>
      </c>
      <c r="F1118" s="64">
        <v>1115</v>
      </c>
      <c r="G1118" s="64">
        <f t="shared" ca="1" si="37"/>
        <v>6.406153990923813E-3</v>
      </c>
    </row>
    <row r="1119" spans="2:7" x14ac:dyDescent="0.3">
      <c r="B1119" s="55">
        <v>43411</v>
      </c>
      <c r="C1119" s="54">
        <v>1425.15</v>
      </c>
      <c r="D1119" s="56">
        <f t="shared" si="36"/>
        <v>-9.3646654795217499E-2</v>
      </c>
      <c r="E1119" s="64">
        <v>8.0758426966287544E-4</v>
      </c>
      <c r="F1119" s="64">
        <v>1116</v>
      </c>
      <c r="G1119" s="64">
        <f t="shared" ca="1" si="37"/>
        <v>-2.3651240477252276E-2</v>
      </c>
    </row>
    <row r="1120" spans="2:7" x14ac:dyDescent="0.3">
      <c r="B1120" s="55">
        <v>43473</v>
      </c>
      <c r="C1120" s="54">
        <v>1572.4</v>
      </c>
      <c r="D1120" s="56">
        <f t="shared" si="36"/>
        <v>-0.55667080184955453</v>
      </c>
      <c r="E1120" s="64">
        <v>7.9559558285335896E-4</v>
      </c>
      <c r="F1120" s="64">
        <v>1117</v>
      </c>
      <c r="G1120" s="64">
        <f t="shared" ca="1" si="37"/>
        <v>-4.6172741142740288E-4</v>
      </c>
    </row>
    <row r="1121" spans="2:7" x14ac:dyDescent="0.3">
      <c r="B1121" s="55">
        <v>45085</v>
      </c>
      <c r="C1121" s="54">
        <v>3546.8</v>
      </c>
      <c r="D1121" s="56">
        <f t="shared" si="36"/>
        <v>-0.13696863518018343</v>
      </c>
      <c r="E1121" s="64">
        <v>7.75948420592254E-4</v>
      </c>
      <c r="F1121" s="64">
        <v>1118</v>
      </c>
      <c r="G1121" s="64">
        <f t="shared" ca="1" si="37"/>
        <v>-5.3021974529258484E-2</v>
      </c>
    </row>
    <row r="1122" spans="2:7" x14ac:dyDescent="0.3">
      <c r="B1122" s="55">
        <v>44656</v>
      </c>
      <c r="C1122" s="54">
        <v>4109.7</v>
      </c>
      <c r="D1122" s="56">
        <f t="shared" si="36"/>
        <v>3.1913825139356256E-2</v>
      </c>
      <c r="E1122" s="64">
        <v>7.4269781939051427E-4</v>
      </c>
      <c r="F1122" s="64">
        <v>1119</v>
      </c>
      <c r="G1122" s="64">
        <f t="shared" ca="1" si="37"/>
        <v>-2.5806212946547689E-2</v>
      </c>
    </row>
    <row r="1123" spans="2:7" x14ac:dyDescent="0.3">
      <c r="B1123" s="55">
        <v>44454</v>
      </c>
      <c r="C1123" s="54">
        <v>3982.6</v>
      </c>
      <c r="D1123" s="56">
        <f t="shared" si="36"/>
        <v>0.7784625002790988</v>
      </c>
      <c r="E1123" s="64">
        <v>7.2869814307607861E-4</v>
      </c>
      <c r="F1123" s="64">
        <v>1120</v>
      </c>
      <c r="G1123" s="64">
        <f t="shared" ca="1" si="37"/>
        <v>-1.9842714900059483E-2</v>
      </c>
    </row>
    <row r="1124" spans="2:7" x14ac:dyDescent="0.3">
      <c r="B1124" s="55">
        <v>44085</v>
      </c>
      <c r="C1124" s="54">
        <v>2239.35</v>
      </c>
      <c r="D1124" s="56">
        <f t="shared" si="36"/>
        <v>-0.48338985396913281</v>
      </c>
      <c r="E1124" s="64">
        <v>7.1500391017753628E-4</v>
      </c>
      <c r="F1124" s="64">
        <v>1121</v>
      </c>
      <c r="G1124" s="64">
        <f t="shared" ca="1" si="37"/>
        <v>4.16920436167224E-3</v>
      </c>
    </row>
    <row r="1125" spans="2:7" x14ac:dyDescent="0.3">
      <c r="B1125" s="55">
        <v>46155</v>
      </c>
      <c r="C1125" s="54">
        <v>4334.7</v>
      </c>
      <c r="D1125" s="56">
        <f t="shared" si="36"/>
        <v>3.079520593550833E-2</v>
      </c>
      <c r="E1125" s="64">
        <v>6.9256873744727443E-4</v>
      </c>
      <c r="F1125" s="64">
        <v>1122</v>
      </c>
      <c r="G1125" s="64">
        <f t="shared" ca="1" si="37"/>
        <v>-5.4051165654575937E-3</v>
      </c>
    </row>
    <row r="1126" spans="2:7" x14ac:dyDescent="0.3">
      <c r="B1126" s="55">
        <v>45944</v>
      </c>
      <c r="C1126" s="54">
        <v>4205.2</v>
      </c>
      <c r="D1126" s="56">
        <f t="shared" si="36"/>
        <v>0.15220429076362452</v>
      </c>
      <c r="E1126" s="64">
        <v>6.1866463617743506E-4</v>
      </c>
      <c r="F1126" s="64">
        <v>1123</v>
      </c>
      <c r="G1126" s="64">
        <f t="shared" ca="1" si="37"/>
        <v>-6.1369021658767616E-3</v>
      </c>
    </row>
    <row r="1127" spans="2:7" x14ac:dyDescent="0.3">
      <c r="B1127" s="55">
        <v>45233</v>
      </c>
      <c r="C1127" s="54">
        <v>3649.7</v>
      </c>
      <c r="D1127" s="56">
        <f t="shared" si="36"/>
        <v>1.4600296575896468</v>
      </c>
      <c r="E1127" s="64">
        <v>6.1686931966176139E-4</v>
      </c>
      <c r="F1127" s="64">
        <v>1124</v>
      </c>
      <c r="G1127" s="64">
        <f t="shared" ca="1" si="37"/>
        <v>4.2586020800979535E-2</v>
      </c>
    </row>
    <row r="1128" spans="2:7" x14ac:dyDescent="0.3">
      <c r="B1128" s="55">
        <v>43678</v>
      </c>
      <c r="C1128" s="54">
        <v>1483.6</v>
      </c>
      <c r="D1128" s="56">
        <f t="shared" si="36"/>
        <v>-0.64302213666987496</v>
      </c>
      <c r="E1128" s="64">
        <v>6.07000741889685E-4</v>
      </c>
      <c r="F1128" s="64">
        <v>1125</v>
      </c>
      <c r="G1128" s="64">
        <f t="shared" ca="1" si="37"/>
        <v>2.2167484875999101E-2</v>
      </c>
    </row>
    <row r="1129" spans="2:7" x14ac:dyDescent="0.3">
      <c r="B1129" s="55">
        <v>45964</v>
      </c>
      <c r="C1129" s="54">
        <v>4156</v>
      </c>
      <c r="D1129" s="56">
        <f t="shared" si="36"/>
        <v>0.12656203410045808</v>
      </c>
      <c r="E1129" s="64">
        <v>6.0190201035270618E-4</v>
      </c>
      <c r="F1129" s="64">
        <v>1126</v>
      </c>
      <c r="G1129" s="64">
        <f t="shared" ca="1" si="37"/>
        <v>-3.262392430095782E-2</v>
      </c>
    </row>
    <row r="1130" spans="2:7" x14ac:dyDescent="0.3">
      <c r="B1130" s="55">
        <v>45191</v>
      </c>
      <c r="C1130" s="54">
        <v>3689.1</v>
      </c>
      <c r="D1130" s="56">
        <f t="shared" si="36"/>
        <v>7.6066917036530235E-3</v>
      </c>
      <c r="E1130" s="64">
        <v>5.831378239467E-4</v>
      </c>
      <c r="F1130" s="64">
        <v>1127</v>
      </c>
      <c r="G1130" s="64">
        <f t="shared" ca="1" si="37"/>
        <v>1.3412928158858115E-2</v>
      </c>
    </row>
    <row r="1131" spans="2:7" x14ac:dyDescent="0.3">
      <c r="B1131" s="55">
        <v>45623</v>
      </c>
      <c r="C1131" s="54">
        <v>3661.25</v>
      </c>
      <c r="D1131" s="56">
        <f t="shared" si="36"/>
        <v>-0.10502578894619763</v>
      </c>
      <c r="E1131" s="64">
        <v>5.7390377546706617E-4</v>
      </c>
      <c r="F1131" s="64">
        <v>1128</v>
      </c>
      <c r="G1131" s="64">
        <f t="shared" ca="1" si="37"/>
        <v>1.4350219151473801E-2</v>
      </c>
    </row>
    <row r="1132" spans="2:7" x14ac:dyDescent="0.3">
      <c r="B1132" s="55">
        <v>44664</v>
      </c>
      <c r="C1132" s="54">
        <v>4090.9</v>
      </c>
      <c r="D1132" s="56">
        <f t="shared" si="36"/>
        <v>-8.6210170097278271E-2</v>
      </c>
      <c r="E1132" s="64">
        <v>5.3806833467850979E-4</v>
      </c>
      <c r="F1132" s="64">
        <v>1129</v>
      </c>
      <c r="G1132" s="64">
        <f t="shared" ca="1" si="37"/>
        <v>-8.3401771570990445E-3</v>
      </c>
    </row>
    <row r="1133" spans="2:7" x14ac:dyDescent="0.3">
      <c r="B1133" s="55">
        <v>45441</v>
      </c>
      <c r="C1133" s="54">
        <v>4476.8500000000004</v>
      </c>
      <c r="D1133" s="56">
        <f t="shared" si="36"/>
        <v>1.8078587556447565</v>
      </c>
      <c r="E1133" s="64">
        <v>5.3637877281009771E-4</v>
      </c>
      <c r="F1133" s="64">
        <v>1130</v>
      </c>
      <c r="G1133" s="64">
        <f t="shared" ca="1" si="37"/>
        <v>4.6976768192837958E-3</v>
      </c>
    </row>
    <row r="1134" spans="2:7" x14ac:dyDescent="0.3">
      <c r="B1134" s="55">
        <v>43262</v>
      </c>
      <c r="C1134" s="54">
        <v>1594.4</v>
      </c>
      <c r="D1134" s="56">
        <f t="shared" si="36"/>
        <v>-0.12460537513382919</v>
      </c>
      <c r="E1134" s="64">
        <v>5.3340026983783595E-4</v>
      </c>
      <c r="F1134" s="64">
        <v>1131</v>
      </c>
      <c r="G1134" s="64">
        <f t="shared" ca="1" si="37"/>
        <v>-2.5137934903574827E-2</v>
      </c>
    </row>
    <row r="1135" spans="2:7" x14ac:dyDescent="0.3">
      <c r="B1135" s="55">
        <v>43748</v>
      </c>
      <c r="C1135" s="54">
        <v>1821.35</v>
      </c>
      <c r="D1135" s="56">
        <f t="shared" si="36"/>
        <v>0.25045484192097756</v>
      </c>
      <c r="E1135" s="64">
        <v>5.2186332674120095E-4</v>
      </c>
      <c r="F1135" s="64">
        <v>1132</v>
      </c>
      <c r="G1135" s="64">
        <f t="shared" ca="1" si="37"/>
        <v>2.6513670881895955E-2</v>
      </c>
    </row>
    <row r="1136" spans="2:7" x14ac:dyDescent="0.3">
      <c r="B1136" s="55">
        <v>43525</v>
      </c>
      <c r="C1136" s="54">
        <v>1456.55</v>
      </c>
      <c r="D1136" s="56">
        <f t="shared" si="36"/>
        <v>-1.5545267142036412E-2</v>
      </c>
      <c r="E1136" s="64">
        <v>5.1518065668365587E-4</v>
      </c>
      <c r="F1136" s="64">
        <v>1133</v>
      </c>
      <c r="G1136" s="64">
        <f t="shared" ca="1" si="37"/>
        <v>-1.9741535835197926E-3</v>
      </c>
    </row>
    <row r="1137" spans="2:7" x14ac:dyDescent="0.3">
      <c r="B1137" s="55">
        <v>43543</v>
      </c>
      <c r="C1137" s="54">
        <v>1479.55</v>
      </c>
      <c r="D1137" s="56">
        <f t="shared" si="36"/>
        <v>-0.61042944785276076</v>
      </c>
      <c r="E1137" s="64">
        <v>5.0716797403294045E-4</v>
      </c>
      <c r="F1137" s="64">
        <v>1134</v>
      </c>
      <c r="G1137" s="64">
        <f t="shared" ca="1" si="37"/>
        <v>-3.4042240601573192E-3</v>
      </c>
    </row>
    <row r="1138" spans="2:7" x14ac:dyDescent="0.3">
      <c r="B1138" s="55">
        <v>45187</v>
      </c>
      <c r="C1138" s="54">
        <v>3797.9</v>
      </c>
      <c r="D1138" s="56">
        <f t="shared" si="36"/>
        <v>-3.2825710502190075E-2</v>
      </c>
      <c r="E1138" s="64">
        <v>5.0052687038992794E-4</v>
      </c>
      <c r="F1138" s="64">
        <v>1135</v>
      </c>
      <c r="G1138" s="64">
        <f t="shared" ca="1" si="37"/>
        <v>3.5191139473802939E-3</v>
      </c>
    </row>
    <row r="1139" spans="2:7" x14ac:dyDescent="0.3">
      <c r="B1139" s="55">
        <v>44757</v>
      </c>
      <c r="C1139" s="54">
        <v>3926.8</v>
      </c>
      <c r="D1139" s="56">
        <f t="shared" si="36"/>
        <v>1.9365557343855588E-2</v>
      </c>
      <c r="E1139" s="64">
        <v>4.9683427392133162E-4</v>
      </c>
      <c r="F1139" s="64">
        <v>1136</v>
      </c>
      <c r="G1139" s="64">
        <f t="shared" ca="1" si="37"/>
        <v>1.1561486521796361E-2</v>
      </c>
    </row>
    <row r="1140" spans="2:7" x14ac:dyDescent="0.3">
      <c r="B1140" s="55">
        <v>45349</v>
      </c>
      <c r="C1140" s="54">
        <v>3852.2</v>
      </c>
      <c r="D1140" s="56">
        <f t="shared" si="36"/>
        <v>1.8019056624359022</v>
      </c>
      <c r="E1140" s="64">
        <v>4.8047580090115893E-4</v>
      </c>
      <c r="F1140" s="64">
        <v>1137</v>
      </c>
      <c r="G1140" s="64">
        <f t="shared" ca="1" si="37"/>
        <v>-2.0152238262842487E-2</v>
      </c>
    </row>
    <row r="1141" spans="2:7" x14ac:dyDescent="0.3">
      <c r="B1141" s="55">
        <v>43496</v>
      </c>
      <c r="C1141" s="54">
        <v>1374.85</v>
      </c>
      <c r="D1141" s="56">
        <f t="shared" si="36"/>
        <v>0.82789337233264626</v>
      </c>
      <c r="E1141" s="64">
        <v>4.7300247416659502E-4</v>
      </c>
      <c r="F1141" s="64">
        <v>1138</v>
      </c>
      <c r="G1141" s="64">
        <f t="shared" ca="1" si="37"/>
        <v>6.7766567315429953E-3</v>
      </c>
    </row>
    <row r="1142" spans="2:7" x14ac:dyDescent="0.3">
      <c r="B1142" s="55">
        <v>42870</v>
      </c>
      <c r="C1142" s="54">
        <v>752.15</v>
      </c>
      <c r="D1142" s="56">
        <f t="shared" si="36"/>
        <v>-0.78524725902238468</v>
      </c>
      <c r="E1142" s="64">
        <v>4.655493482308426E-4</v>
      </c>
      <c r="F1142" s="64">
        <v>1139</v>
      </c>
      <c r="G1142" s="64">
        <f t="shared" ca="1" si="37"/>
        <v>-2.0716880954378257E-2</v>
      </c>
    </row>
    <row r="1143" spans="2:7" x14ac:dyDescent="0.3">
      <c r="B1143" s="55">
        <v>44410</v>
      </c>
      <c r="C1143" s="54">
        <v>3502.4</v>
      </c>
      <c r="D1143" s="56">
        <f t="shared" si="36"/>
        <v>-3.6129839833859423E-3</v>
      </c>
      <c r="E1143" s="64">
        <v>4.570383912247955E-4</v>
      </c>
      <c r="F1143" s="64">
        <v>1140</v>
      </c>
      <c r="G1143" s="64">
        <f t="shared" ca="1" si="37"/>
        <v>-7.0945802007362103E-3</v>
      </c>
    </row>
    <row r="1144" spans="2:7" x14ac:dyDescent="0.3">
      <c r="B1144" s="55">
        <v>44951</v>
      </c>
      <c r="C1144" s="54">
        <v>3515.1</v>
      </c>
      <c r="D1144" s="56">
        <f t="shared" si="36"/>
        <v>1.2515372790161412</v>
      </c>
      <c r="E1144" s="64">
        <v>4.5538636687059153E-4</v>
      </c>
      <c r="F1144" s="64">
        <v>1141</v>
      </c>
      <c r="G1144" s="64">
        <f t="shared" ca="1" si="37"/>
        <v>2.0093585717261532E-2</v>
      </c>
    </row>
    <row r="1145" spans="2:7" x14ac:dyDescent="0.3">
      <c r="B1145" s="55">
        <v>43350</v>
      </c>
      <c r="C1145" s="54">
        <v>1561.2</v>
      </c>
      <c r="D1145" s="56">
        <f t="shared" si="36"/>
        <v>-0.55436302914395008</v>
      </c>
      <c r="E1145" s="64">
        <v>4.4857417494403862E-4</v>
      </c>
      <c r="F1145" s="64">
        <v>1142</v>
      </c>
      <c r="G1145" s="64">
        <f t="shared" ca="1" si="37"/>
        <v>1.7484482487703354E-3</v>
      </c>
    </row>
    <row r="1146" spans="2:7" x14ac:dyDescent="0.3">
      <c r="B1146" s="55">
        <v>45075</v>
      </c>
      <c r="C1146" s="54">
        <v>3503.3</v>
      </c>
      <c r="D1146" s="56">
        <f t="shared" si="36"/>
        <v>-0.30113608027369665</v>
      </c>
      <c r="E1146" s="64">
        <v>4.4263582494474818E-4</v>
      </c>
      <c r="F1146" s="64">
        <v>1143</v>
      </c>
      <c r="G1146" s="64">
        <f t="shared" ca="1" si="37"/>
        <v>5.0201455608484866E-2</v>
      </c>
    </row>
    <row r="1147" spans="2:7" x14ac:dyDescent="0.3">
      <c r="B1147" s="55">
        <v>45495</v>
      </c>
      <c r="C1147" s="54">
        <v>5012.8500000000004</v>
      </c>
      <c r="D1147" s="56">
        <f t="shared" si="36"/>
        <v>0.22830854426502678</v>
      </c>
      <c r="E1147" s="64">
        <v>4.2908176502298723E-4</v>
      </c>
      <c r="F1147" s="64">
        <v>1144</v>
      </c>
      <c r="G1147" s="64">
        <f t="shared" ca="1" si="37"/>
        <v>5.015620197031531E-3</v>
      </c>
    </row>
    <row r="1148" spans="2:7" x14ac:dyDescent="0.3">
      <c r="B1148" s="55">
        <v>46213</v>
      </c>
      <c r="C1148" s="54">
        <v>4081.1</v>
      </c>
      <c r="D1148" s="56">
        <f t="shared" si="36"/>
        <v>6.0549362022816355E-2</v>
      </c>
      <c r="E1148" s="64">
        <v>4.1672795018876663E-4</v>
      </c>
      <c r="F1148" s="64">
        <v>1145</v>
      </c>
      <c r="G1148" s="64">
        <f t="shared" ca="1" si="37"/>
        <v>-1.4620514666291533E-2</v>
      </c>
    </row>
    <row r="1149" spans="2:7" x14ac:dyDescent="0.3">
      <c r="B1149" s="55">
        <v>46232</v>
      </c>
      <c r="C1149" s="54">
        <v>3848.1</v>
      </c>
      <c r="D1149" s="56">
        <f t="shared" si="36"/>
        <v>-3.8864050753053436E-2</v>
      </c>
      <c r="E1149" s="64">
        <v>3.8995476524728012E-4</v>
      </c>
      <c r="F1149" s="64">
        <v>1146</v>
      </c>
      <c r="G1149" s="64">
        <f t="shared" ca="1" si="37"/>
        <v>2.9578907718282449E-3</v>
      </c>
    </row>
    <row r="1150" spans="2:7" x14ac:dyDescent="0.3">
      <c r="B1150" s="55">
        <v>46064</v>
      </c>
      <c r="C1150" s="54">
        <v>4003.7</v>
      </c>
      <c r="D1150" s="56">
        <f t="shared" si="36"/>
        <v>0.72547245027689788</v>
      </c>
      <c r="E1150" s="64">
        <v>3.7479386337513354E-4</v>
      </c>
      <c r="F1150" s="64">
        <v>1147</v>
      </c>
      <c r="G1150" s="64">
        <f t="shared" ca="1" si="37"/>
        <v>-2.4993881192351465E-3</v>
      </c>
    </row>
    <row r="1151" spans="2:7" x14ac:dyDescent="0.3">
      <c r="B1151" s="55">
        <v>44021</v>
      </c>
      <c r="C1151" s="54">
        <v>2320.35</v>
      </c>
      <c r="D1151" s="56">
        <f t="shared" si="36"/>
        <v>0.73659394529057343</v>
      </c>
      <c r="E1151" s="64">
        <v>3.4489448384378285E-4</v>
      </c>
      <c r="F1151" s="64">
        <v>1148</v>
      </c>
      <c r="G1151" s="64">
        <f t="shared" ca="1" si="37"/>
        <v>4.1320511708643599E-2</v>
      </c>
    </row>
    <row r="1152" spans="2:7" x14ac:dyDescent="0.3">
      <c r="B1152" s="55">
        <v>43636</v>
      </c>
      <c r="C1152" s="54">
        <v>1336.15</v>
      </c>
      <c r="D1152" s="56">
        <f t="shared" si="36"/>
        <v>-0.68948408087380897</v>
      </c>
      <c r="E1152" s="64">
        <v>3.3690199895186623E-4</v>
      </c>
      <c r="F1152" s="64">
        <v>1149</v>
      </c>
      <c r="G1152" s="64">
        <f t="shared" ca="1" si="37"/>
        <v>2.9802922161794761E-2</v>
      </c>
    </row>
    <row r="1153" spans="2:7" x14ac:dyDescent="0.3">
      <c r="B1153" s="55">
        <v>45937</v>
      </c>
      <c r="C1153" s="54">
        <v>4303</v>
      </c>
      <c r="D1153" s="56">
        <f t="shared" si="36"/>
        <v>-1.0645391212379063E-2</v>
      </c>
      <c r="E1153" s="64">
        <v>3.2546029384405983E-4</v>
      </c>
      <c r="F1153" s="64">
        <v>1150</v>
      </c>
      <c r="G1153" s="64">
        <f t="shared" ca="1" si="37"/>
        <v>1.3271155397781226E-3</v>
      </c>
    </row>
    <row r="1154" spans="2:7" x14ac:dyDescent="0.3">
      <c r="B1154" s="55">
        <v>44824</v>
      </c>
      <c r="C1154" s="54">
        <v>4349.3</v>
      </c>
      <c r="D1154" s="56">
        <f t="shared" si="36"/>
        <v>3.6238444677404003E-2</v>
      </c>
      <c r="E1154" s="64">
        <v>2.9898804047845395E-4</v>
      </c>
      <c r="F1154" s="64">
        <v>1151</v>
      </c>
      <c r="G1154" s="64">
        <f t="shared" ca="1" si="37"/>
        <v>9.7449811590224131E-3</v>
      </c>
    </row>
    <row r="1155" spans="2:7" x14ac:dyDescent="0.3">
      <c r="B1155" s="55">
        <v>45873</v>
      </c>
      <c r="C1155" s="54">
        <v>4197.2</v>
      </c>
      <c r="D1155" s="56">
        <f t="shared" si="36"/>
        <v>5.2299052299052295E-2</v>
      </c>
      <c r="E1155" s="64">
        <v>2.8598665395618283E-4</v>
      </c>
      <c r="F1155" s="64">
        <v>1152</v>
      </c>
      <c r="G1155" s="64">
        <f t="shared" ca="1" si="37"/>
        <v>2.1827202147737682E-3</v>
      </c>
    </row>
    <row r="1156" spans="2:7" x14ac:dyDescent="0.3">
      <c r="B1156" s="55">
        <v>45986</v>
      </c>
      <c r="C1156" s="54">
        <v>3988.6</v>
      </c>
      <c r="D1156" s="56">
        <f t="shared" ref="D1156:D1219" si="38">C1156/C1157-1</f>
        <v>-0.1338639102724184</v>
      </c>
      <c r="E1156" s="64">
        <v>2.7586206896557108E-4</v>
      </c>
      <c r="F1156" s="64">
        <v>1153</v>
      </c>
      <c r="G1156" s="64">
        <f t="shared" ca="1" si="37"/>
        <v>1.8967409810049941E-2</v>
      </c>
    </row>
    <row r="1157" spans="2:7" x14ac:dyDescent="0.3">
      <c r="B1157" s="55">
        <v>45414</v>
      </c>
      <c r="C1157" s="54">
        <v>4605.05</v>
      </c>
      <c r="D1157" s="56">
        <f t="shared" si="38"/>
        <v>2.0897044516756687</v>
      </c>
      <c r="E1157" s="64">
        <v>2.7151483557052991E-4</v>
      </c>
      <c r="F1157" s="64">
        <v>1154</v>
      </c>
      <c r="G1157" s="64">
        <f t="shared" ref="G1157:G1220" ca="1" si="39">_xlfn.NORM.INV(RAND(),K$6,K$7)</f>
        <v>-1.3603460324320927E-2</v>
      </c>
    </row>
    <row r="1158" spans="2:7" x14ac:dyDescent="0.3">
      <c r="B1158" s="55">
        <v>43683</v>
      </c>
      <c r="C1158" s="54">
        <v>1490.45</v>
      </c>
      <c r="D1158" s="56">
        <f t="shared" si="38"/>
        <v>-0.62285229889420279</v>
      </c>
      <c r="E1158" s="64">
        <v>2.6844736753806053E-4</v>
      </c>
      <c r="F1158" s="64">
        <v>1155</v>
      </c>
      <c r="G1158" s="64">
        <f t="shared" ca="1" si="39"/>
        <v>-1.0454753682234317E-2</v>
      </c>
    </row>
    <row r="1159" spans="2:7" x14ac:dyDescent="0.3">
      <c r="B1159" s="55">
        <v>46220</v>
      </c>
      <c r="C1159" s="54">
        <v>3951.9</v>
      </c>
      <c r="D1159" s="56">
        <f t="shared" si="38"/>
        <v>8.7374633703413362E-2</v>
      </c>
      <c r="E1159" s="64">
        <v>2.5310688703839013E-4</v>
      </c>
      <c r="F1159" s="64">
        <v>1156</v>
      </c>
      <c r="G1159" s="64">
        <f t="shared" ca="1" si="39"/>
        <v>1.6524991092710252E-2</v>
      </c>
    </row>
    <row r="1160" spans="2:7" x14ac:dyDescent="0.3">
      <c r="B1160" s="55">
        <v>44425</v>
      </c>
      <c r="C1160" s="54">
        <v>3634.35</v>
      </c>
      <c r="D1160" s="56">
        <f t="shared" si="38"/>
        <v>-0.10371402500678195</v>
      </c>
      <c r="E1160" s="64">
        <v>2.3393422320072688E-4</v>
      </c>
      <c r="F1160" s="64">
        <v>1157</v>
      </c>
      <c r="G1160" s="64">
        <f t="shared" ca="1" si="39"/>
        <v>-2.7226333478236026E-2</v>
      </c>
    </row>
    <row r="1161" spans="2:7" x14ac:dyDescent="0.3">
      <c r="B1161" s="55">
        <v>46245</v>
      </c>
      <c r="C1161" s="54">
        <v>4054.9</v>
      </c>
      <c r="D1161" s="56">
        <f t="shared" si="38"/>
        <v>1.2065681713057437</v>
      </c>
      <c r="E1161" s="64">
        <v>2.2200296003949127E-4</v>
      </c>
      <c r="F1161" s="64">
        <v>1158</v>
      </c>
      <c r="G1161" s="64">
        <f t="shared" ca="1" si="39"/>
        <v>1.1634794298514078E-2</v>
      </c>
    </row>
    <row r="1162" spans="2:7" x14ac:dyDescent="0.3">
      <c r="B1162" s="55">
        <v>43794</v>
      </c>
      <c r="C1162" s="54">
        <v>1837.65</v>
      </c>
      <c r="D1162" s="56">
        <f t="shared" si="38"/>
        <v>0.24266296997565595</v>
      </c>
      <c r="E1162" s="64">
        <v>2.1771669614922828E-4</v>
      </c>
      <c r="F1162" s="64">
        <v>1159</v>
      </c>
      <c r="G1162" s="64">
        <f t="shared" ca="1" si="39"/>
        <v>-2.9954692926055428E-3</v>
      </c>
    </row>
    <row r="1163" spans="2:7" x14ac:dyDescent="0.3">
      <c r="B1163" s="55">
        <v>43542</v>
      </c>
      <c r="C1163" s="54">
        <v>1478.8</v>
      </c>
      <c r="D1163" s="56">
        <f t="shared" si="38"/>
        <v>-0.60960929250263995</v>
      </c>
      <c r="E1163" s="64">
        <v>2.0290835306058241E-4</v>
      </c>
      <c r="F1163" s="64">
        <v>1160</v>
      </c>
      <c r="G1163" s="64">
        <f t="shared" ca="1" si="39"/>
        <v>-3.6912456966551009E-2</v>
      </c>
    </row>
    <row r="1164" spans="2:7" x14ac:dyDescent="0.3">
      <c r="B1164" s="55">
        <v>46020</v>
      </c>
      <c r="C1164" s="54">
        <v>3788</v>
      </c>
      <c r="D1164" s="56">
        <f t="shared" si="38"/>
        <v>-0.10885265956195445</v>
      </c>
      <c r="E1164" s="64">
        <v>1.584200242910061E-4</v>
      </c>
      <c r="F1164" s="64">
        <v>1161</v>
      </c>
      <c r="G1164" s="64">
        <f t="shared" ca="1" si="39"/>
        <v>1.5895240804970172E-2</v>
      </c>
    </row>
    <row r="1165" spans="2:7" x14ac:dyDescent="0.3">
      <c r="B1165" s="55">
        <v>44783</v>
      </c>
      <c r="C1165" s="54">
        <v>4250.7</v>
      </c>
      <c r="D1165" s="56">
        <f t="shared" si="38"/>
        <v>-7.1382538312816046E-2</v>
      </c>
      <c r="E1165" s="64">
        <v>1.5293937718374728E-4</v>
      </c>
      <c r="F1165" s="64">
        <v>1162</v>
      </c>
      <c r="G1165" s="64">
        <f t="shared" ca="1" si="39"/>
        <v>1.0911845488889906E-2</v>
      </c>
    </row>
    <row r="1166" spans="2:7" x14ac:dyDescent="0.3">
      <c r="B1166" s="55">
        <v>44809</v>
      </c>
      <c r="C1166" s="54">
        <v>4577.45</v>
      </c>
      <c r="D1166" s="56">
        <f t="shared" si="38"/>
        <v>2.1271006968165049</v>
      </c>
      <c r="E1166" s="64">
        <v>1.4202062576473828E-4</v>
      </c>
      <c r="F1166" s="64">
        <v>1163</v>
      </c>
      <c r="G1166" s="64">
        <f t="shared" ca="1" si="39"/>
        <v>-5.1805788094475549E-3</v>
      </c>
    </row>
    <row r="1167" spans="2:7" x14ac:dyDescent="0.3">
      <c r="B1167" s="55">
        <v>43663</v>
      </c>
      <c r="C1167" s="54">
        <v>1463.8</v>
      </c>
      <c r="D1167" s="56">
        <f t="shared" si="38"/>
        <v>-0.65099423012731861</v>
      </c>
      <c r="E1167" s="64">
        <v>1.3664935774815312E-4</v>
      </c>
      <c r="F1167" s="64">
        <v>1164</v>
      </c>
      <c r="G1167" s="64">
        <f t="shared" ca="1" si="39"/>
        <v>1.6738578204353198E-2</v>
      </c>
    </row>
    <row r="1168" spans="2:7" x14ac:dyDescent="0.3">
      <c r="B1168" s="55">
        <v>44868</v>
      </c>
      <c r="C1168" s="54">
        <v>4194.2</v>
      </c>
      <c r="D1168" s="56">
        <f t="shared" si="38"/>
        <v>1.6137787056367427</v>
      </c>
      <c r="E1168" s="64">
        <v>1.3115066827240618E-4</v>
      </c>
      <c r="F1168" s="64">
        <v>1165</v>
      </c>
      <c r="G1168" s="64">
        <f t="shared" ca="1" si="39"/>
        <v>4.3072301033732038E-2</v>
      </c>
    </row>
    <row r="1169" spans="2:7" x14ac:dyDescent="0.3">
      <c r="B1169" s="55">
        <v>43346</v>
      </c>
      <c r="C1169" s="54">
        <v>1604.65</v>
      </c>
      <c r="D1169" s="56">
        <f t="shared" si="38"/>
        <v>0.45066220675315272</v>
      </c>
      <c r="E1169" s="64">
        <v>9.3487067622355369E-5</v>
      </c>
      <c r="F1169" s="64">
        <v>1166</v>
      </c>
      <c r="G1169" s="64">
        <f t="shared" ca="1" si="39"/>
        <v>-2.0265743476547832E-2</v>
      </c>
    </row>
    <row r="1170" spans="2:7" x14ac:dyDescent="0.3">
      <c r="B1170" s="55">
        <v>43059</v>
      </c>
      <c r="C1170" s="54">
        <v>1106.1500000000001</v>
      </c>
      <c r="D1170" s="56">
        <f t="shared" si="38"/>
        <v>-0.75263599262033876</v>
      </c>
      <c r="E1170" s="64">
        <v>9.0411825866887341E-5</v>
      </c>
      <c r="F1170" s="64">
        <v>1167</v>
      </c>
      <c r="G1170" s="64">
        <f t="shared" ca="1" si="39"/>
        <v>-1.2109254995426744E-2</v>
      </c>
    </row>
    <row r="1171" spans="2:7" x14ac:dyDescent="0.3">
      <c r="B1171" s="55">
        <v>44844</v>
      </c>
      <c r="C1171" s="54">
        <v>4471.75</v>
      </c>
      <c r="D1171" s="56">
        <f t="shared" si="38"/>
        <v>-1.0992049010826177E-2</v>
      </c>
      <c r="E1171" s="64">
        <v>6.7092330228391006E-5</v>
      </c>
      <c r="F1171" s="64">
        <v>1168</v>
      </c>
      <c r="G1171" s="64">
        <f t="shared" ca="1" si="39"/>
        <v>-2.647127911475837E-2</v>
      </c>
    </row>
    <row r="1172" spans="2:7" x14ac:dyDescent="0.3">
      <c r="B1172" s="55">
        <v>44491</v>
      </c>
      <c r="C1172" s="54">
        <v>4521.45</v>
      </c>
      <c r="D1172" s="56">
        <f t="shared" si="38"/>
        <v>2.4401963022141064</v>
      </c>
      <c r="E1172" s="64">
        <v>4.4235554326643722E-5</v>
      </c>
      <c r="F1172" s="64">
        <v>1169</v>
      </c>
      <c r="G1172" s="64">
        <f t="shared" ca="1" si="39"/>
        <v>4.0349342429656515E-2</v>
      </c>
    </row>
    <row r="1173" spans="2:7" x14ac:dyDescent="0.3">
      <c r="B1173" s="55">
        <v>43164</v>
      </c>
      <c r="C1173" s="54">
        <v>1314.3</v>
      </c>
      <c r="D1173" s="56">
        <f t="shared" si="38"/>
        <v>-0.70686175017564201</v>
      </c>
      <c r="E1173" s="64">
        <v>3.8044512079116188E-5</v>
      </c>
      <c r="F1173" s="64">
        <v>1170</v>
      </c>
      <c r="G1173" s="64">
        <f t="shared" ca="1" si="39"/>
        <v>2.8962939586985981E-2</v>
      </c>
    </row>
    <row r="1174" spans="2:7" x14ac:dyDescent="0.3">
      <c r="B1174" s="55">
        <v>44581</v>
      </c>
      <c r="C1174" s="54">
        <v>4483.55</v>
      </c>
      <c r="D1174" s="56">
        <f t="shared" si="38"/>
        <v>1.9990301003344482</v>
      </c>
      <c r="E1174" s="64">
        <v>3.345675157251371E-5</v>
      </c>
      <c r="F1174" s="64">
        <v>1171</v>
      </c>
      <c r="G1174" s="64">
        <f t="shared" ca="1" si="39"/>
        <v>-2.6053606403067986E-3</v>
      </c>
    </row>
    <row r="1175" spans="2:7" x14ac:dyDescent="0.3">
      <c r="B1175" s="55">
        <v>43237</v>
      </c>
      <c r="C1175" s="54">
        <v>1495</v>
      </c>
      <c r="D1175" s="56">
        <f t="shared" si="38"/>
        <v>-0.62395613240768688</v>
      </c>
      <c r="E1175" s="64">
        <v>3.3445934646714193E-5</v>
      </c>
      <c r="F1175" s="64">
        <v>1172</v>
      </c>
      <c r="G1175" s="64">
        <f t="shared" ca="1" si="39"/>
        <v>-5.1188668330215778E-2</v>
      </c>
    </row>
    <row r="1176" spans="2:7" x14ac:dyDescent="0.3">
      <c r="B1176" s="55">
        <v>46224</v>
      </c>
      <c r="C1176" s="54">
        <v>3975.6</v>
      </c>
      <c r="D1176" s="56">
        <f t="shared" si="38"/>
        <v>0.17020619011876903</v>
      </c>
      <c r="E1176" s="64">
        <v>2.5154068670651952E-5</v>
      </c>
      <c r="F1176" s="64">
        <v>1173</v>
      </c>
      <c r="G1176" s="64">
        <f t="shared" ca="1" si="39"/>
        <v>2.6883172061307435E-2</v>
      </c>
    </row>
    <row r="1177" spans="2:7" x14ac:dyDescent="0.3">
      <c r="B1177" s="55">
        <v>44399</v>
      </c>
      <c r="C1177" s="54">
        <v>3397.35</v>
      </c>
      <c r="D1177" s="56">
        <f t="shared" si="38"/>
        <v>-0.15955025604235218</v>
      </c>
      <c r="E1177" s="64">
        <v>1.4717569834843403E-5</v>
      </c>
      <c r="F1177" s="64">
        <v>1174</v>
      </c>
      <c r="G1177" s="64">
        <f t="shared" ca="1" si="39"/>
        <v>1.3279535028691599E-3</v>
      </c>
    </row>
    <row r="1178" spans="2:7" x14ac:dyDescent="0.3">
      <c r="B1178" s="55">
        <v>45806</v>
      </c>
      <c r="C1178" s="54">
        <v>4042.3</v>
      </c>
      <c r="D1178" s="56">
        <f t="shared" si="38"/>
        <v>-5.0501491555680844E-2</v>
      </c>
      <c r="E1178" s="64">
        <v>0</v>
      </c>
      <c r="F1178" s="64">
        <v>1175</v>
      </c>
      <c r="G1178" s="64">
        <f t="shared" ca="1" si="39"/>
        <v>-6.70313432093015E-3</v>
      </c>
    </row>
    <row r="1179" spans="2:7" x14ac:dyDescent="0.3">
      <c r="B1179" s="55">
        <v>44474</v>
      </c>
      <c r="C1179" s="54">
        <v>4257.3</v>
      </c>
      <c r="D1179" s="56">
        <f t="shared" si="38"/>
        <v>2.0140176991150445</v>
      </c>
      <c r="E1179" s="64">
        <v>-1.1744394987522888E-5</v>
      </c>
      <c r="F1179" s="64">
        <v>1176</v>
      </c>
      <c r="G1179" s="64">
        <f t="shared" ca="1" si="39"/>
        <v>-9.3055121069852871E-3</v>
      </c>
    </row>
    <row r="1180" spans="2:7" x14ac:dyDescent="0.3">
      <c r="B1180" s="55">
        <v>43424</v>
      </c>
      <c r="C1180" s="54">
        <v>1412.5</v>
      </c>
      <c r="D1180" s="56">
        <f t="shared" si="38"/>
        <v>-0.61296598210738318</v>
      </c>
      <c r="E1180" s="64">
        <v>-3.5396977098089977E-5</v>
      </c>
      <c r="F1180" s="64">
        <v>1177</v>
      </c>
      <c r="G1180" s="64">
        <f t="shared" ca="1" si="39"/>
        <v>1.2544032928349895E-2</v>
      </c>
    </row>
    <row r="1181" spans="2:7" x14ac:dyDescent="0.3">
      <c r="B1181" s="55">
        <v>45236</v>
      </c>
      <c r="C1181" s="54">
        <v>3649.55</v>
      </c>
      <c r="D1181" s="56">
        <f t="shared" si="38"/>
        <v>0.14244795742682737</v>
      </c>
      <c r="E1181" s="64">
        <v>-4.1099268432875924E-5</v>
      </c>
      <c r="F1181" s="64">
        <v>1178</v>
      </c>
      <c r="G1181" s="64">
        <f t="shared" ca="1" si="39"/>
        <v>3.5964336487892844E-2</v>
      </c>
    </row>
    <row r="1182" spans="2:7" x14ac:dyDescent="0.3">
      <c r="B1182" s="55">
        <v>44357</v>
      </c>
      <c r="C1182" s="54">
        <v>3194.5</v>
      </c>
      <c r="D1182" s="56">
        <f t="shared" si="38"/>
        <v>1.1398666979267844</v>
      </c>
      <c r="E1182" s="64">
        <v>-6.2603687357110083E-5</v>
      </c>
      <c r="F1182" s="64">
        <v>1179</v>
      </c>
      <c r="G1182" s="64">
        <f t="shared" ca="1" si="39"/>
        <v>-4.983972660181329E-4</v>
      </c>
    </row>
    <row r="1183" spans="2:7" x14ac:dyDescent="0.3">
      <c r="B1183" s="55">
        <v>43557</v>
      </c>
      <c r="C1183" s="54">
        <v>1492.85</v>
      </c>
      <c r="D1183" s="56">
        <f t="shared" si="38"/>
        <v>-0.30108382686860646</v>
      </c>
      <c r="E1183" s="64">
        <v>-6.698147962103107E-5</v>
      </c>
      <c r="F1183" s="64">
        <v>1180</v>
      </c>
      <c r="G1183" s="64">
        <f t="shared" ca="1" si="39"/>
        <v>2.1605613385599368E-2</v>
      </c>
    </row>
    <row r="1184" spans="2:7" x14ac:dyDescent="0.3">
      <c r="B1184" s="55">
        <v>44090</v>
      </c>
      <c r="C1184" s="54">
        <v>2135.9499999999998</v>
      </c>
      <c r="D1184" s="56">
        <f t="shared" si="38"/>
        <v>-0.45990264871357234</v>
      </c>
      <c r="E1184" s="64">
        <v>-9.3626383915079714E-5</v>
      </c>
      <c r="F1184" s="64">
        <v>1181</v>
      </c>
      <c r="G1184" s="64">
        <f t="shared" ca="1" si="39"/>
        <v>-2.5044730082999338E-2</v>
      </c>
    </row>
    <row r="1185" spans="2:7" x14ac:dyDescent="0.3">
      <c r="B1185" s="55">
        <v>44888</v>
      </c>
      <c r="C1185" s="54">
        <v>3954.75</v>
      </c>
      <c r="D1185" s="56">
        <f t="shared" si="38"/>
        <v>3.9524137499217336</v>
      </c>
      <c r="E1185" s="64">
        <v>-1.1377427184466882E-4</v>
      </c>
      <c r="F1185" s="64">
        <v>1182</v>
      </c>
      <c r="G1185" s="64">
        <f t="shared" ca="1" si="39"/>
        <v>5.9776130637602927E-3</v>
      </c>
    </row>
    <row r="1186" spans="2:7" x14ac:dyDescent="0.3">
      <c r="B1186" s="55">
        <v>42900</v>
      </c>
      <c r="C1186" s="54">
        <v>798.55</v>
      </c>
      <c r="D1186" s="56">
        <f t="shared" si="38"/>
        <v>2.3716428434074732E-2</v>
      </c>
      <c r="E1186" s="64">
        <v>-1.2521129405873577E-4</v>
      </c>
      <c r="F1186" s="64">
        <v>1183</v>
      </c>
      <c r="G1186" s="64">
        <f t="shared" ca="1" si="39"/>
        <v>7.0667139312338024E-3</v>
      </c>
    </row>
    <row r="1187" spans="2:7" x14ac:dyDescent="0.3">
      <c r="B1187" s="55">
        <v>42864</v>
      </c>
      <c r="C1187" s="54">
        <v>780.05</v>
      </c>
      <c r="D1187" s="56">
        <f t="shared" si="38"/>
        <v>9.1284275321768416E-2</v>
      </c>
      <c r="E1187" s="64">
        <v>-1.2818047811324895E-4</v>
      </c>
      <c r="F1187" s="64">
        <v>1184</v>
      </c>
      <c r="G1187" s="64">
        <f t="shared" ca="1" si="39"/>
        <v>1.2512547384461517E-2</v>
      </c>
    </row>
    <row r="1188" spans="2:7" x14ac:dyDescent="0.3">
      <c r="B1188" s="55">
        <v>42884</v>
      </c>
      <c r="C1188" s="54">
        <v>714.8</v>
      </c>
      <c r="D1188" s="56">
        <f t="shared" si="38"/>
        <v>-0.82521304299984111</v>
      </c>
      <c r="E1188" s="64">
        <v>-1.3987970345508138E-4</v>
      </c>
      <c r="F1188" s="64">
        <v>1185</v>
      </c>
      <c r="G1188" s="64">
        <f t="shared" ca="1" si="39"/>
        <v>2.4643220047180718E-2</v>
      </c>
    </row>
    <row r="1189" spans="2:7" x14ac:dyDescent="0.3">
      <c r="B1189" s="55">
        <v>44915</v>
      </c>
      <c r="C1189" s="54">
        <v>4089.55</v>
      </c>
      <c r="D1189" s="56">
        <f t="shared" si="38"/>
        <v>7.0184620618367832E-2</v>
      </c>
      <c r="E1189" s="64">
        <v>-1.5891643440413272E-4</v>
      </c>
      <c r="F1189" s="64">
        <v>1186</v>
      </c>
      <c r="G1189" s="64">
        <f t="shared" ca="1" si="39"/>
        <v>1.0134693024350491E-3</v>
      </c>
    </row>
    <row r="1190" spans="2:7" x14ac:dyDescent="0.3">
      <c r="B1190" s="55">
        <v>45302</v>
      </c>
      <c r="C1190" s="54">
        <v>3821.35</v>
      </c>
      <c r="D1190" s="56">
        <f t="shared" si="38"/>
        <v>-0.22934123887023428</v>
      </c>
      <c r="E1190" s="64">
        <v>-1.7006802721086789E-4</v>
      </c>
      <c r="F1190" s="64">
        <v>1187</v>
      </c>
      <c r="G1190" s="64">
        <f t="shared" ca="1" si="39"/>
        <v>-1.6562944929355311E-2</v>
      </c>
    </row>
    <row r="1191" spans="2:7" x14ac:dyDescent="0.3">
      <c r="B1191" s="55">
        <v>45531</v>
      </c>
      <c r="C1191" s="54">
        <v>4958.55</v>
      </c>
      <c r="D1191" s="56">
        <f t="shared" si="38"/>
        <v>0.44106193147141748</v>
      </c>
      <c r="E1191" s="64">
        <v>-1.7139170060886944E-4</v>
      </c>
      <c r="F1191" s="64">
        <v>1188</v>
      </c>
      <c r="G1191" s="64">
        <f t="shared" ca="1" si="39"/>
        <v>6.887572810499838E-3</v>
      </c>
    </row>
    <row r="1192" spans="2:7" x14ac:dyDescent="0.3">
      <c r="B1192" s="55">
        <v>44964</v>
      </c>
      <c r="C1192" s="54">
        <v>3440.9</v>
      </c>
      <c r="D1192" s="56">
        <f t="shared" si="38"/>
        <v>-0.19501696104807575</v>
      </c>
      <c r="E1192" s="64">
        <v>-1.7434258317594598E-4</v>
      </c>
      <c r="F1192" s="64">
        <v>1189</v>
      </c>
      <c r="G1192" s="64">
        <f t="shared" ca="1" si="39"/>
        <v>-4.6972756711757102E-2</v>
      </c>
    </row>
    <row r="1193" spans="2:7" x14ac:dyDescent="0.3">
      <c r="B1193" s="55">
        <v>45951</v>
      </c>
      <c r="C1193" s="54">
        <v>4274.5</v>
      </c>
      <c r="D1193" s="56">
        <f t="shared" si="38"/>
        <v>5.0310215615209763E-2</v>
      </c>
      <c r="E1193" s="64">
        <v>-1.8712137159970776E-4</v>
      </c>
      <c r="F1193" s="64">
        <v>1190</v>
      </c>
      <c r="G1193" s="64">
        <f t="shared" ca="1" si="39"/>
        <v>-2.4734202453827535E-2</v>
      </c>
    </row>
    <row r="1194" spans="2:7" x14ac:dyDescent="0.3">
      <c r="B1194" s="55">
        <v>45271</v>
      </c>
      <c r="C1194" s="54">
        <v>4069.75</v>
      </c>
      <c r="D1194" s="56">
        <f t="shared" si="38"/>
        <v>-4.2456825561150047E-2</v>
      </c>
      <c r="E1194" s="64">
        <v>-2.2109491113220248E-4</v>
      </c>
      <c r="F1194" s="64">
        <v>1191</v>
      </c>
      <c r="G1194" s="64">
        <f t="shared" ca="1" si="39"/>
        <v>1.6263804491604007E-2</v>
      </c>
    </row>
    <row r="1195" spans="2:7" x14ac:dyDescent="0.3">
      <c r="B1195" s="55">
        <v>44469</v>
      </c>
      <c r="C1195" s="54">
        <v>4250.2</v>
      </c>
      <c r="D1195" s="56">
        <f t="shared" si="38"/>
        <v>0.11302571623107949</v>
      </c>
      <c r="E1195" s="64">
        <v>-2.3522770041395358E-4</v>
      </c>
      <c r="F1195" s="64">
        <v>1192</v>
      </c>
      <c r="G1195" s="64">
        <f t="shared" ca="1" si="39"/>
        <v>1.7751667430489587E-2</v>
      </c>
    </row>
    <row r="1196" spans="2:7" x14ac:dyDescent="0.3">
      <c r="B1196" s="55">
        <v>46013</v>
      </c>
      <c r="C1196" s="54">
        <v>3818.6</v>
      </c>
      <c r="D1196" s="56">
        <f t="shared" si="38"/>
        <v>7.2339230553215339E-2</v>
      </c>
      <c r="E1196" s="64">
        <v>-2.3563293624817572E-4</v>
      </c>
      <c r="F1196" s="64">
        <v>1193</v>
      </c>
      <c r="G1196" s="64">
        <f t="shared" ca="1" si="39"/>
        <v>6.2268048667753701E-3</v>
      </c>
    </row>
    <row r="1197" spans="2:7" x14ac:dyDescent="0.3">
      <c r="B1197" s="55">
        <v>45658</v>
      </c>
      <c r="C1197" s="54">
        <v>3561</v>
      </c>
      <c r="D1197" s="56">
        <f t="shared" si="38"/>
        <v>6.2683716557990987E-2</v>
      </c>
      <c r="E1197" s="64">
        <v>-2.3864003256734989E-4</v>
      </c>
      <c r="F1197" s="64">
        <v>1194</v>
      </c>
      <c r="G1197" s="64">
        <f t="shared" ca="1" si="39"/>
        <v>2.2267271164224445E-2</v>
      </c>
    </row>
    <row r="1198" spans="2:7" x14ac:dyDescent="0.3">
      <c r="B1198" s="55">
        <v>44999</v>
      </c>
      <c r="C1198" s="54">
        <v>3350.95</v>
      </c>
      <c r="D1198" s="56">
        <f t="shared" si="38"/>
        <v>-3.1419363230384634E-2</v>
      </c>
      <c r="E1198" s="64">
        <v>-2.386812858954368E-4</v>
      </c>
      <c r="F1198" s="64">
        <v>1195</v>
      </c>
      <c r="G1198" s="64">
        <f t="shared" ca="1" si="39"/>
        <v>-2.0769782109902719E-2</v>
      </c>
    </row>
    <row r="1199" spans="2:7" x14ac:dyDescent="0.3">
      <c r="B1199" s="55">
        <v>45650</v>
      </c>
      <c r="C1199" s="54">
        <v>3459.65</v>
      </c>
      <c r="D1199" s="56">
        <f t="shared" si="38"/>
        <v>-0.28689800166956958</v>
      </c>
      <c r="E1199" s="64">
        <v>-2.6007426565144431E-4</v>
      </c>
      <c r="F1199" s="64">
        <v>1196</v>
      </c>
      <c r="G1199" s="64">
        <f t="shared" ca="1" si="39"/>
        <v>-7.3145433493601864E-3</v>
      </c>
    </row>
    <row r="1200" spans="2:7" x14ac:dyDescent="0.3">
      <c r="B1200" s="55">
        <v>45481</v>
      </c>
      <c r="C1200" s="54">
        <v>4851.55</v>
      </c>
      <c r="D1200" s="56">
        <f t="shared" si="38"/>
        <v>3.457301667508843</v>
      </c>
      <c r="E1200" s="64">
        <v>-3.1938348684346085E-4</v>
      </c>
      <c r="F1200" s="64">
        <v>1197</v>
      </c>
      <c r="G1200" s="64">
        <f t="shared" ca="1" si="39"/>
        <v>7.014108151118045E-3</v>
      </c>
    </row>
    <row r="1201" spans="2:7" x14ac:dyDescent="0.3">
      <c r="B1201" s="55">
        <v>42990</v>
      </c>
      <c r="C1201" s="54">
        <v>1088.45</v>
      </c>
      <c r="D1201" s="56">
        <f t="shared" si="38"/>
        <v>-0.28462044035491285</v>
      </c>
      <c r="E1201" s="64">
        <v>-3.2145481263767817E-4</v>
      </c>
      <c r="F1201" s="64">
        <v>1198</v>
      </c>
      <c r="G1201" s="64">
        <f t="shared" ca="1" si="39"/>
        <v>-1.6891795329856671E-2</v>
      </c>
    </row>
    <row r="1202" spans="2:7" x14ac:dyDescent="0.3">
      <c r="B1202" s="55">
        <v>43301</v>
      </c>
      <c r="C1202" s="54">
        <v>1521.5</v>
      </c>
      <c r="D1202" s="56">
        <f t="shared" si="38"/>
        <v>-0.62234880921354729</v>
      </c>
      <c r="E1202" s="64">
        <v>-3.2851511169518233E-4</v>
      </c>
      <c r="F1202" s="64">
        <v>1199</v>
      </c>
      <c r="G1202" s="64">
        <f t="shared" ca="1" si="39"/>
        <v>-9.5451814966847209E-3</v>
      </c>
    </row>
    <row r="1203" spans="2:7" x14ac:dyDescent="0.3">
      <c r="B1203" s="55">
        <v>44673</v>
      </c>
      <c r="C1203" s="54">
        <v>4028.85</v>
      </c>
      <c r="D1203" s="56">
        <f t="shared" si="38"/>
        <v>0.95068632435180489</v>
      </c>
      <c r="E1203" s="64">
        <v>-3.4737299174991687E-4</v>
      </c>
      <c r="F1203" s="64">
        <v>1200</v>
      </c>
      <c r="G1203" s="64">
        <f t="shared" ca="1" si="39"/>
        <v>2.3082027806244014E-2</v>
      </c>
    </row>
    <row r="1204" spans="2:7" x14ac:dyDescent="0.3">
      <c r="B1204" s="55">
        <v>44112</v>
      </c>
      <c r="C1204" s="54">
        <v>2065.35</v>
      </c>
      <c r="D1204" s="56">
        <f t="shared" si="38"/>
        <v>-0.47868393154626687</v>
      </c>
      <c r="E1204" s="64">
        <v>-3.6300275882095168E-4</v>
      </c>
      <c r="F1204" s="64">
        <v>1201</v>
      </c>
      <c r="G1204" s="64">
        <f t="shared" ca="1" si="39"/>
        <v>1.4712258883451937E-2</v>
      </c>
    </row>
    <row r="1205" spans="2:7" x14ac:dyDescent="0.3">
      <c r="B1205" s="55">
        <v>45993</v>
      </c>
      <c r="C1205" s="54">
        <v>3961.8</v>
      </c>
      <c r="D1205" s="56">
        <f t="shared" si="38"/>
        <v>-0.17407438292194799</v>
      </c>
      <c r="E1205" s="64">
        <v>-3.7847248505029629E-4</v>
      </c>
      <c r="F1205" s="64">
        <v>1202</v>
      </c>
      <c r="G1205" s="64">
        <f t="shared" ca="1" si="39"/>
        <v>-5.9336322937459584E-3</v>
      </c>
    </row>
    <row r="1206" spans="2:7" x14ac:dyDescent="0.3">
      <c r="B1206" s="55">
        <v>45422</v>
      </c>
      <c r="C1206" s="54">
        <v>4796.8</v>
      </c>
      <c r="D1206" s="56">
        <f t="shared" si="38"/>
        <v>0.38401835047679511</v>
      </c>
      <c r="E1206" s="64">
        <v>-3.8552509559963699E-4</v>
      </c>
      <c r="F1206" s="64">
        <v>1203</v>
      </c>
      <c r="G1206" s="64">
        <f t="shared" ca="1" si="39"/>
        <v>8.2322768146549201E-3</v>
      </c>
    </row>
    <row r="1207" spans="2:7" x14ac:dyDescent="0.3">
      <c r="B1207" s="55">
        <v>45041</v>
      </c>
      <c r="C1207" s="54">
        <v>3465.85</v>
      </c>
      <c r="D1207" s="56">
        <f t="shared" si="38"/>
        <v>0.80058186352183291</v>
      </c>
      <c r="E1207" s="64">
        <v>-3.8936317489612904E-4</v>
      </c>
      <c r="F1207" s="64">
        <v>1204</v>
      </c>
      <c r="G1207" s="64">
        <f t="shared" ca="1" si="39"/>
        <v>-1.1922105044218596E-2</v>
      </c>
    </row>
    <row r="1208" spans="2:7" x14ac:dyDescent="0.3">
      <c r="B1208" s="55">
        <v>43756</v>
      </c>
      <c r="C1208" s="54">
        <v>1924.85</v>
      </c>
      <c r="D1208" s="56">
        <f t="shared" si="38"/>
        <v>-0.49911525150277136</v>
      </c>
      <c r="E1208" s="64">
        <v>-3.894889904445531E-4</v>
      </c>
      <c r="F1208" s="64">
        <v>1205</v>
      </c>
      <c r="G1208" s="64">
        <f t="shared" ca="1" si="39"/>
        <v>-1.2774893253290447E-3</v>
      </c>
    </row>
    <row r="1209" spans="2:7" x14ac:dyDescent="0.3">
      <c r="B1209" s="55">
        <v>45254</v>
      </c>
      <c r="C1209" s="54">
        <v>3842.9</v>
      </c>
      <c r="D1209" s="56">
        <f t="shared" si="38"/>
        <v>1.7688594279126737</v>
      </c>
      <c r="E1209" s="64">
        <v>-3.9017792113205108E-4</v>
      </c>
      <c r="F1209" s="64">
        <v>1206</v>
      </c>
      <c r="G1209" s="64">
        <f t="shared" ca="1" si="39"/>
        <v>5.1155110924277387E-2</v>
      </c>
    </row>
    <row r="1210" spans="2:7" x14ac:dyDescent="0.3">
      <c r="B1210" s="55">
        <v>43420</v>
      </c>
      <c r="C1210" s="54">
        <v>1387.9</v>
      </c>
      <c r="D1210" s="56">
        <f t="shared" si="38"/>
        <v>-0.58123887397037088</v>
      </c>
      <c r="E1210" s="64">
        <v>-3.9612517555542848E-4</v>
      </c>
      <c r="F1210" s="64">
        <v>1207</v>
      </c>
      <c r="G1210" s="64">
        <f t="shared" ca="1" si="39"/>
        <v>7.8881775761926697E-3</v>
      </c>
    </row>
    <row r="1211" spans="2:7" x14ac:dyDescent="0.3">
      <c r="B1211" s="55">
        <v>44379</v>
      </c>
      <c r="C1211" s="54">
        <v>3314.3</v>
      </c>
      <c r="D1211" s="56">
        <f t="shared" si="38"/>
        <v>9.5057159849335937E-2</v>
      </c>
      <c r="E1211" s="64">
        <v>-4.0715998371354534E-4</v>
      </c>
      <c r="F1211" s="64">
        <v>1208</v>
      </c>
      <c r="G1211" s="64">
        <f t="shared" ca="1" si="39"/>
        <v>8.6275796422653483E-3</v>
      </c>
    </row>
    <row r="1212" spans="2:7" x14ac:dyDescent="0.3">
      <c r="B1212" s="55">
        <v>44336</v>
      </c>
      <c r="C1212" s="54">
        <v>3026.6</v>
      </c>
      <c r="D1212" s="56">
        <f t="shared" si="38"/>
        <v>-0.29834241335342526</v>
      </c>
      <c r="E1212" s="64">
        <v>-4.2934046699039108E-4</v>
      </c>
      <c r="F1212" s="64">
        <v>1209</v>
      </c>
      <c r="G1212" s="64">
        <f t="shared" ca="1" si="39"/>
        <v>5.3481541511319515E-3</v>
      </c>
    </row>
    <row r="1213" spans="2:7" x14ac:dyDescent="0.3">
      <c r="B1213" s="55">
        <v>45835</v>
      </c>
      <c r="C1213" s="54">
        <v>4313.5</v>
      </c>
      <c r="D1213" s="56">
        <f t="shared" si="38"/>
        <v>5.7697023196508379E-2</v>
      </c>
      <c r="E1213" s="64">
        <v>-4.402836353524231E-4</v>
      </c>
      <c r="F1213" s="64">
        <v>1210</v>
      </c>
      <c r="G1213" s="64">
        <f t="shared" ca="1" si="39"/>
        <v>5.503326510867183E-3</v>
      </c>
    </row>
    <row r="1214" spans="2:7" x14ac:dyDescent="0.3">
      <c r="B1214" s="55">
        <v>45819</v>
      </c>
      <c r="C1214" s="54">
        <v>4078.2</v>
      </c>
      <c r="D1214" s="56">
        <f t="shared" si="38"/>
        <v>3.7525122751672635E-2</v>
      </c>
      <c r="E1214" s="64">
        <v>-4.4117647058827814E-4</v>
      </c>
      <c r="F1214" s="64">
        <v>1211</v>
      </c>
      <c r="G1214" s="64">
        <f t="shared" ca="1" si="39"/>
        <v>7.7455989583782555E-4</v>
      </c>
    </row>
    <row r="1215" spans="2:7" x14ac:dyDescent="0.3">
      <c r="B1215" s="55">
        <v>45596</v>
      </c>
      <c r="C1215" s="54">
        <v>3930.7</v>
      </c>
      <c r="D1215" s="56">
        <f t="shared" si="38"/>
        <v>3.7055603192401421E-2</v>
      </c>
      <c r="E1215" s="64">
        <v>-4.4501519409023693E-4</v>
      </c>
      <c r="F1215" s="64">
        <v>1212</v>
      </c>
      <c r="G1215" s="64">
        <f t="shared" ca="1" si="39"/>
        <v>2.2682423813228859E-2</v>
      </c>
    </row>
    <row r="1216" spans="2:7" x14ac:dyDescent="0.3">
      <c r="B1216" s="55">
        <v>45246</v>
      </c>
      <c r="C1216" s="54">
        <v>3790.25</v>
      </c>
      <c r="D1216" s="56">
        <f t="shared" si="38"/>
        <v>0.13872615292173651</v>
      </c>
      <c r="E1216" s="64">
        <v>-4.4831814765489142E-4</v>
      </c>
      <c r="F1216" s="64">
        <v>1213</v>
      </c>
      <c r="G1216" s="64">
        <f t="shared" ca="1" si="39"/>
        <v>-6.1473153846443498E-3</v>
      </c>
    </row>
    <row r="1217" spans="2:7" x14ac:dyDescent="0.3">
      <c r="B1217" s="55">
        <v>44392</v>
      </c>
      <c r="C1217" s="54">
        <v>3328.5</v>
      </c>
      <c r="D1217" s="56">
        <f t="shared" si="38"/>
        <v>-0.16209344476890541</v>
      </c>
      <c r="E1217" s="64">
        <v>-4.6545847659951178E-4</v>
      </c>
      <c r="F1217" s="64">
        <v>1214</v>
      </c>
      <c r="G1217" s="64">
        <f t="shared" ca="1" si="39"/>
        <v>6.3038467179833491E-3</v>
      </c>
    </row>
    <row r="1218" spans="2:7" x14ac:dyDescent="0.3">
      <c r="B1218" s="55">
        <v>45786</v>
      </c>
      <c r="C1218" s="54">
        <v>3972.4</v>
      </c>
      <c r="D1218" s="56">
        <f t="shared" si="38"/>
        <v>3.8735124524598206</v>
      </c>
      <c r="E1218" s="64">
        <v>-4.7807161009483234E-4</v>
      </c>
      <c r="F1218" s="64">
        <v>1215</v>
      </c>
      <c r="G1218" s="64">
        <f t="shared" ca="1" si="39"/>
        <v>1.1988508355107168E-2</v>
      </c>
    </row>
    <row r="1219" spans="2:7" x14ac:dyDescent="0.3">
      <c r="B1219" s="55">
        <v>42916</v>
      </c>
      <c r="C1219" s="54">
        <v>815.1</v>
      </c>
      <c r="D1219" s="56">
        <f t="shared" si="38"/>
        <v>-0.79337355505982554</v>
      </c>
      <c r="E1219" s="64">
        <v>-4.9049662783562376E-4</v>
      </c>
      <c r="F1219" s="64">
        <v>1216</v>
      </c>
      <c r="G1219" s="64">
        <f t="shared" ca="1" si="39"/>
        <v>8.1815463094829875E-3</v>
      </c>
    </row>
    <row r="1220" spans="2:7" x14ac:dyDescent="0.3">
      <c r="B1220" s="55">
        <v>46092</v>
      </c>
      <c r="C1220" s="54">
        <v>3944.8</v>
      </c>
      <c r="D1220" s="56">
        <f t="shared" ref="D1220:D1283" si="40">C1220/C1221-1</f>
        <v>0.1268281535648994</v>
      </c>
      <c r="E1220" s="64">
        <v>-5.0673963717440262E-4</v>
      </c>
      <c r="F1220" s="64">
        <v>1217</v>
      </c>
      <c r="G1220" s="64">
        <f t="shared" ca="1" si="39"/>
        <v>1.0857891505775217E-2</v>
      </c>
    </row>
    <row r="1221" spans="2:7" x14ac:dyDescent="0.3">
      <c r="B1221" s="55">
        <v>44407</v>
      </c>
      <c r="C1221" s="54">
        <v>3500.8</v>
      </c>
      <c r="D1221" s="56">
        <f t="shared" si="40"/>
        <v>2.062549208293238</v>
      </c>
      <c r="E1221" s="64">
        <v>-5.1390395706041314E-4</v>
      </c>
      <c r="F1221" s="64">
        <v>1218</v>
      </c>
      <c r="G1221" s="64">
        <f t="shared" ref="G1221:G1284" ca="1" si="41">_xlfn.NORM.INV(RAND(),K$6,K$7)</f>
        <v>-1.8112014545323803E-2</v>
      </c>
    </row>
    <row r="1222" spans="2:7" x14ac:dyDescent="0.3">
      <c r="B1222" s="55">
        <v>43034</v>
      </c>
      <c r="C1222" s="54">
        <v>1143.0999999999999</v>
      </c>
      <c r="D1222" s="56">
        <f t="shared" si="40"/>
        <v>-0.7051890442048796</v>
      </c>
      <c r="E1222" s="64">
        <v>-5.2461309784046506E-4</v>
      </c>
      <c r="F1222" s="64">
        <v>1219</v>
      </c>
      <c r="G1222" s="64">
        <f t="shared" ca="1" si="41"/>
        <v>2.3027637622568736E-2</v>
      </c>
    </row>
    <row r="1223" spans="2:7" x14ac:dyDescent="0.3">
      <c r="B1223" s="55">
        <v>44936</v>
      </c>
      <c r="C1223" s="54">
        <v>3877.4</v>
      </c>
      <c r="D1223" s="56">
        <f t="shared" si="40"/>
        <v>7.1168831168830771E-3</v>
      </c>
      <c r="E1223" s="64">
        <v>-5.5418798572004491E-4</v>
      </c>
      <c r="F1223" s="64">
        <v>1220</v>
      </c>
      <c r="G1223" s="64">
        <f t="shared" ca="1" si="41"/>
        <v>8.2756418702232114E-3</v>
      </c>
    </row>
    <row r="1224" spans="2:7" x14ac:dyDescent="0.3">
      <c r="B1224" s="55">
        <v>45350</v>
      </c>
      <c r="C1224" s="54">
        <v>3850</v>
      </c>
      <c r="D1224" s="56">
        <f t="shared" si="40"/>
        <v>-6.9688768606224527E-2</v>
      </c>
      <c r="E1224" s="64">
        <v>-5.7110222729861437E-4</v>
      </c>
      <c r="F1224" s="64">
        <v>1221</v>
      </c>
      <c r="G1224" s="64">
        <f t="shared" ca="1" si="41"/>
        <v>1.7990172344330146E-2</v>
      </c>
    </row>
    <row r="1225" spans="2:7" x14ac:dyDescent="0.3">
      <c r="B1225" s="55">
        <v>45803</v>
      </c>
      <c r="C1225" s="54">
        <v>4138.3999999999996</v>
      </c>
      <c r="D1225" s="56">
        <f t="shared" si="40"/>
        <v>0.11026452755271765</v>
      </c>
      <c r="E1225" s="64">
        <v>-5.7959814528607545E-4</v>
      </c>
      <c r="F1225" s="64">
        <v>1222</v>
      </c>
      <c r="G1225" s="64">
        <f t="shared" ca="1" si="41"/>
        <v>-3.5799218798662231E-3</v>
      </c>
    </row>
    <row r="1226" spans="2:7" x14ac:dyDescent="0.3">
      <c r="B1226" s="55">
        <v>45328</v>
      </c>
      <c r="C1226" s="54">
        <v>3727.4</v>
      </c>
      <c r="D1226" s="56">
        <f t="shared" si="40"/>
        <v>-0.2230617711123386</v>
      </c>
      <c r="E1226" s="64">
        <v>-5.8987558987555477E-4</v>
      </c>
      <c r="F1226" s="64">
        <v>1223</v>
      </c>
      <c r="G1226" s="64">
        <f t="shared" ca="1" si="41"/>
        <v>-2.2896506065375112E-2</v>
      </c>
    </row>
    <row r="1227" spans="2:7" x14ac:dyDescent="0.3">
      <c r="B1227" s="55">
        <v>45406</v>
      </c>
      <c r="C1227" s="54">
        <v>4797.55</v>
      </c>
      <c r="D1227" s="56">
        <f t="shared" si="40"/>
        <v>1.0342824432336171</v>
      </c>
      <c r="E1227" s="64">
        <v>-6.2492839362160435E-4</v>
      </c>
      <c r="F1227" s="64">
        <v>1224</v>
      </c>
      <c r="G1227" s="64">
        <f t="shared" ca="1" si="41"/>
        <v>9.9032906475369151E-3</v>
      </c>
    </row>
    <row r="1228" spans="2:7" x14ac:dyDescent="0.3">
      <c r="B1228" s="55">
        <v>44006</v>
      </c>
      <c r="C1228" s="54">
        <v>2358.35</v>
      </c>
      <c r="D1228" s="56">
        <f t="shared" si="40"/>
        <v>-0.17266843240778107</v>
      </c>
      <c r="E1228" s="64">
        <v>-6.5680749184293674E-4</v>
      </c>
      <c r="F1228" s="64">
        <v>1225</v>
      </c>
      <c r="G1228" s="64">
        <f t="shared" ca="1" si="41"/>
        <v>3.6832088636157542E-2</v>
      </c>
    </row>
    <row r="1229" spans="2:7" x14ac:dyDescent="0.3">
      <c r="B1229" s="55">
        <v>44327</v>
      </c>
      <c r="C1229" s="54">
        <v>2850.55</v>
      </c>
      <c r="D1229" s="56">
        <f t="shared" si="40"/>
        <v>1.2790725564661205</v>
      </c>
      <c r="E1229" s="64">
        <v>-6.6609405949258349E-4</v>
      </c>
      <c r="F1229" s="64">
        <v>1226</v>
      </c>
      <c r="G1229" s="64">
        <f t="shared" ca="1" si="41"/>
        <v>1.8198467112258629E-2</v>
      </c>
    </row>
    <row r="1230" spans="2:7" x14ac:dyDescent="0.3">
      <c r="B1230" s="55">
        <v>43595</v>
      </c>
      <c r="C1230" s="54">
        <v>1250.75</v>
      </c>
      <c r="D1230" s="56">
        <f t="shared" si="40"/>
        <v>-0.66932370981387479</v>
      </c>
      <c r="E1230" s="64">
        <v>-6.791307126876589E-4</v>
      </c>
      <c r="F1230" s="64">
        <v>1227</v>
      </c>
      <c r="G1230" s="64">
        <f t="shared" ca="1" si="41"/>
        <v>1.3488814858241582E-3</v>
      </c>
    </row>
    <row r="1231" spans="2:7" x14ac:dyDescent="0.3">
      <c r="B1231" s="55">
        <v>45177</v>
      </c>
      <c r="C1231" s="54">
        <v>3782.4</v>
      </c>
      <c r="D1231" s="56">
        <f t="shared" si="40"/>
        <v>0.58368748299034912</v>
      </c>
      <c r="E1231" s="64">
        <v>-7.1332329396844862E-4</v>
      </c>
      <c r="F1231" s="64">
        <v>1228</v>
      </c>
      <c r="G1231" s="64">
        <f t="shared" ca="1" si="41"/>
        <v>-1.8598208283420797E-3</v>
      </c>
    </row>
    <row r="1232" spans="2:7" x14ac:dyDescent="0.3">
      <c r="B1232" s="55">
        <v>43992</v>
      </c>
      <c r="C1232" s="54">
        <v>2388.35</v>
      </c>
      <c r="D1232" s="56">
        <f t="shared" si="40"/>
        <v>-0.3419435719402657</v>
      </c>
      <c r="E1232" s="64">
        <v>-7.3218693778498434E-4</v>
      </c>
      <c r="F1232" s="64">
        <v>1229</v>
      </c>
      <c r="G1232" s="64">
        <f t="shared" ca="1" si="41"/>
        <v>1.214022263219666E-3</v>
      </c>
    </row>
    <row r="1233" spans="2:7" x14ac:dyDescent="0.3">
      <c r="B1233" s="55">
        <v>45089</v>
      </c>
      <c r="C1233" s="54">
        <v>3629.4</v>
      </c>
      <c r="D1233" s="56">
        <f t="shared" si="40"/>
        <v>1.4785904527760705</v>
      </c>
      <c r="E1233" s="64">
        <v>-7.4337160320470108E-4</v>
      </c>
      <c r="F1233" s="64">
        <v>1230</v>
      </c>
      <c r="G1233" s="64">
        <f t="shared" ca="1" si="41"/>
        <v>2.4829476495154219E-2</v>
      </c>
    </row>
    <row r="1234" spans="2:7" x14ac:dyDescent="0.3">
      <c r="B1234" s="55">
        <v>43511</v>
      </c>
      <c r="C1234" s="54">
        <v>1464.3</v>
      </c>
      <c r="D1234" s="56">
        <f t="shared" si="40"/>
        <v>0.83507738580111512</v>
      </c>
      <c r="E1234" s="64">
        <v>-7.5064828715720733E-4</v>
      </c>
      <c r="F1234" s="64">
        <v>1231</v>
      </c>
      <c r="G1234" s="64">
        <f t="shared" ca="1" si="41"/>
        <v>-1.5130150214216832E-2</v>
      </c>
    </row>
    <row r="1235" spans="2:7" x14ac:dyDescent="0.3">
      <c r="B1235" s="55">
        <v>42901</v>
      </c>
      <c r="C1235" s="54">
        <v>797.95</v>
      </c>
      <c r="D1235" s="56">
        <f t="shared" si="40"/>
        <v>-0.63116781067276806</v>
      </c>
      <c r="E1235" s="64">
        <v>-7.5136184334090306E-4</v>
      </c>
      <c r="F1235" s="64">
        <v>1232</v>
      </c>
      <c r="G1235" s="64">
        <f t="shared" ca="1" si="41"/>
        <v>-1.6381096432237285E-2</v>
      </c>
    </row>
    <row r="1236" spans="2:7" x14ac:dyDescent="0.3">
      <c r="B1236" s="55">
        <v>44048</v>
      </c>
      <c r="C1236" s="54">
        <v>2163.4499999999998</v>
      </c>
      <c r="D1236" s="56">
        <f t="shared" si="40"/>
        <v>-0.50815591147283823</v>
      </c>
      <c r="E1236" s="64">
        <v>-7.6208951087708421E-4</v>
      </c>
      <c r="F1236" s="64">
        <v>1233</v>
      </c>
      <c r="G1236" s="64">
        <f t="shared" ca="1" si="41"/>
        <v>4.9069734879513749E-3</v>
      </c>
    </row>
    <row r="1237" spans="2:7" x14ac:dyDescent="0.3">
      <c r="B1237" s="55">
        <v>44790</v>
      </c>
      <c r="C1237" s="54">
        <v>4398.6499999999996</v>
      </c>
      <c r="D1237" s="56">
        <f t="shared" si="40"/>
        <v>2.8244142068425853</v>
      </c>
      <c r="E1237" s="64">
        <v>-7.8371686240674698E-4</v>
      </c>
      <c r="F1237" s="64">
        <v>1234</v>
      </c>
      <c r="G1237" s="64">
        <f t="shared" ca="1" si="41"/>
        <v>1.2942061857749366E-2</v>
      </c>
    </row>
    <row r="1238" spans="2:7" x14ac:dyDescent="0.3">
      <c r="B1238" s="55">
        <v>43095</v>
      </c>
      <c r="C1238" s="54">
        <v>1150.1500000000001</v>
      </c>
      <c r="D1238" s="56">
        <f t="shared" si="40"/>
        <v>-0.67701488345970229</v>
      </c>
      <c r="E1238" s="64">
        <v>-8.2529754148186196E-4</v>
      </c>
      <c r="F1238" s="64">
        <v>1235</v>
      </c>
      <c r="G1238" s="64">
        <f t="shared" ca="1" si="41"/>
        <v>-1.3185482454515226E-2</v>
      </c>
    </row>
    <row r="1239" spans="2:7" x14ac:dyDescent="0.3">
      <c r="B1239" s="55">
        <v>44420</v>
      </c>
      <c r="C1239" s="54">
        <v>3561</v>
      </c>
      <c r="D1239" s="56">
        <f t="shared" si="40"/>
        <v>0.7373274137678687</v>
      </c>
      <c r="E1239" s="64">
        <v>-8.2773327347462899E-4</v>
      </c>
      <c r="F1239" s="64">
        <v>1236</v>
      </c>
      <c r="G1239" s="64">
        <f t="shared" ca="1" si="41"/>
        <v>2.1852936341152901E-2</v>
      </c>
    </row>
    <row r="1240" spans="2:7" x14ac:dyDescent="0.3">
      <c r="B1240" s="55">
        <v>44041</v>
      </c>
      <c r="C1240" s="54">
        <v>2049.6999999999998</v>
      </c>
      <c r="D1240" s="56">
        <f t="shared" si="40"/>
        <v>-0.44236471964523771</v>
      </c>
      <c r="E1240" s="64">
        <v>-8.2870234961507361E-4</v>
      </c>
      <c r="F1240" s="64">
        <v>1237</v>
      </c>
      <c r="G1240" s="64">
        <f t="shared" ca="1" si="41"/>
        <v>1.6464070535223696E-2</v>
      </c>
    </row>
    <row r="1241" spans="2:7" x14ac:dyDescent="0.3">
      <c r="B1241" s="55">
        <v>45128</v>
      </c>
      <c r="C1241" s="54">
        <v>3675.7</v>
      </c>
      <c r="D1241" s="56">
        <f t="shared" si="40"/>
        <v>4.850696378830083</v>
      </c>
      <c r="E1241" s="64">
        <v>-8.4266608676752952E-4</v>
      </c>
      <c r="F1241" s="64">
        <v>1238</v>
      </c>
      <c r="G1241" s="64">
        <f t="shared" ca="1" si="41"/>
        <v>1.0509164140664051E-2</v>
      </c>
    </row>
    <row r="1242" spans="2:7" x14ac:dyDescent="0.3">
      <c r="B1242" s="55">
        <v>42823</v>
      </c>
      <c r="C1242" s="54">
        <v>628.25</v>
      </c>
      <c r="D1242" s="56">
        <f t="shared" si="40"/>
        <v>-0.57657961246840772</v>
      </c>
      <c r="E1242" s="64">
        <v>-8.7468193384221404E-4</v>
      </c>
      <c r="F1242" s="64">
        <v>1239</v>
      </c>
      <c r="G1242" s="64">
        <f t="shared" ca="1" si="41"/>
        <v>-6.6337480469790657E-3</v>
      </c>
    </row>
    <row r="1243" spans="2:7" x14ac:dyDescent="0.3">
      <c r="B1243" s="55">
        <v>43271</v>
      </c>
      <c r="C1243" s="54">
        <v>1483.75</v>
      </c>
      <c r="D1243" s="56">
        <f t="shared" si="40"/>
        <v>-0.65543466901989011</v>
      </c>
      <c r="E1243" s="64">
        <v>-8.7539140096293266E-4</v>
      </c>
      <c r="F1243" s="64">
        <v>1240</v>
      </c>
      <c r="G1243" s="64">
        <f t="shared" ca="1" si="41"/>
        <v>1.0312400242491684E-2</v>
      </c>
    </row>
    <row r="1244" spans="2:7" x14ac:dyDescent="0.3">
      <c r="B1244" s="55">
        <v>44848</v>
      </c>
      <c r="C1244" s="54">
        <v>4306.1499999999996</v>
      </c>
      <c r="D1244" s="56">
        <f t="shared" si="40"/>
        <v>-0.1880474031055257</v>
      </c>
      <c r="E1244" s="64">
        <v>-8.8168076195782596E-4</v>
      </c>
      <c r="F1244" s="64">
        <v>1241</v>
      </c>
      <c r="G1244" s="64">
        <f t="shared" ca="1" si="41"/>
        <v>2.5431946219884368E-3</v>
      </c>
    </row>
    <row r="1245" spans="2:7" x14ac:dyDescent="0.3">
      <c r="B1245" s="55">
        <v>45541</v>
      </c>
      <c r="C1245" s="54">
        <v>5303.45</v>
      </c>
      <c r="D1245" s="56">
        <f t="shared" si="40"/>
        <v>2.6050914281829924</v>
      </c>
      <c r="E1245" s="64">
        <v>-8.8543089400261454E-4</v>
      </c>
      <c r="F1245" s="64">
        <v>1242</v>
      </c>
      <c r="G1245" s="64">
        <f t="shared" ca="1" si="41"/>
        <v>-1.9334944336290211E-2</v>
      </c>
    </row>
    <row r="1246" spans="2:7" x14ac:dyDescent="0.3">
      <c r="B1246" s="55">
        <v>43553</v>
      </c>
      <c r="C1246" s="54">
        <v>1471.1</v>
      </c>
      <c r="D1246" s="56">
        <f t="shared" si="40"/>
        <v>-0.63278500287062234</v>
      </c>
      <c r="E1246" s="64">
        <v>-9.5076400679128259E-4</v>
      </c>
      <c r="F1246" s="64">
        <v>1243</v>
      </c>
      <c r="G1246" s="64">
        <f t="shared" ca="1" si="41"/>
        <v>1.0199134242790679E-2</v>
      </c>
    </row>
    <row r="1247" spans="2:7" x14ac:dyDescent="0.3">
      <c r="B1247" s="55">
        <v>44649</v>
      </c>
      <c r="C1247" s="54">
        <v>4006.1</v>
      </c>
      <c r="D1247" s="56">
        <f t="shared" si="40"/>
        <v>0.16811243457596459</v>
      </c>
      <c r="E1247" s="64">
        <v>-9.8502512437503853E-4</v>
      </c>
      <c r="F1247" s="64">
        <v>1244</v>
      </c>
      <c r="G1247" s="64">
        <f t="shared" ca="1" si="41"/>
        <v>6.2272287485791592E-3</v>
      </c>
    </row>
    <row r="1248" spans="2:7" x14ac:dyDescent="0.3">
      <c r="B1248" s="55">
        <v>45070</v>
      </c>
      <c r="C1248" s="54">
        <v>3429.55</v>
      </c>
      <c r="D1248" s="56">
        <f t="shared" si="40"/>
        <v>6.1462183887814881E-3</v>
      </c>
      <c r="E1248" s="64">
        <v>-9.9040184098209139E-4</v>
      </c>
      <c r="F1248" s="64">
        <v>1245</v>
      </c>
      <c r="G1248" s="64">
        <f t="shared" ca="1" si="41"/>
        <v>2.9387883173277035E-2</v>
      </c>
    </row>
    <row r="1249" spans="2:7" x14ac:dyDescent="0.3">
      <c r="B1249" s="55">
        <v>44739</v>
      </c>
      <c r="C1249" s="54">
        <v>3408.6</v>
      </c>
      <c r="D1249" s="56">
        <f t="shared" si="40"/>
        <v>0.84823098820658793</v>
      </c>
      <c r="E1249" s="64">
        <v>-9.9648300117238797E-4</v>
      </c>
      <c r="F1249" s="64">
        <v>1246</v>
      </c>
      <c r="G1249" s="64">
        <f t="shared" ca="1" si="41"/>
        <v>-3.4612473963458158E-2</v>
      </c>
    </row>
    <row r="1250" spans="2:7" x14ac:dyDescent="0.3">
      <c r="B1250" s="55">
        <v>43797</v>
      </c>
      <c r="C1250" s="54">
        <v>1844.25</v>
      </c>
      <c r="D1250" s="56">
        <f t="shared" si="40"/>
        <v>-0.54731222385861567</v>
      </c>
      <c r="E1250" s="64">
        <v>-1.0291688107684216E-3</v>
      </c>
      <c r="F1250" s="64">
        <v>1247</v>
      </c>
      <c r="G1250" s="64">
        <f t="shared" ca="1" si="41"/>
        <v>3.2539179861924561E-3</v>
      </c>
    </row>
    <row r="1251" spans="2:7" x14ac:dyDescent="0.3">
      <c r="B1251" s="55">
        <v>45820</v>
      </c>
      <c r="C1251" s="54">
        <v>4074</v>
      </c>
      <c r="D1251" s="56">
        <f t="shared" si="40"/>
        <v>0.16559853513389799</v>
      </c>
      <c r="E1251" s="64">
        <v>-1.029866117404743E-3</v>
      </c>
      <c r="F1251" s="64">
        <v>1248</v>
      </c>
      <c r="G1251" s="64">
        <f t="shared" ca="1" si="41"/>
        <v>4.5163537124840517E-3</v>
      </c>
    </row>
    <row r="1252" spans="2:7" x14ac:dyDescent="0.3">
      <c r="B1252" s="55">
        <v>44970</v>
      </c>
      <c r="C1252" s="54">
        <v>3495.2</v>
      </c>
      <c r="D1252" s="56">
        <f t="shared" si="40"/>
        <v>-0.10889019197919592</v>
      </c>
      <c r="E1252" s="64">
        <v>-1.0431999085414034E-3</v>
      </c>
      <c r="F1252" s="64">
        <v>1249</v>
      </c>
      <c r="G1252" s="64">
        <f t="shared" ca="1" si="41"/>
        <v>2.1864792273151266E-2</v>
      </c>
    </row>
    <row r="1253" spans="2:7" x14ac:dyDescent="0.3">
      <c r="B1253" s="55">
        <v>45602</v>
      </c>
      <c r="C1253" s="54">
        <v>3922.3</v>
      </c>
      <c r="D1253" s="56">
        <f t="shared" si="40"/>
        <v>1.6675961505763937</v>
      </c>
      <c r="E1253" s="64">
        <v>-1.0823751130126791E-3</v>
      </c>
      <c r="F1253" s="64">
        <v>1250</v>
      </c>
      <c r="G1253" s="64">
        <f t="shared" ca="1" si="41"/>
        <v>5.0479870141192755E-3</v>
      </c>
    </row>
    <row r="1254" spans="2:7" x14ac:dyDescent="0.3">
      <c r="B1254" s="55">
        <v>43530</v>
      </c>
      <c r="C1254" s="54">
        <v>1470.35</v>
      </c>
      <c r="D1254" s="56">
        <f t="shared" si="40"/>
        <v>-0.69326490805353025</v>
      </c>
      <c r="E1254" s="64">
        <v>-1.0869934440709272E-3</v>
      </c>
      <c r="F1254" s="64">
        <v>1251</v>
      </c>
      <c r="G1254" s="64">
        <f t="shared" ca="1" si="41"/>
        <v>1.9892588478013562E-2</v>
      </c>
    </row>
    <row r="1255" spans="2:7" x14ac:dyDescent="0.3">
      <c r="B1255" s="55">
        <v>45435</v>
      </c>
      <c r="C1255" s="54">
        <v>4793.55</v>
      </c>
      <c r="D1255" s="56">
        <f t="shared" si="40"/>
        <v>0.25620430304777386</v>
      </c>
      <c r="E1255" s="64">
        <v>-1.0940235058765069E-3</v>
      </c>
      <c r="F1255" s="64">
        <v>1252</v>
      </c>
      <c r="G1255" s="64">
        <f t="shared" ca="1" si="41"/>
        <v>4.3076254561455141E-2</v>
      </c>
    </row>
    <row r="1256" spans="2:7" x14ac:dyDescent="0.3">
      <c r="B1256" s="55">
        <v>45113</v>
      </c>
      <c r="C1256" s="54">
        <v>3815.9</v>
      </c>
      <c r="D1256" s="56">
        <f t="shared" si="40"/>
        <v>7.7420447807550197E-2</v>
      </c>
      <c r="E1256" s="64">
        <v>-1.0994476584381685E-3</v>
      </c>
      <c r="F1256" s="64">
        <v>1253</v>
      </c>
      <c r="G1256" s="64">
        <f t="shared" ca="1" si="41"/>
        <v>1.0880157905342715E-2</v>
      </c>
    </row>
    <row r="1257" spans="2:7" x14ac:dyDescent="0.3">
      <c r="B1257" s="55">
        <v>44973</v>
      </c>
      <c r="C1257" s="54">
        <v>3541.7</v>
      </c>
      <c r="D1257" s="56">
        <f t="shared" si="40"/>
        <v>-6.7593360449657136E-2</v>
      </c>
      <c r="E1257" s="64">
        <v>-1.099954873646225E-3</v>
      </c>
      <c r="F1257" s="64">
        <v>1254</v>
      </c>
      <c r="G1257" s="64">
        <f t="shared" ca="1" si="41"/>
        <v>-1.6161643285910264E-2</v>
      </c>
    </row>
    <row r="1258" spans="2:7" x14ac:dyDescent="0.3">
      <c r="B1258" s="55">
        <v>45243</v>
      </c>
      <c r="C1258" s="54">
        <v>3798.45</v>
      </c>
      <c r="D1258" s="56">
        <f t="shared" si="40"/>
        <v>0.25689090367625167</v>
      </c>
      <c r="E1258" s="64">
        <v>-1.1176269492728652E-3</v>
      </c>
      <c r="F1258" s="64">
        <v>1255</v>
      </c>
      <c r="G1258" s="64">
        <f t="shared" ca="1" si="41"/>
        <v>-1.3353389642829285E-2</v>
      </c>
    </row>
    <row r="1259" spans="2:7" x14ac:dyDescent="0.3">
      <c r="B1259" s="55">
        <v>44344</v>
      </c>
      <c r="C1259" s="54">
        <v>3022.1</v>
      </c>
      <c r="D1259" s="56">
        <f t="shared" si="40"/>
        <v>-0.13582682794315293</v>
      </c>
      <c r="E1259" s="64">
        <v>-1.1237811931912312E-3</v>
      </c>
      <c r="F1259" s="64">
        <v>1256</v>
      </c>
      <c r="G1259" s="64">
        <f t="shared" ca="1" si="41"/>
        <v>-6.5227684810699287E-3</v>
      </c>
    </row>
    <row r="1260" spans="2:7" x14ac:dyDescent="0.3">
      <c r="B1260" s="55">
        <v>45033</v>
      </c>
      <c r="C1260" s="54">
        <v>3497.1</v>
      </c>
      <c r="D1260" s="56">
        <f t="shared" si="40"/>
        <v>2.8402240158128809</v>
      </c>
      <c r="E1260" s="64">
        <v>-1.1282329586839168E-3</v>
      </c>
      <c r="F1260" s="64">
        <v>1257</v>
      </c>
      <c r="G1260" s="64">
        <f t="shared" ca="1" si="41"/>
        <v>4.0815220385178638E-2</v>
      </c>
    </row>
    <row r="1261" spans="2:7" x14ac:dyDescent="0.3">
      <c r="B1261" s="55">
        <v>42934</v>
      </c>
      <c r="C1261" s="54">
        <v>910.65</v>
      </c>
      <c r="D1261" s="56">
        <f t="shared" si="40"/>
        <v>-0.6797601673905016</v>
      </c>
      <c r="E1261" s="64">
        <v>-1.1516946363936409E-3</v>
      </c>
      <c r="F1261" s="64">
        <v>1258</v>
      </c>
      <c r="G1261" s="64">
        <f t="shared" ca="1" si="41"/>
        <v>-2.5799242161771756E-2</v>
      </c>
    </row>
    <row r="1262" spans="2:7" x14ac:dyDescent="0.3">
      <c r="B1262" s="55">
        <v>44292</v>
      </c>
      <c r="C1262" s="54">
        <v>2843.65</v>
      </c>
      <c r="D1262" s="56">
        <f t="shared" si="40"/>
        <v>-0.2657569263342715</v>
      </c>
      <c r="E1262" s="64">
        <v>-1.1591352148789813E-3</v>
      </c>
      <c r="F1262" s="64">
        <v>1259</v>
      </c>
      <c r="G1262" s="64">
        <f t="shared" ca="1" si="41"/>
        <v>7.4373303622295916E-3</v>
      </c>
    </row>
    <row r="1263" spans="2:7" x14ac:dyDescent="0.3">
      <c r="B1263" s="55">
        <v>44937</v>
      </c>
      <c r="C1263" s="54">
        <v>3872.9</v>
      </c>
      <c r="D1263" s="56">
        <f t="shared" si="40"/>
        <v>-1.5268437178199479E-2</v>
      </c>
      <c r="E1263" s="64">
        <v>-1.1605715169958897E-3</v>
      </c>
      <c r="F1263" s="64">
        <v>1260</v>
      </c>
      <c r="G1263" s="64">
        <f t="shared" ca="1" si="41"/>
        <v>5.1250706988290491E-3</v>
      </c>
    </row>
    <row r="1264" spans="2:7" x14ac:dyDescent="0.3">
      <c r="B1264" s="55">
        <v>44447</v>
      </c>
      <c r="C1264" s="54">
        <v>3932.95</v>
      </c>
      <c r="D1264" s="56">
        <f t="shared" si="40"/>
        <v>-0.22827345328964155</v>
      </c>
      <c r="E1264" s="64">
        <v>-1.1682391334714159E-3</v>
      </c>
      <c r="F1264" s="64">
        <v>1261</v>
      </c>
      <c r="G1264" s="64">
        <f t="shared" ca="1" si="41"/>
        <v>-2.8286661226427326E-2</v>
      </c>
    </row>
    <row r="1265" spans="2:7" x14ac:dyDescent="0.3">
      <c r="B1265" s="55">
        <v>45565</v>
      </c>
      <c r="C1265" s="54">
        <v>5096.3</v>
      </c>
      <c r="D1265" s="56">
        <f t="shared" si="40"/>
        <v>2.46392523364486</v>
      </c>
      <c r="E1265" s="64">
        <v>-1.1759402622346649E-3</v>
      </c>
      <c r="F1265" s="64">
        <v>1262</v>
      </c>
      <c r="G1265" s="64">
        <f t="shared" ca="1" si="41"/>
        <v>-8.1012654699334306E-3</v>
      </c>
    </row>
    <row r="1266" spans="2:7" x14ac:dyDescent="0.3">
      <c r="B1266" s="55">
        <v>43202</v>
      </c>
      <c r="C1266" s="54">
        <v>1471.25</v>
      </c>
      <c r="D1266" s="56">
        <f t="shared" si="40"/>
        <v>-0.57497977813727763</v>
      </c>
      <c r="E1266" s="64">
        <v>-1.1880515953835991E-3</v>
      </c>
      <c r="F1266" s="64">
        <v>1263</v>
      </c>
      <c r="G1266" s="64">
        <f t="shared" ca="1" si="41"/>
        <v>8.5170469942082508E-3</v>
      </c>
    </row>
    <row r="1267" spans="2:7" x14ac:dyDescent="0.3">
      <c r="B1267" s="55">
        <v>45042</v>
      </c>
      <c r="C1267" s="54">
        <v>3461.6</v>
      </c>
      <c r="D1267" s="56">
        <f t="shared" si="40"/>
        <v>0.32018840220438194</v>
      </c>
      <c r="E1267" s="64">
        <v>-1.2262504147612097E-3</v>
      </c>
      <c r="F1267" s="64">
        <v>1264</v>
      </c>
      <c r="G1267" s="64">
        <f t="shared" ca="1" si="41"/>
        <v>6.93668854681975E-3</v>
      </c>
    </row>
    <row r="1268" spans="2:7" x14ac:dyDescent="0.3">
      <c r="B1268" s="55">
        <v>44175</v>
      </c>
      <c r="C1268" s="54">
        <v>2622.05</v>
      </c>
      <c r="D1268" s="56">
        <f t="shared" si="40"/>
        <v>-0.3088591913121409</v>
      </c>
      <c r="E1268" s="64">
        <v>-1.2379537576657773E-3</v>
      </c>
      <c r="F1268" s="64">
        <v>1265</v>
      </c>
      <c r="G1268" s="64">
        <f t="shared" ca="1" si="41"/>
        <v>-6.6200935670515408E-3</v>
      </c>
    </row>
    <row r="1269" spans="2:7" x14ac:dyDescent="0.3">
      <c r="B1269" s="55">
        <v>45209</v>
      </c>
      <c r="C1269" s="54">
        <v>3793.8</v>
      </c>
      <c r="D1269" s="56">
        <f t="shared" si="40"/>
        <v>2.0344331133773248</v>
      </c>
      <c r="E1269" s="64">
        <v>-1.2636234402146895E-3</v>
      </c>
      <c r="F1269" s="64">
        <v>1266</v>
      </c>
      <c r="G1269" s="64">
        <f t="shared" ca="1" si="41"/>
        <v>2.7703935089683607E-2</v>
      </c>
    </row>
    <row r="1270" spans="2:7" x14ac:dyDescent="0.3">
      <c r="B1270" s="55">
        <v>43599</v>
      </c>
      <c r="C1270" s="54">
        <v>1250.25</v>
      </c>
      <c r="D1270" s="56">
        <f t="shared" si="40"/>
        <v>-0.6660211032456258</v>
      </c>
      <c r="E1270" s="64">
        <v>-1.3179966450995728E-3</v>
      </c>
      <c r="F1270" s="64">
        <v>1267</v>
      </c>
      <c r="G1270" s="64">
        <f t="shared" ca="1" si="41"/>
        <v>-8.0815088817954711E-3</v>
      </c>
    </row>
    <row r="1271" spans="2:7" x14ac:dyDescent="0.3">
      <c r="B1271" s="55">
        <v>45695</v>
      </c>
      <c r="C1271" s="54">
        <v>3743.5</v>
      </c>
      <c r="D1271" s="56">
        <f t="shared" si="40"/>
        <v>2.3737249432548513E-2</v>
      </c>
      <c r="E1271" s="64">
        <v>-1.3205458256079217E-3</v>
      </c>
      <c r="F1271" s="64">
        <v>1268</v>
      </c>
      <c r="G1271" s="64">
        <f t="shared" ca="1" si="41"/>
        <v>-8.185181707898836E-4</v>
      </c>
    </row>
    <row r="1272" spans="2:7" x14ac:dyDescent="0.3">
      <c r="B1272" s="55">
        <v>46043</v>
      </c>
      <c r="C1272" s="54">
        <v>3656.7</v>
      </c>
      <c r="D1272" s="56">
        <f t="shared" si="40"/>
        <v>1.2912371941476861</v>
      </c>
      <c r="E1272" s="64">
        <v>-1.338212803146166E-3</v>
      </c>
      <c r="F1272" s="64">
        <v>1269</v>
      </c>
      <c r="G1272" s="64">
        <f t="shared" ca="1" si="41"/>
        <v>6.5391720819545389E-3</v>
      </c>
    </row>
    <row r="1273" spans="2:7" x14ac:dyDescent="0.3">
      <c r="B1273" s="55">
        <v>43292</v>
      </c>
      <c r="C1273" s="54">
        <v>1595.95</v>
      </c>
      <c r="D1273" s="56">
        <f t="shared" si="40"/>
        <v>-0.18830739497507887</v>
      </c>
      <c r="E1273" s="64">
        <v>-1.3453476002752707E-3</v>
      </c>
      <c r="F1273" s="64">
        <v>1270</v>
      </c>
      <c r="G1273" s="64">
        <f t="shared" ca="1" si="41"/>
        <v>2.4901610139783363E-2</v>
      </c>
    </row>
    <row r="1274" spans="2:7" x14ac:dyDescent="0.3">
      <c r="B1274" s="55">
        <v>43780</v>
      </c>
      <c r="C1274" s="54">
        <v>1966.2</v>
      </c>
      <c r="D1274" s="56">
        <f t="shared" si="40"/>
        <v>1.5393258426966296</v>
      </c>
      <c r="E1274" s="64">
        <v>-1.3459633796377712E-3</v>
      </c>
      <c r="F1274" s="64">
        <v>1271</v>
      </c>
      <c r="G1274" s="64">
        <f t="shared" ca="1" si="41"/>
        <v>-1.4683613762626179E-3</v>
      </c>
    </row>
    <row r="1275" spans="2:7" x14ac:dyDescent="0.3">
      <c r="B1275" s="55">
        <v>42893</v>
      </c>
      <c r="C1275" s="54">
        <v>774.3</v>
      </c>
      <c r="D1275" s="56">
        <f t="shared" si="40"/>
        <v>-0.78935770831633068</v>
      </c>
      <c r="E1275" s="64">
        <v>-1.3542271232347414E-3</v>
      </c>
      <c r="F1275" s="64">
        <v>1272</v>
      </c>
      <c r="G1275" s="64">
        <f t="shared" ca="1" si="41"/>
        <v>6.2743032252451283E-3</v>
      </c>
    </row>
    <row r="1276" spans="2:7" x14ac:dyDescent="0.3">
      <c r="B1276" s="55">
        <v>45314</v>
      </c>
      <c r="C1276" s="54">
        <v>3675.9</v>
      </c>
      <c r="D1276" s="56">
        <f t="shared" si="40"/>
        <v>-0.13572293476599684</v>
      </c>
      <c r="E1276" s="64">
        <v>-1.3854930725346604E-3</v>
      </c>
      <c r="F1276" s="64">
        <v>1273</v>
      </c>
      <c r="G1276" s="64">
        <f t="shared" ca="1" si="41"/>
        <v>4.8799712135553361E-3</v>
      </c>
    </row>
    <row r="1277" spans="2:7" x14ac:dyDescent="0.3">
      <c r="B1277" s="55">
        <v>44776</v>
      </c>
      <c r="C1277" s="54">
        <v>4253.1499999999996</v>
      </c>
      <c r="D1277" s="56">
        <f t="shared" si="40"/>
        <v>0.13243693004060431</v>
      </c>
      <c r="E1277" s="64">
        <v>-1.397008757718976E-3</v>
      </c>
      <c r="F1277" s="64">
        <v>1274</v>
      </c>
      <c r="G1277" s="64">
        <f t="shared" ca="1" si="41"/>
        <v>8.9826993502091935E-3</v>
      </c>
    </row>
    <row r="1278" spans="2:7" x14ac:dyDescent="0.3">
      <c r="B1278" s="55">
        <v>45173</v>
      </c>
      <c r="C1278" s="54">
        <v>3755.75</v>
      </c>
      <c r="D1278" s="56">
        <f t="shared" si="40"/>
        <v>2.3288278307112784</v>
      </c>
      <c r="E1278" s="64">
        <v>-1.4091809468100847E-3</v>
      </c>
      <c r="F1278" s="64">
        <v>1275</v>
      </c>
      <c r="G1278" s="64">
        <f t="shared" ca="1" si="41"/>
        <v>9.0001777273476923E-3</v>
      </c>
    </row>
    <row r="1279" spans="2:7" x14ac:dyDescent="0.3">
      <c r="B1279" s="55">
        <v>43067</v>
      </c>
      <c r="C1279" s="54">
        <v>1128.25</v>
      </c>
      <c r="D1279" s="56">
        <f t="shared" si="40"/>
        <v>-0.58423923057080729</v>
      </c>
      <c r="E1279" s="64">
        <v>-1.41611718369683E-3</v>
      </c>
      <c r="F1279" s="64">
        <v>1276</v>
      </c>
      <c r="G1279" s="64">
        <f t="shared" ca="1" si="41"/>
        <v>-1.5936747865936546E-2</v>
      </c>
    </row>
    <row r="1280" spans="2:7" x14ac:dyDescent="0.3">
      <c r="B1280" s="55">
        <v>44309</v>
      </c>
      <c r="C1280" s="54">
        <v>2713.7</v>
      </c>
      <c r="D1280" s="56">
        <f t="shared" si="40"/>
        <v>1.4684586346477464</v>
      </c>
      <c r="E1280" s="64">
        <v>-1.4350897851045374E-3</v>
      </c>
      <c r="F1280" s="64">
        <v>1277</v>
      </c>
      <c r="G1280" s="64">
        <f t="shared" ca="1" si="41"/>
        <v>-1.8367924146925355E-2</v>
      </c>
    </row>
    <row r="1281" spans="2:7" x14ac:dyDescent="0.3">
      <c r="B1281" s="55">
        <v>43012</v>
      </c>
      <c r="C1281" s="54">
        <v>1099.3499999999999</v>
      </c>
      <c r="D1281" s="56">
        <f t="shared" si="40"/>
        <v>-0.71273093104079022</v>
      </c>
      <c r="E1281" s="64">
        <v>-1.4532903401608399E-3</v>
      </c>
      <c r="F1281" s="64">
        <v>1278</v>
      </c>
      <c r="G1281" s="64">
        <f t="shared" ca="1" si="41"/>
        <v>-5.9382806687415619E-4</v>
      </c>
    </row>
    <row r="1282" spans="2:7" x14ac:dyDescent="0.3">
      <c r="B1282" s="55">
        <v>46035</v>
      </c>
      <c r="C1282" s="54">
        <v>3826.9</v>
      </c>
      <c r="D1282" s="56">
        <f t="shared" si="40"/>
        <v>1.6049281873255739</v>
      </c>
      <c r="E1282" s="64">
        <v>-1.4611872146118587E-3</v>
      </c>
      <c r="F1282" s="64">
        <v>1279</v>
      </c>
      <c r="G1282" s="64">
        <f t="shared" ca="1" si="41"/>
        <v>2.691709316989406E-2</v>
      </c>
    </row>
    <row r="1283" spans="2:7" x14ac:dyDescent="0.3">
      <c r="B1283" s="55">
        <v>43203</v>
      </c>
      <c r="C1283" s="54">
        <v>1469.1</v>
      </c>
      <c r="D1283" s="56">
        <f t="shared" si="40"/>
        <v>-0.25598237573117932</v>
      </c>
      <c r="E1283" s="64">
        <v>-1.461342395921883E-3</v>
      </c>
      <c r="F1283" s="64">
        <v>1280</v>
      </c>
      <c r="G1283" s="64">
        <f t="shared" ca="1" si="41"/>
        <v>-9.2337979112372143E-3</v>
      </c>
    </row>
    <row r="1284" spans="2:7" x14ac:dyDescent="0.3">
      <c r="B1284" s="55">
        <v>44118</v>
      </c>
      <c r="C1284" s="54">
        <v>1974.55</v>
      </c>
      <c r="D1284" s="56">
        <f t="shared" ref="D1284:D1347" si="42">C1284/C1285-1</f>
        <v>-0.48148002258373712</v>
      </c>
      <c r="E1284" s="64">
        <v>-1.4665351842019225E-3</v>
      </c>
      <c r="F1284" s="64">
        <v>1281</v>
      </c>
      <c r="G1284" s="64">
        <f t="shared" ca="1" si="41"/>
        <v>1.0602579645974015E-2</v>
      </c>
    </row>
    <row r="1285" spans="2:7" x14ac:dyDescent="0.3">
      <c r="B1285" s="55">
        <v>45183</v>
      </c>
      <c r="C1285" s="54">
        <v>3808.05</v>
      </c>
      <c r="D1285" s="56">
        <f t="shared" si="42"/>
        <v>1.5875178365155942</v>
      </c>
      <c r="E1285" s="64">
        <v>-1.4815009046331706E-3</v>
      </c>
      <c r="F1285" s="64">
        <v>1282</v>
      </c>
      <c r="G1285" s="64">
        <f t="shared" ref="G1285:G1348" ca="1" si="43">_xlfn.NORM.INV(RAND(),K$6,K$7)</f>
        <v>-5.5530242442271152E-5</v>
      </c>
    </row>
    <row r="1286" spans="2:7" x14ac:dyDescent="0.3">
      <c r="B1286" s="55">
        <v>43501</v>
      </c>
      <c r="C1286" s="54">
        <v>1471.7</v>
      </c>
      <c r="D1286" s="56">
        <f t="shared" si="42"/>
        <v>-0.35760274122089086</v>
      </c>
      <c r="E1286" s="64">
        <v>-1.4926385779225892E-3</v>
      </c>
      <c r="F1286" s="64">
        <v>1283</v>
      </c>
      <c r="G1286" s="64">
        <f t="shared" ca="1" si="43"/>
        <v>2.2691458608459406E-2</v>
      </c>
    </row>
    <row r="1287" spans="2:7" x14ac:dyDescent="0.3">
      <c r="B1287" s="55">
        <v>44011</v>
      </c>
      <c r="C1287" s="54">
        <v>2290.9499999999998</v>
      </c>
      <c r="D1287" s="56">
        <f t="shared" si="42"/>
        <v>-0.46322633552015002</v>
      </c>
      <c r="E1287" s="64">
        <v>-1.5036610878662593E-3</v>
      </c>
      <c r="F1287" s="64">
        <v>1284</v>
      </c>
      <c r="G1287" s="64">
        <f t="shared" ca="1" si="43"/>
        <v>-1.6608847471772945E-3</v>
      </c>
    </row>
    <row r="1288" spans="2:7" x14ac:dyDescent="0.3">
      <c r="B1288" s="55">
        <v>45953</v>
      </c>
      <c r="C1288" s="54">
        <v>4268</v>
      </c>
      <c r="D1288" s="56">
        <f t="shared" si="42"/>
        <v>-9.9976803525864133E-2</v>
      </c>
      <c r="E1288" s="64">
        <v>-1.5206456895543452E-3</v>
      </c>
      <c r="F1288" s="64">
        <v>1285</v>
      </c>
      <c r="G1288" s="64">
        <f t="shared" ca="1" si="43"/>
        <v>-3.6464846223687271E-3</v>
      </c>
    </row>
    <row r="1289" spans="2:7" x14ac:dyDescent="0.3">
      <c r="B1289" s="55">
        <v>44546</v>
      </c>
      <c r="C1289" s="54">
        <v>4742.1000000000004</v>
      </c>
      <c r="D1289" s="56">
        <f t="shared" si="42"/>
        <v>0.18558427921396081</v>
      </c>
      <c r="E1289" s="64">
        <v>-1.5475476107759123E-3</v>
      </c>
      <c r="F1289" s="64">
        <v>1286</v>
      </c>
      <c r="G1289" s="64">
        <f t="shared" ca="1" si="43"/>
        <v>-6.7766255106344285E-3</v>
      </c>
    </row>
    <row r="1290" spans="2:7" x14ac:dyDescent="0.3">
      <c r="B1290" s="55">
        <v>45784</v>
      </c>
      <c r="C1290" s="54">
        <v>3999.8</v>
      </c>
      <c r="D1290" s="56">
        <f t="shared" si="42"/>
        <v>1.4779605365052815</v>
      </c>
      <c r="E1290" s="64">
        <v>-1.5726017822819127E-3</v>
      </c>
      <c r="F1290" s="64">
        <v>1287</v>
      </c>
      <c r="G1290" s="64">
        <f t="shared" ca="1" si="43"/>
        <v>-1.6365699543232033E-2</v>
      </c>
    </row>
    <row r="1291" spans="2:7" x14ac:dyDescent="0.3">
      <c r="B1291" s="55">
        <v>43332</v>
      </c>
      <c r="C1291" s="54">
        <v>1614.15</v>
      </c>
      <c r="D1291" s="56">
        <f t="shared" si="42"/>
        <v>0.48121128699242943</v>
      </c>
      <c r="E1291" s="64">
        <v>-1.577287066246047E-3</v>
      </c>
      <c r="F1291" s="64">
        <v>1288</v>
      </c>
      <c r="G1291" s="64">
        <f t="shared" ca="1" si="43"/>
        <v>1.956481837131803E-2</v>
      </c>
    </row>
    <row r="1292" spans="2:7" x14ac:dyDescent="0.3">
      <c r="B1292" s="55">
        <v>42992</v>
      </c>
      <c r="C1292" s="54">
        <v>1089.75</v>
      </c>
      <c r="D1292" s="56">
        <f t="shared" si="42"/>
        <v>-0.74251284777600568</v>
      </c>
      <c r="E1292" s="64">
        <v>-1.6032982134677187E-3</v>
      </c>
      <c r="F1292" s="64">
        <v>1289</v>
      </c>
      <c r="G1292" s="64">
        <f t="shared" ca="1" si="43"/>
        <v>-2.9352102904400247E-2</v>
      </c>
    </row>
    <row r="1293" spans="2:7" x14ac:dyDescent="0.3">
      <c r="B1293" s="55">
        <v>44778</v>
      </c>
      <c r="C1293" s="54">
        <v>4232.25</v>
      </c>
      <c r="D1293" s="56">
        <f t="shared" si="42"/>
        <v>-7.7116814583833015E-2</v>
      </c>
      <c r="E1293" s="64">
        <v>-1.615909037295693E-3</v>
      </c>
      <c r="F1293" s="64">
        <v>1290</v>
      </c>
      <c r="G1293" s="64">
        <f t="shared" ca="1" si="43"/>
        <v>2.0408702132621373E-2</v>
      </c>
    </row>
    <row r="1294" spans="2:7" x14ac:dyDescent="0.3">
      <c r="B1294" s="55">
        <v>46142</v>
      </c>
      <c r="C1294" s="54">
        <v>4585.8999999999996</v>
      </c>
      <c r="D1294" s="56">
        <f t="shared" si="42"/>
        <v>0.26868066506210742</v>
      </c>
      <c r="E1294" s="64">
        <v>-1.6327774633169145E-3</v>
      </c>
      <c r="F1294" s="64">
        <v>1291</v>
      </c>
      <c r="G1294" s="64">
        <f t="shared" ca="1" si="43"/>
        <v>-3.715128443070731E-2</v>
      </c>
    </row>
    <row r="1295" spans="2:7" x14ac:dyDescent="0.3">
      <c r="B1295" s="55">
        <v>45677</v>
      </c>
      <c r="C1295" s="54">
        <v>3614.7</v>
      </c>
      <c r="D1295" s="56">
        <f t="shared" si="42"/>
        <v>-0.24672564158669619</v>
      </c>
      <c r="E1295" s="64">
        <v>-1.6433513319432658E-3</v>
      </c>
      <c r="F1295" s="64">
        <v>1292</v>
      </c>
      <c r="G1295" s="64">
        <f t="shared" ca="1" si="43"/>
        <v>-1.4981049048130397E-3</v>
      </c>
    </row>
    <row r="1296" spans="2:7" x14ac:dyDescent="0.3">
      <c r="B1296" s="55">
        <v>45421</v>
      </c>
      <c r="C1296" s="54">
        <v>4798.6499999999996</v>
      </c>
      <c r="D1296" s="56">
        <f t="shared" si="42"/>
        <v>0.159878661896935</v>
      </c>
      <c r="E1296" s="64">
        <v>-1.6851302855360739E-3</v>
      </c>
      <c r="F1296" s="64">
        <v>1293</v>
      </c>
      <c r="G1296" s="64">
        <f t="shared" ca="1" si="43"/>
        <v>-3.6693068802284456E-2</v>
      </c>
    </row>
    <row r="1297" spans="2:7" x14ac:dyDescent="0.3">
      <c r="B1297" s="55">
        <v>46163</v>
      </c>
      <c r="C1297" s="54">
        <v>4137.2</v>
      </c>
      <c r="D1297" s="56">
        <f t="shared" si="42"/>
        <v>-0.10987757912175389</v>
      </c>
      <c r="E1297" s="64">
        <v>-1.6891076685487949E-3</v>
      </c>
      <c r="F1297" s="64">
        <v>1294</v>
      </c>
      <c r="G1297" s="64">
        <f t="shared" ca="1" si="43"/>
        <v>6.70436909066681E-3</v>
      </c>
    </row>
    <row r="1298" spans="2:7" x14ac:dyDescent="0.3">
      <c r="B1298" s="55">
        <v>44553</v>
      </c>
      <c r="C1298" s="54">
        <v>4647.8999999999996</v>
      </c>
      <c r="D1298" s="56">
        <f t="shared" si="42"/>
        <v>0.22572818734424227</v>
      </c>
      <c r="E1298" s="64">
        <v>-1.7075292374111317E-3</v>
      </c>
      <c r="F1298" s="64">
        <v>1295</v>
      </c>
      <c r="G1298" s="64">
        <f t="shared" ca="1" si="43"/>
        <v>-4.1171786439364658E-2</v>
      </c>
    </row>
    <row r="1299" spans="2:7" x14ac:dyDescent="0.3">
      <c r="B1299" s="55">
        <v>45245</v>
      </c>
      <c r="C1299" s="54">
        <v>3791.95</v>
      </c>
      <c r="D1299" s="56">
        <f t="shared" si="42"/>
        <v>1.608122979572185</v>
      </c>
      <c r="E1299" s="64">
        <v>-1.7112243151812256E-3</v>
      </c>
      <c r="F1299" s="64">
        <v>1296</v>
      </c>
      <c r="G1299" s="64">
        <f t="shared" ca="1" si="43"/>
        <v>3.7954974820813669E-2</v>
      </c>
    </row>
    <row r="1300" spans="2:7" x14ac:dyDescent="0.3">
      <c r="B1300" s="55">
        <v>43231</v>
      </c>
      <c r="C1300" s="54">
        <v>1453.9</v>
      </c>
      <c r="D1300" s="56">
        <f t="shared" si="42"/>
        <v>-0.5873119500425773</v>
      </c>
      <c r="E1300" s="64">
        <v>-1.7508325036904582E-3</v>
      </c>
      <c r="F1300" s="64">
        <v>1297</v>
      </c>
      <c r="G1300" s="64">
        <f t="shared" ca="1" si="43"/>
        <v>2.6724547359936332E-2</v>
      </c>
    </row>
    <row r="1301" spans="2:7" x14ac:dyDescent="0.3">
      <c r="B1301" s="55">
        <v>44417</v>
      </c>
      <c r="C1301" s="54">
        <v>3523</v>
      </c>
      <c r="D1301" s="56">
        <f t="shared" si="42"/>
        <v>3.8666214602650406E-2</v>
      </c>
      <c r="E1301" s="64">
        <v>-1.7567720729909642E-3</v>
      </c>
      <c r="F1301" s="64">
        <v>1298</v>
      </c>
      <c r="G1301" s="64">
        <f t="shared" ca="1" si="43"/>
        <v>1.2143855076794384E-2</v>
      </c>
    </row>
    <row r="1302" spans="2:7" x14ac:dyDescent="0.3">
      <c r="B1302" s="55">
        <v>44995</v>
      </c>
      <c r="C1302" s="54">
        <v>3391.85</v>
      </c>
      <c r="D1302" s="56">
        <f t="shared" si="42"/>
        <v>1.1628248047186354</v>
      </c>
      <c r="E1302" s="64">
        <v>-1.7658225054077992E-3</v>
      </c>
      <c r="F1302" s="64">
        <v>1299</v>
      </c>
      <c r="G1302" s="64">
        <f t="shared" ca="1" si="43"/>
        <v>-3.7436166586155245E-4</v>
      </c>
    </row>
    <row r="1303" spans="2:7" x14ac:dyDescent="0.3">
      <c r="B1303" s="55">
        <v>43720</v>
      </c>
      <c r="C1303" s="54">
        <v>1568.25</v>
      </c>
      <c r="D1303" s="56">
        <f t="shared" si="42"/>
        <v>-0.61264387689571698</v>
      </c>
      <c r="E1303" s="64">
        <v>-1.7822475414531747E-3</v>
      </c>
      <c r="F1303" s="64">
        <v>1300</v>
      </c>
      <c r="G1303" s="64">
        <f t="shared" ca="1" si="43"/>
        <v>6.7181677376720343E-3</v>
      </c>
    </row>
    <row r="1304" spans="2:7" x14ac:dyDescent="0.3">
      <c r="B1304" s="55">
        <v>45856</v>
      </c>
      <c r="C1304" s="54">
        <v>4048.6</v>
      </c>
      <c r="D1304" s="56">
        <f t="shared" si="42"/>
        <v>6.2917601963795811E-2</v>
      </c>
      <c r="E1304" s="64">
        <v>-1.7998471362706825E-3</v>
      </c>
      <c r="F1304" s="64">
        <v>1301</v>
      </c>
      <c r="G1304" s="64">
        <f t="shared" ca="1" si="43"/>
        <v>1.6818013902483456E-2</v>
      </c>
    </row>
    <row r="1305" spans="2:7" x14ac:dyDescent="0.3">
      <c r="B1305" s="55">
        <v>45114</v>
      </c>
      <c r="C1305" s="54">
        <v>3808.95</v>
      </c>
      <c r="D1305" s="56">
        <f t="shared" si="42"/>
        <v>-8.2954135066811152E-2</v>
      </c>
      <c r="E1305" s="64">
        <v>-1.8213265546791479E-3</v>
      </c>
      <c r="F1305" s="64">
        <v>1302</v>
      </c>
      <c r="G1305" s="64">
        <f t="shared" ca="1" si="43"/>
        <v>1.0160455348896605E-2</v>
      </c>
    </row>
    <row r="1306" spans="2:7" x14ac:dyDescent="0.3">
      <c r="B1306" s="55">
        <v>45961</v>
      </c>
      <c r="C1306" s="54">
        <v>4153.5</v>
      </c>
      <c r="D1306" s="56">
        <f t="shared" si="42"/>
        <v>2.818432544242703</v>
      </c>
      <c r="E1306" s="64">
        <v>-1.8264401240057904E-3</v>
      </c>
      <c r="F1306" s="64">
        <v>1303</v>
      </c>
      <c r="G1306" s="64">
        <f t="shared" ca="1" si="43"/>
        <v>1.3600019314693056E-2</v>
      </c>
    </row>
    <row r="1307" spans="2:7" x14ac:dyDescent="0.3">
      <c r="B1307" s="55">
        <v>42993</v>
      </c>
      <c r="C1307" s="54">
        <v>1087.75</v>
      </c>
      <c r="D1307" s="56">
        <f t="shared" si="42"/>
        <v>0.50751853648395828</v>
      </c>
      <c r="E1307" s="64">
        <v>-1.8352833218627795E-3</v>
      </c>
      <c r="F1307" s="64">
        <v>1304</v>
      </c>
      <c r="G1307" s="64">
        <f t="shared" ca="1" si="43"/>
        <v>3.2186152119960579E-2</v>
      </c>
    </row>
    <row r="1308" spans="2:7" x14ac:dyDescent="0.3">
      <c r="B1308" s="55">
        <v>42877</v>
      </c>
      <c r="C1308" s="54">
        <v>721.55</v>
      </c>
      <c r="D1308" s="56">
        <f t="shared" si="42"/>
        <v>-0.80549115807634242</v>
      </c>
      <c r="E1308" s="64">
        <v>-1.8674782127542366E-3</v>
      </c>
      <c r="F1308" s="64">
        <v>1305</v>
      </c>
      <c r="G1308" s="64">
        <f t="shared" ca="1" si="43"/>
        <v>2.601287296682265E-3</v>
      </c>
    </row>
    <row r="1309" spans="2:7" x14ac:dyDescent="0.3">
      <c r="B1309" s="55">
        <v>45625</v>
      </c>
      <c r="C1309" s="54">
        <v>3709.6</v>
      </c>
      <c r="D1309" s="56">
        <f t="shared" si="42"/>
        <v>-0.21346789924518694</v>
      </c>
      <c r="E1309" s="64">
        <v>-1.8700138569373026E-3</v>
      </c>
      <c r="F1309" s="64">
        <v>1306</v>
      </c>
      <c r="G1309" s="64">
        <f t="shared" ca="1" si="43"/>
        <v>3.7384669353222916E-3</v>
      </c>
    </row>
    <row r="1310" spans="2:7" x14ac:dyDescent="0.3">
      <c r="B1310" s="55">
        <v>45895</v>
      </c>
      <c r="C1310" s="54">
        <v>4716.3999999999996</v>
      </c>
      <c r="D1310" s="56">
        <f t="shared" si="42"/>
        <v>0.1415708580418733</v>
      </c>
      <c r="E1310" s="64">
        <v>-1.8834782976743236E-3</v>
      </c>
      <c r="F1310" s="64">
        <v>1307</v>
      </c>
      <c r="G1310" s="64">
        <f t="shared" ca="1" si="43"/>
        <v>-3.7333234711942531E-3</v>
      </c>
    </row>
    <row r="1311" spans="2:7" x14ac:dyDescent="0.3">
      <c r="B1311" s="55">
        <v>45758</v>
      </c>
      <c r="C1311" s="54">
        <v>4131.5</v>
      </c>
      <c r="D1311" s="56">
        <f t="shared" si="42"/>
        <v>7.2161681172140391E-3</v>
      </c>
      <c r="E1311" s="64">
        <v>-1.8843765854130723E-3</v>
      </c>
      <c r="F1311" s="64">
        <v>1308</v>
      </c>
      <c r="G1311" s="64">
        <f t="shared" ca="1" si="43"/>
        <v>8.4006953341246964E-3</v>
      </c>
    </row>
    <row r="1312" spans="2:7" x14ac:dyDescent="0.3">
      <c r="B1312" s="55">
        <v>44657</v>
      </c>
      <c r="C1312" s="54">
        <v>4101.8999999999996</v>
      </c>
      <c r="D1312" s="56">
        <f t="shared" si="42"/>
        <v>1.185407176536402</v>
      </c>
      <c r="E1312" s="64">
        <v>-1.8979487553836272E-3</v>
      </c>
      <c r="F1312" s="64">
        <v>1309</v>
      </c>
      <c r="G1312" s="64">
        <f t="shared" ca="1" si="43"/>
        <v>-3.1197099414260229E-2</v>
      </c>
    </row>
    <row r="1313" spans="2:7" x14ac:dyDescent="0.3">
      <c r="B1313" s="55">
        <v>43840</v>
      </c>
      <c r="C1313" s="54">
        <v>1876.95</v>
      </c>
      <c r="D1313" s="56">
        <f t="shared" si="42"/>
        <v>0.30953045419660929</v>
      </c>
      <c r="E1313" s="64">
        <v>-1.9143335726249378E-3</v>
      </c>
      <c r="F1313" s="64">
        <v>1310</v>
      </c>
      <c r="G1313" s="64">
        <f t="shared" ca="1" si="43"/>
        <v>-6.690495876564017E-3</v>
      </c>
    </row>
    <row r="1314" spans="2:7" x14ac:dyDescent="0.3">
      <c r="B1314" s="55">
        <v>43515</v>
      </c>
      <c r="C1314" s="54">
        <v>1433.3</v>
      </c>
      <c r="D1314" s="56">
        <f t="shared" si="42"/>
        <v>-0.67177338096546668</v>
      </c>
      <c r="E1314" s="64">
        <v>-1.9149751053236796E-3</v>
      </c>
      <c r="F1314" s="64">
        <v>1311</v>
      </c>
      <c r="G1314" s="64">
        <f t="shared" ca="1" si="43"/>
        <v>2.7235119050107254E-2</v>
      </c>
    </row>
    <row r="1315" spans="2:7" x14ac:dyDescent="0.3">
      <c r="B1315" s="55">
        <v>45775</v>
      </c>
      <c r="C1315" s="54">
        <v>4366.8</v>
      </c>
      <c r="D1315" s="56">
        <f t="shared" si="42"/>
        <v>0.11877433900389445</v>
      </c>
      <c r="E1315" s="64">
        <v>-1.9199122325835871E-3</v>
      </c>
      <c r="F1315" s="64">
        <v>1312</v>
      </c>
      <c r="G1315" s="64">
        <f t="shared" ca="1" si="43"/>
        <v>-3.7076425843248932E-2</v>
      </c>
    </row>
    <row r="1316" spans="2:7" x14ac:dyDescent="0.3">
      <c r="B1316" s="55">
        <v>46108</v>
      </c>
      <c r="C1316" s="54">
        <v>3903.2</v>
      </c>
      <c r="D1316" s="56">
        <f t="shared" si="42"/>
        <v>-3.6770149548393416E-2</v>
      </c>
      <c r="E1316" s="64">
        <v>-1.9433364017593657E-3</v>
      </c>
      <c r="F1316" s="64">
        <v>1313</v>
      </c>
      <c r="G1316" s="64">
        <f t="shared" ca="1" si="43"/>
        <v>-2.4979060688398287E-2</v>
      </c>
    </row>
    <row r="1317" spans="2:7" x14ac:dyDescent="0.3">
      <c r="B1317" s="55">
        <v>45590</v>
      </c>
      <c r="C1317" s="54">
        <v>4052.2</v>
      </c>
      <c r="D1317" s="56">
        <f t="shared" si="42"/>
        <v>1.6832207654615279</v>
      </c>
      <c r="E1317" s="64">
        <v>-1.9457648826384233E-3</v>
      </c>
      <c r="F1317" s="64">
        <v>1314</v>
      </c>
      <c r="G1317" s="64">
        <f t="shared" ca="1" si="43"/>
        <v>1.8682864819595579E-2</v>
      </c>
    </row>
    <row r="1318" spans="2:7" x14ac:dyDescent="0.3">
      <c r="B1318" s="55">
        <v>43444</v>
      </c>
      <c r="C1318" s="54">
        <v>1510.2</v>
      </c>
      <c r="D1318" s="56">
        <f t="shared" si="42"/>
        <v>0.37534720641136565</v>
      </c>
      <c r="E1318" s="64">
        <v>-1.94957538908902E-3</v>
      </c>
      <c r="F1318" s="64">
        <v>1315</v>
      </c>
      <c r="G1318" s="64">
        <f t="shared" ca="1" si="43"/>
        <v>-1.4270186639642761E-2</v>
      </c>
    </row>
    <row r="1319" spans="2:7" x14ac:dyDescent="0.3">
      <c r="B1319" s="55">
        <v>43047</v>
      </c>
      <c r="C1319" s="54">
        <v>1098.05</v>
      </c>
      <c r="D1319" s="56">
        <f t="shared" si="42"/>
        <v>-0.74430653874813713</v>
      </c>
      <c r="E1319" s="64">
        <v>-1.954190147246071E-3</v>
      </c>
      <c r="F1319" s="64">
        <v>1316</v>
      </c>
      <c r="G1319" s="64">
        <f t="shared" ca="1" si="43"/>
        <v>2.7354710616270157E-2</v>
      </c>
    </row>
    <row r="1320" spans="2:7" x14ac:dyDescent="0.3">
      <c r="B1320" s="55">
        <v>45938</v>
      </c>
      <c r="C1320" s="54">
        <v>4294.3999999999996</v>
      </c>
      <c r="D1320" s="56">
        <f t="shared" si="42"/>
        <v>0.29700996677740843</v>
      </c>
      <c r="E1320" s="64">
        <v>-1.9986056239833516E-3</v>
      </c>
      <c r="F1320" s="64">
        <v>1317</v>
      </c>
      <c r="G1320" s="64">
        <f t="shared" ca="1" si="43"/>
        <v>-4.7200723201367999E-2</v>
      </c>
    </row>
    <row r="1321" spans="2:7" x14ac:dyDescent="0.3">
      <c r="B1321" s="55">
        <v>44368</v>
      </c>
      <c r="C1321" s="54">
        <v>3311</v>
      </c>
      <c r="D1321" s="56">
        <f t="shared" si="42"/>
        <v>1.175784458682438</v>
      </c>
      <c r="E1321" s="64">
        <v>-2.0194713204930714E-3</v>
      </c>
      <c r="F1321" s="64">
        <v>1318</v>
      </c>
      <c r="G1321" s="64">
        <f t="shared" ca="1" si="43"/>
        <v>-2.5117695063406741E-2</v>
      </c>
    </row>
    <row r="1322" spans="2:7" x14ac:dyDescent="0.3">
      <c r="B1322" s="55">
        <v>43713</v>
      </c>
      <c r="C1322" s="54">
        <v>1521.75</v>
      </c>
      <c r="D1322" s="56">
        <f t="shared" si="42"/>
        <v>0.32389403627821989</v>
      </c>
      <c r="E1322" s="64">
        <v>-2.0329868511655969E-3</v>
      </c>
      <c r="F1322" s="64">
        <v>1319</v>
      </c>
      <c r="G1322" s="64">
        <f t="shared" ca="1" si="43"/>
        <v>5.3560146545599749E-3</v>
      </c>
    </row>
    <row r="1323" spans="2:7" x14ac:dyDescent="0.3">
      <c r="B1323" s="55">
        <v>43041</v>
      </c>
      <c r="C1323" s="54">
        <v>1149.45</v>
      </c>
      <c r="D1323" s="56">
        <f t="shared" si="42"/>
        <v>-0.68664467586282096</v>
      </c>
      <c r="E1323" s="64">
        <v>-2.0402847716616268E-3</v>
      </c>
      <c r="F1323" s="64">
        <v>1320</v>
      </c>
      <c r="G1323" s="64">
        <f t="shared" ca="1" si="43"/>
        <v>2.7431423259955037E-3</v>
      </c>
    </row>
    <row r="1324" spans="2:7" x14ac:dyDescent="0.3">
      <c r="B1324" s="55">
        <v>45131</v>
      </c>
      <c r="C1324" s="54">
        <v>3668.2</v>
      </c>
      <c r="D1324" s="56">
        <f t="shared" si="42"/>
        <v>-9.9507800321586903E-2</v>
      </c>
      <c r="E1324" s="64">
        <v>-2.0404276736404325E-3</v>
      </c>
      <c r="F1324" s="64">
        <v>1321</v>
      </c>
      <c r="G1324" s="64">
        <f t="shared" ca="1" si="43"/>
        <v>-1.0219326283416055E-2</v>
      </c>
    </row>
    <row r="1325" spans="2:7" x14ac:dyDescent="0.3">
      <c r="B1325" s="55">
        <v>44599</v>
      </c>
      <c r="C1325" s="54">
        <v>4073.55</v>
      </c>
      <c r="D1325" s="56">
        <f t="shared" si="42"/>
        <v>0.11815486810683207</v>
      </c>
      <c r="E1325" s="64">
        <v>-2.0456160121511413E-3</v>
      </c>
      <c r="F1325" s="64">
        <v>1322</v>
      </c>
      <c r="G1325" s="64">
        <f t="shared" ca="1" si="43"/>
        <v>1.0159446337727673E-2</v>
      </c>
    </row>
    <row r="1326" spans="2:7" x14ac:dyDescent="0.3">
      <c r="B1326" s="55">
        <v>44428</v>
      </c>
      <c r="C1326" s="54">
        <v>3643.1</v>
      </c>
      <c r="D1326" s="56">
        <f t="shared" si="42"/>
        <v>-0.19020627722948347</v>
      </c>
      <c r="E1326" s="64">
        <v>-2.0544568016216402E-3</v>
      </c>
      <c r="F1326" s="64">
        <v>1323</v>
      </c>
      <c r="G1326" s="64">
        <f t="shared" ca="1" si="43"/>
        <v>7.3818829941230775E-3</v>
      </c>
    </row>
    <row r="1327" spans="2:7" x14ac:dyDescent="0.3">
      <c r="B1327" s="55">
        <v>45771</v>
      </c>
      <c r="C1327" s="54">
        <v>4498.8</v>
      </c>
      <c r="D1327" s="56">
        <f t="shared" si="42"/>
        <v>0.32739289507848479</v>
      </c>
      <c r="E1327" s="64">
        <v>-2.0629533506355546E-3</v>
      </c>
      <c r="F1327" s="64">
        <v>1324</v>
      </c>
      <c r="G1327" s="64">
        <f t="shared" ca="1" si="43"/>
        <v>1.1893642662634606E-2</v>
      </c>
    </row>
    <row r="1328" spans="2:7" x14ac:dyDescent="0.3">
      <c r="B1328" s="55">
        <v>44385</v>
      </c>
      <c r="C1328" s="54">
        <v>3389.2</v>
      </c>
      <c r="D1328" s="56">
        <f t="shared" si="42"/>
        <v>1.6133086591101855</v>
      </c>
      <c r="E1328" s="64">
        <v>-2.1198916499823861E-3</v>
      </c>
      <c r="F1328" s="64">
        <v>1325</v>
      </c>
      <c r="G1328" s="64">
        <f t="shared" ca="1" si="43"/>
        <v>1.3196391260543991E-2</v>
      </c>
    </row>
    <row r="1329" spans="2:7" x14ac:dyDescent="0.3">
      <c r="B1329" s="55">
        <v>43627</v>
      </c>
      <c r="C1329" s="54">
        <v>1296.9000000000001</v>
      </c>
      <c r="D1329" s="56">
        <f t="shared" si="42"/>
        <v>-0.65199774599511628</v>
      </c>
      <c r="E1329" s="64">
        <v>-2.1543433099945331E-3</v>
      </c>
      <c r="F1329" s="64">
        <v>1326</v>
      </c>
      <c r="G1329" s="64">
        <f t="shared" ca="1" si="43"/>
        <v>3.2491193680080473E-2</v>
      </c>
    </row>
    <row r="1330" spans="2:7" x14ac:dyDescent="0.3">
      <c r="B1330" s="55">
        <v>44719</v>
      </c>
      <c r="C1330" s="54">
        <v>3726.7</v>
      </c>
      <c r="D1330" s="56">
        <f t="shared" si="42"/>
        <v>-0.19970364961936149</v>
      </c>
      <c r="E1330" s="64">
        <v>-2.1554320905013968E-3</v>
      </c>
      <c r="F1330" s="64">
        <v>1327</v>
      </c>
      <c r="G1330" s="64">
        <f t="shared" ca="1" si="43"/>
        <v>-1.4350216775392608E-2</v>
      </c>
    </row>
    <row r="1331" spans="2:7" x14ac:dyDescent="0.3">
      <c r="B1331" s="55">
        <v>45456</v>
      </c>
      <c r="C1331" s="54">
        <v>4656.6499999999996</v>
      </c>
      <c r="D1331" s="56">
        <f t="shared" si="42"/>
        <v>0.14874065668401704</v>
      </c>
      <c r="E1331" s="64">
        <v>-2.164247067016789E-3</v>
      </c>
      <c r="F1331" s="64">
        <v>1328</v>
      </c>
      <c r="G1331" s="64">
        <f t="shared" ca="1" si="43"/>
        <v>2.459353007549657E-2</v>
      </c>
    </row>
    <row r="1332" spans="2:7" x14ac:dyDescent="0.3">
      <c r="B1332" s="55">
        <v>45975</v>
      </c>
      <c r="C1332" s="54">
        <v>4053.7</v>
      </c>
      <c r="D1332" s="56">
        <f t="shared" si="42"/>
        <v>2.2109786526199056</v>
      </c>
      <c r="E1332" s="64">
        <v>-2.1661538461539287E-3</v>
      </c>
      <c r="F1332" s="64">
        <v>1329</v>
      </c>
      <c r="G1332" s="64">
        <f t="shared" ca="1" si="43"/>
        <v>-1.222064558392823E-3</v>
      </c>
    </row>
    <row r="1333" spans="2:7" x14ac:dyDescent="0.3">
      <c r="B1333" s="55">
        <v>43588</v>
      </c>
      <c r="C1333" s="54">
        <v>1262.45</v>
      </c>
      <c r="D1333" s="56">
        <f t="shared" si="42"/>
        <v>-0.43694668064134867</v>
      </c>
      <c r="E1333" s="64">
        <v>-2.1735693961428826E-3</v>
      </c>
      <c r="F1333" s="64">
        <v>1330</v>
      </c>
      <c r="G1333" s="64">
        <f t="shared" ca="1" si="43"/>
        <v>-1.6612954550464583E-2</v>
      </c>
    </row>
    <row r="1334" spans="2:7" x14ac:dyDescent="0.3">
      <c r="B1334" s="55">
        <v>43896</v>
      </c>
      <c r="C1334" s="54">
        <v>2242.15</v>
      </c>
      <c r="D1334" s="56">
        <f t="shared" si="42"/>
        <v>-0.35778936212871992</v>
      </c>
      <c r="E1334" s="64">
        <v>-2.2472410110357943E-3</v>
      </c>
      <c r="F1334" s="64">
        <v>1331</v>
      </c>
      <c r="G1334" s="64">
        <f t="shared" ca="1" si="43"/>
        <v>-1.6781471084091726E-2</v>
      </c>
    </row>
    <row r="1335" spans="2:7" x14ac:dyDescent="0.3">
      <c r="B1335" s="55">
        <v>44984</v>
      </c>
      <c r="C1335" s="54">
        <v>3491.3</v>
      </c>
      <c r="D1335" s="56">
        <f t="shared" si="42"/>
        <v>3.652585287846482</v>
      </c>
      <c r="E1335" s="64">
        <v>-2.2576588934613007E-3</v>
      </c>
      <c r="F1335" s="64">
        <v>1332</v>
      </c>
      <c r="G1335" s="64">
        <f t="shared" ca="1" si="43"/>
        <v>-1.3434591859710883E-3</v>
      </c>
    </row>
    <row r="1336" spans="2:7" x14ac:dyDescent="0.3">
      <c r="B1336" s="55">
        <v>42871</v>
      </c>
      <c r="C1336" s="54">
        <v>750.4</v>
      </c>
      <c r="D1336" s="56">
        <f t="shared" si="42"/>
        <v>-0.43496103309363354</v>
      </c>
      <c r="E1336" s="64">
        <v>-2.32666356444855E-3</v>
      </c>
      <c r="F1336" s="64">
        <v>1333</v>
      </c>
      <c r="G1336" s="64">
        <f t="shared" ca="1" si="43"/>
        <v>1.295966006073364E-2</v>
      </c>
    </row>
    <row r="1337" spans="2:7" x14ac:dyDescent="0.3">
      <c r="B1337" s="55">
        <v>43580</v>
      </c>
      <c r="C1337" s="54">
        <v>1328.05</v>
      </c>
      <c r="D1337" s="56">
        <f t="shared" si="42"/>
        <v>-0.42010348667117881</v>
      </c>
      <c r="E1337" s="64">
        <v>-2.3288134319949805E-3</v>
      </c>
      <c r="F1337" s="64">
        <v>1334</v>
      </c>
      <c r="G1337" s="64">
        <f t="shared" ca="1" si="43"/>
        <v>-8.3099860826915447E-3</v>
      </c>
    </row>
    <row r="1338" spans="2:7" x14ac:dyDescent="0.3">
      <c r="B1338" s="55">
        <v>44015</v>
      </c>
      <c r="C1338" s="54">
        <v>2290.15</v>
      </c>
      <c r="D1338" s="56">
        <f t="shared" si="42"/>
        <v>0.25542703650915466</v>
      </c>
      <c r="E1338" s="64">
        <v>-2.3306469178827616E-3</v>
      </c>
      <c r="F1338" s="64">
        <v>1335</v>
      </c>
      <c r="G1338" s="64">
        <f t="shared" ca="1" si="43"/>
        <v>2.6114541772583856E-2</v>
      </c>
    </row>
    <row r="1339" spans="2:7" x14ac:dyDescent="0.3">
      <c r="B1339" s="55">
        <v>43832</v>
      </c>
      <c r="C1339" s="54">
        <v>1824.2</v>
      </c>
      <c r="D1339" s="56">
        <f t="shared" si="42"/>
        <v>-0.63092299599401125</v>
      </c>
      <c r="E1339" s="64">
        <v>-2.3516543614984231E-3</v>
      </c>
      <c r="F1339" s="64">
        <v>1336</v>
      </c>
      <c r="G1339" s="64">
        <f t="shared" ca="1" si="43"/>
        <v>7.8633832560731903E-4</v>
      </c>
    </row>
    <row r="1340" spans="2:7" x14ac:dyDescent="0.3">
      <c r="B1340" s="55">
        <v>45568</v>
      </c>
      <c r="C1340" s="54">
        <v>4942.6000000000004</v>
      </c>
      <c r="D1340" s="56">
        <f t="shared" si="42"/>
        <v>2.3120686189104069</v>
      </c>
      <c r="E1340" s="64">
        <v>-2.3716531936580632E-3</v>
      </c>
      <c r="F1340" s="64">
        <v>1337</v>
      </c>
      <c r="G1340" s="64">
        <f t="shared" ca="1" si="43"/>
        <v>1.9333102670700798E-2</v>
      </c>
    </row>
    <row r="1341" spans="2:7" x14ac:dyDescent="0.3">
      <c r="B1341" s="55">
        <v>43223</v>
      </c>
      <c r="C1341" s="54">
        <v>1492.3</v>
      </c>
      <c r="D1341" s="56">
        <f t="shared" si="42"/>
        <v>-0.60381766533039527</v>
      </c>
      <c r="E1341" s="64">
        <v>-2.3732326102215984E-3</v>
      </c>
      <c r="F1341" s="64">
        <v>1338</v>
      </c>
      <c r="G1341" s="64">
        <f t="shared" ca="1" si="43"/>
        <v>3.8900033946204123E-2</v>
      </c>
    </row>
    <row r="1342" spans="2:7" x14ac:dyDescent="0.3">
      <c r="B1342" s="55">
        <v>46041</v>
      </c>
      <c r="C1342" s="54">
        <v>3766.7</v>
      </c>
      <c r="D1342" s="56">
        <f t="shared" si="42"/>
        <v>2.3465416907289769</v>
      </c>
      <c r="E1342" s="64">
        <v>-2.3836639563524775E-3</v>
      </c>
      <c r="F1342" s="64">
        <v>1339</v>
      </c>
      <c r="G1342" s="64">
        <f t="shared" ca="1" si="43"/>
        <v>1.02813259392037E-2</v>
      </c>
    </row>
    <row r="1343" spans="2:7" x14ac:dyDescent="0.3">
      <c r="B1343" s="55">
        <v>43068</v>
      </c>
      <c r="C1343" s="54">
        <v>1125.55</v>
      </c>
      <c r="D1343" s="56">
        <f t="shared" si="42"/>
        <v>-0.13678196180688718</v>
      </c>
      <c r="E1343" s="64">
        <v>-2.3930866385996064E-3</v>
      </c>
      <c r="F1343" s="64">
        <v>1340</v>
      </c>
      <c r="G1343" s="64">
        <f t="shared" ca="1" si="43"/>
        <v>-2.6424280524248576E-2</v>
      </c>
    </row>
    <row r="1344" spans="2:7" x14ac:dyDescent="0.3">
      <c r="B1344" s="55">
        <v>43615</v>
      </c>
      <c r="C1344" s="54">
        <v>1303.9000000000001</v>
      </c>
      <c r="D1344" s="56">
        <f t="shared" si="42"/>
        <v>-0.16443447612944562</v>
      </c>
      <c r="E1344" s="64">
        <v>-2.4100072682757823E-3</v>
      </c>
      <c r="F1344" s="64">
        <v>1341</v>
      </c>
      <c r="G1344" s="64">
        <f t="shared" ca="1" si="43"/>
        <v>3.7544482791037934E-2</v>
      </c>
    </row>
    <row r="1345" spans="2:7" x14ac:dyDescent="0.3">
      <c r="B1345" s="55">
        <v>43349</v>
      </c>
      <c r="C1345" s="54">
        <v>1560.5</v>
      </c>
      <c r="D1345" s="56">
        <f t="shared" si="42"/>
        <v>-0.61564039408866988</v>
      </c>
      <c r="E1345" s="64">
        <v>-2.4292015598030847E-3</v>
      </c>
      <c r="F1345" s="64">
        <v>1342</v>
      </c>
      <c r="G1345" s="64">
        <f t="shared" ca="1" si="43"/>
        <v>3.1432161894277527E-2</v>
      </c>
    </row>
    <row r="1346" spans="2:7" x14ac:dyDescent="0.3">
      <c r="B1346" s="55">
        <v>46248</v>
      </c>
      <c r="C1346" s="54">
        <v>4060</v>
      </c>
      <c r="D1346" s="56">
        <f t="shared" si="42"/>
        <v>0.31128480072346765</v>
      </c>
      <c r="E1346" s="64">
        <v>-2.4570024570024218E-3</v>
      </c>
      <c r="F1346" s="64">
        <v>1343</v>
      </c>
      <c r="G1346" s="64">
        <f t="shared" ca="1" si="43"/>
        <v>-1.6677629572076483E-2</v>
      </c>
    </row>
    <row r="1347" spans="2:7" x14ac:dyDescent="0.3">
      <c r="B1347" s="55">
        <v>44342</v>
      </c>
      <c r="C1347" s="54">
        <v>3096.2</v>
      </c>
      <c r="D1347" s="56">
        <f t="shared" si="42"/>
        <v>-0.13452319389509293</v>
      </c>
      <c r="E1347" s="64">
        <v>-2.4646809607423714E-3</v>
      </c>
      <c r="F1347" s="64">
        <v>1344</v>
      </c>
      <c r="G1347" s="64">
        <f t="shared" ca="1" si="43"/>
        <v>3.5470205673688577E-3</v>
      </c>
    </row>
    <row r="1348" spans="2:7" x14ac:dyDescent="0.3">
      <c r="B1348" s="55">
        <v>44707</v>
      </c>
      <c r="C1348" s="54">
        <v>3577.45</v>
      </c>
      <c r="D1348" s="56">
        <f t="shared" ref="D1348:D1411" si="44">C1348/C1349-1</f>
        <v>0.12182693363019181</v>
      </c>
      <c r="E1348" s="64">
        <v>-2.5094452731809769E-3</v>
      </c>
      <c r="F1348" s="64">
        <v>1345</v>
      </c>
      <c r="G1348" s="64">
        <f t="shared" ca="1" si="43"/>
        <v>-5.9121938239152426E-2</v>
      </c>
    </row>
    <row r="1349" spans="2:7" x14ac:dyDescent="0.3">
      <c r="B1349" s="55">
        <v>44354</v>
      </c>
      <c r="C1349" s="54">
        <v>3188.95</v>
      </c>
      <c r="D1349" s="56">
        <f t="shared" si="44"/>
        <v>3.4763475575519367</v>
      </c>
      <c r="E1349" s="64">
        <v>-2.5179856115108423E-3</v>
      </c>
      <c r="F1349" s="64">
        <v>1346</v>
      </c>
      <c r="G1349" s="64">
        <f t="shared" ref="G1349:G1412" ca="1" si="45">_xlfn.NORM.INV(RAND(),K$6,K$7)</f>
        <v>-7.7872030764559522E-3</v>
      </c>
    </row>
    <row r="1350" spans="2:7" x14ac:dyDescent="0.3">
      <c r="B1350" s="55">
        <v>42880</v>
      </c>
      <c r="C1350" s="54">
        <v>712.4</v>
      </c>
      <c r="D1350" s="56">
        <f t="shared" si="44"/>
        <v>-0.78782463664522284</v>
      </c>
      <c r="E1350" s="64">
        <v>-2.5203024362924209E-3</v>
      </c>
      <c r="F1350" s="64">
        <v>1347</v>
      </c>
      <c r="G1350" s="64">
        <f t="shared" ca="1" si="45"/>
        <v>2.1395786388199597E-2</v>
      </c>
    </row>
    <row r="1351" spans="2:7" x14ac:dyDescent="0.3">
      <c r="B1351" s="55">
        <v>45006</v>
      </c>
      <c r="C1351" s="54">
        <v>3357.6</v>
      </c>
      <c r="D1351" s="56">
        <f t="shared" si="44"/>
        <v>-0.20352029984225073</v>
      </c>
      <c r="E1351" s="64">
        <v>-2.5251775051245984E-3</v>
      </c>
      <c r="F1351" s="64">
        <v>1348</v>
      </c>
      <c r="G1351" s="64">
        <f t="shared" ca="1" si="45"/>
        <v>1.7848773584222551E-2</v>
      </c>
    </row>
    <row r="1352" spans="2:7" x14ac:dyDescent="0.3">
      <c r="B1352" s="55">
        <v>44855</v>
      </c>
      <c r="C1352" s="54">
        <v>4215.55</v>
      </c>
      <c r="D1352" s="56">
        <f t="shared" si="44"/>
        <v>2.1122240120144742E-2</v>
      </c>
      <c r="E1352" s="64">
        <v>-2.5317953268263471E-3</v>
      </c>
      <c r="F1352" s="64">
        <v>1349</v>
      </c>
      <c r="G1352" s="64">
        <f t="shared" ca="1" si="45"/>
        <v>-2.0498283636989502E-2</v>
      </c>
    </row>
    <row r="1353" spans="2:7" x14ac:dyDescent="0.3">
      <c r="B1353" s="55">
        <v>44876</v>
      </c>
      <c r="C1353" s="54">
        <v>4128.3500000000004</v>
      </c>
      <c r="D1353" s="56">
        <f t="shared" si="44"/>
        <v>0.24522297796612746</v>
      </c>
      <c r="E1353" s="64">
        <v>-2.536936588665939E-3</v>
      </c>
      <c r="F1353" s="64">
        <v>1350</v>
      </c>
      <c r="G1353" s="64">
        <f t="shared" ca="1" si="45"/>
        <v>2.4853975801385896E-2</v>
      </c>
    </row>
    <row r="1354" spans="2:7" x14ac:dyDescent="0.3">
      <c r="B1354" s="55">
        <v>44372</v>
      </c>
      <c r="C1354" s="54">
        <v>3315.35</v>
      </c>
      <c r="D1354" s="56">
        <f t="shared" si="44"/>
        <v>-0.27936573490414296</v>
      </c>
      <c r="E1354" s="64">
        <v>-2.5422708947591133E-3</v>
      </c>
      <c r="F1354" s="64">
        <v>1351</v>
      </c>
      <c r="G1354" s="64">
        <f t="shared" ca="1" si="45"/>
        <v>1.082646686930345E-2</v>
      </c>
    </row>
    <row r="1355" spans="2:7" x14ac:dyDescent="0.3">
      <c r="B1355" s="55">
        <v>45418</v>
      </c>
      <c r="C1355" s="54">
        <v>4600.6000000000004</v>
      </c>
      <c r="D1355" s="56">
        <f t="shared" si="44"/>
        <v>0.27311720836273579</v>
      </c>
      <c r="E1355" s="64">
        <v>-2.5475083200537929E-3</v>
      </c>
      <c r="F1355" s="64">
        <v>1352</v>
      </c>
      <c r="G1355" s="64">
        <f t="shared" ca="1" si="45"/>
        <v>-2.2346209565346546E-2</v>
      </c>
    </row>
    <row r="1356" spans="2:7" x14ac:dyDescent="0.3">
      <c r="B1356" s="55">
        <v>45618</v>
      </c>
      <c r="C1356" s="54">
        <v>3613.65</v>
      </c>
      <c r="D1356" s="56">
        <f t="shared" si="44"/>
        <v>2.4349798029905667E-2</v>
      </c>
      <c r="E1356" s="64">
        <v>-2.5532032349775413E-3</v>
      </c>
      <c r="F1356" s="64">
        <v>1353</v>
      </c>
      <c r="G1356" s="64">
        <f t="shared" ca="1" si="45"/>
        <v>-7.0842160670552354E-3</v>
      </c>
    </row>
    <row r="1357" spans="2:7" x14ac:dyDescent="0.3">
      <c r="B1357" s="55">
        <v>45083</v>
      </c>
      <c r="C1357" s="54">
        <v>3527.75</v>
      </c>
      <c r="D1357" s="56">
        <f t="shared" si="44"/>
        <v>1.3179145175597093</v>
      </c>
      <c r="E1357" s="64">
        <v>-2.572910923561933E-3</v>
      </c>
      <c r="F1357" s="64">
        <v>1354</v>
      </c>
      <c r="G1357" s="64">
        <f t="shared" ca="1" si="45"/>
        <v>-3.8081066717142419E-2</v>
      </c>
    </row>
    <row r="1358" spans="2:7" x14ac:dyDescent="0.3">
      <c r="B1358" s="55">
        <v>43284</v>
      </c>
      <c r="C1358" s="54">
        <v>1521.95</v>
      </c>
      <c r="D1358" s="56">
        <f t="shared" si="44"/>
        <v>-0.59062054496059391</v>
      </c>
      <c r="E1358" s="64">
        <v>-2.5886362146929631E-3</v>
      </c>
      <c r="F1358" s="64">
        <v>1355</v>
      </c>
      <c r="G1358" s="64">
        <f t="shared" ca="1" si="45"/>
        <v>-5.3165244564237248E-3</v>
      </c>
    </row>
    <row r="1359" spans="2:7" x14ac:dyDescent="0.3">
      <c r="B1359" s="55">
        <v>45329</v>
      </c>
      <c r="C1359" s="54">
        <v>3717.7</v>
      </c>
      <c r="D1359" s="56">
        <f t="shared" si="44"/>
        <v>0.83490449632298502</v>
      </c>
      <c r="E1359" s="64">
        <v>-2.6023501636530666E-3</v>
      </c>
      <c r="F1359" s="64">
        <v>1356</v>
      </c>
      <c r="G1359" s="64">
        <f t="shared" ca="1" si="45"/>
        <v>1.7104382659362052E-2</v>
      </c>
    </row>
    <row r="1360" spans="2:7" x14ac:dyDescent="0.3">
      <c r="B1360" s="55">
        <v>44039</v>
      </c>
      <c r="C1360" s="54">
        <v>2026.1</v>
      </c>
      <c r="D1360" s="56">
        <f t="shared" si="44"/>
        <v>-0.56620598845985026</v>
      </c>
      <c r="E1360" s="64">
        <v>-2.6090381018017972E-3</v>
      </c>
      <c r="F1360" s="64">
        <v>1357</v>
      </c>
      <c r="G1360" s="64">
        <f t="shared" ca="1" si="45"/>
        <v>-3.8185916110193801E-4</v>
      </c>
    </row>
    <row r="1361" spans="2:7" x14ac:dyDescent="0.3">
      <c r="B1361" s="55">
        <v>45430</v>
      </c>
      <c r="C1361" s="54">
        <v>4670.6499999999996</v>
      </c>
      <c r="D1361" s="56">
        <f t="shared" si="44"/>
        <v>3.0863079615048115</v>
      </c>
      <c r="E1361" s="64">
        <v>-2.6159004035960498E-3</v>
      </c>
      <c r="F1361" s="64">
        <v>1358</v>
      </c>
      <c r="G1361" s="64">
        <f t="shared" ca="1" si="45"/>
        <v>6.3411982642116171E-3</v>
      </c>
    </row>
    <row r="1362" spans="2:7" x14ac:dyDescent="0.3">
      <c r="B1362" s="55">
        <v>43089</v>
      </c>
      <c r="C1362" s="54">
        <v>1143</v>
      </c>
      <c r="D1362" s="56">
        <f t="shared" si="44"/>
        <v>-0.12551164836846329</v>
      </c>
      <c r="E1362" s="64">
        <v>-2.6178010471203939E-3</v>
      </c>
      <c r="F1362" s="64">
        <v>1359</v>
      </c>
      <c r="G1362" s="64">
        <f t="shared" ca="1" si="45"/>
        <v>1.2418874352101176E-2</v>
      </c>
    </row>
    <row r="1363" spans="2:7" x14ac:dyDescent="0.3">
      <c r="B1363" s="55">
        <v>43614</v>
      </c>
      <c r="C1363" s="54">
        <v>1307.05</v>
      </c>
      <c r="D1363" s="56">
        <f t="shared" si="44"/>
        <v>-7.9639474703376512E-2</v>
      </c>
      <c r="E1363" s="64">
        <v>-2.632582983594034E-3</v>
      </c>
      <c r="F1363" s="64">
        <v>1360</v>
      </c>
      <c r="G1363" s="64">
        <f t="shared" ca="1" si="45"/>
        <v>4.6681160535755398E-2</v>
      </c>
    </row>
    <row r="1364" spans="2:7" x14ac:dyDescent="0.3">
      <c r="B1364" s="55">
        <v>43671</v>
      </c>
      <c r="C1364" s="54">
        <v>1420.15</v>
      </c>
      <c r="D1364" s="56">
        <f t="shared" si="44"/>
        <v>-0.64465157012385843</v>
      </c>
      <c r="E1364" s="64">
        <v>-2.6336119109487965E-3</v>
      </c>
      <c r="F1364" s="64">
        <v>1361</v>
      </c>
      <c r="G1364" s="64">
        <f t="shared" ca="1" si="45"/>
        <v>-2.3978834568058265E-2</v>
      </c>
    </row>
    <row r="1365" spans="2:7" x14ac:dyDescent="0.3">
      <c r="B1365" s="55">
        <v>45989</v>
      </c>
      <c r="C1365" s="54">
        <v>3996.5</v>
      </c>
      <c r="D1365" s="56">
        <f t="shared" si="44"/>
        <v>1.6846471635374329</v>
      </c>
      <c r="E1365" s="64">
        <v>-2.6453045843627399E-3</v>
      </c>
      <c r="F1365" s="64">
        <v>1362</v>
      </c>
      <c r="G1365" s="64">
        <f t="shared" ca="1" si="45"/>
        <v>-2.3028873774326525E-2</v>
      </c>
    </row>
    <row r="1366" spans="2:7" x14ac:dyDescent="0.3">
      <c r="B1366" s="55">
        <v>43209</v>
      </c>
      <c r="C1366" s="54">
        <v>1488.65</v>
      </c>
      <c r="D1366" s="56">
        <f t="shared" si="44"/>
        <v>-9.5650325010631088E-2</v>
      </c>
      <c r="E1366" s="64">
        <v>-2.679797675275486E-3</v>
      </c>
      <c r="F1366" s="64">
        <v>1363</v>
      </c>
      <c r="G1366" s="64">
        <f t="shared" ca="1" si="45"/>
        <v>-1.4993587901082172E-2</v>
      </c>
    </row>
    <row r="1367" spans="2:7" x14ac:dyDescent="0.3">
      <c r="B1367" s="55">
        <v>43454</v>
      </c>
      <c r="C1367" s="54">
        <v>1646.1</v>
      </c>
      <c r="D1367" s="56">
        <f t="shared" si="44"/>
        <v>0.81049274087109535</v>
      </c>
      <c r="E1367" s="64">
        <v>-2.7262813522355156E-3</v>
      </c>
      <c r="F1367" s="64">
        <v>1364</v>
      </c>
      <c r="G1367" s="64">
        <f t="shared" ca="1" si="45"/>
        <v>-7.052708897387747E-3</v>
      </c>
    </row>
    <row r="1368" spans="2:7" x14ac:dyDescent="0.3">
      <c r="B1368" s="55">
        <v>42936</v>
      </c>
      <c r="C1368" s="54">
        <v>909.2</v>
      </c>
      <c r="D1368" s="56">
        <f t="shared" si="44"/>
        <v>-0.41861431722991327</v>
      </c>
      <c r="E1368" s="64">
        <v>-2.742130086651362E-3</v>
      </c>
      <c r="F1368" s="64">
        <v>1365</v>
      </c>
      <c r="G1368" s="64">
        <f t="shared" ca="1" si="45"/>
        <v>-2.0214618928328723E-2</v>
      </c>
    </row>
    <row r="1369" spans="2:7" x14ac:dyDescent="0.3">
      <c r="B1369" s="55">
        <v>43290</v>
      </c>
      <c r="C1369" s="54">
        <v>1563.85</v>
      </c>
      <c r="D1369" s="56">
        <f t="shared" si="44"/>
        <v>-0.59280571793102554</v>
      </c>
      <c r="E1369" s="64">
        <v>-2.8056751155747239E-3</v>
      </c>
      <c r="F1369" s="64">
        <v>1366</v>
      </c>
      <c r="G1369" s="64">
        <f t="shared" ca="1" si="45"/>
        <v>-1.4698742960035037E-2</v>
      </c>
    </row>
    <row r="1370" spans="2:7" x14ac:dyDescent="0.3">
      <c r="B1370" s="55">
        <v>45345</v>
      </c>
      <c r="C1370" s="54">
        <v>3840.55</v>
      </c>
      <c r="D1370" s="56">
        <f t="shared" si="44"/>
        <v>9.7503822138397256E-2</v>
      </c>
      <c r="E1370" s="64">
        <v>-2.8301029482401541E-3</v>
      </c>
      <c r="F1370" s="64">
        <v>1367</v>
      </c>
      <c r="G1370" s="64">
        <f t="shared" ca="1" si="45"/>
        <v>2.1764594375231223E-3</v>
      </c>
    </row>
    <row r="1371" spans="2:7" x14ac:dyDescent="0.3">
      <c r="B1371" s="55">
        <v>45154</v>
      </c>
      <c r="C1371" s="54">
        <v>3499.35</v>
      </c>
      <c r="D1371" s="56">
        <f t="shared" si="44"/>
        <v>3.3654565868263466</v>
      </c>
      <c r="E1371" s="64">
        <v>-2.8353232838458364E-3</v>
      </c>
      <c r="F1371" s="64">
        <v>1368</v>
      </c>
      <c r="G1371" s="64">
        <f t="shared" ca="1" si="45"/>
        <v>-1.5074136767519725E-2</v>
      </c>
    </row>
    <row r="1372" spans="2:7" x14ac:dyDescent="0.3">
      <c r="B1372" s="55">
        <v>42909</v>
      </c>
      <c r="C1372" s="54">
        <v>801.6</v>
      </c>
      <c r="D1372" s="56">
        <f t="shared" si="44"/>
        <v>-0.74790867350147816</v>
      </c>
      <c r="E1372" s="64">
        <v>-2.8610523696976919E-3</v>
      </c>
      <c r="F1372" s="64">
        <v>1369</v>
      </c>
      <c r="G1372" s="64">
        <f t="shared" ca="1" si="45"/>
        <v>3.4992879326162532E-2</v>
      </c>
    </row>
    <row r="1373" spans="2:7" x14ac:dyDescent="0.3">
      <c r="B1373" s="55">
        <v>44355</v>
      </c>
      <c r="C1373" s="54">
        <v>3179.8</v>
      </c>
      <c r="D1373" s="56">
        <f t="shared" si="44"/>
        <v>-0.19590340118851934</v>
      </c>
      <c r="E1373" s="64">
        <v>-2.8692829928345098E-3</v>
      </c>
      <c r="F1373" s="64">
        <v>1370</v>
      </c>
      <c r="G1373" s="64">
        <f t="shared" ca="1" si="45"/>
        <v>-1.3325768551922525E-2</v>
      </c>
    </row>
    <row r="1374" spans="2:7" x14ac:dyDescent="0.3">
      <c r="B1374" s="55">
        <v>45281</v>
      </c>
      <c r="C1374" s="54">
        <v>3954.5</v>
      </c>
      <c r="D1374" s="56">
        <f t="shared" si="44"/>
        <v>-9.9079600856609051E-2</v>
      </c>
      <c r="E1374" s="64">
        <v>-2.8745051564588175E-3</v>
      </c>
      <c r="F1374" s="64">
        <v>1371</v>
      </c>
      <c r="G1374" s="64">
        <f t="shared" ca="1" si="45"/>
        <v>-7.8318465666687501E-3</v>
      </c>
    </row>
    <row r="1375" spans="2:7" x14ac:dyDescent="0.3">
      <c r="B1375" s="55">
        <v>46153</v>
      </c>
      <c r="C1375" s="54">
        <v>4389.3999999999996</v>
      </c>
      <c r="D1375" s="56">
        <f t="shared" si="44"/>
        <v>8.0893398015218221E-2</v>
      </c>
      <c r="E1375" s="64">
        <v>-2.8849867108881044E-3</v>
      </c>
      <c r="F1375" s="64">
        <v>1372</v>
      </c>
      <c r="G1375" s="64">
        <f t="shared" ca="1" si="45"/>
        <v>-7.202779236433544E-3</v>
      </c>
    </row>
    <row r="1376" spans="2:7" x14ac:dyDescent="0.3">
      <c r="B1376" s="55">
        <v>44929</v>
      </c>
      <c r="C1376" s="54">
        <v>4060.9</v>
      </c>
      <c r="D1376" s="56">
        <f t="shared" si="44"/>
        <v>5.2810328735870549E-2</v>
      </c>
      <c r="E1376" s="64">
        <v>-2.9095819777791299E-3</v>
      </c>
      <c r="F1376" s="64">
        <v>1373</v>
      </c>
      <c r="G1376" s="64">
        <f t="shared" ca="1" si="45"/>
        <v>9.7829984151180469E-3</v>
      </c>
    </row>
    <row r="1377" spans="2:7" x14ac:dyDescent="0.3">
      <c r="B1377" s="55">
        <v>45111</v>
      </c>
      <c r="C1377" s="54">
        <v>3857.2</v>
      </c>
      <c r="D1377" s="56">
        <f t="shared" si="44"/>
        <v>-1.113556907937352E-3</v>
      </c>
      <c r="E1377" s="64">
        <v>-2.9468024608385601E-3</v>
      </c>
      <c r="F1377" s="64">
        <v>1374</v>
      </c>
      <c r="G1377" s="64">
        <f t="shared" ca="1" si="45"/>
        <v>-1.2842019285924759E-2</v>
      </c>
    </row>
    <row r="1378" spans="2:7" x14ac:dyDescent="0.3">
      <c r="B1378" s="55">
        <v>45204</v>
      </c>
      <c r="C1378" s="54">
        <v>3861.5</v>
      </c>
      <c r="D1378" s="56">
        <f t="shared" si="44"/>
        <v>-3.6335504479548808E-2</v>
      </c>
      <c r="E1378" s="64">
        <v>-2.9564027420957428E-3</v>
      </c>
      <c r="F1378" s="64">
        <v>1375</v>
      </c>
      <c r="G1378" s="64">
        <f t="shared" ca="1" si="45"/>
        <v>-1.9077844689152482E-2</v>
      </c>
    </row>
    <row r="1379" spans="2:7" x14ac:dyDescent="0.3">
      <c r="B1379" s="55">
        <v>45988</v>
      </c>
      <c r="C1379" s="54">
        <v>4007.1</v>
      </c>
      <c r="D1379" s="56">
        <f t="shared" si="44"/>
        <v>2.2172621437173823</v>
      </c>
      <c r="E1379" s="64">
        <v>-2.9857430768082116E-3</v>
      </c>
      <c r="F1379" s="64">
        <v>1376</v>
      </c>
      <c r="G1379" s="64">
        <f t="shared" ca="1" si="45"/>
        <v>1.0521138644301245E-2</v>
      </c>
    </row>
    <row r="1380" spans="2:7" x14ac:dyDescent="0.3">
      <c r="B1380" s="55">
        <v>43111</v>
      </c>
      <c r="C1380" s="54">
        <v>1245.5</v>
      </c>
      <c r="D1380" s="56">
        <f t="shared" si="44"/>
        <v>-0.68909912383614991</v>
      </c>
      <c r="E1380" s="64">
        <v>-3.0417033538781002E-3</v>
      </c>
      <c r="F1380" s="64">
        <v>1377</v>
      </c>
      <c r="G1380" s="64">
        <f t="shared" ca="1" si="45"/>
        <v>-5.5240341928115581E-3</v>
      </c>
    </row>
    <row r="1381" spans="2:7" x14ac:dyDescent="0.3">
      <c r="B1381" s="55">
        <v>45783</v>
      </c>
      <c r="C1381" s="54">
        <v>4006.1</v>
      </c>
      <c r="D1381" s="56">
        <f t="shared" si="44"/>
        <v>0.37199904106305004</v>
      </c>
      <c r="E1381" s="64">
        <v>-3.0609197690623091E-3</v>
      </c>
      <c r="F1381" s="64">
        <v>1378</v>
      </c>
      <c r="G1381" s="64">
        <f t="shared" ca="1" si="45"/>
        <v>6.836680446160274E-3</v>
      </c>
    </row>
    <row r="1382" spans="2:7" x14ac:dyDescent="0.3">
      <c r="B1382" s="55">
        <v>44302</v>
      </c>
      <c r="C1382" s="54">
        <v>2919.9</v>
      </c>
      <c r="D1382" s="56">
        <f t="shared" si="44"/>
        <v>-0.23851871169644023</v>
      </c>
      <c r="E1382" s="64">
        <v>-3.0728259756221954E-3</v>
      </c>
      <c r="F1382" s="64">
        <v>1379</v>
      </c>
      <c r="G1382" s="64">
        <f t="shared" ca="1" si="45"/>
        <v>1.0625354708489691E-2</v>
      </c>
    </row>
    <row r="1383" spans="2:7" x14ac:dyDescent="0.3">
      <c r="B1383" s="55">
        <v>45356</v>
      </c>
      <c r="C1383" s="54">
        <v>3834.5</v>
      </c>
      <c r="D1383" s="56">
        <f t="shared" si="44"/>
        <v>1.3051174341496941E-2</v>
      </c>
      <c r="E1383" s="64">
        <v>-3.0808428770132679E-3</v>
      </c>
      <c r="F1383" s="64">
        <v>1380</v>
      </c>
      <c r="G1383" s="64">
        <f t="shared" ca="1" si="45"/>
        <v>4.7715150354779676E-2</v>
      </c>
    </row>
    <row r="1384" spans="2:7" x14ac:dyDescent="0.3">
      <c r="B1384" s="55">
        <v>45176</v>
      </c>
      <c r="C1384" s="54">
        <v>3785.1</v>
      </c>
      <c r="D1384" s="56">
        <f t="shared" si="44"/>
        <v>8.502221585208547E-2</v>
      </c>
      <c r="E1384" s="64">
        <v>-3.0815423514539697E-3</v>
      </c>
      <c r="F1384" s="64">
        <v>1381</v>
      </c>
      <c r="G1384" s="64">
        <f t="shared" ca="1" si="45"/>
        <v>1.9224982505322195E-2</v>
      </c>
    </row>
    <row r="1385" spans="2:7" x14ac:dyDescent="0.3">
      <c r="B1385" s="55">
        <v>44405</v>
      </c>
      <c r="C1385" s="54">
        <v>3488.5</v>
      </c>
      <c r="D1385" s="56">
        <f t="shared" si="44"/>
        <v>0.52522735222105643</v>
      </c>
      <c r="E1385" s="64">
        <v>-3.114819683374348E-3</v>
      </c>
      <c r="F1385" s="64">
        <v>1382</v>
      </c>
      <c r="G1385" s="64">
        <f t="shared" ca="1" si="45"/>
        <v>-2.3959774216400366E-2</v>
      </c>
    </row>
    <row r="1386" spans="2:7" x14ac:dyDescent="0.3">
      <c r="B1386" s="55">
        <v>43868</v>
      </c>
      <c r="C1386" s="54">
        <v>2287.1999999999998</v>
      </c>
      <c r="D1386" s="56">
        <f t="shared" si="44"/>
        <v>1.8046597179644386</v>
      </c>
      <c r="E1386" s="64">
        <v>-3.1163510362411939E-3</v>
      </c>
      <c r="F1386" s="64">
        <v>1383</v>
      </c>
      <c r="G1386" s="64">
        <f t="shared" ca="1" si="45"/>
        <v>-1.1977117167925625E-3</v>
      </c>
    </row>
    <row r="1387" spans="2:7" x14ac:dyDescent="0.3">
      <c r="B1387" s="55">
        <v>42915</v>
      </c>
      <c r="C1387" s="54">
        <v>815.5</v>
      </c>
      <c r="D1387" s="56">
        <f t="shared" si="44"/>
        <v>-0.81045903544450903</v>
      </c>
      <c r="E1387" s="64">
        <v>-3.1171688772079209E-3</v>
      </c>
      <c r="F1387" s="64">
        <v>1384</v>
      </c>
      <c r="G1387" s="64">
        <f t="shared" ca="1" si="45"/>
        <v>4.9918703647798719E-2</v>
      </c>
    </row>
    <row r="1388" spans="2:7" x14ac:dyDescent="0.3">
      <c r="B1388" s="55">
        <v>45947</v>
      </c>
      <c r="C1388" s="54">
        <v>4302.5</v>
      </c>
      <c r="D1388" s="56">
        <f t="shared" si="44"/>
        <v>0.13342992623814531</v>
      </c>
      <c r="E1388" s="64">
        <v>-3.1509927944209926E-3</v>
      </c>
      <c r="F1388" s="64">
        <v>1385</v>
      </c>
      <c r="G1388" s="64">
        <f t="shared" ca="1" si="45"/>
        <v>3.6250745334614944E-3</v>
      </c>
    </row>
    <row r="1389" spans="2:7" x14ac:dyDescent="0.3">
      <c r="B1389" s="55">
        <v>45184</v>
      </c>
      <c r="C1389" s="54">
        <v>3796</v>
      </c>
      <c r="D1389" s="56">
        <f t="shared" si="44"/>
        <v>-0.28972382306713562</v>
      </c>
      <c r="E1389" s="64">
        <v>-3.1643492075997814E-3</v>
      </c>
      <c r="F1389" s="64">
        <v>1386</v>
      </c>
      <c r="G1389" s="64">
        <f t="shared" ca="1" si="45"/>
        <v>1.128811686870765E-2</v>
      </c>
    </row>
    <row r="1390" spans="2:7" x14ac:dyDescent="0.3">
      <c r="B1390" s="55">
        <v>45545</v>
      </c>
      <c r="C1390" s="54">
        <v>5344.4</v>
      </c>
      <c r="D1390" s="56">
        <f t="shared" si="44"/>
        <v>2.7379961531736314</v>
      </c>
      <c r="E1390" s="64">
        <v>-3.1708135934643833E-3</v>
      </c>
      <c r="F1390" s="64">
        <v>1387</v>
      </c>
      <c r="G1390" s="64">
        <f t="shared" ca="1" si="45"/>
        <v>3.9294837790846832E-3</v>
      </c>
    </row>
    <row r="1391" spans="2:7" x14ac:dyDescent="0.3">
      <c r="B1391" s="55">
        <v>43685</v>
      </c>
      <c r="C1391" s="54">
        <v>1429.75</v>
      </c>
      <c r="D1391" s="56">
        <f t="shared" si="44"/>
        <v>-0.6254159134376065</v>
      </c>
      <c r="E1391" s="64">
        <v>-3.1722791605660605E-3</v>
      </c>
      <c r="F1391" s="64">
        <v>1388</v>
      </c>
      <c r="G1391" s="64">
        <f t="shared" ca="1" si="45"/>
        <v>1.8612276457018302E-2</v>
      </c>
    </row>
    <row r="1392" spans="2:7" x14ac:dyDescent="0.3">
      <c r="B1392" s="55">
        <v>45636</v>
      </c>
      <c r="C1392" s="54">
        <v>3816.9</v>
      </c>
      <c r="D1392" s="56">
        <f t="shared" si="44"/>
        <v>2.6269090126909145E-2</v>
      </c>
      <c r="E1392" s="64">
        <v>-3.173110823833647E-3</v>
      </c>
      <c r="F1392" s="64">
        <v>1389</v>
      </c>
      <c r="G1392" s="64">
        <f t="shared" ca="1" si="45"/>
        <v>1.5648351470368846E-2</v>
      </c>
    </row>
    <row r="1393" spans="2:7" x14ac:dyDescent="0.3">
      <c r="B1393" s="55">
        <v>45331</v>
      </c>
      <c r="C1393" s="54">
        <v>3719.2</v>
      </c>
      <c r="D1393" s="56">
        <f t="shared" si="44"/>
        <v>0.89759942855685071</v>
      </c>
      <c r="E1393" s="64">
        <v>-3.1760496375016212E-3</v>
      </c>
      <c r="F1393" s="64">
        <v>1390</v>
      </c>
      <c r="G1393" s="64">
        <f t="shared" ca="1" si="45"/>
        <v>-1.4354146412069668E-2</v>
      </c>
    </row>
    <row r="1394" spans="2:7" x14ac:dyDescent="0.3">
      <c r="B1394" s="55">
        <v>43782</v>
      </c>
      <c r="C1394" s="54">
        <v>1959.95</v>
      </c>
      <c r="D1394" s="56">
        <f t="shared" si="44"/>
        <v>-0.5102696084555608</v>
      </c>
      <c r="E1394" s="64">
        <v>-3.1787203743260939E-3</v>
      </c>
      <c r="F1394" s="64">
        <v>1391</v>
      </c>
      <c r="G1394" s="64">
        <f t="shared" ca="1" si="45"/>
        <v>4.4485038423122424E-2</v>
      </c>
    </row>
    <row r="1395" spans="2:7" x14ac:dyDescent="0.3">
      <c r="B1395" s="55">
        <v>44601</v>
      </c>
      <c r="C1395" s="54">
        <v>4002.1</v>
      </c>
      <c r="D1395" s="56">
        <f t="shared" si="44"/>
        <v>9.9372313101762089E-2</v>
      </c>
      <c r="E1395" s="64">
        <v>-3.2129514321295183E-3</v>
      </c>
      <c r="F1395" s="64">
        <v>1392</v>
      </c>
      <c r="G1395" s="64">
        <f t="shared" ca="1" si="45"/>
        <v>3.8313978431097932E-3</v>
      </c>
    </row>
    <row r="1396" spans="2:7" x14ac:dyDescent="0.3">
      <c r="B1396" s="55">
        <v>45145</v>
      </c>
      <c r="C1396" s="54">
        <v>3640.35</v>
      </c>
      <c r="D1396" s="56">
        <f t="shared" si="44"/>
        <v>2.2344291426032874</v>
      </c>
      <c r="E1396" s="64">
        <v>-3.2173270173324608E-3</v>
      </c>
      <c r="F1396" s="64">
        <v>1393</v>
      </c>
      <c r="G1396" s="64">
        <f t="shared" ca="1" si="45"/>
        <v>-2.5695470943262452E-2</v>
      </c>
    </row>
    <row r="1397" spans="2:7" x14ac:dyDescent="0.3">
      <c r="B1397" s="55">
        <v>43045</v>
      </c>
      <c r="C1397" s="54">
        <v>1125.5</v>
      </c>
      <c r="D1397" s="56">
        <f t="shared" si="44"/>
        <v>-0.72854989448296648</v>
      </c>
      <c r="E1397" s="64">
        <v>-3.2325200371962071E-3</v>
      </c>
      <c r="F1397" s="64">
        <v>1394</v>
      </c>
      <c r="G1397" s="64">
        <f t="shared" ca="1" si="45"/>
        <v>1.0078120008189827E-2</v>
      </c>
    </row>
    <row r="1398" spans="2:7" x14ac:dyDescent="0.3">
      <c r="B1398" s="55">
        <v>44659</v>
      </c>
      <c r="C1398" s="54">
        <v>4146.25</v>
      </c>
      <c r="D1398" s="56">
        <f t="shared" si="44"/>
        <v>-2.8389651778600422E-2</v>
      </c>
      <c r="E1398" s="64">
        <v>-3.2334062552586973E-3</v>
      </c>
      <c r="F1398" s="64">
        <v>1395</v>
      </c>
      <c r="G1398" s="64">
        <f t="shared" ca="1" si="45"/>
        <v>-8.8629684837965711E-3</v>
      </c>
    </row>
    <row r="1399" spans="2:7" x14ac:dyDescent="0.3">
      <c r="B1399" s="55">
        <v>45869</v>
      </c>
      <c r="C1399" s="54">
        <v>4267.3999999999996</v>
      </c>
      <c r="D1399" s="56">
        <f t="shared" si="44"/>
        <v>6.6759453657614376E-3</v>
      </c>
      <c r="E1399" s="64">
        <v>-3.2699584248143676E-3</v>
      </c>
      <c r="F1399" s="64">
        <v>1396</v>
      </c>
      <c r="G1399" s="64">
        <f t="shared" ca="1" si="45"/>
        <v>8.505907565267699E-3</v>
      </c>
    </row>
    <row r="1400" spans="2:7" x14ac:dyDescent="0.3">
      <c r="B1400" s="55">
        <v>44777</v>
      </c>
      <c r="C1400" s="54">
        <v>4239.1000000000004</v>
      </c>
      <c r="D1400" s="56">
        <f t="shared" si="44"/>
        <v>2.69791076023902</v>
      </c>
      <c r="E1400" s="64">
        <v>-3.3034339254432998E-3</v>
      </c>
      <c r="F1400" s="64">
        <v>1397</v>
      </c>
      <c r="G1400" s="64">
        <f t="shared" ca="1" si="45"/>
        <v>4.992299866501123E-3</v>
      </c>
    </row>
    <row r="1401" spans="2:7" x14ac:dyDescent="0.3">
      <c r="B1401" s="55">
        <v>43096</v>
      </c>
      <c r="C1401" s="54">
        <v>1146.3499999999999</v>
      </c>
      <c r="D1401" s="56">
        <f t="shared" si="44"/>
        <v>2.8670136396266921E-2</v>
      </c>
      <c r="E1401" s="64">
        <v>-3.3039168804070984E-3</v>
      </c>
      <c r="F1401" s="64">
        <v>1398</v>
      </c>
      <c r="G1401" s="64">
        <f t="shared" ca="1" si="45"/>
        <v>2.4810199339197765E-2</v>
      </c>
    </row>
    <row r="1402" spans="2:7" x14ac:dyDescent="0.3">
      <c r="B1402" s="55">
        <v>43070</v>
      </c>
      <c r="C1402" s="54">
        <v>1114.4000000000001</v>
      </c>
      <c r="D1402" s="56">
        <f t="shared" si="44"/>
        <v>0.76287273590128946</v>
      </c>
      <c r="E1402" s="64">
        <v>-3.3091852249349518E-3</v>
      </c>
      <c r="F1402" s="64">
        <v>1399</v>
      </c>
      <c r="G1402" s="64">
        <f t="shared" ca="1" si="45"/>
        <v>2.1984252006756751E-2</v>
      </c>
    </row>
    <row r="1403" spans="2:7" x14ac:dyDescent="0.3">
      <c r="B1403" s="55">
        <v>42830</v>
      </c>
      <c r="C1403" s="54">
        <v>632.15</v>
      </c>
      <c r="D1403" s="56">
        <f t="shared" si="44"/>
        <v>-0.84090651700663155</v>
      </c>
      <c r="E1403" s="64">
        <v>-3.3109972408357224E-3</v>
      </c>
      <c r="F1403" s="64">
        <v>1400</v>
      </c>
      <c r="G1403" s="64">
        <f t="shared" ca="1" si="45"/>
        <v>3.6534367735375113E-2</v>
      </c>
    </row>
    <row r="1404" spans="2:7" x14ac:dyDescent="0.3">
      <c r="B1404" s="55">
        <v>45586</v>
      </c>
      <c r="C1404" s="54">
        <v>3973.45</v>
      </c>
      <c r="D1404" s="56">
        <f t="shared" si="44"/>
        <v>6.2334572093147411E-2</v>
      </c>
      <c r="E1404" s="64">
        <v>-3.3235508064314301E-3</v>
      </c>
      <c r="F1404" s="64">
        <v>1401</v>
      </c>
      <c r="G1404" s="64">
        <f t="shared" ca="1" si="45"/>
        <v>2.541426475414213E-2</v>
      </c>
    </row>
    <row r="1405" spans="2:7" x14ac:dyDescent="0.3">
      <c r="B1405" s="55">
        <v>45139</v>
      </c>
      <c r="C1405" s="54">
        <v>3740.3</v>
      </c>
      <c r="D1405" s="56">
        <f t="shared" si="44"/>
        <v>-0.16478535142075579</v>
      </c>
      <c r="E1405" s="64">
        <v>-3.3308463014282141E-3</v>
      </c>
      <c r="F1405" s="64">
        <v>1402</v>
      </c>
      <c r="G1405" s="64">
        <f t="shared" ca="1" si="45"/>
        <v>2.5883459895758236E-2</v>
      </c>
    </row>
    <row r="1406" spans="2:7" x14ac:dyDescent="0.3">
      <c r="B1406" s="55">
        <v>44818</v>
      </c>
      <c r="C1406" s="54">
        <v>4478.25</v>
      </c>
      <c r="D1406" s="56">
        <f t="shared" si="44"/>
        <v>0.18240745630247668</v>
      </c>
      <c r="E1406" s="64">
        <v>-3.3383408446002738E-3</v>
      </c>
      <c r="F1406" s="64">
        <v>1403</v>
      </c>
      <c r="G1406" s="64">
        <f t="shared" ca="1" si="45"/>
        <v>2.2408387132836993E-2</v>
      </c>
    </row>
    <row r="1407" spans="2:7" x14ac:dyDescent="0.3">
      <c r="B1407" s="55">
        <v>46017</v>
      </c>
      <c r="C1407" s="54">
        <v>3787.4</v>
      </c>
      <c r="D1407" s="56">
        <f t="shared" si="44"/>
        <v>1.2943510525518702</v>
      </c>
      <c r="E1407" s="64">
        <v>-3.3682437766432427E-3</v>
      </c>
      <c r="F1407" s="64">
        <v>1404</v>
      </c>
      <c r="G1407" s="64">
        <f t="shared" ca="1" si="45"/>
        <v>1.3293333715437516E-2</v>
      </c>
    </row>
    <row r="1408" spans="2:7" x14ac:dyDescent="0.3">
      <c r="B1408" s="55">
        <v>43315</v>
      </c>
      <c r="C1408" s="54">
        <v>1650.75</v>
      </c>
      <c r="D1408" s="56">
        <f t="shared" si="44"/>
        <v>-0.60120550327950051</v>
      </c>
      <c r="E1408" s="64">
        <v>-3.3809279439731554E-3</v>
      </c>
      <c r="F1408" s="64">
        <v>1405</v>
      </c>
      <c r="G1408" s="64">
        <f t="shared" ca="1" si="45"/>
        <v>-1.4796116886169325E-2</v>
      </c>
    </row>
    <row r="1409" spans="2:7" x14ac:dyDescent="0.3">
      <c r="B1409" s="55">
        <v>44852</v>
      </c>
      <c r="C1409" s="54">
        <v>4139.3500000000004</v>
      </c>
      <c r="D1409" s="56">
        <f t="shared" si="44"/>
        <v>-4.6737903875826103E-2</v>
      </c>
      <c r="E1409" s="64">
        <v>-3.3947682047452687E-3</v>
      </c>
      <c r="F1409" s="64">
        <v>1406</v>
      </c>
      <c r="G1409" s="64">
        <f t="shared" ca="1" si="45"/>
        <v>2.7290158550507614E-2</v>
      </c>
    </row>
    <row r="1410" spans="2:7" x14ac:dyDescent="0.3">
      <c r="B1410" s="55">
        <v>45768</v>
      </c>
      <c r="C1410" s="54">
        <v>4342.3</v>
      </c>
      <c r="D1410" s="56">
        <f t="shared" si="44"/>
        <v>-1.3248193428168964E-2</v>
      </c>
      <c r="E1410" s="64">
        <v>-3.3967547221775973E-3</v>
      </c>
      <c r="F1410" s="64">
        <v>1407</v>
      </c>
      <c r="G1410" s="64">
        <f t="shared" ca="1" si="45"/>
        <v>3.356308669153843E-2</v>
      </c>
    </row>
    <row r="1411" spans="2:7" x14ac:dyDescent="0.3">
      <c r="B1411" s="55">
        <v>46122</v>
      </c>
      <c r="C1411" s="54">
        <v>4400.6000000000004</v>
      </c>
      <c r="D1411" s="56">
        <f t="shared" si="44"/>
        <v>0.30287778304121282</v>
      </c>
      <c r="E1411" s="64">
        <v>-3.3970468339523663E-3</v>
      </c>
      <c r="F1411" s="64">
        <v>1408</v>
      </c>
      <c r="G1411" s="64">
        <f t="shared" ca="1" si="45"/>
        <v>-1.2961565936221867E-2</v>
      </c>
    </row>
    <row r="1412" spans="2:7" x14ac:dyDescent="0.3">
      <c r="B1412" s="55">
        <v>44386</v>
      </c>
      <c r="C1412" s="54">
        <v>3377.6</v>
      </c>
      <c r="D1412" s="56">
        <f t="shared" ref="D1412:D1475" si="46">C1412/C1413-1</f>
        <v>2.0588661474370582</v>
      </c>
      <c r="E1412" s="64">
        <v>-3.4226366104095352E-3</v>
      </c>
      <c r="F1412" s="64">
        <v>1409</v>
      </c>
      <c r="G1412" s="64">
        <f t="shared" ca="1" si="45"/>
        <v>4.8725749645613927E-4</v>
      </c>
    </row>
    <row r="1413" spans="2:7" x14ac:dyDescent="0.3">
      <c r="B1413" s="55">
        <v>43083</v>
      </c>
      <c r="C1413" s="54">
        <v>1104.2</v>
      </c>
      <c r="D1413" s="56">
        <f t="shared" si="46"/>
        <v>-0.75940210049243906</v>
      </c>
      <c r="E1413" s="64">
        <v>-3.4296028880865803E-3</v>
      </c>
      <c r="F1413" s="64">
        <v>1410</v>
      </c>
      <c r="G1413" s="64">
        <f t="shared" ref="G1413:G1476" ca="1" si="47">_xlfn.NORM.INV(RAND(),K$6,K$7)</f>
        <v>-1.544445611937907E-2</v>
      </c>
    </row>
    <row r="1414" spans="2:7" x14ac:dyDescent="0.3">
      <c r="B1414" s="55">
        <v>46133</v>
      </c>
      <c r="C1414" s="54">
        <v>4589.3999999999996</v>
      </c>
      <c r="D1414" s="56">
        <f t="shared" si="46"/>
        <v>8.353007838322779E-2</v>
      </c>
      <c r="E1414" s="64">
        <v>-3.4309041952576003E-3</v>
      </c>
      <c r="F1414" s="64">
        <v>1411</v>
      </c>
      <c r="G1414" s="64">
        <f t="shared" ca="1" si="47"/>
        <v>6.7709348151780953E-3</v>
      </c>
    </row>
    <row r="1415" spans="2:7" x14ac:dyDescent="0.3">
      <c r="B1415" s="55">
        <v>44470</v>
      </c>
      <c r="C1415" s="54">
        <v>4235.6000000000004</v>
      </c>
      <c r="D1415" s="56">
        <f t="shared" si="46"/>
        <v>4.3765401675702309E-2</v>
      </c>
      <c r="E1415" s="64">
        <v>-3.4351324643544512E-3</v>
      </c>
      <c r="F1415" s="64">
        <v>1412</v>
      </c>
      <c r="G1415" s="64">
        <f t="shared" ca="1" si="47"/>
        <v>5.1887507673031345E-2</v>
      </c>
    </row>
    <row r="1416" spans="2:7" x14ac:dyDescent="0.3">
      <c r="B1416" s="55">
        <v>45973</v>
      </c>
      <c r="C1416" s="54">
        <v>4058</v>
      </c>
      <c r="D1416" s="56">
        <f t="shared" si="46"/>
        <v>-0.13657737398668046</v>
      </c>
      <c r="E1416" s="64">
        <v>-3.4870585924070552E-3</v>
      </c>
      <c r="F1416" s="64">
        <v>1413</v>
      </c>
      <c r="G1416" s="64">
        <f t="shared" ca="1" si="47"/>
        <v>-1.7762750985601372E-2</v>
      </c>
    </row>
    <row r="1417" spans="2:7" x14ac:dyDescent="0.3">
      <c r="B1417" s="55">
        <v>45897</v>
      </c>
      <c r="C1417" s="54">
        <v>4699.8999999999996</v>
      </c>
      <c r="D1417" s="56">
        <f t="shared" si="46"/>
        <v>0.13013682160290463</v>
      </c>
      <c r="E1417" s="64">
        <v>-3.498431006699998E-3</v>
      </c>
      <c r="F1417" s="64">
        <v>1414</v>
      </c>
      <c r="G1417" s="64">
        <f t="shared" ca="1" si="47"/>
        <v>-8.6053711541606535E-3</v>
      </c>
    </row>
    <row r="1418" spans="2:7" x14ac:dyDescent="0.3">
      <c r="B1418" s="55">
        <v>44874</v>
      </c>
      <c r="C1418" s="54">
        <v>4158.7</v>
      </c>
      <c r="D1418" s="56">
        <f t="shared" si="46"/>
        <v>0.19410227696901838</v>
      </c>
      <c r="E1418" s="64">
        <v>-3.5461842578172753E-3</v>
      </c>
      <c r="F1418" s="64">
        <v>1415</v>
      </c>
      <c r="G1418" s="64">
        <f t="shared" ca="1" si="47"/>
        <v>3.9063949103079483E-2</v>
      </c>
    </row>
    <row r="1419" spans="2:7" x14ac:dyDescent="0.3">
      <c r="B1419" s="55">
        <v>44971</v>
      </c>
      <c r="C1419" s="54">
        <v>3482.7</v>
      </c>
      <c r="D1419" s="56">
        <f t="shared" si="46"/>
        <v>1.5023890784982932</v>
      </c>
      <c r="E1419" s="64">
        <v>-3.5763332570382111E-3</v>
      </c>
      <c r="F1419" s="64">
        <v>1416</v>
      </c>
      <c r="G1419" s="64">
        <f t="shared" ca="1" si="47"/>
        <v>3.1572752173021572E-2</v>
      </c>
    </row>
    <row r="1420" spans="2:7" x14ac:dyDescent="0.3">
      <c r="B1420" s="55">
        <v>43416</v>
      </c>
      <c r="C1420" s="54">
        <v>1391.75</v>
      </c>
      <c r="D1420" s="56">
        <f t="shared" si="46"/>
        <v>-0.41957210776545173</v>
      </c>
      <c r="E1420" s="64">
        <v>-3.5797386790764607E-3</v>
      </c>
      <c r="F1420" s="64">
        <v>1417</v>
      </c>
      <c r="G1420" s="64">
        <f t="shared" ca="1" si="47"/>
        <v>-1.578660496993272E-2</v>
      </c>
    </row>
    <row r="1421" spans="2:7" x14ac:dyDescent="0.3">
      <c r="B1421" s="55">
        <v>43994</v>
      </c>
      <c r="C1421" s="54">
        <v>2397.8000000000002</v>
      </c>
      <c r="D1421" s="56">
        <f t="shared" si="46"/>
        <v>-0.3760360149368307</v>
      </c>
      <c r="E1421" s="64">
        <v>-3.6152088094743018E-3</v>
      </c>
      <c r="F1421" s="64">
        <v>1418</v>
      </c>
      <c r="G1421" s="64">
        <f t="shared" ca="1" si="47"/>
        <v>2.5236238929049522E-3</v>
      </c>
    </row>
    <row r="1422" spans="2:7" x14ac:dyDescent="0.3">
      <c r="B1422" s="55">
        <v>45216</v>
      </c>
      <c r="C1422" s="54">
        <v>3842.85</v>
      </c>
      <c r="D1422" s="56">
        <f t="shared" si="46"/>
        <v>5.3326206726420411E-2</v>
      </c>
      <c r="E1422" s="64">
        <v>-3.616988176726843E-3</v>
      </c>
      <c r="F1422" s="64">
        <v>1419</v>
      </c>
      <c r="G1422" s="64">
        <f t="shared" ca="1" si="47"/>
        <v>3.4955334097452363E-2</v>
      </c>
    </row>
    <row r="1423" spans="2:7" x14ac:dyDescent="0.3">
      <c r="B1423" s="55">
        <v>44726</v>
      </c>
      <c r="C1423" s="54">
        <v>3648.3</v>
      </c>
      <c r="D1423" s="56">
        <f t="shared" si="46"/>
        <v>4.1008421863819589E-3</v>
      </c>
      <c r="E1423" s="64">
        <v>-3.6322918942538474E-3</v>
      </c>
      <c r="F1423" s="64">
        <v>1420</v>
      </c>
      <c r="G1423" s="64">
        <f t="shared" ca="1" si="47"/>
        <v>2.8990108973718523E-2</v>
      </c>
    </row>
    <row r="1424" spans="2:7" x14ac:dyDescent="0.3">
      <c r="B1424" s="55">
        <v>45230</v>
      </c>
      <c r="C1424" s="54">
        <v>3633.4</v>
      </c>
      <c r="D1424" s="56">
        <f t="shared" si="46"/>
        <v>-0.10441212718757698</v>
      </c>
      <c r="E1424" s="64">
        <v>-3.6334718165987878E-3</v>
      </c>
      <c r="F1424" s="64">
        <v>1421</v>
      </c>
      <c r="G1424" s="64">
        <f t="shared" ca="1" si="47"/>
        <v>4.0132217891223256E-3</v>
      </c>
    </row>
    <row r="1425" spans="2:7" x14ac:dyDescent="0.3">
      <c r="B1425" s="55">
        <v>46175</v>
      </c>
      <c r="C1425" s="54">
        <v>4057</v>
      </c>
      <c r="D1425" s="56">
        <f t="shared" si="46"/>
        <v>9.6516122057352938E-2</v>
      </c>
      <c r="E1425" s="64">
        <v>-3.634756127511185E-3</v>
      </c>
      <c r="F1425" s="64">
        <v>1422</v>
      </c>
      <c r="G1425" s="64">
        <f t="shared" ca="1" si="47"/>
        <v>-2.7558299705896503E-3</v>
      </c>
    </row>
    <row r="1426" spans="2:7" x14ac:dyDescent="0.3">
      <c r="B1426" s="55">
        <v>45141</v>
      </c>
      <c r="C1426" s="54">
        <v>3699.9</v>
      </c>
      <c r="D1426" s="56">
        <f t="shared" si="46"/>
        <v>-0.21173061763640622</v>
      </c>
      <c r="E1426" s="64">
        <v>-3.6354823073194709E-3</v>
      </c>
      <c r="F1426" s="64">
        <v>1423</v>
      </c>
      <c r="G1426" s="64">
        <f t="shared" ca="1" si="47"/>
        <v>1.3165314230077925E-2</v>
      </c>
    </row>
    <row r="1427" spans="2:7" x14ac:dyDescent="0.3">
      <c r="B1427" s="55">
        <v>44531</v>
      </c>
      <c r="C1427" s="54">
        <v>4693.7</v>
      </c>
      <c r="D1427" s="56">
        <f t="shared" si="46"/>
        <v>0.19393076081703242</v>
      </c>
      <c r="E1427" s="64">
        <v>-3.6511070071535423E-3</v>
      </c>
      <c r="F1427" s="64">
        <v>1424</v>
      </c>
      <c r="G1427" s="64">
        <f t="shared" ca="1" si="47"/>
        <v>4.5731196014164813E-3</v>
      </c>
    </row>
    <row r="1428" spans="2:7" x14ac:dyDescent="0.3">
      <c r="B1428" s="55">
        <v>44761</v>
      </c>
      <c r="C1428" s="54">
        <v>3931.3</v>
      </c>
      <c r="D1428" s="56">
        <f t="shared" si="46"/>
        <v>-2.9116862590141124E-2</v>
      </c>
      <c r="E1428" s="64">
        <v>-3.6621681556103791E-3</v>
      </c>
      <c r="F1428" s="64">
        <v>1425</v>
      </c>
      <c r="G1428" s="64">
        <f t="shared" ca="1" si="47"/>
        <v>1.1349421325265981E-2</v>
      </c>
    </row>
    <row r="1429" spans="2:7" x14ac:dyDescent="0.3">
      <c r="B1429" s="55">
        <v>45791</v>
      </c>
      <c r="C1429" s="54">
        <v>4049.2</v>
      </c>
      <c r="D1429" s="56">
        <f t="shared" si="46"/>
        <v>2.2772277227722793E-3</v>
      </c>
      <c r="E1429" s="64">
        <v>-3.6662483698728376E-3</v>
      </c>
      <c r="F1429" s="64">
        <v>1426</v>
      </c>
      <c r="G1429" s="64">
        <f t="shared" ca="1" si="47"/>
        <v>-2.3530687795019615E-3</v>
      </c>
    </row>
    <row r="1430" spans="2:7" x14ac:dyDescent="0.3">
      <c r="B1430" s="55">
        <v>46246</v>
      </c>
      <c r="C1430" s="54">
        <v>4040</v>
      </c>
      <c r="D1430" s="56">
        <f t="shared" si="46"/>
        <v>1.717245090126446</v>
      </c>
      <c r="E1430" s="64">
        <v>-3.6745665737749622E-3</v>
      </c>
      <c r="F1430" s="64">
        <v>1427</v>
      </c>
      <c r="G1430" s="64">
        <f t="shared" ca="1" si="47"/>
        <v>4.7650031586941198E-3</v>
      </c>
    </row>
    <row r="1431" spans="2:7" x14ac:dyDescent="0.3">
      <c r="B1431" s="55">
        <v>43224</v>
      </c>
      <c r="C1431" s="54">
        <v>1486.8</v>
      </c>
      <c r="D1431" s="56">
        <f t="shared" si="46"/>
        <v>-0.67867562836333772</v>
      </c>
      <c r="E1431" s="64">
        <v>-3.6855860081752567E-3</v>
      </c>
      <c r="F1431" s="64">
        <v>1428</v>
      </c>
      <c r="G1431" s="64">
        <f t="shared" ca="1" si="47"/>
        <v>-2.0501428976618524E-2</v>
      </c>
    </row>
    <row r="1432" spans="2:7" x14ac:dyDescent="0.3">
      <c r="B1432" s="55">
        <v>45400</v>
      </c>
      <c r="C1432" s="54">
        <v>4627.1000000000004</v>
      </c>
      <c r="D1432" s="56">
        <f t="shared" si="46"/>
        <v>-7.5079457093169544E-2</v>
      </c>
      <c r="E1432" s="64">
        <v>-3.703464461813355E-3</v>
      </c>
      <c r="F1432" s="64">
        <v>1429</v>
      </c>
      <c r="G1432" s="64">
        <f t="shared" ca="1" si="47"/>
        <v>-2.03953055967276E-2</v>
      </c>
    </row>
    <row r="1433" spans="2:7" x14ac:dyDescent="0.3">
      <c r="B1433" s="55">
        <v>45523</v>
      </c>
      <c r="C1433" s="54">
        <v>5002.7</v>
      </c>
      <c r="D1433" s="56">
        <f t="shared" si="46"/>
        <v>0.17932578972182922</v>
      </c>
      <c r="E1433" s="64">
        <v>-3.7042200227033195E-3</v>
      </c>
      <c r="F1433" s="64">
        <v>1430</v>
      </c>
      <c r="G1433" s="64">
        <f t="shared" ca="1" si="47"/>
        <v>8.545269352591929E-3</v>
      </c>
    </row>
    <row r="1434" spans="2:7" x14ac:dyDescent="0.3">
      <c r="B1434" s="55">
        <v>45875</v>
      </c>
      <c r="C1434" s="54">
        <v>4242</v>
      </c>
      <c r="D1434" s="56">
        <f t="shared" si="46"/>
        <v>0.15188790680623998</v>
      </c>
      <c r="E1434" s="64">
        <v>-3.7108365822725586E-3</v>
      </c>
      <c r="F1434" s="64">
        <v>1431</v>
      </c>
      <c r="G1434" s="64">
        <f t="shared" ca="1" si="47"/>
        <v>4.3375125047645124E-2</v>
      </c>
    </row>
    <row r="1435" spans="2:7" x14ac:dyDescent="0.3">
      <c r="B1435" s="55">
        <v>45702</v>
      </c>
      <c r="C1435" s="54">
        <v>3682.65</v>
      </c>
      <c r="D1435" s="56">
        <f t="shared" si="46"/>
        <v>-6.3224969474969361E-2</v>
      </c>
      <c r="E1435" s="64">
        <v>-3.7467875016907737E-3</v>
      </c>
      <c r="F1435" s="64">
        <v>1432</v>
      </c>
      <c r="G1435" s="64">
        <f t="shared" ca="1" si="47"/>
        <v>-5.6141147819209402E-3</v>
      </c>
    </row>
    <row r="1436" spans="2:7" x14ac:dyDescent="0.3">
      <c r="B1436" s="55">
        <v>46240</v>
      </c>
      <c r="C1436" s="54">
        <v>3931.2</v>
      </c>
      <c r="D1436" s="56">
        <f t="shared" si="46"/>
        <v>0.91057542768273714</v>
      </c>
      <c r="E1436" s="64">
        <v>-3.7506335529651214E-3</v>
      </c>
      <c r="F1436" s="64">
        <v>1433</v>
      </c>
      <c r="G1436" s="64">
        <f t="shared" ca="1" si="47"/>
        <v>9.7142650999974406E-3</v>
      </c>
    </row>
    <row r="1437" spans="2:7" x14ac:dyDescent="0.3">
      <c r="B1437" s="55">
        <v>44113</v>
      </c>
      <c r="C1437" s="54">
        <v>2057.6</v>
      </c>
      <c r="D1437" s="56">
        <f t="shared" si="46"/>
        <v>-0.46893792747451291</v>
      </c>
      <c r="E1437" s="64">
        <v>-3.7523906359696602E-3</v>
      </c>
      <c r="F1437" s="64">
        <v>1434</v>
      </c>
      <c r="G1437" s="64">
        <f t="shared" ca="1" si="47"/>
        <v>3.122936431698143E-2</v>
      </c>
    </row>
    <row r="1438" spans="2:7" x14ac:dyDescent="0.3">
      <c r="B1438" s="55">
        <v>45604</v>
      </c>
      <c r="C1438" s="54">
        <v>3874.5</v>
      </c>
      <c r="D1438" s="56">
        <f t="shared" si="46"/>
        <v>1.8506787330316739</v>
      </c>
      <c r="E1438" s="64">
        <v>-3.7540819212671384E-3</v>
      </c>
      <c r="F1438" s="64">
        <v>1435</v>
      </c>
      <c r="G1438" s="64">
        <f t="shared" ca="1" si="47"/>
        <v>-8.3075077210415672E-3</v>
      </c>
    </row>
    <row r="1439" spans="2:7" x14ac:dyDescent="0.3">
      <c r="B1439" s="55">
        <v>43194</v>
      </c>
      <c r="C1439" s="54">
        <v>1359.15</v>
      </c>
      <c r="D1439" s="56">
        <f t="shared" si="46"/>
        <v>-0.64541292182465659</v>
      </c>
      <c r="E1439" s="64">
        <v>-3.7748295829361789E-3</v>
      </c>
      <c r="F1439" s="64">
        <v>1436</v>
      </c>
      <c r="G1439" s="64">
        <f t="shared" ca="1" si="47"/>
        <v>3.6522337325111346E-3</v>
      </c>
    </row>
    <row r="1440" spans="2:7" x14ac:dyDescent="0.3">
      <c r="B1440" s="55">
        <v>44435</v>
      </c>
      <c r="C1440" s="54">
        <v>3833.05</v>
      </c>
      <c r="D1440" s="56">
        <f t="shared" si="46"/>
        <v>-0.23040396739348679</v>
      </c>
      <c r="E1440" s="64">
        <v>-3.8333593222100726E-3</v>
      </c>
      <c r="F1440" s="64">
        <v>1437</v>
      </c>
      <c r="G1440" s="64">
        <f t="shared" ca="1" si="47"/>
        <v>-4.551605551191348E-3</v>
      </c>
    </row>
    <row r="1441" spans="2:7" x14ac:dyDescent="0.3">
      <c r="B1441" s="55">
        <v>45538</v>
      </c>
      <c r="C1441" s="54">
        <v>4980.6000000000004</v>
      </c>
      <c r="D1441" s="56">
        <f t="shared" si="46"/>
        <v>1.1826069808716233</v>
      </c>
      <c r="E1441" s="64">
        <v>-3.8501155034651457E-3</v>
      </c>
      <c r="F1441" s="64">
        <v>1438</v>
      </c>
      <c r="G1441" s="64">
        <f t="shared" ca="1" si="47"/>
        <v>2.2792643871448644E-2</v>
      </c>
    </row>
    <row r="1442" spans="2:7" x14ac:dyDescent="0.3">
      <c r="B1442" s="55">
        <v>44140</v>
      </c>
      <c r="C1442" s="54">
        <v>2281.9499999999998</v>
      </c>
      <c r="D1442" s="56">
        <f t="shared" si="46"/>
        <v>0.11458714924170255</v>
      </c>
      <c r="E1442" s="64">
        <v>-3.863279203771719E-3</v>
      </c>
      <c r="F1442" s="64">
        <v>1439</v>
      </c>
      <c r="G1442" s="64">
        <f t="shared" ca="1" si="47"/>
        <v>-3.0553521437830772E-2</v>
      </c>
    </row>
    <row r="1443" spans="2:7" x14ac:dyDescent="0.3">
      <c r="B1443" s="55">
        <v>44098</v>
      </c>
      <c r="C1443" s="54">
        <v>2047.35</v>
      </c>
      <c r="D1443" s="56">
        <f t="shared" si="46"/>
        <v>0.42364925943953824</v>
      </c>
      <c r="E1443" s="64">
        <v>-3.8680484600789322E-3</v>
      </c>
      <c r="F1443" s="64">
        <v>1440</v>
      </c>
      <c r="G1443" s="64">
        <f t="shared" ca="1" si="47"/>
        <v>-1.4869243723027522E-2</v>
      </c>
    </row>
    <row r="1444" spans="2:7" x14ac:dyDescent="0.3">
      <c r="B1444" s="55">
        <v>43433</v>
      </c>
      <c r="C1444" s="54">
        <v>1438.1</v>
      </c>
      <c r="D1444" s="56">
        <f t="shared" si="46"/>
        <v>-0.54196260789247375</v>
      </c>
      <c r="E1444" s="64">
        <v>-3.8789222137564083E-3</v>
      </c>
      <c r="F1444" s="64">
        <v>1441</v>
      </c>
      <c r="G1444" s="64">
        <f t="shared" ca="1" si="47"/>
        <v>7.7933018187169465E-3</v>
      </c>
    </row>
    <row r="1445" spans="2:7" x14ac:dyDescent="0.3">
      <c r="B1445" s="55">
        <v>44251</v>
      </c>
      <c r="C1445" s="54">
        <v>3139.7</v>
      </c>
      <c r="D1445" s="56">
        <f t="shared" si="46"/>
        <v>1.7275649378855009</v>
      </c>
      <c r="E1445" s="64">
        <v>-3.8864829708593618E-3</v>
      </c>
      <c r="F1445" s="64">
        <v>1442</v>
      </c>
      <c r="G1445" s="64">
        <f t="shared" ca="1" si="47"/>
        <v>-2.1512355908507884E-2</v>
      </c>
    </row>
    <row r="1446" spans="2:7" x14ac:dyDescent="0.3">
      <c r="B1446" s="55">
        <v>43091</v>
      </c>
      <c r="C1446" s="54">
        <v>1151.0999999999999</v>
      </c>
      <c r="D1446" s="56">
        <f t="shared" si="46"/>
        <v>-1.5227992129352552E-2</v>
      </c>
      <c r="E1446" s="64">
        <v>-3.8940809968847079E-3</v>
      </c>
      <c r="F1446" s="64">
        <v>1443</v>
      </c>
      <c r="G1446" s="64">
        <f t="shared" ca="1" si="47"/>
        <v>1.9649472665991721E-2</v>
      </c>
    </row>
    <row r="1447" spans="2:7" x14ac:dyDescent="0.3">
      <c r="B1447" s="55">
        <v>43150</v>
      </c>
      <c r="C1447" s="54">
        <v>1168.9000000000001</v>
      </c>
      <c r="D1447" s="56">
        <f t="shared" si="46"/>
        <v>-0.21898907560217817</v>
      </c>
      <c r="E1447" s="64">
        <v>-3.9198977417980174E-3</v>
      </c>
      <c r="F1447" s="64">
        <v>1444</v>
      </c>
      <c r="G1447" s="64">
        <f t="shared" ca="1" si="47"/>
        <v>-2.6223734619128948E-2</v>
      </c>
    </row>
    <row r="1448" spans="2:7" x14ac:dyDescent="0.3">
      <c r="B1448" s="55">
        <v>43440</v>
      </c>
      <c r="C1448" s="54">
        <v>1496.65</v>
      </c>
      <c r="D1448" s="56">
        <f t="shared" si="46"/>
        <v>-0.30269993244345039</v>
      </c>
      <c r="E1448" s="64">
        <v>-3.9266580147082619E-3</v>
      </c>
      <c r="F1448" s="64">
        <v>1445</v>
      </c>
      <c r="G1448" s="64">
        <f t="shared" ca="1" si="47"/>
        <v>3.1871175145552773E-2</v>
      </c>
    </row>
    <row r="1449" spans="2:7" x14ac:dyDescent="0.3">
      <c r="B1449" s="55">
        <v>44027</v>
      </c>
      <c r="C1449" s="54">
        <v>2146.35</v>
      </c>
      <c r="D1449" s="56">
        <f t="shared" si="46"/>
        <v>-0.44141834743005859</v>
      </c>
      <c r="E1449" s="64">
        <v>-3.9445901106806014E-3</v>
      </c>
      <c r="F1449" s="64">
        <v>1446</v>
      </c>
      <c r="G1449" s="64">
        <f t="shared" ca="1" si="47"/>
        <v>-1.4807751228594472E-2</v>
      </c>
    </row>
    <row r="1450" spans="2:7" x14ac:dyDescent="0.3">
      <c r="B1450" s="55">
        <v>44932</v>
      </c>
      <c r="C1450" s="54">
        <v>3842.5</v>
      </c>
      <c r="D1450" s="56">
        <f t="shared" si="46"/>
        <v>3.194640030566017</v>
      </c>
      <c r="E1450" s="64">
        <v>-3.9659909793147152E-3</v>
      </c>
      <c r="F1450" s="64">
        <v>1447</v>
      </c>
      <c r="G1450" s="64">
        <f t="shared" ca="1" si="47"/>
        <v>4.5277793172155009E-2</v>
      </c>
    </row>
    <row r="1451" spans="2:7" x14ac:dyDescent="0.3">
      <c r="B1451" s="55">
        <v>42948</v>
      </c>
      <c r="C1451" s="54">
        <v>916.05</v>
      </c>
      <c r="D1451" s="56">
        <f t="shared" si="46"/>
        <v>-0.37867534845864281</v>
      </c>
      <c r="E1451" s="64">
        <v>-3.9686854409047845E-3</v>
      </c>
      <c r="F1451" s="64">
        <v>1448</v>
      </c>
      <c r="G1451" s="64">
        <f t="shared" ca="1" si="47"/>
        <v>1.1756080964874609E-2</v>
      </c>
    </row>
    <row r="1452" spans="2:7" x14ac:dyDescent="0.3">
      <c r="B1452" s="55">
        <v>43216</v>
      </c>
      <c r="C1452" s="54">
        <v>1474.35</v>
      </c>
      <c r="D1452" s="56">
        <f t="shared" si="46"/>
        <v>0.61963089091508294</v>
      </c>
      <c r="E1452" s="64">
        <v>-3.9858132072285724E-3</v>
      </c>
      <c r="F1452" s="64">
        <v>1449</v>
      </c>
      <c r="G1452" s="64">
        <f t="shared" ca="1" si="47"/>
        <v>-1.2678202267888862E-2</v>
      </c>
    </row>
    <row r="1453" spans="2:7" x14ac:dyDescent="0.3">
      <c r="B1453" s="55">
        <v>42928</v>
      </c>
      <c r="C1453" s="54">
        <v>910.3</v>
      </c>
      <c r="D1453" s="56">
        <f t="shared" si="46"/>
        <v>-0.61793838663644762</v>
      </c>
      <c r="E1453" s="64">
        <v>-3.9936539197987786E-3</v>
      </c>
      <c r="F1453" s="64">
        <v>1450</v>
      </c>
      <c r="G1453" s="64">
        <f t="shared" ca="1" si="47"/>
        <v>2.5997714700015176E-2</v>
      </c>
    </row>
    <row r="1454" spans="2:7" x14ac:dyDescent="0.3">
      <c r="B1454" s="55">
        <v>44155</v>
      </c>
      <c r="C1454" s="54">
        <v>2382.6</v>
      </c>
      <c r="D1454" s="56">
        <f t="shared" si="46"/>
        <v>-0.40713645864437153</v>
      </c>
      <c r="E1454" s="64">
        <v>-4.013042387760235E-3</v>
      </c>
      <c r="F1454" s="64">
        <v>1451</v>
      </c>
      <c r="G1454" s="64">
        <f t="shared" ca="1" si="47"/>
        <v>3.3213864880527029E-2</v>
      </c>
    </row>
    <row r="1455" spans="2:7" x14ac:dyDescent="0.3">
      <c r="B1455" s="55">
        <v>46227</v>
      </c>
      <c r="C1455" s="54">
        <v>4018.8</v>
      </c>
      <c r="D1455" s="56">
        <f t="shared" si="46"/>
        <v>1.5977182379367183</v>
      </c>
      <c r="E1455" s="64">
        <v>-4.0148698884757694E-3</v>
      </c>
      <c r="F1455" s="64">
        <v>1452</v>
      </c>
      <c r="G1455" s="64">
        <f t="shared" ca="1" si="47"/>
        <v>-1.8153840501826335E-2</v>
      </c>
    </row>
    <row r="1456" spans="2:7" x14ac:dyDescent="0.3">
      <c r="B1456" s="55">
        <v>43706</v>
      </c>
      <c r="C1456" s="54">
        <v>1547.05</v>
      </c>
      <c r="D1456" s="56">
        <f t="shared" si="46"/>
        <v>-0.45615453570738052</v>
      </c>
      <c r="E1456" s="64">
        <v>-4.0236914955256164E-3</v>
      </c>
      <c r="F1456" s="64">
        <v>1453</v>
      </c>
      <c r="G1456" s="64">
        <f t="shared" ca="1" si="47"/>
        <v>-3.2769301836186843E-2</v>
      </c>
    </row>
    <row r="1457" spans="2:7" x14ac:dyDescent="0.3">
      <c r="B1457" s="55">
        <v>44330</v>
      </c>
      <c r="C1457" s="54">
        <v>2844.65</v>
      </c>
      <c r="D1457" s="56">
        <f t="shared" si="46"/>
        <v>-0.27348069825945931</v>
      </c>
      <c r="E1457" s="64">
        <v>-4.0263991737128357E-3</v>
      </c>
      <c r="F1457" s="64">
        <v>1454</v>
      </c>
      <c r="G1457" s="64">
        <f t="shared" ca="1" si="47"/>
        <v>-2.8035124255397344E-2</v>
      </c>
    </row>
    <row r="1458" spans="2:7" x14ac:dyDescent="0.3">
      <c r="B1458" s="55">
        <v>44762</v>
      </c>
      <c r="C1458" s="54">
        <v>3915.45</v>
      </c>
      <c r="D1458" s="56">
        <f t="shared" si="46"/>
        <v>0.73996800426609766</v>
      </c>
      <c r="E1458" s="64">
        <v>-4.0317452242262242E-3</v>
      </c>
      <c r="F1458" s="64">
        <v>1455</v>
      </c>
      <c r="G1458" s="64">
        <f t="shared" ca="1" si="47"/>
        <v>8.5384117861659909E-4</v>
      </c>
    </row>
    <row r="1459" spans="2:7" x14ac:dyDescent="0.3">
      <c r="B1459" s="55">
        <v>44067</v>
      </c>
      <c r="C1459" s="54">
        <v>2250.3000000000002</v>
      </c>
      <c r="D1459" s="56">
        <f t="shared" si="46"/>
        <v>2.6625976562500004</v>
      </c>
      <c r="E1459" s="64">
        <v>-4.0496581026354672E-3</v>
      </c>
      <c r="F1459" s="64">
        <v>1456</v>
      </c>
      <c r="G1459" s="64">
        <f t="shared" ca="1" si="47"/>
        <v>-1.3881580381809134E-2</v>
      </c>
    </row>
    <row r="1460" spans="2:7" x14ac:dyDescent="0.3">
      <c r="B1460" s="55">
        <v>42821</v>
      </c>
      <c r="C1460" s="54">
        <v>614.4</v>
      </c>
      <c r="D1460" s="56">
        <f t="shared" si="46"/>
        <v>-0.85904053961043436</v>
      </c>
      <c r="E1460" s="64">
        <v>-4.0525206678554415E-3</v>
      </c>
      <c r="F1460" s="64">
        <v>1457</v>
      </c>
      <c r="G1460" s="64">
        <f t="shared" ca="1" si="47"/>
        <v>-5.3889152706758578E-3</v>
      </c>
    </row>
    <row r="1461" spans="2:7" x14ac:dyDescent="0.3">
      <c r="B1461" s="55">
        <v>46147</v>
      </c>
      <c r="C1461" s="54">
        <v>4358.7</v>
      </c>
      <c r="D1461" s="56">
        <f t="shared" si="46"/>
        <v>1.3965360824742268</v>
      </c>
      <c r="E1461" s="64">
        <v>-4.0671769678967129E-3</v>
      </c>
      <c r="F1461" s="64">
        <v>1458</v>
      </c>
      <c r="G1461" s="64">
        <f t="shared" ca="1" si="47"/>
        <v>-6.3416967530410834E-3</v>
      </c>
    </row>
    <row r="1462" spans="2:7" x14ac:dyDescent="0.3">
      <c r="B1462" s="55">
        <v>43790</v>
      </c>
      <c r="C1462" s="54">
        <v>1818.75</v>
      </c>
      <c r="D1462" s="56">
        <f t="shared" si="46"/>
        <v>-0.60708807708094792</v>
      </c>
      <c r="E1462" s="64">
        <v>-4.0795093637060464E-3</v>
      </c>
      <c r="F1462" s="64">
        <v>1459</v>
      </c>
      <c r="G1462" s="64">
        <f t="shared" ca="1" si="47"/>
        <v>3.1924322358619465E-2</v>
      </c>
    </row>
    <row r="1463" spans="2:7" x14ac:dyDescent="0.3">
      <c r="B1463" s="55">
        <v>44554</v>
      </c>
      <c r="C1463" s="54">
        <v>4628.8999999999996</v>
      </c>
      <c r="D1463" s="56">
        <f t="shared" si="46"/>
        <v>0.38704022773241431</v>
      </c>
      <c r="E1463" s="64">
        <v>-4.0878676391488122E-3</v>
      </c>
      <c r="F1463" s="64">
        <v>1460</v>
      </c>
      <c r="G1463" s="64">
        <f t="shared" ca="1" si="47"/>
        <v>2.9844903917337897E-3</v>
      </c>
    </row>
    <row r="1464" spans="2:7" x14ac:dyDescent="0.3">
      <c r="B1464" s="55">
        <v>45000</v>
      </c>
      <c r="C1464" s="54">
        <v>3337.25</v>
      </c>
      <c r="D1464" s="56">
        <f t="shared" si="46"/>
        <v>-0.1372713759451949</v>
      </c>
      <c r="E1464" s="64">
        <v>-4.0883928438203432E-3</v>
      </c>
      <c r="F1464" s="64">
        <v>1461</v>
      </c>
      <c r="G1464" s="64">
        <f t="shared" ca="1" si="47"/>
        <v>1.662380925672742E-2</v>
      </c>
    </row>
    <row r="1465" spans="2:7" x14ac:dyDescent="0.3">
      <c r="B1465" s="55">
        <v>45353</v>
      </c>
      <c r="C1465" s="54">
        <v>3868.25</v>
      </c>
      <c r="D1465" s="56">
        <f t="shared" si="46"/>
        <v>-0.27296050220371959</v>
      </c>
      <c r="E1465" s="64">
        <v>-4.0935597234916798E-3</v>
      </c>
      <c r="F1465" s="64">
        <v>1462</v>
      </c>
      <c r="G1465" s="64">
        <f t="shared" ca="1" si="47"/>
        <v>-2.221986836049844E-3</v>
      </c>
    </row>
    <row r="1466" spans="2:7" x14ac:dyDescent="0.3">
      <c r="B1466" s="55">
        <v>45555</v>
      </c>
      <c r="C1466" s="54">
        <v>5320.55</v>
      </c>
      <c r="D1466" s="56">
        <f t="shared" si="46"/>
        <v>2.8234702310373327</v>
      </c>
      <c r="E1466" s="64">
        <v>-4.1085634066447829E-3</v>
      </c>
      <c r="F1466" s="64">
        <v>1463</v>
      </c>
      <c r="G1466" s="64">
        <f t="shared" ca="1" si="47"/>
        <v>2.5207688455689305E-2</v>
      </c>
    </row>
    <row r="1467" spans="2:7" x14ac:dyDescent="0.3">
      <c r="B1467" s="55">
        <v>43489</v>
      </c>
      <c r="C1467" s="54">
        <v>1391.55</v>
      </c>
      <c r="D1467" s="56">
        <f t="shared" si="46"/>
        <v>-0.10603237826031087</v>
      </c>
      <c r="E1467" s="64">
        <v>-4.1150790810849935E-3</v>
      </c>
      <c r="F1467" s="64">
        <v>1464</v>
      </c>
      <c r="G1467" s="64">
        <f t="shared" ca="1" si="47"/>
        <v>3.0597829335435429E-2</v>
      </c>
    </row>
    <row r="1468" spans="2:7" x14ac:dyDescent="0.3">
      <c r="B1468" s="55">
        <v>43307</v>
      </c>
      <c r="C1468" s="54">
        <v>1556.6</v>
      </c>
      <c r="D1468" s="56">
        <f t="shared" si="46"/>
        <v>-0.61308924598883963</v>
      </c>
      <c r="E1468" s="64">
        <v>-4.126547455295726E-3</v>
      </c>
      <c r="F1468" s="64">
        <v>1465</v>
      </c>
      <c r="G1468" s="64">
        <f t="shared" ca="1" si="47"/>
        <v>1.6659901360717516E-2</v>
      </c>
    </row>
    <row r="1469" spans="2:7" x14ac:dyDescent="0.3">
      <c r="B1469" s="55">
        <v>45754</v>
      </c>
      <c r="C1469" s="54">
        <v>4023.15</v>
      </c>
      <c r="D1469" s="56">
        <f t="shared" si="46"/>
        <v>2.410460729877506</v>
      </c>
      <c r="E1469" s="64">
        <v>-4.1461422312433216E-3</v>
      </c>
      <c r="F1469" s="64">
        <v>1466</v>
      </c>
      <c r="G1469" s="64">
        <f t="shared" ca="1" si="47"/>
        <v>3.8674921954703192E-2</v>
      </c>
    </row>
    <row r="1470" spans="2:7" x14ac:dyDescent="0.3">
      <c r="B1470" s="55">
        <v>43131</v>
      </c>
      <c r="C1470" s="54">
        <v>1179.6500000000001</v>
      </c>
      <c r="D1470" s="56">
        <f t="shared" si="46"/>
        <v>-0.2491805365496611</v>
      </c>
      <c r="E1470" s="64">
        <v>-4.1786256964374546E-3</v>
      </c>
      <c r="F1470" s="64">
        <v>1467</v>
      </c>
      <c r="G1470" s="64">
        <f t="shared" ca="1" si="47"/>
        <v>9.2129908815946314E-3</v>
      </c>
    </row>
    <row r="1471" spans="2:7" x14ac:dyDescent="0.3">
      <c r="B1471" s="55">
        <v>43472</v>
      </c>
      <c r="C1471" s="54">
        <v>1571.15</v>
      </c>
      <c r="D1471" s="56">
        <f t="shared" si="46"/>
        <v>0.20394636015325673</v>
      </c>
      <c r="E1471" s="64">
        <v>-4.1831722389478188E-3</v>
      </c>
      <c r="F1471" s="64">
        <v>1468</v>
      </c>
      <c r="G1471" s="64">
        <f t="shared" ca="1" si="47"/>
        <v>7.2118957634621107E-3</v>
      </c>
    </row>
    <row r="1472" spans="2:7" x14ac:dyDescent="0.3">
      <c r="B1472" s="55">
        <v>43629</v>
      </c>
      <c r="C1472" s="54">
        <v>1305</v>
      </c>
      <c r="D1472" s="56">
        <f t="shared" si="46"/>
        <v>-0.64923126545532739</v>
      </c>
      <c r="E1472" s="64">
        <v>-4.1968714231209736E-3</v>
      </c>
      <c r="F1472" s="64">
        <v>1469</v>
      </c>
      <c r="G1472" s="64">
        <f t="shared" ca="1" si="47"/>
        <v>1.3387660955124709E-3</v>
      </c>
    </row>
    <row r="1473" spans="2:7" x14ac:dyDescent="0.3">
      <c r="B1473" s="55">
        <v>45169</v>
      </c>
      <c r="C1473" s="54">
        <v>3720.4</v>
      </c>
      <c r="D1473" s="56">
        <f t="shared" si="46"/>
        <v>-2.553759920375076E-2</v>
      </c>
      <c r="E1473" s="64">
        <v>-4.2555469314562444E-3</v>
      </c>
      <c r="F1473" s="64">
        <v>1470</v>
      </c>
      <c r="G1473" s="64">
        <f t="shared" ca="1" si="47"/>
        <v>1.4972392993834112E-2</v>
      </c>
    </row>
    <row r="1474" spans="2:7" x14ac:dyDescent="0.3">
      <c r="B1474" s="55">
        <v>46097</v>
      </c>
      <c r="C1474" s="54">
        <v>3817.9</v>
      </c>
      <c r="D1474" s="56">
        <f t="shared" si="46"/>
        <v>0.70320306923625986</v>
      </c>
      <c r="E1474" s="64">
        <v>-4.2771822757740052E-3</v>
      </c>
      <c r="F1474" s="64">
        <v>1471</v>
      </c>
      <c r="G1474" s="64">
        <f t="shared" ca="1" si="47"/>
        <v>2.3433802195475202E-2</v>
      </c>
    </row>
    <row r="1475" spans="2:7" x14ac:dyDescent="0.3">
      <c r="B1475" s="55">
        <v>44075</v>
      </c>
      <c r="C1475" s="54">
        <v>2241.6</v>
      </c>
      <c r="D1475" s="56">
        <f t="shared" si="46"/>
        <v>-0.44462613349189828</v>
      </c>
      <c r="E1475" s="64">
        <v>-4.2865074958357008E-3</v>
      </c>
      <c r="F1475" s="64">
        <v>1472</v>
      </c>
      <c r="G1475" s="64">
        <f t="shared" ca="1" si="47"/>
        <v>4.0462837927050868E-3</v>
      </c>
    </row>
    <row r="1476" spans="2:7" x14ac:dyDescent="0.3">
      <c r="B1476" s="55">
        <v>45978</v>
      </c>
      <c r="C1476" s="54">
        <v>4036.2</v>
      </c>
      <c r="D1476" s="56">
        <f t="shared" ref="D1476:D1539" si="48">C1476/C1477-1</f>
        <v>-0.23808624904435149</v>
      </c>
      <c r="E1476" s="64">
        <v>-4.3170436884821806E-3</v>
      </c>
      <c r="F1476" s="64">
        <v>1473</v>
      </c>
      <c r="G1476" s="64">
        <f t="shared" ca="1" si="47"/>
        <v>8.6107312693104419E-3</v>
      </c>
    </row>
    <row r="1477" spans="2:7" x14ac:dyDescent="0.3">
      <c r="B1477" s="55">
        <v>45558</v>
      </c>
      <c r="C1477" s="54">
        <v>5297.45</v>
      </c>
      <c r="D1477" s="56">
        <f t="shared" si="48"/>
        <v>0.23873494680229146</v>
      </c>
      <c r="E1477" s="64">
        <v>-4.3416564077022324E-3</v>
      </c>
      <c r="F1477" s="64">
        <v>1474</v>
      </c>
      <c r="G1477" s="64">
        <f t="shared" ref="G1477:G1540" ca="1" si="49">_xlfn.NORM.INV(RAND(),K$6,K$7)</f>
        <v>1.0370466103420309E-2</v>
      </c>
    </row>
    <row r="1478" spans="2:7" x14ac:dyDescent="0.3">
      <c r="B1478" s="55">
        <v>44623</v>
      </c>
      <c r="C1478" s="54">
        <v>4276.5</v>
      </c>
      <c r="D1478" s="56">
        <f t="shared" si="48"/>
        <v>2.3010420686993438</v>
      </c>
      <c r="E1478" s="64">
        <v>-4.342106794873235E-3</v>
      </c>
      <c r="F1478" s="64">
        <v>1475</v>
      </c>
      <c r="G1478" s="64">
        <f t="shared" ca="1" si="49"/>
        <v>2.1839366508386103E-2</v>
      </c>
    </row>
    <row r="1479" spans="2:7" x14ac:dyDescent="0.3">
      <c r="B1479" s="55">
        <v>43585</v>
      </c>
      <c r="C1479" s="54">
        <v>1295.5</v>
      </c>
      <c r="D1479" s="56">
        <f t="shared" si="48"/>
        <v>1.8172679116883472E-3</v>
      </c>
      <c r="E1479" s="64">
        <v>-4.3423125696500087E-3</v>
      </c>
      <c r="F1479" s="64">
        <v>1476</v>
      </c>
      <c r="G1479" s="64">
        <f t="shared" ca="1" si="49"/>
        <v>2.9909337079530901E-3</v>
      </c>
    </row>
    <row r="1480" spans="2:7" x14ac:dyDescent="0.3">
      <c r="B1480" s="55">
        <v>43167</v>
      </c>
      <c r="C1480" s="54">
        <v>1293.1500000000001</v>
      </c>
      <c r="D1480" s="56">
        <f t="shared" si="48"/>
        <v>-0.72688969144015703</v>
      </c>
      <c r="E1480" s="64">
        <v>-4.3501693871265124E-3</v>
      </c>
      <c r="F1480" s="64">
        <v>1477</v>
      </c>
      <c r="G1480" s="64">
        <f t="shared" ca="1" si="49"/>
        <v>6.3511716636834555E-3</v>
      </c>
    </row>
    <row r="1481" spans="2:7" x14ac:dyDescent="0.3">
      <c r="B1481" s="55">
        <v>45901</v>
      </c>
      <c r="C1481" s="54">
        <v>4734.8999999999996</v>
      </c>
      <c r="D1481" s="56">
        <f t="shared" si="48"/>
        <v>0.16486868811119981</v>
      </c>
      <c r="E1481" s="64">
        <v>-4.3527630582893551E-3</v>
      </c>
      <c r="F1481" s="64">
        <v>1478</v>
      </c>
      <c r="G1481" s="64">
        <f t="shared" ca="1" si="49"/>
        <v>2.5653988865169668E-2</v>
      </c>
    </row>
    <row r="1482" spans="2:7" x14ac:dyDescent="0.3">
      <c r="B1482" s="55">
        <v>45292</v>
      </c>
      <c r="C1482" s="54">
        <v>4064.75</v>
      </c>
      <c r="D1482" s="56">
        <f t="shared" si="48"/>
        <v>0.76471226691557947</v>
      </c>
      <c r="E1482" s="64">
        <v>-4.3844071865087875E-3</v>
      </c>
      <c r="F1482" s="64">
        <v>1479</v>
      </c>
      <c r="G1482" s="64">
        <f t="shared" ca="1" si="49"/>
        <v>1.8956415437012139E-2</v>
      </c>
    </row>
    <row r="1483" spans="2:7" x14ac:dyDescent="0.3">
      <c r="B1483" s="55">
        <v>43963</v>
      </c>
      <c r="C1483" s="54">
        <v>2303.35</v>
      </c>
      <c r="D1483" s="56">
        <f t="shared" si="48"/>
        <v>0.2226173730725336</v>
      </c>
      <c r="E1483" s="64">
        <v>-4.408808973223044E-3</v>
      </c>
      <c r="F1483" s="64">
        <v>1480</v>
      </c>
      <c r="G1483" s="64">
        <f t="shared" ca="1" si="49"/>
        <v>1.4263102305309319E-2</v>
      </c>
    </row>
    <row r="1484" spans="2:7" x14ac:dyDescent="0.3">
      <c r="B1484" s="55">
        <v>43763</v>
      </c>
      <c r="C1484" s="54">
        <v>1883.95</v>
      </c>
      <c r="D1484" s="56">
        <f t="shared" si="48"/>
        <v>-0.5115377634888123</v>
      </c>
      <c r="E1484" s="64">
        <v>-4.4126195634941467E-3</v>
      </c>
      <c r="F1484" s="64">
        <v>1481</v>
      </c>
      <c r="G1484" s="64">
        <f t="shared" ca="1" si="49"/>
        <v>-1.8393071266810078E-2</v>
      </c>
    </row>
    <row r="1485" spans="2:7" x14ac:dyDescent="0.3">
      <c r="B1485" s="55">
        <v>44714</v>
      </c>
      <c r="C1485" s="54">
        <v>3856.9</v>
      </c>
      <c r="D1485" s="56">
        <f t="shared" si="48"/>
        <v>1.0382074723880992</v>
      </c>
      <c r="E1485" s="64">
        <v>-4.426891754107487E-3</v>
      </c>
      <c r="F1485" s="64">
        <v>1482</v>
      </c>
      <c r="G1485" s="64">
        <f t="shared" ca="1" si="49"/>
        <v>1.3504199305287025E-2</v>
      </c>
    </row>
    <row r="1486" spans="2:7" x14ac:dyDescent="0.3">
      <c r="B1486" s="55">
        <v>43762</v>
      </c>
      <c r="C1486" s="54">
        <v>1892.3</v>
      </c>
      <c r="D1486" s="56">
        <f t="shared" si="48"/>
        <v>-0.58475785038730776</v>
      </c>
      <c r="E1486" s="64">
        <v>-4.4456135735894131E-3</v>
      </c>
      <c r="F1486" s="64">
        <v>1483</v>
      </c>
      <c r="G1486" s="64">
        <f t="shared" ca="1" si="49"/>
        <v>2.0373583805520852E-2</v>
      </c>
    </row>
    <row r="1487" spans="2:7" x14ac:dyDescent="0.3">
      <c r="B1487" s="55">
        <v>44810</v>
      </c>
      <c r="C1487" s="54">
        <v>4557.1000000000004</v>
      </c>
      <c r="D1487" s="56">
        <f t="shared" si="48"/>
        <v>2.207418355855856</v>
      </c>
      <c r="E1487" s="64">
        <v>-4.4457066707445092E-3</v>
      </c>
      <c r="F1487" s="64">
        <v>1484</v>
      </c>
      <c r="G1487" s="64">
        <f t="shared" ca="1" si="49"/>
        <v>-2.521362964733518E-2</v>
      </c>
    </row>
    <row r="1488" spans="2:7" x14ac:dyDescent="0.3">
      <c r="B1488" s="55">
        <v>43369</v>
      </c>
      <c r="C1488" s="54">
        <v>1420.8</v>
      </c>
      <c r="D1488" s="56">
        <f t="shared" si="48"/>
        <v>-0.6484821494841535</v>
      </c>
      <c r="E1488" s="64">
        <v>-4.4494271800442631E-3</v>
      </c>
      <c r="F1488" s="64">
        <v>1485</v>
      </c>
      <c r="G1488" s="64">
        <f t="shared" ca="1" si="49"/>
        <v>-5.481683363254085E-3</v>
      </c>
    </row>
    <row r="1489" spans="2:7" x14ac:dyDescent="0.3">
      <c r="B1489" s="55">
        <v>46251</v>
      </c>
      <c r="C1489" s="54">
        <v>4041.9</v>
      </c>
      <c r="D1489" s="56">
        <f t="shared" si="48"/>
        <v>3.0755106724810632E-2</v>
      </c>
      <c r="E1489" s="64">
        <v>-4.4581280788177358E-3</v>
      </c>
      <c r="F1489" s="64">
        <v>1486</v>
      </c>
      <c r="G1489" s="64">
        <f t="shared" ca="1" si="49"/>
        <v>-6.3212262246733226E-3</v>
      </c>
    </row>
    <row r="1490" spans="2:7" x14ac:dyDescent="0.3">
      <c r="B1490" s="55">
        <v>44445</v>
      </c>
      <c r="C1490" s="54">
        <v>3921.3</v>
      </c>
      <c r="D1490" s="56">
        <f t="shared" si="48"/>
        <v>0.16760957598856607</v>
      </c>
      <c r="E1490" s="64">
        <v>-4.4682525578206844E-3</v>
      </c>
      <c r="F1490" s="64">
        <v>1487</v>
      </c>
      <c r="G1490" s="64">
        <f t="shared" ca="1" si="49"/>
        <v>-1.6756525047815878E-3</v>
      </c>
    </row>
    <row r="1491" spans="2:7" x14ac:dyDescent="0.3">
      <c r="B1491" s="55">
        <v>45009</v>
      </c>
      <c r="C1491" s="54">
        <v>3358.4</v>
      </c>
      <c r="D1491" s="56">
        <f t="shared" si="48"/>
        <v>-5.2984801060260045E-2</v>
      </c>
      <c r="E1491" s="64">
        <v>-4.4760634356010298E-3</v>
      </c>
      <c r="F1491" s="64">
        <v>1488</v>
      </c>
      <c r="G1491" s="64">
        <f t="shared" ca="1" si="49"/>
        <v>-1.3999603812802814E-2</v>
      </c>
    </row>
    <row r="1492" spans="2:7" x14ac:dyDescent="0.3">
      <c r="B1492" s="55">
        <v>44956</v>
      </c>
      <c r="C1492" s="54">
        <v>3546.3</v>
      </c>
      <c r="D1492" s="56">
        <f t="shared" si="48"/>
        <v>-7.3008155583437873E-2</v>
      </c>
      <c r="E1492" s="64">
        <v>-4.5054528611729872E-3</v>
      </c>
      <c r="F1492" s="64">
        <v>1489</v>
      </c>
      <c r="G1492" s="64">
        <f t="shared" ca="1" si="49"/>
        <v>1.1077760423484123E-3</v>
      </c>
    </row>
    <row r="1493" spans="2:7" x14ac:dyDescent="0.3">
      <c r="B1493" s="55">
        <v>46006</v>
      </c>
      <c r="C1493" s="54">
        <v>3825.6</v>
      </c>
      <c r="D1493" s="56">
        <f t="shared" si="48"/>
        <v>-0.12779006406602689</v>
      </c>
      <c r="E1493" s="64">
        <v>-4.5277127244340853E-3</v>
      </c>
      <c r="F1493" s="64">
        <v>1490</v>
      </c>
      <c r="G1493" s="64">
        <f t="shared" ca="1" si="49"/>
        <v>3.1810509100497855E-3</v>
      </c>
    </row>
    <row r="1494" spans="2:7" x14ac:dyDescent="0.3">
      <c r="B1494" s="55">
        <v>44813</v>
      </c>
      <c r="C1494" s="54">
        <v>4386.1000000000004</v>
      </c>
      <c r="D1494" s="56">
        <f t="shared" si="48"/>
        <v>2.7350762156178154</v>
      </c>
      <c r="E1494" s="64">
        <v>-4.5278650945858034E-3</v>
      </c>
      <c r="F1494" s="64">
        <v>1491</v>
      </c>
      <c r="G1494" s="64">
        <f t="shared" ca="1" si="49"/>
        <v>-2.021136259434857E-3</v>
      </c>
    </row>
    <row r="1495" spans="2:7" x14ac:dyDescent="0.3">
      <c r="B1495" s="55">
        <v>43132</v>
      </c>
      <c r="C1495" s="54">
        <v>1174.3</v>
      </c>
      <c r="D1495" s="56">
        <f t="shared" si="48"/>
        <v>-0.71920133907221429</v>
      </c>
      <c r="E1495" s="64">
        <v>-4.5352435044293538E-3</v>
      </c>
      <c r="F1495" s="64">
        <v>1492</v>
      </c>
      <c r="G1495" s="64">
        <f t="shared" ca="1" si="49"/>
        <v>-1.5771850623740036E-2</v>
      </c>
    </row>
    <row r="1496" spans="2:7" x14ac:dyDescent="0.3">
      <c r="B1496" s="55">
        <v>44910</v>
      </c>
      <c r="C1496" s="54">
        <v>4182</v>
      </c>
      <c r="D1496" s="56">
        <f t="shared" si="48"/>
        <v>2.7094199042043638</v>
      </c>
      <c r="E1496" s="64">
        <v>-4.5464283163934027E-3</v>
      </c>
      <c r="F1496" s="64">
        <v>1493</v>
      </c>
      <c r="G1496" s="64">
        <f t="shared" ca="1" si="49"/>
        <v>1.5706840086720568E-2</v>
      </c>
    </row>
    <row r="1497" spans="2:7" x14ac:dyDescent="0.3">
      <c r="B1497" s="55">
        <v>43080</v>
      </c>
      <c r="C1497" s="54">
        <v>1127.4000000000001</v>
      </c>
      <c r="D1497" s="56">
        <f t="shared" si="48"/>
        <v>-0.46323231842311985</v>
      </c>
      <c r="E1497" s="64">
        <v>-4.5472606065956045E-3</v>
      </c>
      <c r="F1497" s="64">
        <v>1494</v>
      </c>
      <c r="G1497" s="64">
        <f t="shared" ca="1" si="49"/>
        <v>9.6179356318464113E-3</v>
      </c>
    </row>
    <row r="1498" spans="2:7" x14ac:dyDescent="0.3">
      <c r="B1498" s="55">
        <v>44035</v>
      </c>
      <c r="C1498" s="54">
        <v>2100.35</v>
      </c>
      <c r="D1498" s="56">
        <f t="shared" si="48"/>
        <v>-0.43716000750328265</v>
      </c>
      <c r="E1498" s="64">
        <v>-4.5734597156398271E-3</v>
      </c>
      <c r="F1498" s="64">
        <v>1495</v>
      </c>
      <c r="G1498" s="64">
        <f t="shared" ca="1" si="49"/>
        <v>3.4160376944206712E-2</v>
      </c>
    </row>
    <row r="1499" spans="2:7" x14ac:dyDescent="0.3">
      <c r="B1499" s="55">
        <v>45310</v>
      </c>
      <c r="C1499" s="54">
        <v>3731.7</v>
      </c>
      <c r="D1499" s="56">
        <f t="shared" si="48"/>
        <v>-0.1530509186232567</v>
      </c>
      <c r="E1499" s="64">
        <v>-4.5747362524507507E-3</v>
      </c>
      <c r="F1499" s="64">
        <v>1496</v>
      </c>
      <c r="G1499" s="64">
        <f t="shared" ca="1" si="49"/>
        <v>-1.2863511444742841E-2</v>
      </c>
    </row>
    <row r="1500" spans="2:7" x14ac:dyDescent="0.3">
      <c r="B1500" s="55">
        <v>44812</v>
      </c>
      <c r="C1500" s="54">
        <v>4406.05</v>
      </c>
      <c r="D1500" s="56">
        <f t="shared" si="48"/>
        <v>4.2691341784262136</v>
      </c>
      <c r="E1500" s="64">
        <v>-4.5749271400492564E-3</v>
      </c>
      <c r="F1500" s="64">
        <v>1497</v>
      </c>
      <c r="G1500" s="64">
        <f t="shared" ca="1" si="49"/>
        <v>-5.716555407014344E-3</v>
      </c>
    </row>
    <row r="1501" spans="2:7" x14ac:dyDescent="0.3">
      <c r="B1501" s="55">
        <v>42920</v>
      </c>
      <c r="C1501" s="54">
        <v>836.2</v>
      </c>
      <c r="D1501" s="56">
        <f t="shared" si="48"/>
        <v>-0.6863112878418427</v>
      </c>
      <c r="E1501" s="64">
        <v>-4.5830605321111051E-3</v>
      </c>
      <c r="F1501" s="64">
        <v>1498</v>
      </c>
      <c r="G1501" s="64">
        <f t="shared" ca="1" si="49"/>
        <v>-5.5206764200005851E-3</v>
      </c>
    </row>
    <row r="1502" spans="2:7" x14ac:dyDescent="0.3">
      <c r="B1502" s="55">
        <v>44194</v>
      </c>
      <c r="C1502" s="54">
        <v>2665.7</v>
      </c>
      <c r="D1502" s="56">
        <f t="shared" si="48"/>
        <v>-0.37817537148055702</v>
      </c>
      <c r="E1502" s="64">
        <v>-4.5929798356983964E-3</v>
      </c>
      <c r="F1502" s="64">
        <v>1499</v>
      </c>
      <c r="G1502" s="64">
        <f t="shared" ca="1" si="49"/>
        <v>-3.5966856091416942E-2</v>
      </c>
    </row>
    <row r="1503" spans="2:7" x14ac:dyDescent="0.3">
      <c r="B1503" s="55">
        <v>46192</v>
      </c>
      <c r="C1503" s="54">
        <v>4286.8999999999996</v>
      </c>
      <c r="D1503" s="56">
        <f t="shared" si="48"/>
        <v>0.14332577677023584</v>
      </c>
      <c r="E1503" s="64">
        <v>-4.5974876355446836E-3</v>
      </c>
      <c r="F1503" s="64">
        <v>1500</v>
      </c>
      <c r="G1503" s="64">
        <f t="shared" ca="1" si="49"/>
        <v>1.3782348111011154E-3</v>
      </c>
    </row>
    <row r="1504" spans="2:7" x14ac:dyDescent="0.3">
      <c r="B1504" s="55">
        <v>45219</v>
      </c>
      <c r="C1504" s="54">
        <v>3749.5</v>
      </c>
      <c r="D1504" s="56">
        <f t="shared" si="48"/>
        <v>-2.6731922703515654E-3</v>
      </c>
      <c r="E1504" s="64">
        <v>-4.6059705058603129E-3</v>
      </c>
      <c r="F1504" s="64">
        <v>1501</v>
      </c>
      <c r="G1504" s="64">
        <f t="shared" ca="1" si="49"/>
        <v>-2.6536366671817239E-2</v>
      </c>
    </row>
    <row r="1505" spans="2:7" x14ac:dyDescent="0.3">
      <c r="B1505" s="55">
        <v>45609</v>
      </c>
      <c r="C1505" s="54">
        <v>3759.55</v>
      </c>
      <c r="D1505" s="56">
        <f t="shared" si="48"/>
        <v>3.7206805625313919</v>
      </c>
      <c r="E1505" s="64">
        <v>-4.6200688377018295E-3</v>
      </c>
      <c r="F1505" s="64">
        <v>1502</v>
      </c>
      <c r="G1505" s="64">
        <f t="shared" ca="1" si="49"/>
        <v>-1.2631851780583608E-2</v>
      </c>
    </row>
    <row r="1506" spans="2:7" x14ac:dyDescent="0.3">
      <c r="B1506" s="55">
        <v>42905</v>
      </c>
      <c r="C1506" s="54">
        <v>796.4</v>
      </c>
      <c r="D1506" s="56">
        <f t="shared" si="48"/>
        <v>-0.60964611312616412</v>
      </c>
      <c r="E1506" s="64">
        <v>-4.6244219472566517E-3</v>
      </c>
      <c r="F1506" s="64">
        <v>1503</v>
      </c>
      <c r="G1506" s="64">
        <f t="shared" ca="1" si="49"/>
        <v>7.4167881691260245E-3</v>
      </c>
    </row>
    <row r="1507" spans="2:7" x14ac:dyDescent="0.3">
      <c r="B1507" s="55">
        <v>44042</v>
      </c>
      <c r="C1507" s="54">
        <v>2040.2</v>
      </c>
      <c r="D1507" s="56">
        <f t="shared" si="48"/>
        <v>-0.46974737498700481</v>
      </c>
      <c r="E1507" s="64">
        <v>-4.6348246084791933E-3</v>
      </c>
      <c r="F1507" s="64">
        <v>1504</v>
      </c>
      <c r="G1507" s="64">
        <f t="shared" ca="1" si="49"/>
        <v>1.6239221857688595E-2</v>
      </c>
    </row>
    <row r="1508" spans="2:7" x14ac:dyDescent="0.3">
      <c r="B1508" s="55">
        <v>46080</v>
      </c>
      <c r="C1508" s="54">
        <v>3847.6</v>
      </c>
      <c r="D1508" s="56">
        <f t="shared" si="48"/>
        <v>2.1310574927778005</v>
      </c>
      <c r="E1508" s="64">
        <v>-4.6564569536423628E-3</v>
      </c>
      <c r="F1508" s="64">
        <v>1505</v>
      </c>
      <c r="G1508" s="64">
        <f t="shared" ca="1" si="49"/>
        <v>5.5260734585496317E-3</v>
      </c>
    </row>
    <row r="1509" spans="2:7" x14ac:dyDescent="0.3">
      <c r="B1509" s="55">
        <v>43115</v>
      </c>
      <c r="C1509" s="54">
        <v>1228.8499999999999</v>
      </c>
      <c r="D1509" s="56">
        <f t="shared" si="48"/>
        <v>-0.58288216425383144</v>
      </c>
      <c r="E1509" s="64">
        <v>-4.6573789081484351E-3</v>
      </c>
      <c r="F1509" s="64">
        <v>1506</v>
      </c>
      <c r="G1509" s="64">
        <f t="shared" ca="1" si="49"/>
        <v>1.0709061640693896E-2</v>
      </c>
    </row>
    <row r="1510" spans="2:7" x14ac:dyDescent="0.3">
      <c r="B1510" s="55">
        <v>44232</v>
      </c>
      <c r="C1510" s="54">
        <v>2946.05</v>
      </c>
      <c r="D1510" s="56">
        <f t="shared" si="48"/>
        <v>1.0007130730050937</v>
      </c>
      <c r="E1510" s="64">
        <v>-4.6623984323529433E-3</v>
      </c>
      <c r="F1510" s="64">
        <v>1507</v>
      </c>
      <c r="G1510" s="64">
        <f t="shared" ca="1" si="49"/>
        <v>1.0705990399620467E-2</v>
      </c>
    </row>
    <row r="1511" spans="2:7" x14ac:dyDescent="0.3">
      <c r="B1511" s="55">
        <v>43552</v>
      </c>
      <c r="C1511" s="54">
        <v>1472.5</v>
      </c>
      <c r="D1511" s="56">
        <f t="shared" si="48"/>
        <v>0.10241820768136556</v>
      </c>
      <c r="E1511" s="64">
        <v>-4.6640529944572684E-3</v>
      </c>
      <c r="F1511" s="64">
        <v>1508</v>
      </c>
      <c r="G1511" s="64">
        <f t="shared" ca="1" si="49"/>
        <v>2.9175282891681094E-2</v>
      </c>
    </row>
    <row r="1512" spans="2:7" x14ac:dyDescent="0.3">
      <c r="B1512" s="55">
        <v>43635</v>
      </c>
      <c r="C1512" s="54">
        <v>1335.7</v>
      </c>
      <c r="D1512" s="56">
        <f t="shared" si="48"/>
        <v>-0.67997987445493313</v>
      </c>
      <c r="E1512" s="64">
        <v>-4.6944858420268076E-3</v>
      </c>
      <c r="F1512" s="64">
        <v>1509</v>
      </c>
      <c r="G1512" s="64">
        <f t="shared" ca="1" si="49"/>
        <v>-1.3295160681649657E-2</v>
      </c>
    </row>
    <row r="1513" spans="2:7" x14ac:dyDescent="0.3">
      <c r="B1513" s="55">
        <v>45581</v>
      </c>
      <c r="C1513" s="54">
        <v>4173.8</v>
      </c>
      <c r="D1513" s="56">
        <f t="shared" si="48"/>
        <v>0.10042447731287418</v>
      </c>
      <c r="E1513" s="64">
        <v>-4.709613573225524E-3</v>
      </c>
      <c r="F1513" s="64">
        <v>1510</v>
      </c>
      <c r="G1513" s="64">
        <f t="shared" ca="1" si="49"/>
        <v>1.511642226105599E-2</v>
      </c>
    </row>
    <row r="1514" spans="2:7" x14ac:dyDescent="0.3">
      <c r="B1514" s="55">
        <v>45250</v>
      </c>
      <c r="C1514" s="54">
        <v>3792.9</v>
      </c>
      <c r="D1514" s="56">
        <f t="shared" si="48"/>
        <v>-8.358602027133144E-2</v>
      </c>
      <c r="E1514" s="64">
        <v>-4.7232937101472361E-3</v>
      </c>
      <c r="F1514" s="64">
        <v>1511</v>
      </c>
      <c r="G1514" s="64">
        <f t="shared" ca="1" si="49"/>
        <v>-2.5102289448308168E-2</v>
      </c>
    </row>
    <row r="1515" spans="2:7" x14ac:dyDescent="0.3">
      <c r="B1515" s="55">
        <v>44875</v>
      </c>
      <c r="C1515" s="54">
        <v>4138.8500000000004</v>
      </c>
      <c r="D1515" s="56">
        <f t="shared" si="48"/>
        <v>1.0165478863614297E-2</v>
      </c>
      <c r="E1515" s="64">
        <v>-4.7731262173273947E-3</v>
      </c>
      <c r="F1515" s="64">
        <v>1512</v>
      </c>
      <c r="G1515" s="64">
        <f t="shared" ca="1" si="49"/>
        <v>-1.4380432065457326E-2</v>
      </c>
    </row>
    <row r="1516" spans="2:7" x14ac:dyDescent="0.3">
      <c r="B1516" s="55">
        <v>46167</v>
      </c>
      <c r="C1516" s="54">
        <v>4097.2</v>
      </c>
      <c r="D1516" s="56">
        <f t="shared" si="48"/>
        <v>2.0391276935059151</v>
      </c>
      <c r="E1516" s="64">
        <v>-4.8093271799855009E-3</v>
      </c>
      <c r="F1516" s="64">
        <v>1513</v>
      </c>
      <c r="G1516" s="64">
        <f t="shared" ca="1" si="49"/>
        <v>1.4589006880278222E-2</v>
      </c>
    </row>
    <row r="1517" spans="2:7" x14ac:dyDescent="0.3">
      <c r="B1517" s="55">
        <v>43159</v>
      </c>
      <c r="C1517" s="54">
        <v>1348.15</v>
      </c>
      <c r="D1517" s="56">
        <f t="shared" si="48"/>
        <v>-0.41241718967921892</v>
      </c>
      <c r="E1517" s="64">
        <v>-4.8350188233556857E-3</v>
      </c>
      <c r="F1517" s="64">
        <v>1514</v>
      </c>
      <c r="G1517" s="64">
        <f t="shared" ca="1" si="49"/>
        <v>3.3236823990585564E-2</v>
      </c>
    </row>
    <row r="1518" spans="2:7" x14ac:dyDescent="0.3">
      <c r="B1518" s="55">
        <v>44008</v>
      </c>
      <c r="C1518" s="54">
        <v>2294.4</v>
      </c>
      <c r="D1518" s="56">
        <f t="shared" si="48"/>
        <v>0.58190843905129608</v>
      </c>
      <c r="E1518" s="64">
        <v>-4.8361562317017492E-3</v>
      </c>
      <c r="F1518" s="64">
        <v>1515</v>
      </c>
      <c r="G1518" s="64">
        <f t="shared" ca="1" si="49"/>
        <v>3.2251879167436125E-2</v>
      </c>
    </row>
    <row r="1519" spans="2:7" x14ac:dyDescent="0.3">
      <c r="B1519" s="55">
        <v>43532</v>
      </c>
      <c r="C1519" s="54">
        <v>1450.4</v>
      </c>
      <c r="D1519" s="56">
        <f t="shared" si="48"/>
        <v>-0.47543355214380001</v>
      </c>
      <c r="E1519" s="64">
        <v>-4.8372156849291192E-3</v>
      </c>
      <c r="F1519" s="64">
        <v>1516</v>
      </c>
      <c r="G1519" s="64">
        <f t="shared" ca="1" si="49"/>
        <v>-2.6107283182334497E-2</v>
      </c>
    </row>
    <row r="1520" spans="2:7" x14ac:dyDescent="0.3">
      <c r="B1520" s="55">
        <v>44216</v>
      </c>
      <c r="C1520" s="54">
        <v>2764.95</v>
      </c>
      <c r="D1520" s="56">
        <f t="shared" si="48"/>
        <v>2.7541751527494904</v>
      </c>
      <c r="E1520" s="64">
        <v>-4.8409156348978577E-3</v>
      </c>
      <c r="F1520" s="64">
        <v>1517</v>
      </c>
      <c r="G1520" s="64">
        <f t="shared" ca="1" si="49"/>
        <v>1.2560478939895465E-2</v>
      </c>
    </row>
    <row r="1521" spans="2:7" x14ac:dyDescent="0.3">
      <c r="B1521" s="55">
        <v>42853</v>
      </c>
      <c r="C1521" s="54">
        <v>736.5</v>
      </c>
      <c r="D1521" s="56">
        <f t="shared" si="48"/>
        <v>-0.82110760262326932</v>
      </c>
      <c r="E1521" s="64">
        <v>-4.8642075395217699E-3</v>
      </c>
      <c r="F1521" s="64">
        <v>1518</v>
      </c>
      <c r="G1521" s="64">
        <f t="shared" ca="1" si="49"/>
        <v>1.7306344162072926E-2</v>
      </c>
    </row>
    <row r="1522" spans="2:7" x14ac:dyDescent="0.3">
      <c r="B1522" s="55">
        <v>46164</v>
      </c>
      <c r="C1522" s="54">
        <v>4117</v>
      </c>
      <c r="D1522" s="56">
        <f t="shared" si="48"/>
        <v>4.8503138887827646E-2</v>
      </c>
      <c r="E1522" s="64">
        <v>-4.8825292468335224E-3</v>
      </c>
      <c r="F1522" s="64">
        <v>1519</v>
      </c>
      <c r="G1522" s="64">
        <f t="shared" ca="1" si="49"/>
        <v>6.3441630717052267E-3</v>
      </c>
    </row>
    <row r="1523" spans="2:7" x14ac:dyDescent="0.3">
      <c r="B1523" s="55">
        <v>45601</v>
      </c>
      <c r="C1523" s="54">
        <v>3926.55</v>
      </c>
      <c r="D1523" s="56">
        <f t="shared" si="48"/>
        <v>-5.1307388263910347E-3</v>
      </c>
      <c r="E1523" s="64">
        <v>-4.8912148206342598E-3</v>
      </c>
      <c r="F1523" s="64">
        <v>1520</v>
      </c>
      <c r="G1523" s="64">
        <f t="shared" ca="1" si="49"/>
        <v>4.7881406705232638E-2</v>
      </c>
    </row>
    <row r="1524" spans="2:7" x14ac:dyDescent="0.3">
      <c r="B1524" s="55">
        <v>46091</v>
      </c>
      <c r="C1524" s="54">
        <v>3946.8</v>
      </c>
      <c r="D1524" s="56">
        <f t="shared" si="48"/>
        <v>0.47712344916633942</v>
      </c>
      <c r="E1524" s="64">
        <v>-4.8913317533154643E-3</v>
      </c>
      <c r="F1524" s="64">
        <v>1521</v>
      </c>
      <c r="G1524" s="64">
        <f t="shared" ca="1" si="49"/>
        <v>5.8372768887840118E-4</v>
      </c>
    </row>
    <row r="1525" spans="2:7" x14ac:dyDescent="0.3">
      <c r="B1525" s="55">
        <v>44179</v>
      </c>
      <c r="C1525" s="54">
        <v>2671.95</v>
      </c>
      <c r="D1525" s="56">
        <f t="shared" si="48"/>
        <v>-0.35495201883034588</v>
      </c>
      <c r="E1525" s="64">
        <v>-4.8973967450002265E-3</v>
      </c>
      <c r="F1525" s="64">
        <v>1522</v>
      </c>
      <c r="G1525" s="64">
        <f t="shared" ca="1" si="49"/>
        <v>-1.273030786735517E-2</v>
      </c>
    </row>
    <row r="1526" spans="2:7" x14ac:dyDescent="0.3">
      <c r="B1526" s="55">
        <v>44603</v>
      </c>
      <c r="C1526" s="54">
        <v>4142.25</v>
      </c>
      <c r="D1526" s="56">
        <f t="shared" si="48"/>
        <v>1.8267990582454705</v>
      </c>
      <c r="E1526" s="64">
        <v>-4.912676868378707E-3</v>
      </c>
      <c r="F1526" s="64">
        <v>1523</v>
      </c>
      <c r="G1526" s="64">
        <f t="shared" ca="1" si="49"/>
        <v>-5.4243381852028781E-3</v>
      </c>
    </row>
    <row r="1527" spans="2:7" x14ac:dyDescent="0.3">
      <c r="B1527" s="55">
        <v>43567</v>
      </c>
      <c r="C1527" s="54">
        <v>1465.35</v>
      </c>
      <c r="D1527" s="56">
        <f t="shared" si="48"/>
        <v>-0.44220703831293662</v>
      </c>
      <c r="E1527" s="64">
        <v>-4.9232649735162504E-3</v>
      </c>
      <c r="F1527" s="64">
        <v>1524</v>
      </c>
      <c r="G1527" s="64">
        <f t="shared" ca="1" si="49"/>
        <v>2.9609478770669759E-2</v>
      </c>
    </row>
    <row r="1528" spans="2:7" x14ac:dyDescent="0.3">
      <c r="B1528" s="55">
        <v>44181</v>
      </c>
      <c r="C1528" s="54">
        <v>2627.05</v>
      </c>
      <c r="D1528" s="56">
        <f t="shared" si="48"/>
        <v>-0.28216793726261702</v>
      </c>
      <c r="E1528" s="64">
        <v>-4.9241491638415402E-3</v>
      </c>
      <c r="F1528" s="64">
        <v>1525</v>
      </c>
      <c r="G1528" s="64">
        <f t="shared" ca="1" si="49"/>
        <v>-5.21920898658887E-3</v>
      </c>
    </row>
    <row r="1529" spans="2:7" x14ac:dyDescent="0.3">
      <c r="B1529" s="55">
        <v>45055</v>
      </c>
      <c r="C1529" s="54">
        <v>3659.7</v>
      </c>
      <c r="D1529" s="56">
        <f t="shared" si="48"/>
        <v>2.4175654853620956</v>
      </c>
      <c r="E1529" s="64">
        <v>-4.9349484073575312E-3</v>
      </c>
      <c r="F1529" s="64">
        <v>1526</v>
      </c>
      <c r="G1529" s="64">
        <f t="shared" ca="1" si="49"/>
        <v>-3.4519043954812201E-2</v>
      </c>
    </row>
    <row r="1530" spans="2:7" x14ac:dyDescent="0.3">
      <c r="B1530" s="55">
        <v>42986</v>
      </c>
      <c r="C1530" s="54">
        <v>1070.8499999999999</v>
      </c>
      <c r="D1530" s="56">
        <f t="shared" si="48"/>
        <v>-0.32557626905151782</v>
      </c>
      <c r="E1530" s="64">
        <v>-4.971194945177615E-3</v>
      </c>
      <c r="F1530" s="64">
        <v>1527</v>
      </c>
      <c r="G1530" s="64">
        <f t="shared" ca="1" si="49"/>
        <v>2.7097535843808015E-2</v>
      </c>
    </row>
    <row r="1531" spans="2:7" x14ac:dyDescent="0.3">
      <c r="B1531" s="55">
        <v>43475</v>
      </c>
      <c r="C1531" s="54">
        <v>1587.8</v>
      </c>
      <c r="D1531" s="56">
        <f t="shared" si="48"/>
        <v>-0.54610294012549487</v>
      </c>
      <c r="E1531" s="64">
        <v>-4.9819833933887336E-3</v>
      </c>
      <c r="F1531" s="64">
        <v>1528</v>
      </c>
      <c r="G1531" s="64">
        <f t="shared" ca="1" si="49"/>
        <v>-6.6930210092630386E-4</v>
      </c>
    </row>
    <row r="1532" spans="2:7" x14ac:dyDescent="0.3">
      <c r="B1532" s="55">
        <v>45645</v>
      </c>
      <c r="C1532" s="54">
        <v>3498.15</v>
      </c>
      <c r="D1532" s="56">
        <f t="shared" si="48"/>
        <v>-0.17779579748977581</v>
      </c>
      <c r="E1532" s="64">
        <v>-4.9918935062718273E-3</v>
      </c>
      <c r="F1532" s="64">
        <v>1529</v>
      </c>
      <c r="G1532" s="64">
        <f t="shared" ca="1" si="49"/>
        <v>-1.3812797838999673E-2</v>
      </c>
    </row>
    <row r="1533" spans="2:7" x14ac:dyDescent="0.3">
      <c r="B1533" s="55">
        <v>44574</v>
      </c>
      <c r="C1533" s="54">
        <v>4254.6000000000004</v>
      </c>
      <c r="D1533" s="56">
        <f t="shared" si="48"/>
        <v>-7.6131329801094272E-2</v>
      </c>
      <c r="E1533" s="64">
        <v>-5.0279460255840958E-3</v>
      </c>
      <c r="F1533" s="64">
        <v>1530</v>
      </c>
      <c r="G1533" s="64">
        <f t="shared" ca="1" si="49"/>
        <v>4.4630384740279594E-4</v>
      </c>
    </row>
    <row r="1534" spans="2:7" x14ac:dyDescent="0.3">
      <c r="B1534" s="55">
        <v>46132</v>
      </c>
      <c r="C1534" s="54">
        <v>4605.2</v>
      </c>
      <c r="D1534" s="56">
        <f t="shared" si="48"/>
        <v>1.3536145963764596</v>
      </c>
      <c r="E1534" s="64">
        <v>-5.0340283029060018E-3</v>
      </c>
      <c r="F1534" s="64">
        <v>1531</v>
      </c>
      <c r="G1534" s="64">
        <f t="shared" ca="1" si="49"/>
        <v>-2.2243523263512609E-2</v>
      </c>
    </row>
    <row r="1535" spans="2:7" x14ac:dyDescent="0.3">
      <c r="B1535" s="55">
        <v>43773</v>
      </c>
      <c r="C1535" s="54">
        <v>1956.65</v>
      </c>
      <c r="D1535" s="56">
        <f t="shared" si="48"/>
        <v>-0.42260420509037255</v>
      </c>
      <c r="E1535" s="64">
        <v>-5.0594935421538478E-3</v>
      </c>
      <c r="F1535" s="64">
        <v>1532</v>
      </c>
      <c r="G1535" s="64">
        <f t="shared" ca="1" si="49"/>
        <v>1.9693487296194731E-2</v>
      </c>
    </row>
    <row r="1536" spans="2:7" x14ac:dyDescent="0.3">
      <c r="B1536" s="55">
        <v>44743</v>
      </c>
      <c r="C1536" s="54">
        <v>3388.75</v>
      </c>
      <c r="D1536" s="56">
        <f t="shared" si="48"/>
        <v>-0.2935099862402536</v>
      </c>
      <c r="E1536" s="64">
        <v>-5.093802295880856E-3</v>
      </c>
      <c r="F1536" s="64">
        <v>1533</v>
      </c>
      <c r="G1536" s="64">
        <f t="shared" ca="1" si="49"/>
        <v>-3.6285073990475472E-3</v>
      </c>
    </row>
    <row r="1537" spans="2:7" x14ac:dyDescent="0.3">
      <c r="B1537" s="55">
        <v>44540</v>
      </c>
      <c r="C1537" s="54">
        <v>4796.6000000000004</v>
      </c>
      <c r="D1537" s="56">
        <f t="shared" si="48"/>
        <v>0.33985111523903977</v>
      </c>
      <c r="E1537" s="64">
        <v>-5.1024641168172513E-3</v>
      </c>
      <c r="F1537" s="64">
        <v>1534</v>
      </c>
      <c r="G1537" s="64">
        <f t="shared" ca="1" si="49"/>
        <v>-4.0034187198654869E-2</v>
      </c>
    </row>
    <row r="1538" spans="2:7" x14ac:dyDescent="0.3">
      <c r="B1538" s="55">
        <v>45681</v>
      </c>
      <c r="C1538" s="54">
        <v>3579.95</v>
      </c>
      <c r="D1538" s="56">
        <f t="shared" si="48"/>
        <v>1.2896293690639888</v>
      </c>
      <c r="E1538" s="64">
        <v>-5.1134547778843853E-3</v>
      </c>
      <c r="F1538" s="64">
        <v>1535</v>
      </c>
      <c r="G1538" s="64">
        <f t="shared" ca="1" si="49"/>
        <v>3.3357188790127036E-2</v>
      </c>
    </row>
    <row r="1539" spans="2:7" x14ac:dyDescent="0.3">
      <c r="B1539" s="55">
        <v>43328</v>
      </c>
      <c r="C1539" s="54">
        <v>1563.55</v>
      </c>
      <c r="D1539" s="56">
        <f t="shared" si="48"/>
        <v>0.16717676918483138</v>
      </c>
      <c r="E1539" s="64">
        <v>-5.1221684907101217E-3</v>
      </c>
      <c r="F1539" s="64">
        <v>1536</v>
      </c>
      <c r="G1539" s="64">
        <f t="shared" ca="1" si="49"/>
        <v>1.0761807867286645E-2</v>
      </c>
    </row>
    <row r="1540" spans="2:7" x14ac:dyDescent="0.3">
      <c r="B1540" s="55">
        <v>43180</v>
      </c>
      <c r="C1540" s="54">
        <v>1339.6</v>
      </c>
      <c r="D1540" s="56">
        <f t="shared" ref="D1540:D1603" si="50">C1540/C1541-1</f>
        <v>-0.63264914373466064</v>
      </c>
      <c r="E1540" s="64">
        <v>-5.1243965837356464E-3</v>
      </c>
      <c r="F1540" s="64">
        <v>1537</v>
      </c>
      <c r="G1540" s="64">
        <f t="shared" ca="1" si="49"/>
        <v>-3.2742768042830737E-2</v>
      </c>
    </row>
    <row r="1541" spans="2:7" x14ac:dyDescent="0.3">
      <c r="B1541" s="55">
        <v>45229</v>
      </c>
      <c r="C1541" s="54">
        <v>3646.65</v>
      </c>
      <c r="D1541" s="56">
        <f t="shared" si="50"/>
        <v>1.29674067076051</v>
      </c>
      <c r="E1541" s="64">
        <v>-5.1289746143037274E-3</v>
      </c>
      <c r="F1541" s="64">
        <v>1538</v>
      </c>
      <c r="G1541" s="64">
        <f t="shared" ref="G1541:G1604" ca="1" si="51">_xlfn.NORM.INV(RAND(),K$6,K$7)</f>
        <v>6.659329394157169E-3</v>
      </c>
    </row>
    <row r="1542" spans="2:7" x14ac:dyDescent="0.3">
      <c r="B1542" s="55">
        <v>43293</v>
      </c>
      <c r="C1542" s="54">
        <v>1587.75</v>
      </c>
      <c r="D1542" s="56">
        <f t="shared" si="50"/>
        <v>0.94148936170212782</v>
      </c>
      <c r="E1542" s="64">
        <v>-5.1380055766158117E-3</v>
      </c>
      <c r="F1542" s="64">
        <v>1539</v>
      </c>
      <c r="G1542" s="64">
        <f t="shared" ca="1" si="51"/>
        <v>1.5743598636984546E-3</v>
      </c>
    </row>
    <row r="1543" spans="2:7" x14ac:dyDescent="0.3">
      <c r="B1543" s="55">
        <v>42907</v>
      </c>
      <c r="C1543" s="54">
        <v>817.8</v>
      </c>
      <c r="D1543" s="56">
        <f t="shared" si="50"/>
        <v>-0.82848514083177793</v>
      </c>
      <c r="E1543" s="64">
        <v>-5.1700018247065049E-3</v>
      </c>
      <c r="F1543" s="64">
        <v>1540</v>
      </c>
      <c r="G1543" s="64">
        <f t="shared" ca="1" si="51"/>
        <v>-1.7666521988736354E-2</v>
      </c>
    </row>
    <row r="1544" spans="2:7" x14ac:dyDescent="0.3">
      <c r="B1544" s="55">
        <v>45477</v>
      </c>
      <c r="C1544" s="54">
        <v>4768.1000000000004</v>
      </c>
      <c r="D1544" s="56">
        <f t="shared" si="50"/>
        <v>0.29099597926002163</v>
      </c>
      <c r="E1544" s="64">
        <v>-5.1743203488492373E-3</v>
      </c>
      <c r="F1544" s="64">
        <v>1541</v>
      </c>
      <c r="G1544" s="64">
        <f t="shared" ca="1" si="51"/>
        <v>1.143571595415621E-2</v>
      </c>
    </row>
    <row r="1545" spans="2:7" x14ac:dyDescent="0.3">
      <c r="B1545" s="55">
        <v>45134</v>
      </c>
      <c r="C1545" s="54">
        <v>3693.35</v>
      </c>
      <c r="D1545" s="56">
        <f t="shared" si="50"/>
        <v>7.611616581865821E-3</v>
      </c>
      <c r="E1545" s="64">
        <v>-5.1984431605457404E-3</v>
      </c>
      <c r="F1545" s="64">
        <v>1542</v>
      </c>
      <c r="G1545" s="64">
        <f t="shared" ca="1" si="51"/>
        <v>2.2479648301498699E-2</v>
      </c>
    </row>
    <row r="1546" spans="2:7" x14ac:dyDescent="0.3">
      <c r="B1546" s="55">
        <v>45226</v>
      </c>
      <c r="C1546" s="54">
        <v>3665.45</v>
      </c>
      <c r="D1546" s="56">
        <f t="shared" si="50"/>
        <v>-0.12078436075797561</v>
      </c>
      <c r="E1546" s="64">
        <v>-5.2108069965940418E-3</v>
      </c>
      <c r="F1546" s="64">
        <v>1543</v>
      </c>
      <c r="G1546" s="64">
        <f t="shared" ca="1" si="51"/>
        <v>-2.9576346553423803E-2</v>
      </c>
    </row>
    <row r="1547" spans="2:7" x14ac:dyDescent="0.3">
      <c r="B1547" s="55">
        <v>45848</v>
      </c>
      <c r="C1547" s="54">
        <v>4169</v>
      </c>
      <c r="D1547" s="56">
        <f t="shared" si="50"/>
        <v>1.3011942800908782E-2</v>
      </c>
      <c r="E1547" s="64">
        <v>-5.2256078646590876E-3</v>
      </c>
      <c r="F1547" s="64">
        <v>1544</v>
      </c>
      <c r="G1547" s="64">
        <f t="shared" ca="1" si="51"/>
        <v>2.7403186071103265E-2</v>
      </c>
    </row>
    <row r="1548" spans="2:7" x14ac:dyDescent="0.3">
      <c r="B1548" s="55">
        <v>45267</v>
      </c>
      <c r="C1548" s="54">
        <v>4115.45</v>
      </c>
      <c r="D1548" s="56">
        <f t="shared" si="50"/>
        <v>-1.800329284879143E-2</v>
      </c>
      <c r="E1548" s="64">
        <v>-5.2451566899918145E-3</v>
      </c>
      <c r="F1548" s="64">
        <v>1545</v>
      </c>
      <c r="G1548" s="64">
        <f t="shared" ca="1" si="51"/>
        <v>-6.8944267875629371E-3</v>
      </c>
    </row>
    <row r="1549" spans="2:7" x14ac:dyDescent="0.3">
      <c r="B1549" s="55">
        <v>45847</v>
      </c>
      <c r="C1549" s="54">
        <v>4190.8999999999996</v>
      </c>
      <c r="D1549" s="56">
        <f t="shared" si="50"/>
        <v>0.2579241205426821</v>
      </c>
      <c r="E1549" s="64">
        <v>-5.2456681699502017E-3</v>
      </c>
      <c r="F1549" s="64">
        <v>1546</v>
      </c>
      <c r="G1549" s="64">
        <f t="shared" ca="1" si="51"/>
        <v>7.3959169713953129E-3</v>
      </c>
    </row>
    <row r="1550" spans="2:7" x14ac:dyDescent="0.3">
      <c r="B1550" s="55">
        <v>44396</v>
      </c>
      <c r="C1550" s="54">
        <v>3331.6</v>
      </c>
      <c r="D1550" s="56">
        <f t="shared" si="50"/>
        <v>1.3968345323741005</v>
      </c>
      <c r="E1550" s="64">
        <v>-5.2549862653767931E-3</v>
      </c>
      <c r="F1550" s="64">
        <v>1547</v>
      </c>
      <c r="G1550" s="64">
        <f t="shared" ca="1" si="51"/>
        <v>-3.0997825904620344E-2</v>
      </c>
    </row>
    <row r="1551" spans="2:7" x14ac:dyDescent="0.3">
      <c r="B1551" s="55">
        <v>43480</v>
      </c>
      <c r="C1551" s="54">
        <v>1390</v>
      </c>
      <c r="D1551" s="56">
        <f t="shared" si="50"/>
        <v>-0.64069689293284393</v>
      </c>
      <c r="E1551" s="64">
        <v>-5.295548876484979E-3</v>
      </c>
      <c r="F1551" s="64">
        <v>1548</v>
      </c>
      <c r="G1551" s="64">
        <f t="shared" ca="1" si="51"/>
        <v>2.6556562400436856E-2</v>
      </c>
    </row>
    <row r="1552" spans="2:7" x14ac:dyDescent="0.3">
      <c r="B1552" s="55">
        <v>45110</v>
      </c>
      <c r="C1552" s="54">
        <v>3868.6</v>
      </c>
      <c r="D1552" s="56">
        <f t="shared" si="50"/>
        <v>0.31054575019478969</v>
      </c>
      <c r="E1552" s="64">
        <v>-5.296719119613269E-3</v>
      </c>
      <c r="F1552" s="64">
        <v>1549</v>
      </c>
      <c r="G1552" s="64">
        <f t="shared" ca="1" si="51"/>
        <v>-2.0957870334540926E-2</v>
      </c>
    </row>
    <row r="1553" spans="2:7" x14ac:dyDescent="0.3">
      <c r="B1553" s="55">
        <v>44238</v>
      </c>
      <c r="C1553" s="54">
        <v>2951.9</v>
      </c>
      <c r="D1553" s="56">
        <f t="shared" si="50"/>
        <v>-0.2559048171208187</v>
      </c>
      <c r="E1553" s="64">
        <v>-5.3239882737472488E-3</v>
      </c>
      <c r="F1553" s="64">
        <v>1550</v>
      </c>
      <c r="G1553" s="64">
        <f t="shared" ca="1" si="51"/>
        <v>-3.6252080277196161E-3</v>
      </c>
    </row>
    <row r="1554" spans="2:7" x14ac:dyDescent="0.3">
      <c r="B1554" s="55">
        <v>45264</v>
      </c>
      <c r="C1554" s="54">
        <v>3967.1</v>
      </c>
      <c r="D1554" s="56">
        <f t="shared" si="50"/>
        <v>7.5546638832029833E-2</v>
      </c>
      <c r="E1554" s="64">
        <v>-5.3404874134992397E-3</v>
      </c>
      <c r="F1554" s="64">
        <v>1551</v>
      </c>
      <c r="G1554" s="64">
        <f t="shared" ca="1" si="51"/>
        <v>1.596546351112467E-2</v>
      </c>
    </row>
    <row r="1555" spans="2:7" x14ac:dyDescent="0.3">
      <c r="B1555" s="55">
        <v>45638</v>
      </c>
      <c r="C1555" s="54">
        <v>3688.45</v>
      </c>
      <c r="D1555" s="56">
        <f t="shared" si="50"/>
        <v>-0.11740566150606602</v>
      </c>
      <c r="E1555" s="64">
        <v>-5.3528571043336415E-3</v>
      </c>
      <c r="F1555" s="64">
        <v>1552</v>
      </c>
      <c r="G1555" s="64">
        <f t="shared" ca="1" si="51"/>
        <v>-8.0220628047895232E-3</v>
      </c>
    </row>
    <row r="1556" spans="2:7" x14ac:dyDescent="0.3">
      <c r="B1556" s="55">
        <v>45817</v>
      </c>
      <c r="C1556" s="54">
        <v>4179.1000000000004</v>
      </c>
      <c r="D1556" s="56">
        <f t="shared" si="50"/>
        <v>1.2855345911949687</v>
      </c>
      <c r="E1556" s="64">
        <v>-5.3551028179741333E-3</v>
      </c>
      <c r="F1556" s="64">
        <v>1553</v>
      </c>
      <c r="G1556" s="64">
        <f t="shared" ca="1" si="51"/>
        <v>4.0594001257306368E-2</v>
      </c>
    </row>
    <row r="1557" spans="2:7" x14ac:dyDescent="0.3">
      <c r="B1557" s="55">
        <v>43831</v>
      </c>
      <c r="C1557" s="54">
        <v>1828.5</v>
      </c>
      <c r="D1557" s="56">
        <f t="shared" si="50"/>
        <v>-0.22204731109598375</v>
      </c>
      <c r="E1557" s="64">
        <v>-5.3580656567029372E-3</v>
      </c>
      <c r="F1557" s="64">
        <v>1554</v>
      </c>
      <c r="G1557" s="64">
        <f t="shared" ca="1" si="51"/>
        <v>1.0107183030872827E-2</v>
      </c>
    </row>
    <row r="1558" spans="2:7" x14ac:dyDescent="0.3">
      <c r="B1558" s="55">
        <v>44004</v>
      </c>
      <c r="C1558" s="54">
        <v>2350.4</v>
      </c>
      <c r="D1558" s="56">
        <f t="shared" si="50"/>
        <v>-0.35228384429900106</v>
      </c>
      <c r="E1558" s="64">
        <v>-5.3953409643907602E-3</v>
      </c>
      <c r="F1558" s="64">
        <v>1555</v>
      </c>
      <c r="G1558" s="64">
        <f t="shared" ca="1" si="51"/>
        <v>2.4307988841658142E-2</v>
      </c>
    </row>
    <row r="1559" spans="2:7" x14ac:dyDescent="0.3">
      <c r="B1559" s="55">
        <v>45147</v>
      </c>
      <c r="C1559" s="54">
        <v>3628.75</v>
      </c>
      <c r="D1559" s="56">
        <f t="shared" si="50"/>
        <v>1.7221409549529274</v>
      </c>
      <c r="E1559" s="64">
        <v>-5.3995532349353503E-3</v>
      </c>
      <c r="F1559" s="64">
        <v>1556</v>
      </c>
      <c r="G1559" s="64">
        <f t="shared" ca="1" si="51"/>
        <v>-1.7239560486804481E-3</v>
      </c>
    </row>
    <row r="1560" spans="2:7" x14ac:dyDescent="0.3">
      <c r="B1560" s="55">
        <v>43620</v>
      </c>
      <c r="C1560" s="54">
        <v>1333.05</v>
      </c>
      <c r="D1560" s="56">
        <f t="shared" si="50"/>
        <v>-0.64978260012873224</v>
      </c>
      <c r="E1560" s="64">
        <v>-5.4092367380437212E-3</v>
      </c>
      <c r="F1560" s="64">
        <v>1557</v>
      </c>
      <c r="G1560" s="64">
        <f t="shared" ca="1" si="51"/>
        <v>8.2157576374150883E-3</v>
      </c>
    </row>
    <row r="1561" spans="2:7" x14ac:dyDescent="0.3">
      <c r="B1561" s="55">
        <v>45119</v>
      </c>
      <c r="C1561" s="54">
        <v>3806.35</v>
      </c>
      <c r="D1561" s="56">
        <f t="shared" si="50"/>
        <v>-6.0601199437301023E-2</v>
      </c>
      <c r="E1561" s="64">
        <v>-5.4218598939144158E-3</v>
      </c>
      <c r="F1561" s="64">
        <v>1558</v>
      </c>
      <c r="G1561" s="64">
        <f t="shared" ca="1" si="51"/>
        <v>-1.2253418560966903E-2</v>
      </c>
    </row>
    <row r="1562" spans="2:7" x14ac:dyDescent="0.3">
      <c r="B1562" s="55">
        <v>45821</v>
      </c>
      <c r="C1562" s="54">
        <v>4051.9</v>
      </c>
      <c r="D1562" s="56">
        <f t="shared" si="50"/>
        <v>5.3727927599927172E-2</v>
      </c>
      <c r="E1562" s="64">
        <v>-5.4246440844378796E-3</v>
      </c>
      <c r="F1562" s="64">
        <v>1559</v>
      </c>
      <c r="G1562" s="64">
        <f t="shared" ca="1" si="51"/>
        <v>3.4304377633979179E-2</v>
      </c>
    </row>
    <row r="1563" spans="2:7" x14ac:dyDescent="0.3">
      <c r="B1563" s="55">
        <v>46076</v>
      </c>
      <c r="C1563" s="54">
        <v>3845.3</v>
      </c>
      <c r="D1563" s="56">
        <f t="shared" si="50"/>
        <v>1.4601260356354566</v>
      </c>
      <c r="E1563" s="64">
        <v>-5.4572729153734567E-3</v>
      </c>
      <c r="F1563" s="64">
        <v>1560</v>
      </c>
      <c r="G1563" s="64">
        <f t="shared" ca="1" si="51"/>
        <v>3.3078079488750398E-2</v>
      </c>
    </row>
    <row r="1564" spans="2:7" x14ac:dyDescent="0.3">
      <c r="B1564" s="55">
        <v>43306</v>
      </c>
      <c r="C1564" s="54">
        <v>1563.05</v>
      </c>
      <c r="D1564" s="56">
        <f t="shared" si="50"/>
        <v>-0.62899359126513177</v>
      </c>
      <c r="E1564" s="64">
        <v>-5.4719562243502606E-3</v>
      </c>
      <c r="F1564" s="64">
        <v>1561</v>
      </c>
      <c r="G1564" s="64">
        <f t="shared" ca="1" si="51"/>
        <v>-2.7377200673583943E-2</v>
      </c>
    </row>
    <row r="1565" spans="2:7" x14ac:dyDescent="0.3">
      <c r="B1565" s="55">
        <v>45846</v>
      </c>
      <c r="C1565" s="54">
        <v>4213</v>
      </c>
      <c r="D1565" s="56">
        <f t="shared" si="50"/>
        <v>-8.7947177572116675E-2</v>
      </c>
      <c r="E1565" s="64">
        <v>-5.5000826192668217E-3</v>
      </c>
      <c r="F1565" s="64">
        <v>1562</v>
      </c>
      <c r="G1565" s="64">
        <f t="shared" ca="1" si="51"/>
        <v>-3.6745113215835276E-2</v>
      </c>
    </row>
    <row r="1566" spans="2:7" x14ac:dyDescent="0.3">
      <c r="B1566" s="55">
        <v>45387</v>
      </c>
      <c r="C1566" s="54">
        <v>4619.25</v>
      </c>
      <c r="D1566" s="56">
        <f t="shared" si="50"/>
        <v>0.16496223345901151</v>
      </c>
      <c r="E1566" s="64">
        <v>-5.5542997384312454E-3</v>
      </c>
      <c r="F1566" s="64">
        <v>1563</v>
      </c>
      <c r="G1566" s="64">
        <f t="shared" ca="1" si="51"/>
        <v>4.3567590384595109E-2</v>
      </c>
    </row>
    <row r="1567" spans="2:7" x14ac:dyDescent="0.3">
      <c r="B1567" s="55">
        <v>45594</v>
      </c>
      <c r="C1567" s="54">
        <v>3965.15</v>
      </c>
      <c r="D1567" s="56">
        <f t="shared" si="50"/>
        <v>5.2517146235711474</v>
      </c>
      <c r="E1567" s="64">
        <v>-5.6050156739811952E-3</v>
      </c>
      <c r="F1567" s="64">
        <v>1564</v>
      </c>
      <c r="G1567" s="64">
        <f t="shared" ca="1" si="51"/>
        <v>8.9940443953738167E-3</v>
      </c>
    </row>
    <row r="1568" spans="2:7" x14ac:dyDescent="0.3">
      <c r="B1568" s="55">
        <v>42828</v>
      </c>
      <c r="C1568" s="54">
        <v>634.25</v>
      </c>
      <c r="D1568" s="56">
        <f t="shared" si="50"/>
        <v>-0.70339973812196033</v>
      </c>
      <c r="E1568" s="64">
        <v>-5.6439601787254823E-3</v>
      </c>
      <c r="F1568" s="64">
        <v>1565</v>
      </c>
      <c r="G1568" s="64">
        <f t="shared" ca="1" si="51"/>
        <v>1.5392954094607688E-2</v>
      </c>
    </row>
    <row r="1569" spans="2:7" x14ac:dyDescent="0.3">
      <c r="B1569" s="55">
        <v>44050</v>
      </c>
      <c r="C1569" s="54">
        <v>2138.4</v>
      </c>
      <c r="D1569" s="56">
        <f t="shared" si="50"/>
        <v>-0.44404435373795936</v>
      </c>
      <c r="E1569" s="64">
        <v>-5.6497175141243527E-3</v>
      </c>
      <c r="F1569" s="64">
        <v>1566</v>
      </c>
      <c r="G1569" s="64">
        <f t="shared" ca="1" si="51"/>
        <v>-2.0203131835076681E-2</v>
      </c>
    </row>
    <row r="1570" spans="2:7" x14ac:dyDescent="0.3">
      <c r="B1570" s="55">
        <v>45355</v>
      </c>
      <c r="C1570" s="54">
        <v>3846.35</v>
      </c>
      <c r="D1570" s="56">
        <f t="shared" si="50"/>
        <v>1.0096397502547085</v>
      </c>
      <c r="E1570" s="64">
        <v>-5.6614748271182069E-3</v>
      </c>
      <c r="F1570" s="64">
        <v>1567</v>
      </c>
      <c r="G1570" s="64">
        <f t="shared" ca="1" si="51"/>
        <v>-3.0181570677924374E-2</v>
      </c>
    </row>
    <row r="1571" spans="2:7" x14ac:dyDescent="0.3">
      <c r="B1571" s="55">
        <v>43760</v>
      </c>
      <c r="C1571" s="54">
        <v>1913.95</v>
      </c>
      <c r="D1571" s="56">
        <f t="shared" si="50"/>
        <v>-0.52401143994031329</v>
      </c>
      <c r="E1571" s="64">
        <v>-5.6627789178377297E-3</v>
      </c>
      <c r="F1571" s="64">
        <v>1568</v>
      </c>
      <c r="G1571" s="64">
        <f t="shared" ca="1" si="51"/>
        <v>2.1876578435039096E-2</v>
      </c>
    </row>
    <row r="1572" spans="2:7" x14ac:dyDescent="0.3">
      <c r="B1572" s="55">
        <v>45862</v>
      </c>
      <c r="C1572" s="54">
        <v>4021</v>
      </c>
      <c r="D1572" s="56">
        <f t="shared" si="50"/>
        <v>1.1329301930829621</v>
      </c>
      <c r="E1572" s="64">
        <v>-5.6628502188481589E-3</v>
      </c>
      <c r="F1572" s="64">
        <v>1569</v>
      </c>
      <c r="G1572" s="64">
        <f t="shared" ca="1" si="51"/>
        <v>-1.9555826177752644E-2</v>
      </c>
    </row>
    <row r="1573" spans="2:7" x14ac:dyDescent="0.3">
      <c r="B1573" s="55">
        <v>43741</v>
      </c>
      <c r="C1573" s="54">
        <v>1885.2</v>
      </c>
      <c r="D1573" s="56">
        <f t="shared" si="50"/>
        <v>-0.57635003033776033</v>
      </c>
      <c r="E1573" s="64">
        <v>-5.6962025316456E-3</v>
      </c>
      <c r="F1573" s="64">
        <v>1570</v>
      </c>
      <c r="G1573" s="64">
        <f t="shared" ca="1" si="51"/>
        <v>3.8340650946210404E-3</v>
      </c>
    </row>
    <row r="1574" spans="2:7" x14ac:dyDescent="0.3">
      <c r="B1574" s="55">
        <v>45931</v>
      </c>
      <c r="C1574" s="54">
        <v>4449.8999999999996</v>
      </c>
      <c r="D1574" s="56">
        <f t="shared" si="50"/>
        <v>0.1955508389194125</v>
      </c>
      <c r="E1574" s="64">
        <v>-5.6978147204719276E-3</v>
      </c>
      <c r="F1574" s="64">
        <v>1571</v>
      </c>
      <c r="G1574" s="64">
        <f t="shared" ca="1" si="51"/>
        <v>-6.0731548532187854E-3</v>
      </c>
    </row>
    <row r="1575" spans="2:7" x14ac:dyDescent="0.3">
      <c r="B1575" s="55">
        <v>45698</v>
      </c>
      <c r="C1575" s="54">
        <v>3722.05</v>
      </c>
      <c r="D1575" s="56">
        <f t="shared" si="50"/>
        <v>1.3793709646487247</v>
      </c>
      <c r="E1575" s="64">
        <v>-5.7299318819286071E-3</v>
      </c>
      <c r="F1575" s="64">
        <v>1572</v>
      </c>
      <c r="G1575" s="64">
        <f t="shared" ca="1" si="51"/>
        <v>2.5954150804089102E-3</v>
      </c>
    </row>
    <row r="1576" spans="2:7" x14ac:dyDescent="0.3">
      <c r="B1576" s="55">
        <v>43348</v>
      </c>
      <c r="C1576" s="54">
        <v>1564.3</v>
      </c>
      <c r="D1576" s="56">
        <f t="shared" si="50"/>
        <v>1.4640466251870521</v>
      </c>
      <c r="E1576" s="64">
        <v>-5.7836532350324932E-3</v>
      </c>
      <c r="F1576" s="64">
        <v>1573</v>
      </c>
      <c r="G1576" s="64">
        <f t="shared" ca="1" si="51"/>
        <v>3.6055121742553368E-2</v>
      </c>
    </row>
    <row r="1577" spans="2:7" x14ac:dyDescent="0.3">
      <c r="B1577" s="55">
        <v>42817</v>
      </c>
      <c r="C1577" s="54">
        <v>634.85</v>
      </c>
      <c r="D1577" s="56">
        <f t="shared" si="50"/>
        <v>-0.83576935016556286</v>
      </c>
      <c r="E1577" s="64">
        <v>-5.7943778874010032E-3</v>
      </c>
      <c r="F1577" s="64">
        <v>1574</v>
      </c>
      <c r="G1577" s="64">
        <f t="shared" ca="1" si="51"/>
        <v>-1.5710041065298504E-2</v>
      </c>
    </row>
    <row r="1578" spans="2:7" x14ac:dyDescent="0.3">
      <c r="B1578" s="55">
        <v>46079</v>
      </c>
      <c r="C1578" s="54">
        <v>3865.6</v>
      </c>
      <c r="D1578" s="56">
        <f t="shared" si="50"/>
        <v>-8.7505606307390904E-2</v>
      </c>
      <c r="E1578" s="64">
        <v>-5.8124582068823649E-3</v>
      </c>
      <c r="F1578" s="64">
        <v>1575</v>
      </c>
      <c r="G1578" s="64">
        <f t="shared" ca="1" si="51"/>
        <v>-1.2512756188822353E-2</v>
      </c>
    </row>
    <row r="1579" spans="2:7" x14ac:dyDescent="0.3">
      <c r="B1579" s="55">
        <v>45845</v>
      </c>
      <c r="C1579" s="54">
        <v>4236.3</v>
      </c>
      <c r="D1579" s="56">
        <f t="shared" si="50"/>
        <v>2.830116179196239</v>
      </c>
      <c r="E1579" s="64">
        <v>-5.8200934031119589E-3</v>
      </c>
      <c r="F1579" s="64">
        <v>1576</v>
      </c>
      <c r="G1579" s="64">
        <f t="shared" ca="1" si="51"/>
        <v>8.9895874641344603E-3</v>
      </c>
    </row>
    <row r="1580" spans="2:7" x14ac:dyDescent="0.3">
      <c r="B1580" s="55">
        <v>43056</v>
      </c>
      <c r="C1580" s="54">
        <v>1106.05</v>
      </c>
      <c r="D1580" s="56">
        <f t="shared" si="50"/>
        <v>-0.65169813103241969</v>
      </c>
      <c r="E1580" s="64">
        <v>-5.8871112708969164E-3</v>
      </c>
      <c r="F1580" s="64">
        <v>1577</v>
      </c>
      <c r="G1580" s="64">
        <f t="shared" ca="1" si="51"/>
        <v>1.3558076950834743E-2</v>
      </c>
    </row>
    <row r="1581" spans="2:7" x14ac:dyDescent="0.3">
      <c r="B1581" s="55">
        <v>44358</v>
      </c>
      <c r="C1581" s="54">
        <v>3175.55</v>
      </c>
      <c r="D1581" s="56">
        <f t="shared" si="50"/>
        <v>0.4766222594220082</v>
      </c>
      <c r="E1581" s="64">
        <v>-5.9320707465956302E-3</v>
      </c>
      <c r="F1581" s="64">
        <v>1578</v>
      </c>
      <c r="G1581" s="64">
        <f t="shared" ca="1" si="51"/>
        <v>1.2599377499881294E-3</v>
      </c>
    </row>
    <row r="1582" spans="2:7" x14ac:dyDescent="0.3">
      <c r="B1582" s="55">
        <v>44049</v>
      </c>
      <c r="C1582" s="54">
        <v>2150.5500000000002</v>
      </c>
      <c r="D1582" s="56">
        <f t="shared" si="50"/>
        <v>-0.46195896922692015</v>
      </c>
      <c r="E1582" s="64">
        <v>-5.9626984677250139E-3</v>
      </c>
      <c r="F1582" s="64">
        <v>1579</v>
      </c>
      <c r="G1582" s="64">
        <f t="shared" ca="1" si="51"/>
        <v>6.8482092568235209E-3</v>
      </c>
    </row>
    <row r="1583" spans="2:7" x14ac:dyDescent="0.3">
      <c r="B1583" s="55">
        <v>45863</v>
      </c>
      <c r="C1583" s="54">
        <v>3997</v>
      </c>
      <c r="D1583" s="56">
        <f t="shared" si="50"/>
        <v>-4.9035235897313956E-2</v>
      </c>
      <c r="E1583" s="64">
        <v>-5.9686645113156134E-3</v>
      </c>
      <c r="F1583" s="64">
        <v>1580</v>
      </c>
      <c r="G1583" s="64">
        <f t="shared" ca="1" si="51"/>
        <v>7.3587156381252844E-3</v>
      </c>
    </row>
    <row r="1584" spans="2:7" x14ac:dyDescent="0.3">
      <c r="B1584" s="55">
        <v>45827</v>
      </c>
      <c r="C1584" s="54">
        <v>4203.1000000000004</v>
      </c>
      <c r="D1584" s="56">
        <f t="shared" si="50"/>
        <v>3.8918344394596627E-2</v>
      </c>
      <c r="E1584" s="64">
        <v>-5.9833506763785627E-3</v>
      </c>
      <c r="F1584" s="64">
        <v>1581</v>
      </c>
      <c r="G1584" s="64">
        <f t="shared" ca="1" si="51"/>
        <v>3.2141695912663221E-2</v>
      </c>
    </row>
    <row r="1585" spans="2:7" x14ac:dyDescent="0.3">
      <c r="B1585" s="55">
        <v>45275</v>
      </c>
      <c r="C1585" s="54">
        <v>4045.65</v>
      </c>
      <c r="D1585" s="56">
        <f t="shared" si="50"/>
        <v>2.4601864522750598</v>
      </c>
      <c r="E1585" s="64">
        <v>-5.9950123462857441E-3</v>
      </c>
      <c r="F1585" s="64">
        <v>1582</v>
      </c>
      <c r="G1585" s="64">
        <f t="shared" ca="1" si="51"/>
        <v>-1.0015860290413384E-2</v>
      </c>
    </row>
    <row r="1586" spans="2:7" x14ac:dyDescent="0.3">
      <c r="B1586" s="55">
        <v>43123</v>
      </c>
      <c r="C1586" s="54">
        <v>1169.2</v>
      </c>
      <c r="D1586" s="56">
        <f t="shared" si="50"/>
        <v>2.9044182362260251E-2</v>
      </c>
      <c r="E1586" s="64">
        <v>-6.0358752019041839E-3</v>
      </c>
      <c r="F1586" s="64">
        <v>1583</v>
      </c>
      <c r="G1586" s="64">
        <f t="shared" ca="1" si="51"/>
        <v>3.1316113508569277E-2</v>
      </c>
    </row>
    <row r="1587" spans="2:7" x14ac:dyDescent="0.3">
      <c r="B1587" s="55">
        <v>43035</v>
      </c>
      <c r="C1587" s="54">
        <v>1136.2</v>
      </c>
      <c r="D1587" s="56">
        <f t="shared" si="50"/>
        <v>-0.71808200483840956</v>
      </c>
      <c r="E1587" s="64">
        <v>-6.0362173038228661E-3</v>
      </c>
      <c r="F1587" s="64">
        <v>1584</v>
      </c>
      <c r="G1587" s="64">
        <f t="shared" ca="1" si="51"/>
        <v>-1.6072615124098875E-2</v>
      </c>
    </row>
    <row r="1588" spans="2:7" x14ac:dyDescent="0.3">
      <c r="B1588" s="55">
        <v>44672</v>
      </c>
      <c r="C1588" s="54">
        <v>4030.25</v>
      </c>
      <c r="D1588" s="56">
        <f t="shared" si="50"/>
        <v>1.6843279605701342</v>
      </c>
      <c r="E1588" s="64">
        <v>-6.0545526289830232E-3</v>
      </c>
      <c r="F1588" s="64">
        <v>1585</v>
      </c>
      <c r="G1588" s="64">
        <f t="shared" ca="1" si="51"/>
        <v>-3.7795730533339573E-2</v>
      </c>
    </row>
    <row r="1589" spans="2:7" x14ac:dyDescent="0.3">
      <c r="B1589" s="55">
        <v>43537</v>
      </c>
      <c r="C1589" s="54">
        <v>1501.4</v>
      </c>
      <c r="D1589" s="56">
        <f t="shared" si="50"/>
        <v>-0.56840819259791586</v>
      </c>
      <c r="E1589" s="64">
        <v>-6.0902952469216176E-3</v>
      </c>
      <c r="F1589" s="64">
        <v>1586</v>
      </c>
      <c r="G1589" s="64">
        <f t="shared" ca="1" si="51"/>
        <v>9.8460969641059725E-3</v>
      </c>
    </row>
    <row r="1590" spans="2:7" x14ac:dyDescent="0.3">
      <c r="B1590" s="55">
        <v>44980</v>
      </c>
      <c r="C1590" s="54">
        <v>3478.75</v>
      </c>
      <c r="D1590" s="56">
        <f t="shared" si="50"/>
        <v>-0.13543504734448386</v>
      </c>
      <c r="E1590" s="64">
        <v>-6.1140236846992657E-3</v>
      </c>
      <c r="F1590" s="64">
        <v>1587</v>
      </c>
      <c r="G1590" s="64">
        <f t="shared" ca="1" si="51"/>
        <v>1.8024218867993907E-2</v>
      </c>
    </row>
    <row r="1591" spans="2:7" x14ac:dyDescent="0.3">
      <c r="B1591" s="55">
        <v>45859</v>
      </c>
      <c r="C1591" s="54">
        <v>4023.7</v>
      </c>
      <c r="D1591" s="56">
        <f t="shared" si="50"/>
        <v>0.43988978153124947</v>
      </c>
      <c r="E1591" s="64">
        <v>-6.1502741688485019E-3</v>
      </c>
      <c r="F1591" s="64">
        <v>1588</v>
      </c>
      <c r="G1591" s="64">
        <f t="shared" ca="1" si="51"/>
        <v>-1.6704652053738285E-2</v>
      </c>
    </row>
    <row r="1592" spans="2:7" x14ac:dyDescent="0.3">
      <c r="B1592" s="55">
        <v>44224</v>
      </c>
      <c r="C1592" s="54">
        <v>2794.45</v>
      </c>
      <c r="D1592" s="56">
        <f t="shared" si="50"/>
        <v>-1.5189159662384877E-2</v>
      </c>
      <c r="E1592" s="64">
        <v>-6.152751844936466E-3</v>
      </c>
      <c r="F1592" s="64">
        <v>1589</v>
      </c>
      <c r="G1592" s="64">
        <f t="shared" ca="1" si="51"/>
        <v>7.5191754718398254E-3</v>
      </c>
    </row>
    <row r="1593" spans="2:7" x14ac:dyDescent="0.3">
      <c r="B1593" s="55">
        <v>44285</v>
      </c>
      <c r="C1593" s="54">
        <v>2837.55</v>
      </c>
      <c r="D1593" s="56">
        <f t="shared" si="50"/>
        <v>0.96744669786791482</v>
      </c>
      <c r="E1593" s="64">
        <v>-6.1817035584196267E-3</v>
      </c>
      <c r="F1593" s="64">
        <v>1590</v>
      </c>
      <c r="G1593" s="64">
        <f t="shared" ca="1" si="51"/>
        <v>2.6898297234265994E-3</v>
      </c>
    </row>
    <row r="1594" spans="2:7" x14ac:dyDescent="0.3">
      <c r="B1594" s="55">
        <v>43508</v>
      </c>
      <c r="C1594" s="54">
        <v>1442.25</v>
      </c>
      <c r="D1594" s="56">
        <f t="shared" si="50"/>
        <v>0.99508922395905386</v>
      </c>
      <c r="E1594" s="64">
        <v>-6.2357886033210796E-3</v>
      </c>
      <c r="F1594" s="64">
        <v>1591</v>
      </c>
      <c r="G1594" s="64">
        <f t="shared" ca="1" si="51"/>
        <v>-1.5643587112773208E-2</v>
      </c>
    </row>
    <row r="1595" spans="2:7" x14ac:dyDescent="0.3">
      <c r="B1595" s="55">
        <v>42874</v>
      </c>
      <c r="C1595" s="54">
        <v>722.9</v>
      </c>
      <c r="D1595" s="56">
        <f t="shared" si="50"/>
        <v>-0.48214477595902439</v>
      </c>
      <c r="E1595" s="64">
        <v>-6.2547254106812833E-3</v>
      </c>
      <c r="F1595" s="64">
        <v>1592</v>
      </c>
      <c r="G1595" s="64">
        <f t="shared" ca="1" si="51"/>
        <v>-1.374521391327903E-2</v>
      </c>
    </row>
    <row r="1596" spans="2:7" x14ac:dyDescent="0.3">
      <c r="B1596" s="55">
        <v>43371</v>
      </c>
      <c r="C1596" s="54">
        <v>1395.95</v>
      </c>
      <c r="D1596" s="56">
        <f t="shared" si="50"/>
        <v>-0.63112068282112943</v>
      </c>
      <c r="E1596" s="64">
        <v>-6.2644598683039288E-3</v>
      </c>
      <c r="F1596" s="64">
        <v>1593</v>
      </c>
      <c r="G1596" s="64">
        <f t="shared" ca="1" si="51"/>
        <v>1.9031154353142066E-2</v>
      </c>
    </row>
    <row r="1597" spans="2:7" x14ac:dyDescent="0.3">
      <c r="B1597" s="55">
        <v>45324</v>
      </c>
      <c r="C1597" s="54">
        <v>3784.3</v>
      </c>
      <c r="D1597" s="56">
        <f t="shared" si="50"/>
        <v>1.4386518881299137</v>
      </c>
      <c r="E1597" s="64">
        <v>-6.2759308859827723E-3</v>
      </c>
      <c r="F1597" s="64">
        <v>1594</v>
      </c>
      <c r="G1597" s="64">
        <f t="shared" ca="1" si="51"/>
        <v>1.0619837383437809E-2</v>
      </c>
    </row>
    <row r="1598" spans="2:7" x14ac:dyDescent="0.3">
      <c r="B1598" s="55">
        <v>43299</v>
      </c>
      <c r="C1598" s="54">
        <v>1551.8</v>
      </c>
      <c r="D1598" s="56">
        <f t="shared" si="50"/>
        <v>-0.63703131943957159</v>
      </c>
      <c r="E1598" s="64">
        <v>-6.3074312425960288E-3</v>
      </c>
      <c r="F1598" s="64">
        <v>1595</v>
      </c>
      <c r="G1598" s="64">
        <f t="shared" ca="1" si="51"/>
        <v>1.5444142041113229E-3</v>
      </c>
    </row>
    <row r="1599" spans="2:7" x14ac:dyDescent="0.3">
      <c r="B1599" s="55">
        <v>45950</v>
      </c>
      <c r="C1599" s="54">
        <v>4275.3</v>
      </c>
      <c r="D1599" s="56">
        <f t="shared" si="50"/>
        <v>2.7482903734876385</v>
      </c>
      <c r="E1599" s="64">
        <v>-6.321905868680977E-3</v>
      </c>
      <c r="F1599" s="64">
        <v>1596</v>
      </c>
      <c r="G1599" s="64">
        <f t="shared" ca="1" si="51"/>
        <v>-4.8056807064614251E-2</v>
      </c>
    </row>
    <row r="1600" spans="2:7" x14ac:dyDescent="0.3">
      <c r="B1600" s="55">
        <v>43039</v>
      </c>
      <c r="C1600" s="54">
        <v>1140.5999999999999</v>
      </c>
      <c r="D1600" s="56">
        <f t="shared" si="50"/>
        <v>-0.36938132360258757</v>
      </c>
      <c r="E1600" s="64">
        <v>-6.3594389755207148E-3</v>
      </c>
      <c r="F1600" s="64">
        <v>1597</v>
      </c>
      <c r="G1600" s="64">
        <f t="shared" ca="1" si="51"/>
        <v>-8.2404239652928042E-3</v>
      </c>
    </row>
    <row r="1601" spans="2:7" x14ac:dyDescent="0.3">
      <c r="B1601" s="55">
        <v>43914</v>
      </c>
      <c r="C1601" s="54">
        <v>1808.7</v>
      </c>
      <c r="D1601" s="56">
        <f t="shared" si="50"/>
        <v>-0.54490098885338301</v>
      </c>
      <c r="E1601" s="64">
        <v>-6.372575949019299E-3</v>
      </c>
      <c r="F1601" s="64">
        <v>1598</v>
      </c>
      <c r="G1601" s="64">
        <f t="shared" ca="1" si="51"/>
        <v>-3.9250104238475268E-2</v>
      </c>
    </row>
    <row r="1602" spans="2:7" x14ac:dyDescent="0.3">
      <c r="B1602" s="55">
        <v>45785</v>
      </c>
      <c r="C1602" s="54">
        <v>3974.3</v>
      </c>
      <c r="D1602" s="56">
        <f t="shared" si="50"/>
        <v>-4.6324402797941144E-2</v>
      </c>
      <c r="E1602" s="64">
        <v>-6.3753187659383315E-3</v>
      </c>
      <c r="F1602" s="64">
        <v>1599</v>
      </c>
      <c r="G1602" s="64">
        <f t="shared" ca="1" si="51"/>
        <v>5.071166298028772E-3</v>
      </c>
    </row>
    <row r="1603" spans="2:7" x14ac:dyDescent="0.3">
      <c r="B1603" s="55">
        <v>44869</v>
      </c>
      <c r="C1603" s="54">
        <v>4167.3500000000004</v>
      </c>
      <c r="D1603" s="56">
        <f t="shared" si="50"/>
        <v>-0.1255717822820932</v>
      </c>
      <c r="E1603" s="64">
        <v>-6.4016975823755207E-3</v>
      </c>
      <c r="F1603" s="64">
        <v>1600</v>
      </c>
      <c r="G1603" s="64">
        <f t="shared" ca="1" si="51"/>
        <v>-2.5879223551172024E-2</v>
      </c>
    </row>
    <row r="1604" spans="2:7" x14ac:dyDescent="0.3">
      <c r="B1604" s="55">
        <v>44543</v>
      </c>
      <c r="C1604" s="54">
        <v>4765.8</v>
      </c>
      <c r="D1604" s="56">
        <f t="shared" ref="D1604:D1667" si="52">C1604/C1605-1</f>
        <v>9.4856302694755312E-2</v>
      </c>
      <c r="E1604" s="64">
        <v>-6.421215027311078E-3</v>
      </c>
      <c r="F1604" s="64">
        <v>1601</v>
      </c>
      <c r="G1604" s="64">
        <f t="shared" ca="1" si="51"/>
        <v>-2.3538990100313122E-2</v>
      </c>
    </row>
    <row r="1605" spans="2:7" x14ac:dyDescent="0.3">
      <c r="B1605" s="55">
        <v>44846</v>
      </c>
      <c r="C1605" s="54">
        <v>4352.8999999999996</v>
      </c>
      <c r="D1605" s="56">
        <f t="shared" si="52"/>
        <v>1.6789549804597348</v>
      </c>
      <c r="E1605" s="64">
        <v>-6.4367396315995196E-3</v>
      </c>
      <c r="F1605" s="64">
        <v>1602</v>
      </c>
      <c r="G1605" s="64">
        <f t="shared" ref="G1605:G1668" ca="1" si="53">_xlfn.NORM.INV(RAND(),K$6,K$7)</f>
        <v>1.4017318610228917E-2</v>
      </c>
    </row>
    <row r="1606" spans="2:7" x14ac:dyDescent="0.3">
      <c r="B1606" s="55">
        <v>43319</v>
      </c>
      <c r="C1606" s="54">
        <v>1624.85</v>
      </c>
      <c r="D1606" s="56">
        <f t="shared" si="52"/>
        <v>-0.276751535653877</v>
      </c>
      <c r="E1606" s="64">
        <v>-6.5421417871663889E-3</v>
      </c>
      <c r="F1606" s="64">
        <v>1603</v>
      </c>
      <c r="G1606" s="64">
        <f t="shared" ca="1" si="53"/>
        <v>2.5956638222589305E-2</v>
      </c>
    </row>
    <row r="1607" spans="2:7" x14ac:dyDescent="0.3">
      <c r="B1607" s="55">
        <v>44082</v>
      </c>
      <c r="C1607" s="54">
        <v>2246.6</v>
      </c>
      <c r="D1607" s="56">
        <f t="shared" si="52"/>
        <v>-0.27733011660635309</v>
      </c>
      <c r="E1607" s="64">
        <v>-6.5446183779960254E-3</v>
      </c>
      <c r="F1607" s="64">
        <v>1604</v>
      </c>
      <c r="G1607" s="64">
        <f t="shared" ca="1" si="53"/>
        <v>4.1370578149299269E-3</v>
      </c>
    </row>
    <row r="1608" spans="2:7" x14ac:dyDescent="0.3">
      <c r="B1608" s="55">
        <v>44270</v>
      </c>
      <c r="C1608" s="54">
        <v>3108.75</v>
      </c>
      <c r="D1608" s="56">
        <f t="shared" si="52"/>
        <v>1.7803863697343711</v>
      </c>
      <c r="E1608" s="64">
        <v>-6.5828366913256442E-3</v>
      </c>
      <c r="F1608" s="64">
        <v>1605</v>
      </c>
      <c r="G1608" s="64">
        <f t="shared" ca="1" si="53"/>
        <v>-2.0649577041144798E-2</v>
      </c>
    </row>
    <row r="1609" spans="2:7" x14ac:dyDescent="0.3">
      <c r="B1609" s="55">
        <v>43069</v>
      </c>
      <c r="C1609" s="54">
        <v>1118.0999999999999</v>
      </c>
      <c r="D1609" s="56">
        <f t="shared" si="52"/>
        <v>-0.72707300998364532</v>
      </c>
      <c r="E1609" s="64">
        <v>-6.6189862733775362E-3</v>
      </c>
      <c r="F1609" s="64">
        <v>1606</v>
      </c>
      <c r="G1609" s="64">
        <f t="shared" ca="1" si="53"/>
        <v>1.1832779073633733E-2</v>
      </c>
    </row>
    <row r="1610" spans="2:7" x14ac:dyDescent="0.3">
      <c r="B1610" s="55">
        <v>44629</v>
      </c>
      <c r="C1610" s="54">
        <v>4096.7</v>
      </c>
      <c r="D1610" s="56">
        <f t="shared" si="52"/>
        <v>0.16808280109489049</v>
      </c>
      <c r="E1610" s="64">
        <v>-6.6197866149370066E-3</v>
      </c>
      <c r="F1610" s="64">
        <v>1607</v>
      </c>
      <c r="G1610" s="64">
        <f t="shared" ca="1" si="53"/>
        <v>8.409361576656638E-3</v>
      </c>
    </row>
    <row r="1611" spans="2:7" x14ac:dyDescent="0.3">
      <c r="B1611" s="55">
        <v>45715</v>
      </c>
      <c r="C1611" s="54">
        <v>3507.2</v>
      </c>
      <c r="D1611" s="56">
        <f t="shared" si="52"/>
        <v>1.3001049317943338</v>
      </c>
      <c r="E1611" s="64">
        <v>-6.6699709693408549E-3</v>
      </c>
      <c r="F1611" s="64">
        <v>1608</v>
      </c>
      <c r="G1611" s="64">
        <f t="shared" ca="1" si="53"/>
        <v>-3.5603954988224842E-3</v>
      </c>
    </row>
    <row r="1612" spans="2:7" x14ac:dyDescent="0.3">
      <c r="B1612" s="55">
        <v>43360</v>
      </c>
      <c r="C1612" s="54">
        <v>1524.8</v>
      </c>
      <c r="D1612" s="56">
        <f t="shared" si="52"/>
        <v>-0.58385415245217109</v>
      </c>
      <c r="E1612" s="64">
        <v>-6.7420121812201694E-3</v>
      </c>
      <c r="F1612" s="64">
        <v>1609</v>
      </c>
      <c r="G1612" s="64">
        <f t="shared" ca="1" si="53"/>
        <v>8.7079494855212304E-3</v>
      </c>
    </row>
    <row r="1613" spans="2:7" x14ac:dyDescent="0.3">
      <c r="B1613" s="55">
        <v>45194</v>
      </c>
      <c r="C1613" s="54">
        <v>3664.1</v>
      </c>
      <c r="D1613" s="56">
        <f t="shared" si="52"/>
        <v>3.5878670256057097</v>
      </c>
      <c r="E1613" s="64">
        <v>-6.7767206093627408E-3</v>
      </c>
      <c r="F1613" s="64">
        <v>1610</v>
      </c>
      <c r="G1613" s="64">
        <f t="shared" ca="1" si="53"/>
        <v>-6.4258650020536899E-3</v>
      </c>
    </row>
    <row r="1614" spans="2:7" x14ac:dyDescent="0.3">
      <c r="B1614" s="55">
        <v>42899</v>
      </c>
      <c r="C1614" s="54">
        <v>798.65</v>
      </c>
      <c r="D1614" s="56">
        <f t="shared" si="52"/>
        <v>-0.8032445616023256</v>
      </c>
      <c r="E1614" s="64">
        <v>-6.7777639597065287E-3</v>
      </c>
      <c r="F1614" s="64">
        <v>1611</v>
      </c>
      <c r="G1614" s="64">
        <f t="shared" ca="1" si="53"/>
        <v>2.5306585342998331E-2</v>
      </c>
    </row>
    <row r="1615" spans="2:7" x14ac:dyDescent="0.3">
      <c r="B1615" s="55">
        <v>45825</v>
      </c>
      <c r="C1615" s="54">
        <v>4059.1</v>
      </c>
      <c r="D1615" s="56">
        <f t="shared" si="52"/>
        <v>-0.11516327331385967</v>
      </c>
      <c r="E1615" s="64">
        <v>-6.8265231220944189E-3</v>
      </c>
      <c r="F1615" s="64">
        <v>1612</v>
      </c>
      <c r="G1615" s="64">
        <f t="shared" ca="1" si="53"/>
        <v>5.0297854306024084E-2</v>
      </c>
    </row>
    <row r="1616" spans="2:7" x14ac:dyDescent="0.3">
      <c r="B1616" s="55">
        <v>44551</v>
      </c>
      <c r="C1616" s="54">
        <v>4587.3999999999996</v>
      </c>
      <c r="D1616" s="56">
        <f t="shared" si="52"/>
        <v>1.4134683677495725</v>
      </c>
      <c r="E1616" s="64">
        <v>-6.8305567282608282E-3</v>
      </c>
      <c r="F1616" s="64">
        <v>1613</v>
      </c>
      <c r="G1616" s="64">
        <f t="shared" ca="1" si="53"/>
        <v>1.371092424610725E-2</v>
      </c>
    </row>
    <row r="1617" spans="2:7" x14ac:dyDescent="0.3">
      <c r="B1617" s="55">
        <v>43761</v>
      </c>
      <c r="C1617" s="54">
        <v>1900.75</v>
      </c>
      <c r="D1617" s="56">
        <f t="shared" si="52"/>
        <v>7.3627428829643016E-2</v>
      </c>
      <c r="E1617" s="64">
        <v>-6.8967318895478691E-3</v>
      </c>
      <c r="F1617" s="64">
        <v>1614</v>
      </c>
      <c r="G1617" s="64">
        <f t="shared" ca="1" si="53"/>
        <v>1.6064360063153781E-2</v>
      </c>
    </row>
    <row r="1618" spans="2:7" x14ac:dyDescent="0.3">
      <c r="B1618" s="55">
        <v>43815</v>
      </c>
      <c r="C1618" s="54">
        <v>1770.4</v>
      </c>
      <c r="D1618" s="56">
        <f t="shared" si="52"/>
        <v>0.5978339350180506</v>
      </c>
      <c r="E1618" s="64">
        <v>-6.9274996494179675E-3</v>
      </c>
      <c r="F1618" s="64">
        <v>1615</v>
      </c>
      <c r="G1618" s="64">
        <f t="shared" ca="1" si="53"/>
        <v>1.2162304689851999E-3</v>
      </c>
    </row>
    <row r="1619" spans="2:7" x14ac:dyDescent="0.3">
      <c r="B1619" s="55">
        <v>43082</v>
      </c>
      <c r="C1619" s="54">
        <v>1108</v>
      </c>
      <c r="D1619" s="56">
        <f t="shared" si="52"/>
        <v>-0.14188351920693931</v>
      </c>
      <c r="E1619" s="64">
        <v>-6.9460004481290971E-3</v>
      </c>
      <c r="F1619" s="64">
        <v>1616</v>
      </c>
      <c r="G1619" s="64">
        <f t="shared" ca="1" si="53"/>
        <v>1.0935785076863078E-2</v>
      </c>
    </row>
    <row r="1620" spans="2:7" x14ac:dyDescent="0.3">
      <c r="B1620" s="55">
        <v>43157</v>
      </c>
      <c r="C1620" s="54">
        <v>1291.2</v>
      </c>
      <c r="D1620" s="56">
        <f t="shared" si="52"/>
        <v>-0.68806319909163394</v>
      </c>
      <c r="E1620" s="64">
        <v>-6.9601999615458432E-3</v>
      </c>
      <c r="F1620" s="64">
        <v>1617</v>
      </c>
      <c r="G1620" s="64">
        <f t="shared" ca="1" si="53"/>
        <v>3.8667319625903477E-5</v>
      </c>
    </row>
    <row r="1621" spans="2:7" x14ac:dyDescent="0.3">
      <c r="B1621" s="55">
        <v>46177</v>
      </c>
      <c r="C1621" s="54">
        <v>4139.3</v>
      </c>
      <c r="D1621" s="56">
        <f t="shared" si="52"/>
        <v>1.6003894961678604</v>
      </c>
      <c r="E1621" s="64">
        <v>-6.9810958641204346E-3</v>
      </c>
      <c r="F1621" s="64">
        <v>1618</v>
      </c>
      <c r="G1621" s="64">
        <f t="shared" ca="1" si="53"/>
        <v>9.1104738991303249E-3</v>
      </c>
    </row>
    <row r="1622" spans="2:7" x14ac:dyDescent="0.3">
      <c r="B1622" s="55">
        <v>43342</v>
      </c>
      <c r="C1622" s="54">
        <v>1591.8</v>
      </c>
      <c r="D1622" s="56">
        <f t="shared" si="52"/>
        <v>-0.63973384030418257</v>
      </c>
      <c r="E1622" s="64">
        <v>-7.0488428669452929E-3</v>
      </c>
      <c r="F1622" s="64">
        <v>1619</v>
      </c>
      <c r="G1622" s="64">
        <f t="shared" ca="1" si="53"/>
        <v>9.8611488796647301E-3</v>
      </c>
    </row>
    <row r="1623" spans="2:7" x14ac:dyDescent="0.3">
      <c r="B1623" s="55">
        <v>45933</v>
      </c>
      <c r="C1623" s="54">
        <v>4418.3999999999996</v>
      </c>
      <c r="D1623" s="56">
        <f t="shared" si="52"/>
        <v>0.12718598925979308</v>
      </c>
      <c r="E1623" s="64">
        <v>-7.0788107597923311E-3</v>
      </c>
      <c r="F1623" s="64">
        <v>1620</v>
      </c>
      <c r="G1623" s="64">
        <f t="shared" ca="1" si="53"/>
        <v>-1.6994314152172466E-2</v>
      </c>
    </row>
    <row r="1624" spans="2:7" x14ac:dyDescent="0.3">
      <c r="B1624" s="55">
        <v>45692</v>
      </c>
      <c r="C1624" s="54">
        <v>3919.85</v>
      </c>
      <c r="D1624" s="56">
        <f t="shared" si="52"/>
        <v>-0.118134062250419</v>
      </c>
      <c r="E1624" s="64">
        <v>-7.0924680522309602E-3</v>
      </c>
      <c r="F1624" s="64">
        <v>1621</v>
      </c>
      <c r="G1624" s="64">
        <f t="shared" ca="1" si="53"/>
        <v>-1.1626335105326327E-2</v>
      </c>
    </row>
    <row r="1625" spans="2:7" x14ac:dyDescent="0.3">
      <c r="B1625" s="55">
        <v>45442</v>
      </c>
      <c r="C1625" s="54">
        <v>4444.95</v>
      </c>
      <c r="D1625" s="56">
        <f t="shared" si="52"/>
        <v>0.15936566726222301</v>
      </c>
      <c r="E1625" s="64">
        <v>-7.1255458637212721E-3</v>
      </c>
      <c r="F1625" s="64">
        <v>1622</v>
      </c>
      <c r="G1625" s="64">
        <f t="shared" ca="1" si="53"/>
        <v>-8.017673024828767E-3</v>
      </c>
    </row>
    <row r="1626" spans="2:7" x14ac:dyDescent="0.3">
      <c r="B1626" s="55">
        <v>45205</v>
      </c>
      <c r="C1626" s="54">
        <v>3833.95</v>
      </c>
      <c r="D1626" s="56">
        <f t="shared" si="52"/>
        <v>7.366490240555601E-2</v>
      </c>
      <c r="E1626" s="64">
        <v>-7.1345332124822525E-3</v>
      </c>
      <c r="F1626" s="64">
        <v>1623</v>
      </c>
      <c r="G1626" s="64">
        <f t="shared" ca="1" si="53"/>
        <v>-4.2892601152190778E-3</v>
      </c>
    </row>
    <row r="1627" spans="2:7" x14ac:dyDescent="0.3">
      <c r="B1627" s="55">
        <v>45712</v>
      </c>
      <c r="C1627" s="54">
        <v>3570.9</v>
      </c>
      <c r="D1627" s="56">
        <f t="shared" si="52"/>
        <v>0.49845785862655001</v>
      </c>
      <c r="E1627" s="64">
        <v>-7.1732421386270229E-3</v>
      </c>
      <c r="F1627" s="64">
        <v>1624</v>
      </c>
      <c r="G1627" s="64">
        <f t="shared" ca="1" si="53"/>
        <v>-2.1263264706037482E-2</v>
      </c>
    </row>
    <row r="1628" spans="2:7" x14ac:dyDescent="0.3">
      <c r="B1628" s="55">
        <v>44148</v>
      </c>
      <c r="C1628" s="54">
        <v>2383.0500000000002</v>
      </c>
      <c r="D1628" s="56">
        <f t="shared" si="52"/>
        <v>-0.35825658426240103</v>
      </c>
      <c r="E1628" s="64">
        <v>-7.1866016747906825E-3</v>
      </c>
      <c r="F1628" s="64">
        <v>1625</v>
      </c>
      <c r="G1628" s="64">
        <f t="shared" ca="1" si="53"/>
        <v>-1.6517944786993296E-3</v>
      </c>
    </row>
    <row r="1629" spans="2:7" x14ac:dyDescent="0.3">
      <c r="B1629" s="55">
        <v>45140</v>
      </c>
      <c r="C1629" s="54">
        <v>3713.4</v>
      </c>
      <c r="D1629" s="56">
        <f t="shared" si="52"/>
        <v>6.0925960315986405E-2</v>
      </c>
      <c r="E1629" s="64">
        <v>-7.1919364756838355E-3</v>
      </c>
      <c r="F1629" s="64">
        <v>1626</v>
      </c>
      <c r="G1629" s="64">
        <f t="shared" ca="1" si="53"/>
        <v>-1.0671055341673202E-4</v>
      </c>
    </row>
    <row r="1630" spans="2:7" x14ac:dyDescent="0.3">
      <c r="B1630" s="55">
        <v>44979</v>
      </c>
      <c r="C1630" s="54">
        <v>3500.15</v>
      </c>
      <c r="D1630" s="56">
        <f t="shared" si="52"/>
        <v>-9.843391803827628E-2</v>
      </c>
      <c r="E1630" s="64">
        <v>-7.2186294531426665E-3</v>
      </c>
      <c r="F1630" s="64">
        <v>1627</v>
      </c>
      <c r="G1630" s="64">
        <f t="shared" ca="1" si="53"/>
        <v>-1.0374066609704467E-2</v>
      </c>
    </row>
    <row r="1631" spans="2:7" x14ac:dyDescent="0.3">
      <c r="B1631" s="55">
        <v>44886</v>
      </c>
      <c r="C1631" s="54">
        <v>3882.3</v>
      </c>
      <c r="D1631" s="56">
        <f t="shared" si="52"/>
        <v>1.2519141531322506</v>
      </c>
      <c r="E1631" s="64">
        <v>-7.2367411650385849E-3</v>
      </c>
      <c r="F1631" s="64">
        <v>1628</v>
      </c>
      <c r="G1631" s="64">
        <f t="shared" ca="1" si="53"/>
        <v>-3.5591550100330747E-3</v>
      </c>
    </row>
    <row r="1632" spans="2:7" x14ac:dyDescent="0.3">
      <c r="B1632" s="55">
        <v>43810</v>
      </c>
      <c r="C1632" s="54">
        <v>1724</v>
      </c>
      <c r="D1632" s="56">
        <f t="shared" si="52"/>
        <v>-0.57934290629155638</v>
      </c>
      <c r="E1632" s="64">
        <v>-7.2555568351951871E-3</v>
      </c>
      <c r="F1632" s="64">
        <v>1629</v>
      </c>
      <c r="G1632" s="64">
        <f t="shared" ca="1" si="53"/>
        <v>-2.5483170774028598E-2</v>
      </c>
    </row>
    <row r="1633" spans="2:7" x14ac:dyDescent="0.3">
      <c r="B1633" s="55">
        <v>44879</v>
      </c>
      <c r="C1633" s="54">
        <v>4098.3500000000004</v>
      </c>
      <c r="D1633" s="56">
        <f t="shared" si="52"/>
        <v>5.6085242353183906E-2</v>
      </c>
      <c r="E1633" s="64">
        <v>-7.2668257294076222E-3</v>
      </c>
      <c r="F1633" s="64">
        <v>1630</v>
      </c>
      <c r="G1633" s="64">
        <f t="shared" ca="1" si="53"/>
        <v>-1.2956838806723296E-2</v>
      </c>
    </row>
    <row r="1634" spans="2:7" x14ac:dyDescent="0.3">
      <c r="B1634" s="55">
        <v>46069</v>
      </c>
      <c r="C1634" s="54">
        <v>3880.7</v>
      </c>
      <c r="D1634" s="56">
        <f t="shared" si="52"/>
        <v>-4.9477061748352757E-2</v>
      </c>
      <c r="E1634" s="64">
        <v>-7.2904942187660415E-3</v>
      </c>
      <c r="F1634" s="64">
        <v>1631</v>
      </c>
      <c r="G1634" s="64">
        <f t="shared" ca="1" si="53"/>
        <v>1.5173286315811742E-3</v>
      </c>
    </row>
    <row r="1635" spans="2:7" x14ac:dyDescent="0.3">
      <c r="B1635" s="55">
        <v>45799</v>
      </c>
      <c r="C1635" s="54">
        <v>4082.7</v>
      </c>
      <c r="D1635" s="56">
        <f t="shared" si="52"/>
        <v>0.1097912362726976</v>
      </c>
      <c r="E1635" s="64">
        <v>-7.294478080093425E-3</v>
      </c>
      <c r="F1635" s="64">
        <v>1632</v>
      </c>
      <c r="G1635" s="64">
        <f t="shared" ca="1" si="53"/>
        <v>2.1206385649557812E-3</v>
      </c>
    </row>
    <row r="1636" spans="2:7" x14ac:dyDescent="0.3">
      <c r="B1636" s="55">
        <v>45127</v>
      </c>
      <c r="C1636" s="54">
        <v>3678.8</v>
      </c>
      <c r="D1636" s="56">
        <f t="shared" si="52"/>
        <v>3.2906558849955081E-2</v>
      </c>
      <c r="E1636" s="64">
        <v>-7.2992700729925808E-3</v>
      </c>
      <c r="F1636" s="64">
        <v>1633</v>
      </c>
      <c r="G1636" s="64">
        <f t="shared" ca="1" si="53"/>
        <v>9.0107547886482762E-3</v>
      </c>
    </row>
    <row r="1637" spans="2:7" x14ac:dyDescent="0.3">
      <c r="B1637" s="55">
        <v>45679</v>
      </c>
      <c r="C1637" s="54">
        <v>3561.6</v>
      </c>
      <c r="D1637" s="56">
        <f t="shared" si="52"/>
        <v>-0.14554069453607632</v>
      </c>
      <c r="E1637" s="64">
        <v>-7.302525224371581E-3</v>
      </c>
      <c r="F1637" s="64">
        <v>1634</v>
      </c>
      <c r="G1637" s="64">
        <f t="shared" ca="1" si="53"/>
        <v>5.5825810024624448E-3</v>
      </c>
    </row>
    <row r="1638" spans="2:7" x14ac:dyDescent="0.3">
      <c r="B1638" s="55">
        <v>44634</v>
      </c>
      <c r="C1638" s="54">
        <v>4168.25</v>
      </c>
      <c r="D1638" s="56">
        <f t="shared" si="52"/>
        <v>9.6850165780748343E-2</v>
      </c>
      <c r="E1638" s="64">
        <v>-7.3113516474355711E-3</v>
      </c>
      <c r="F1638" s="64">
        <v>1635</v>
      </c>
      <c r="G1638" s="64">
        <f t="shared" ca="1" si="53"/>
        <v>3.7940161704575044E-2</v>
      </c>
    </row>
    <row r="1639" spans="2:7" x14ac:dyDescent="0.3">
      <c r="B1639" s="55">
        <v>46015</v>
      </c>
      <c r="C1639" s="54">
        <v>3800.2</v>
      </c>
      <c r="D1639" s="56">
        <f t="shared" si="52"/>
        <v>3.3351008144008709E-2</v>
      </c>
      <c r="E1639" s="64">
        <v>-7.3141424168016167E-3</v>
      </c>
      <c r="F1639" s="64">
        <v>1636</v>
      </c>
      <c r="G1639" s="64">
        <f t="shared" ca="1" si="53"/>
        <v>-2.5373167293785755E-2</v>
      </c>
    </row>
    <row r="1640" spans="2:7" x14ac:dyDescent="0.3">
      <c r="B1640" s="55">
        <v>45058</v>
      </c>
      <c r="C1640" s="54">
        <v>3677.55</v>
      </c>
      <c r="D1640" s="56">
        <f t="shared" si="52"/>
        <v>3.9369714055577933</v>
      </c>
      <c r="E1640" s="64">
        <v>-7.3151309840335799E-3</v>
      </c>
      <c r="F1640" s="64">
        <v>1637</v>
      </c>
      <c r="G1640" s="64">
        <f t="shared" ca="1" si="53"/>
        <v>-1.9619339293150316E-2</v>
      </c>
    </row>
    <row r="1641" spans="2:7" x14ac:dyDescent="0.3">
      <c r="B1641" s="55">
        <v>42872</v>
      </c>
      <c r="C1641" s="54">
        <v>744.9</v>
      </c>
      <c r="D1641" s="56">
        <f t="shared" si="52"/>
        <v>-0.47203912396342762</v>
      </c>
      <c r="E1641" s="64">
        <v>-7.3294243070362031E-3</v>
      </c>
      <c r="F1641" s="64">
        <v>1638</v>
      </c>
      <c r="G1641" s="64">
        <f t="shared" ca="1" si="53"/>
        <v>2.2014296675906146E-2</v>
      </c>
    </row>
    <row r="1642" spans="2:7" x14ac:dyDescent="0.3">
      <c r="B1642" s="55">
        <v>43426</v>
      </c>
      <c r="C1642" s="54">
        <v>1410.9</v>
      </c>
      <c r="D1642" s="56">
        <f t="shared" si="52"/>
        <v>-0.70287459197641367</v>
      </c>
      <c r="E1642" s="64">
        <v>-7.352165195060878E-3</v>
      </c>
      <c r="F1642" s="64">
        <v>1639</v>
      </c>
      <c r="G1642" s="64">
        <f t="shared" ca="1" si="53"/>
        <v>-3.8968469676609593E-2</v>
      </c>
    </row>
    <row r="1643" spans="2:7" x14ac:dyDescent="0.3">
      <c r="B1643" s="55">
        <v>44508</v>
      </c>
      <c r="C1643" s="54">
        <v>4748.5</v>
      </c>
      <c r="D1643" s="56">
        <f t="shared" si="52"/>
        <v>0.17076357898370276</v>
      </c>
      <c r="E1643" s="64">
        <v>-7.3583209649433767E-3</v>
      </c>
      <c r="F1643" s="64">
        <v>1640</v>
      </c>
      <c r="G1643" s="64">
        <f t="shared" ca="1" si="53"/>
        <v>2.4014063541013847E-2</v>
      </c>
    </row>
    <row r="1644" spans="2:7" x14ac:dyDescent="0.3">
      <c r="B1644" s="55">
        <v>45855</v>
      </c>
      <c r="C1644" s="54">
        <v>4055.9</v>
      </c>
      <c r="D1644" s="56">
        <f t="shared" si="52"/>
        <v>-0.13089409117694328</v>
      </c>
      <c r="E1644" s="64">
        <v>-7.3666177190405691E-3</v>
      </c>
      <c r="F1644" s="64">
        <v>1641</v>
      </c>
      <c r="G1644" s="64">
        <f t="shared" ca="1" si="53"/>
        <v>-1.0581051237396822E-2</v>
      </c>
    </row>
    <row r="1645" spans="2:7" x14ac:dyDescent="0.3">
      <c r="B1645" s="55">
        <v>45455</v>
      </c>
      <c r="C1645" s="54">
        <v>4666.75</v>
      </c>
      <c r="D1645" s="56">
        <f t="shared" si="52"/>
        <v>1.9611357868020303</v>
      </c>
      <c r="E1645" s="64">
        <v>-7.3807016984122065E-3</v>
      </c>
      <c r="F1645" s="64">
        <v>1642</v>
      </c>
      <c r="G1645" s="64">
        <f t="shared" ca="1" si="53"/>
        <v>-2.5621547265130815E-2</v>
      </c>
    </row>
    <row r="1646" spans="2:7" x14ac:dyDescent="0.3">
      <c r="B1646" s="55">
        <v>43294</v>
      </c>
      <c r="C1646" s="54">
        <v>1576</v>
      </c>
      <c r="D1646" s="56">
        <f t="shared" si="52"/>
        <v>-0.52673383282533304</v>
      </c>
      <c r="E1646" s="64">
        <v>-7.4004093843489382E-3</v>
      </c>
      <c r="F1646" s="64">
        <v>1643</v>
      </c>
      <c r="G1646" s="64">
        <f t="shared" ca="1" si="53"/>
        <v>-3.2101196912334061E-2</v>
      </c>
    </row>
    <row r="1647" spans="2:7" x14ac:dyDescent="0.3">
      <c r="B1647" s="55">
        <v>44391</v>
      </c>
      <c r="C1647" s="54">
        <v>3330.05</v>
      </c>
      <c r="D1647" s="56">
        <f t="shared" si="52"/>
        <v>-6.5078540646012484E-2</v>
      </c>
      <c r="E1647" s="64">
        <v>-7.4366616989567369E-3</v>
      </c>
      <c r="F1647" s="64">
        <v>1644</v>
      </c>
      <c r="G1647" s="64">
        <f t="shared" ca="1" si="53"/>
        <v>-2.9877656984021547E-2</v>
      </c>
    </row>
    <row r="1648" spans="2:7" x14ac:dyDescent="0.3">
      <c r="B1648" s="55">
        <v>45657</v>
      </c>
      <c r="C1648" s="54">
        <v>3561.85</v>
      </c>
      <c r="D1648" s="56">
        <f t="shared" si="52"/>
        <v>-7.232844640169489E-3</v>
      </c>
      <c r="E1648" s="64">
        <v>-7.4403310529322919E-3</v>
      </c>
      <c r="F1648" s="64">
        <v>1645</v>
      </c>
      <c r="G1648" s="64">
        <f t="shared" ca="1" si="53"/>
        <v>-1.5795008021195787E-2</v>
      </c>
    </row>
    <row r="1649" spans="2:7" x14ac:dyDescent="0.3">
      <c r="B1649" s="55">
        <v>45678</v>
      </c>
      <c r="C1649" s="54">
        <v>3587.8</v>
      </c>
      <c r="D1649" s="56">
        <f t="shared" si="52"/>
        <v>-0.2514968810631506</v>
      </c>
      <c r="E1649" s="64">
        <v>-7.4418347304062715E-3</v>
      </c>
      <c r="F1649" s="64">
        <v>1646</v>
      </c>
      <c r="G1649" s="64">
        <f t="shared" ca="1" si="53"/>
        <v>2.1359608707088425E-2</v>
      </c>
    </row>
    <row r="1650" spans="2:7" x14ac:dyDescent="0.3">
      <c r="B1650" s="55">
        <v>45905</v>
      </c>
      <c r="C1650" s="54">
        <v>4793.3</v>
      </c>
      <c r="D1650" s="56">
        <f t="shared" si="52"/>
        <v>2.488065783728715</v>
      </c>
      <c r="E1650" s="64">
        <v>-7.4544965108814809E-3</v>
      </c>
      <c r="F1650" s="64">
        <v>1647</v>
      </c>
      <c r="G1650" s="64">
        <f t="shared" ca="1" si="53"/>
        <v>2.2549836760268942E-2</v>
      </c>
    </row>
    <row r="1651" spans="2:7" x14ac:dyDescent="0.3">
      <c r="B1651" s="55">
        <v>43495</v>
      </c>
      <c r="C1651" s="54">
        <v>1374.2</v>
      </c>
      <c r="D1651" s="56">
        <f t="shared" si="52"/>
        <v>-0.617927544693747</v>
      </c>
      <c r="E1651" s="64">
        <v>-7.4753530027805715E-3</v>
      </c>
      <c r="F1651" s="64">
        <v>1648</v>
      </c>
      <c r="G1651" s="64">
        <f t="shared" ca="1" si="53"/>
        <v>2.7951762367406686E-2</v>
      </c>
    </row>
    <row r="1652" spans="2:7" x14ac:dyDescent="0.3">
      <c r="B1652" s="55">
        <v>45709</v>
      </c>
      <c r="C1652" s="54">
        <v>3596.7</v>
      </c>
      <c r="D1652" s="56">
        <f t="shared" si="52"/>
        <v>-0.1121780235241846</v>
      </c>
      <c r="E1652" s="64">
        <v>-7.4783376566036619E-3</v>
      </c>
      <c r="F1652" s="64">
        <v>1649</v>
      </c>
      <c r="G1652" s="64">
        <f t="shared" ca="1" si="53"/>
        <v>-5.2132193033752675E-3</v>
      </c>
    </row>
    <row r="1653" spans="2:7" x14ac:dyDescent="0.3">
      <c r="B1653" s="55">
        <v>44608</v>
      </c>
      <c r="C1653" s="54">
        <v>4051.15</v>
      </c>
      <c r="D1653" s="56">
        <f t="shared" si="52"/>
        <v>0.23302034666950733</v>
      </c>
      <c r="E1653" s="64">
        <v>-7.4967844674465045E-3</v>
      </c>
      <c r="F1653" s="64">
        <v>1650</v>
      </c>
      <c r="G1653" s="64">
        <f t="shared" ca="1" si="53"/>
        <v>2.4558589868428952E-2</v>
      </c>
    </row>
    <row r="1654" spans="2:7" x14ac:dyDescent="0.3">
      <c r="B1654" s="55">
        <v>44364</v>
      </c>
      <c r="C1654" s="54">
        <v>3285.55</v>
      </c>
      <c r="D1654" s="56">
        <f t="shared" si="52"/>
        <v>1.0588087852868378</v>
      </c>
      <c r="E1654" s="64">
        <v>-7.5066457225713146E-3</v>
      </c>
      <c r="F1654" s="64">
        <v>1651</v>
      </c>
      <c r="G1654" s="64">
        <f t="shared" ca="1" si="53"/>
        <v>2.0181721440336725E-2</v>
      </c>
    </row>
    <row r="1655" spans="2:7" x14ac:dyDescent="0.3">
      <c r="B1655" s="55">
        <v>43264</v>
      </c>
      <c r="C1655" s="54">
        <v>1595.85</v>
      </c>
      <c r="D1655" s="56">
        <f t="shared" si="52"/>
        <v>-0.53570545364618949</v>
      </c>
      <c r="E1655" s="64">
        <v>-7.5251096116173422E-3</v>
      </c>
      <c r="F1655" s="64">
        <v>1652</v>
      </c>
      <c r="G1655" s="64">
        <f t="shared" ca="1" si="53"/>
        <v>-2.4491186833312618E-2</v>
      </c>
    </row>
    <row r="1656" spans="2:7" x14ac:dyDescent="0.3">
      <c r="B1656" s="55">
        <v>44991</v>
      </c>
      <c r="C1656" s="54">
        <v>3437.15</v>
      </c>
      <c r="D1656" s="56">
        <f t="shared" si="52"/>
        <v>-5.4255042101912787E-3</v>
      </c>
      <c r="E1656" s="64">
        <v>-7.5362737313217076E-3</v>
      </c>
      <c r="F1656" s="64">
        <v>1653</v>
      </c>
      <c r="G1656" s="64">
        <f t="shared" ca="1" si="53"/>
        <v>-8.5288407378339495E-3</v>
      </c>
    </row>
    <row r="1657" spans="2:7" x14ac:dyDescent="0.3">
      <c r="B1657" s="55">
        <v>45037</v>
      </c>
      <c r="C1657" s="54">
        <v>3455.9</v>
      </c>
      <c r="D1657" s="56">
        <f t="shared" si="52"/>
        <v>-0.24423207295470939</v>
      </c>
      <c r="E1657" s="64">
        <v>-7.5526965711331107E-3</v>
      </c>
      <c r="F1657" s="64">
        <v>1654</v>
      </c>
      <c r="G1657" s="64">
        <f t="shared" ca="1" si="53"/>
        <v>-4.402044482071368E-4</v>
      </c>
    </row>
    <row r="1658" spans="2:7" x14ac:dyDescent="0.3">
      <c r="B1658" s="55">
        <v>45576</v>
      </c>
      <c r="C1658" s="54">
        <v>4572.7</v>
      </c>
      <c r="D1658" s="56">
        <f t="shared" si="52"/>
        <v>0.29369659933231484</v>
      </c>
      <c r="E1658" s="64">
        <v>-7.5529028757460592E-3</v>
      </c>
      <c r="F1658" s="64">
        <v>1655</v>
      </c>
      <c r="G1658" s="64">
        <f t="shared" ca="1" si="53"/>
        <v>-1.6480345667799219E-2</v>
      </c>
    </row>
    <row r="1659" spans="2:7" x14ac:dyDescent="0.3">
      <c r="B1659" s="55">
        <v>45163</v>
      </c>
      <c r="C1659" s="54">
        <v>3534.6</v>
      </c>
      <c r="D1659" s="56">
        <f t="shared" si="52"/>
        <v>0.710055879435884</v>
      </c>
      <c r="E1659" s="64">
        <v>-7.5529973325846322E-3</v>
      </c>
      <c r="F1659" s="64">
        <v>1656</v>
      </c>
      <c r="G1659" s="64">
        <f t="shared" ca="1" si="53"/>
        <v>-1.6379994159603374E-2</v>
      </c>
    </row>
    <row r="1660" spans="2:7" x14ac:dyDescent="0.3">
      <c r="B1660" s="55">
        <v>43924</v>
      </c>
      <c r="C1660" s="54">
        <v>2066.9499999999998</v>
      </c>
      <c r="D1660" s="56">
        <f t="shared" si="52"/>
        <v>-0.45803398185536748</v>
      </c>
      <c r="E1660" s="64">
        <v>-7.5622989388773876E-3</v>
      </c>
      <c r="F1660" s="64">
        <v>1657</v>
      </c>
      <c r="G1660" s="64">
        <f t="shared" ca="1" si="53"/>
        <v>-3.0385250041513066E-2</v>
      </c>
    </row>
    <row r="1661" spans="2:7" x14ac:dyDescent="0.3">
      <c r="B1661" s="55">
        <v>45666</v>
      </c>
      <c r="C1661" s="54">
        <v>3813.8</v>
      </c>
      <c r="D1661" s="56">
        <f t="shared" si="52"/>
        <v>2.0619405082092253</v>
      </c>
      <c r="E1661" s="64">
        <v>-7.5982305490501778E-3</v>
      </c>
      <c r="F1661" s="64">
        <v>1658</v>
      </c>
      <c r="G1661" s="64">
        <f t="shared" ca="1" si="53"/>
        <v>2.3721160803200976E-2</v>
      </c>
    </row>
    <row r="1662" spans="2:7" x14ac:dyDescent="0.3">
      <c r="B1662" s="55">
        <v>43593</v>
      </c>
      <c r="C1662" s="54">
        <v>1245.55</v>
      </c>
      <c r="D1662" s="56">
        <f t="shared" si="52"/>
        <v>-0.18252223279624591</v>
      </c>
      <c r="E1662" s="64">
        <v>-7.6089554617161381E-3</v>
      </c>
      <c r="F1662" s="64">
        <v>1659</v>
      </c>
      <c r="G1662" s="64">
        <f t="shared" ca="1" si="53"/>
        <v>-1.3897046308635311E-2</v>
      </c>
    </row>
    <row r="1663" spans="2:7" x14ac:dyDescent="0.3">
      <c r="B1663" s="55">
        <v>43269</v>
      </c>
      <c r="C1663" s="54">
        <v>1523.65</v>
      </c>
      <c r="D1663" s="56">
        <f t="shared" si="52"/>
        <v>-0.16858561606460754</v>
      </c>
      <c r="E1663" s="64">
        <v>-7.6204122838439137E-3</v>
      </c>
      <c r="F1663" s="64">
        <v>1660</v>
      </c>
      <c r="G1663" s="64">
        <f t="shared" ca="1" si="53"/>
        <v>2.7737979719569129E-2</v>
      </c>
    </row>
    <row r="1664" spans="2:7" x14ac:dyDescent="0.3">
      <c r="B1664" s="55">
        <v>43802</v>
      </c>
      <c r="C1664" s="54">
        <v>1832.6</v>
      </c>
      <c r="D1664" s="56">
        <f t="shared" si="52"/>
        <v>-0.63201542137708078</v>
      </c>
      <c r="E1664" s="64">
        <v>-7.6352412411329063E-3</v>
      </c>
      <c r="F1664" s="64">
        <v>1661</v>
      </c>
      <c r="G1664" s="64">
        <f t="shared" ca="1" si="53"/>
        <v>1.0804464006783601E-2</v>
      </c>
    </row>
    <row r="1665" spans="2:7" x14ac:dyDescent="0.3">
      <c r="B1665" s="55">
        <v>45512</v>
      </c>
      <c r="C1665" s="54">
        <v>4980.1000000000004</v>
      </c>
      <c r="D1665" s="56">
        <f t="shared" si="52"/>
        <v>0.322086093154758</v>
      </c>
      <c r="E1665" s="64">
        <v>-7.6516887516189236E-3</v>
      </c>
      <c r="F1665" s="64">
        <v>1662</v>
      </c>
      <c r="G1665" s="64">
        <f t="shared" ca="1" si="53"/>
        <v>6.872204763972831E-3</v>
      </c>
    </row>
    <row r="1666" spans="2:7" x14ac:dyDescent="0.3">
      <c r="B1666" s="55">
        <v>45218</v>
      </c>
      <c r="C1666" s="54">
        <v>3766.85</v>
      </c>
      <c r="D1666" s="56">
        <f t="shared" si="52"/>
        <v>6.8428068981166268E-2</v>
      </c>
      <c r="E1666" s="64">
        <v>-7.666065148381751E-3</v>
      </c>
      <c r="F1666" s="64">
        <v>1663</v>
      </c>
      <c r="G1666" s="64">
        <f t="shared" ca="1" si="53"/>
        <v>1.0132958257024134E-2</v>
      </c>
    </row>
    <row r="1667" spans="2:7" x14ac:dyDescent="0.3">
      <c r="B1667" s="55">
        <v>44978</v>
      </c>
      <c r="C1667" s="54">
        <v>3525.6</v>
      </c>
      <c r="D1667" s="56">
        <f t="shared" si="52"/>
        <v>2.8159399266149965E-3</v>
      </c>
      <c r="E1667" s="64">
        <v>-7.6698988136284507E-3</v>
      </c>
      <c r="F1667" s="64">
        <v>1664</v>
      </c>
      <c r="G1667" s="64">
        <f t="shared" ca="1" si="53"/>
        <v>3.8704206158601026E-2</v>
      </c>
    </row>
    <row r="1668" spans="2:7" x14ac:dyDescent="0.3">
      <c r="B1668" s="55">
        <v>45644</v>
      </c>
      <c r="C1668" s="54">
        <v>3515.7</v>
      </c>
      <c r="D1668" s="56">
        <f t="shared" ref="D1668:D1731" si="54">C1668/C1669-1</f>
        <v>-8.1655042708251746E-2</v>
      </c>
      <c r="E1668" s="64">
        <v>-7.6913306707686591E-3</v>
      </c>
      <c r="F1668" s="64">
        <v>1665</v>
      </c>
      <c r="G1668" s="64">
        <f t="shared" ca="1" si="53"/>
        <v>1.2885832225405711E-2</v>
      </c>
    </row>
    <row r="1669" spans="2:7" x14ac:dyDescent="0.3">
      <c r="B1669" s="55">
        <v>45307</v>
      </c>
      <c r="C1669" s="54">
        <v>3828.3</v>
      </c>
      <c r="D1669" s="56">
        <f t="shared" si="54"/>
        <v>0.30707774249718334</v>
      </c>
      <c r="E1669" s="64">
        <v>-7.7625866649386754E-3</v>
      </c>
      <c r="F1669" s="64">
        <v>1666</v>
      </c>
      <c r="G1669" s="64">
        <f t="shared" ref="G1669:G1732" ca="1" si="55">_xlfn.NORM.INV(RAND(),K$6,K$7)</f>
        <v>2.3731635472895765E-2</v>
      </c>
    </row>
    <row r="1670" spans="2:7" x14ac:dyDescent="0.3">
      <c r="B1670" s="55">
        <v>44239</v>
      </c>
      <c r="C1670" s="54">
        <v>2928.9</v>
      </c>
      <c r="D1670" s="56">
        <f t="shared" si="54"/>
        <v>-0.19176003090678295</v>
      </c>
      <c r="E1670" s="64">
        <v>-7.7915918560926833E-3</v>
      </c>
      <c r="F1670" s="64">
        <v>1667</v>
      </c>
      <c r="G1670" s="64">
        <f t="shared" ca="1" si="55"/>
        <v>-1.9475843986385051E-3</v>
      </c>
    </row>
    <row r="1671" spans="2:7" x14ac:dyDescent="0.3">
      <c r="B1671" s="55">
        <v>45642</v>
      </c>
      <c r="C1671" s="54">
        <v>3623.8</v>
      </c>
      <c r="D1671" s="56">
        <f t="shared" si="54"/>
        <v>0.571602047011883</v>
      </c>
      <c r="E1671" s="64">
        <v>-7.8033020288584831E-3</v>
      </c>
      <c r="F1671" s="64">
        <v>1668</v>
      </c>
      <c r="G1671" s="64">
        <f t="shared" ca="1" si="55"/>
        <v>2.8121143646997741E-2</v>
      </c>
    </row>
    <row r="1672" spans="2:7" x14ac:dyDescent="0.3">
      <c r="B1672" s="55">
        <v>43949</v>
      </c>
      <c r="C1672" s="54">
        <v>2305.8000000000002</v>
      </c>
      <c r="D1672" s="56">
        <f t="shared" si="54"/>
        <v>-0.43253020943568032</v>
      </c>
      <c r="E1672" s="64">
        <v>-7.8099787000579513E-3</v>
      </c>
      <c r="F1672" s="64">
        <v>1669</v>
      </c>
      <c r="G1672" s="64">
        <f t="shared" ca="1" si="55"/>
        <v>9.1620753096482467E-3</v>
      </c>
    </row>
    <row r="1673" spans="2:7" x14ac:dyDescent="0.3">
      <c r="B1673" s="55">
        <v>44588</v>
      </c>
      <c r="C1673" s="54">
        <v>4063.3</v>
      </c>
      <c r="D1673" s="56">
        <f t="shared" si="54"/>
        <v>6.196748732423818E-2</v>
      </c>
      <c r="E1673" s="64">
        <v>-7.8501751944229925E-3</v>
      </c>
      <c r="F1673" s="64">
        <v>1670</v>
      </c>
      <c r="G1673" s="64">
        <f t="shared" ca="1" si="55"/>
        <v>-1.5865059364725633E-3</v>
      </c>
    </row>
    <row r="1674" spans="2:7" x14ac:dyDescent="0.3">
      <c r="B1674" s="55">
        <v>46008</v>
      </c>
      <c r="C1674" s="54">
        <v>3826.2</v>
      </c>
      <c r="D1674" s="56">
        <f t="shared" si="54"/>
        <v>-5.2592482543455721E-2</v>
      </c>
      <c r="E1674" s="64">
        <v>-7.9340385812073366E-3</v>
      </c>
      <c r="F1674" s="64">
        <v>1671</v>
      </c>
      <c r="G1674" s="64">
        <f t="shared" ca="1" si="55"/>
        <v>-1.6515910062198547E-2</v>
      </c>
    </row>
    <row r="1675" spans="2:7" x14ac:dyDescent="0.3">
      <c r="B1675" s="55">
        <v>46211</v>
      </c>
      <c r="C1675" s="54">
        <v>4038.6</v>
      </c>
      <c r="D1675" s="56">
        <f t="shared" si="54"/>
        <v>3.5538461538461519E-2</v>
      </c>
      <c r="E1675" s="64">
        <v>-7.9343634085828896E-3</v>
      </c>
      <c r="F1675" s="64">
        <v>1672</v>
      </c>
      <c r="G1675" s="64">
        <f t="shared" ca="1" si="55"/>
        <v>6.795088248815165E-4</v>
      </c>
    </row>
    <row r="1676" spans="2:7" x14ac:dyDescent="0.3">
      <c r="B1676" s="55">
        <v>46241</v>
      </c>
      <c r="C1676" s="54">
        <v>3900</v>
      </c>
      <c r="D1676" s="56">
        <f t="shared" si="54"/>
        <v>-0.15837631368825389</v>
      </c>
      <c r="E1676" s="64">
        <v>-7.9365079365079083E-3</v>
      </c>
      <c r="F1676" s="64">
        <v>1673</v>
      </c>
      <c r="G1676" s="64">
        <f t="shared" ca="1" si="55"/>
        <v>1.7264932444220824E-2</v>
      </c>
    </row>
    <row r="1677" spans="2:7" x14ac:dyDescent="0.3">
      <c r="B1677" s="55">
        <v>45923</v>
      </c>
      <c r="C1677" s="54">
        <v>4633.8999999999996</v>
      </c>
      <c r="D1677" s="56">
        <f t="shared" si="54"/>
        <v>1.7976574999245329</v>
      </c>
      <c r="E1677" s="64">
        <v>-7.9851001883884942E-3</v>
      </c>
      <c r="F1677" s="64">
        <v>1674</v>
      </c>
      <c r="G1677" s="64">
        <f t="shared" ca="1" si="55"/>
        <v>1.3893682161725128E-3</v>
      </c>
    </row>
    <row r="1678" spans="2:7" x14ac:dyDescent="0.3">
      <c r="B1678" s="55">
        <v>43314</v>
      </c>
      <c r="C1678" s="54">
        <v>1656.35</v>
      </c>
      <c r="D1678" s="56">
        <f t="shared" si="54"/>
        <v>-0.25996336341703152</v>
      </c>
      <c r="E1678" s="64">
        <v>-7.995448284123019E-3</v>
      </c>
      <c r="F1678" s="64">
        <v>1675</v>
      </c>
      <c r="G1678" s="64">
        <f t="shared" ca="1" si="55"/>
        <v>-7.1208174641619864E-3</v>
      </c>
    </row>
    <row r="1679" spans="2:7" x14ac:dyDescent="0.3">
      <c r="B1679" s="55">
        <v>43942</v>
      </c>
      <c r="C1679" s="54">
        <v>2238.1999999999998</v>
      </c>
      <c r="D1679" s="56">
        <f t="shared" si="54"/>
        <v>-0.26491066736731483</v>
      </c>
      <c r="E1679" s="64">
        <v>-8.0000000000001181E-3</v>
      </c>
      <c r="F1679" s="64">
        <v>1676</v>
      </c>
      <c r="G1679" s="64">
        <f t="shared" ca="1" si="55"/>
        <v>-1.8489296498035615E-2</v>
      </c>
    </row>
    <row r="1680" spans="2:7" x14ac:dyDescent="0.3">
      <c r="B1680" s="55">
        <v>44348</v>
      </c>
      <c r="C1680" s="54">
        <v>3044.8</v>
      </c>
      <c r="D1680" s="56">
        <f t="shared" si="54"/>
        <v>-0.14571496710295584</v>
      </c>
      <c r="E1680" s="64">
        <v>-8.0145956864533519E-3</v>
      </c>
      <c r="F1680" s="64">
        <v>1677</v>
      </c>
      <c r="G1680" s="64">
        <f t="shared" ca="1" si="55"/>
        <v>-2.0870150282922661E-2</v>
      </c>
    </row>
    <row r="1681" spans="2:7" x14ac:dyDescent="0.3">
      <c r="B1681" s="55">
        <v>44413</v>
      </c>
      <c r="C1681" s="54">
        <v>3564.15</v>
      </c>
      <c r="D1681" s="56">
        <f t="shared" si="54"/>
        <v>-0.23907172365204576</v>
      </c>
      <c r="E1681" s="64">
        <v>-8.0433058265262369E-3</v>
      </c>
      <c r="F1681" s="64">
        <v>1678</v>
      </c>
      <c r="G1681" s="64">
        <f t="shared" ca="1" si="55"/>
        <v>1.4692217094183814E-2</v>
      </c>
    </row>
    <row r="1682" spans="2:7" x14ac:dyDescent="0.3">
      <c r="B1682" s="55">
        <v>44559</v>
      </c>
      <c r="C1682" s="54">
        <v>4683.95</v>
      </c>
      <c r="D1682" s="56">
        <f t="shared" si="54"/>
        <v>2.2058793333561479</v>
      </c>
      <c r="E1682" s="64">
        <v>-8.0475227395461202E-3</v>
      </c>
      <c r="F1682" s="64">
        <v>1679</v>
      </c>
      <c r="G1682" s="64">
        <f t="shared" ca="1" si="55"/>
        <v>-1.9031220647928483E-2</v>
      </c>
    </row>
    <row r="1683" spans="2:7" x14ac:dyDescent="0.3">
      <c r="B1683" s="55">
        <v>43517</v>
      </c>
      <c r="C1683" s="54">
        <v>1461.05</v>
      </c>
      <c r="D1683" s="56">
        <f t="shared" si="54"/>
        <v>-0.29284642563283481</v>
      </c>
      <c r="E1683" s="64">
        <v>-8.0790250857124546E-3</v>
      </c>
      <c r="F1683" s="64">
        <v>1680</v>
      </c>
      <c r="G1683" s="64">
        <f t="shared" ca="1" si="55"/>
        <v>3.4506369441967347E-2</v>
      </c>
    </row>
    <row r="1684" spans="2:7" x14ac:dyDescent="0.3">
      <c r="B1684" s="55">
        <v>44111</v>
      </c>
      <c r="C1684" s="54">
        <v>2066.1</v>
      </c>
      <c r="D1684" s="56">
        <f t="shared" si="54"/>
        <v>-0.59150627242800802</v>
      </c>
      <c r="E1684" s="64">
        <v>-8.137106646504022E-3</v>
      </c>
      <c r="F1684" s="64">
        <v>1681</v>
      </c>
      <c r="G1684" s="64">
        <f t="shared" ca="1" si="55"/>
        <v>-7.2298365536730604E-3</v>
      </c>
    </row>
    <row r="1685" spans="2:7" x14ac:dyDescent="0.3">
      <c r="B1685" s="55">
        <v>45526</v>
      </c>
      <c r="C1685" s="54">
        <v>5057.8500000000004</v>
      </c>
      <c r="D1685" s="56">
        <f t="shared" si="54"/>
        <v>9.7742810634834587E-2</v>
      </c>
      <c r="E1685" s="64">
        <v>-8.1577425016422511E-3</v>
      </c>
      <c r="F1685" s="64">
        <v>1682</v>
      </c>
      <c r="G1685" s="64">
        <f t="shared" ca="1" si="55"/>
        <v>-3.9577884914726712E-2</v>
      </c>
    </row>
    <row r="1686" spans="2:7" x14ac:dyDescent="0.3">
      <c r="B1686" s="55">
        <v>45575</v>
      </c>
      <c r="C1686" s="54">
        <v>4607.5</v>
      </c>
      <c r="D1686" s="56">
        <f t="shared" si="54"/>
        <v>0.15958624855287651</v>
      </c>
      <c r="E1686" s="64">
        <v>-8.1586085159511823E-3</v>
      </c>
      <c r="F1686" s="64">
        <v>1683</v>
      </c>
      <c r="G1686" s="64">
        <f t="shared" ca="1" si="55"/>
        <v>4.8622838885672565E-3</v>
      </c>
    </row>
    <row r="1687" spans="2:7" x14ac:dyDescent="0.3">
      <c r="B1687" s="55">
        <v>44650</v>
      </c>
      <c r="C1687" s="54">
        <v>3973.4</v>
      </c>
      <c r="D1687" s="56">
        <f t="shared" si="54"/>
        <v>1.083149837475097</v>
      </c>
      <c r="E1687" s="64">
        <v>-8.1625521080351815E-3</v>
      </c>
      <c r="F1687" s="64">
        <v>1684</v>
      </c>
      <c r="G1687" s="64">
        <f t="shared" ca="1" si="55"/>
        <v>3.2277601526775053E-3</v>
      </c>
    </row>
    <row r="1688" spans="2:7" x14ac:dyDescent="0.3">
      <c r="B1688" s="55">
        <v>43823</v>
      </c>
      <c r="C1688" s="54">
        <v>1907.4</v>
      </c>
      <c r="D1688" s="56">
        <f t="shared" si="54"/>
        <v>-0.19205354117248397</v>
      </c>
      <c r="E1688" s="64">
        <v>-8.1639020331755185E-3</v>
      </c>
      <c r="F1688" s="64">
        <v>1685</v>
      </c>
      <c r="G1688" s="64">
        <f t="shared" ca="1" si="55"/>
        <v>1.286029649962986E-2</v>
      </c>
    </row>
    <row r="1689" spans="2:7" x14ac:dyDescent="0.3">
      <c r="B1689" s="55">
        <v>44160</v>
      </c>
      <c r="C1689" s="54">
        <v>2360.8000000000002</v>
      </c>
      <c r="D1689" s="56">
        <f t="shared" si="54"/>
        <v>-0.24559413296691002</v>
      </c>
      <c r="E1689" s="64">
        <v>-8.1714105661169212E-3</v>
      </c>
      <c r="F1689" s="64">
        <v>1686</v>
      </c>
      <c r="G1689" s="64">
        <f t="shared" ca="1" si="55"/>
        <v>1.0920432427285106E-2</v>
      </c>
    </row>
    <row r="1690" spans="2:7" x14ac:dyDescent="0.3">
      <c r="B1690" s="55">
        <v>44267</v>
      </c>
      <c r="C1690" s="54">
        <v>3129.35</v>
      </c>
      <c r="D1690" s="56">
        <f t="shared" si="54"/>
        <v>0.71185142638330468</v>
      </c>
      <c r="E1690" s="64">
        <v>-8.1928245436104774E-3</v>
      </c>
      <c r="F1690" s="64">
        <v>1687</v>
      </c>
      <c r="G1690" s="64">
        <f t="shared" ca="1" si="55"/>
        <v>-5.1179709978107892E-3</v>
      </c>
    </row>
    <row r="1691" spans="2:7" x14ac:dyDescent="0.3">
      <c r="B1691" s="55">
        <v>43752</v>
      </c>
      <c r="C1691" s="54">
        <v>1828.05</v>
      </c>
      <c r="D1691" s="56">
        <f t="shared" si="54"/>
        <v>-0.535137128253379</v>
      </c>
      <c r="E1691" s="64">
        <v>-8.2194010416667407E-3</v>
      </c>
      <c r="F1691" s="64">
        <v>1688</v>
      </c>
      <c r="G1691" s="64">
        <f t="shared" ca="1" si="55"/>
        <v>-3.2714424355529237E-2</v>
      </c>
    </row>
    <row r="1692" spans="2:7" x14ac:dyDescent="0.3">
      <c r="B1692" s="55">
        <v>45595</v>
      </c>
      <c r="C1692" s="54">
        <v>3932.45</v>
      </c>
      <c r="D1692" s="56">
        <f t="shared" si="54"/>
        <v>1.7059693789781525</v>
      </c>
      <c r="E1692" s="64">
        <v>-8.2468506866071323E-3</v>
      </c>
      <c r="F1692" s="64">
        <v>1689</v>
      </c>
      <c r="G1692" s="64">
        <f t="shared" ca="1" si="55"/>
        <v>-2.0530259040146617E-2</v>
      </c>
    </row>
    <row r="1693" spans="2:7" x14ac:dyDescent="0.3">
      <c r="B1693" s="55">
        <v>43570</v>
      </c>
      <c r="C1693" s="54">
        <v>1453.25</v>
      </c>
      <c r="D1693" s="56">
        <f t="shared" si="54"/>
        <v>-0.24294123775786614</v>
      </c>
      <c r="E1693" s="64">
        <v>-8.25741290476667E-3</v>
      </c>
      <c r="F1693" s="64">
        <v>1690</v>
      </c>
      <c r="G1693" s="64">
        <f t="shared" ca="1" si="55"/>
        <v>-7.2633863128354018E-4</v>
      </c>
    </row>
    <row r="1694" spans="2:7" x14ac:dyDescent="0.3">
      <c r="B1694" s="55">
        <v>43819</v>
      </c>
      <c r="C1694" s="54">
        <v>1919.6</v>
      </c>
      <c r="D1694" s="56">
        <f t="shared" si="54"/>
        <v>-0.43739742086752642</v>
      </c>
      <c r="E1694" s="64">
        <v>-8.2661706964248793E-3</v>
      </c>
      <c r="F1694" s="64">
        <v>1691</v>
      </c>
      <c r="G1694" s="64">
        <f t="shared" ca="1" si="55"/>
        <v>-1.9117454720689542E-2</v>
      </c>
    </row>
    <row r="1695" spans="2:7" x14ac:dyDescent="0.3">
      <c r="B1695" s="55">
        <v>44736</v>
      </c>
      <c r="C1695" s="54">
        <v>3412</v>
      </c>
      <c r="D1695" s="56">
        <f t="shared" si="54"/>
        <v>1.3238549293376467</v>
      </c>
      <c r="E1695" s="64">
        <v>-8.2692671016871833E-3</v>
      </c>
      <c r="F1695" s="64">
        <v>1692</v>
      </c>
      <c r="G1695" s="64">
        <f t="shared" ca="1" si="55"/>
        <v>-7.4018045166241754E-3</v>
      </c>
    </row>
    <row r="1696" spans="2:7" x14ac:dyDescent="0.3">
      <c r="B1696" s="55">
        <v>43277</v>
      </c>
      <c r="C1696" s="54">
        <v>1468.25</v>
      </c>
      <c r="D1696" s="56">
        <f t="shared" si="54"/>
        <v>-0.66522259590719945</v>
      </c>
      <c r="E1696" s="64">
        <v>-8.2742316784869541E-3</v>
      </c>
      <c r="F1696" s="64">
        <v>1693</v>
      </c>
      <c r="G1696" s="64">
        <f t="shared" ca="1" si="55"/>
        <v>-1.200088951823311E-2</v>
      </c>
    </row>
    <row r="1697" spans="2:7" x14ac:dyDescent="0.3">
      <c r="B1697" s="55">
        <v>44466</v>
      </c>
      <c r="C1697" s="54">
        <v>4385.75</v>
      </c>
      <c r="D1697" s="56">
        <f t="shared" si="54"/>
        <v>0.23915746051479103</v>
      </c>
      <c r="E1697" s="64">
        <v>-8.2761427747691796E-3</v>
      </c>
      <c r="F1697" s="64">
        <v>1694</v>
      </c>
      <c r="G1697" s="64">
        <f t="shared" ca="1" si="55"/>
        <v>-4.4475060922690837E-2</v>
      </c>
    </row>
    <row r="1698" spans="2:7" x14ac:dyDescent="0.3">
      <c r="B1698" s="55">
        <v>45161</v>
      </c>
      <c r="C1698" s="54">
        <v>3539.3</v>
      </c>
      <c r="D1698" s="56">
        <f t="shared" si="54"/>
        <v>2.1489834957071046</v>
      </c>
      <c r="E1698" s="64">
        <v>-8.293872061419405E-3</v>
      </c>
      <c r="F1698" s="64">
        <v>1695</v>
      </c>
      <c r="G1698" s="64">
        <f t="shared" ca="1" si="55"/>
        <v>-2.0923000557291821E-2</v>
      </c>
    </row>
    <row r="1699" spans="2:7" x14ac:dyDescent="0.3">
      <c r="B1699" s="55">
        <v>43075</v>
      </c>
      <c r="C1699" s="54">
        <v>1123.95</v>
      </c>
      <c r="D1699" s="56">
        <f t="shared" si="54"/>
        <v>-0.71641056695178262</v>
      </c>
      <c r="E1699" s="64">
        <v>-8.2939956765339939E-3</v>
      </c>
      <c r="F1699" s="64">
        <v>1696</v>
      </c>
      <c r="G1699" s="64">
        <f t="shared" ca="1" si="55"/>
        <v>2.9533702544973166E-2</v>
      </c>
    </row>
    <row r="1700" spans="2:7" x14ac:dyDescent="0.3">
      <c r="B1700" s="55">
        <v>45992</v>
      </c>
      <c r="C1700" s="54">
        <v>3963.3</v>
      </c>
      <c r="D1700" s="56">
        <f t="shared" si="54"/>
        <v>0.1516199331686765</v>
      </c>
      <c r="E1700" s="64">
        <v>-8.3072688602526812E-3</v>
      </c>
      <c r="F1700" s="64">
        <v>1697</v>
      </c>
      <c r="G1700" s="64">
        <f t="shared" ca="1" si="55"/>
        <v>-2.3375596154802765E-3</v>
      </c>
    </row>
    <row r="1701" spans="2:7" x14ac:dyDescent="0.3">
      <c r="B1701" s="55">
        <v>44963</v>
      </c>
      <c r="C1701" s="54">
        <v>3441.5</v>
      </c>
      <c r="D1701" s="56">
        <f t="shared" si="54"/>
        <v>-5.2867679436371606E-2</v>
      </c>
      <c r="E1701" s="64">
        <v>-8.3132825219357498E-3</v>
      </c>
      <c r="F1701" s="64">
        <v>1698</v>
      </c>
      <c r="G1701" s="64">
        <f t="shared" ca="1" si="55"/>
        <v>2.3712171695503562E-2</v>
      </c>
    </row>
    <row r="1702" spans="2:7" x14ac:dyDescent="0.3">
      <c r="B1702" s="55">
        <v>45195</v>
      </c>
      <c r="C1702" s="54">
        <v>3633.6</v>
      </c>
      <c r="D1702" s="56">
        <f t="shared" si="54"/>
        <v>0.66312705968509689</v>
      </c>
      <c r="E1702" s="64">
        <v>-8.3240086242187816E-3</v>
      </c>
      <c r="F1702" s="64">
        <v>1699</v>
      </c>
      <c r="G1702" s="64">
        <f t="shared" ca="1" si="55"/>
        <v>-2.0459303159531497E-2</v>
      </c>
    </row>
    <row r="1703" spans="2:7" x14ac:dyDescent="0.3">
      <c r="B1703" s="55">
        <v>44105</v>
      </c>
      <c r="C1703" s="54">
        <v>2184.8000000000002</v>
      </c>
      <c r="D1703" s="56">
        <f t="shared" si="54"/>
        <v>-0.2956007286444311</v>
      </c>
      <c r="E1703" s="64">
        <v>-8.3289835008963919E-3</v>
      </c>
      <c r="F1703" s="64">
        <v>1700</v>
      </c>
      <c r="G1703" s="64">
        <f t="shared" ca="1" si="55"/>
        <v>-9.8612187940528683E-6</v>
      </c>
    </row>
    <row r="1704" spans="2:7" x14ac:dyDescent="0.3">
      <c r="B1704" s="55">
        <v>44246</v>
      </c>
      <c r="C1704" s="54">
        <v>3101.65</v>
      </c>
      <c r="D1704" s="56">
        <f t="shared" si="54"/>
        <v>-0.33830055041174201</v>
      </c>
      <c r="E1704" s="64">
        <v>-8.34465670210216E-3</v>
      </c>
      <c r="F1704" s="64">
        <v>1701</v>
      </c>
      <c r="G1704" s="64">
        <f t="shared" ca="1" si="55"/>
        <v>1.1645469825412924E-2</v>
      </c>
    </row>
    <row r="1705" spans="2:7" x14ac:dyDescent="0.3">
      <c r="B1705" s="55">
        <v>44566</v>
      </c>
      <c r="C1705" s="54">
        <v>4687.3999999999996</v>
      </c>
      <c r="D1705" s="56">
        <f t="shared" si="54"/>
        <v>1.5667506297229217</v>
      </c>
      <c r="E1705" s="64">
        <v>-8.3669173568580169E-3</v>
      </c>
      <c r="F1705" s="64">
        <v>1702</v>
      </c>
      <c r="G1705" s="64">
        <f t="shared" ca="1" si="55"/>
        <v>-8.4449269657759524E-3</v>
      </c>
    </row>
    <row r="1706" spans="2:7" x14ac:dyDescent="0.3">
      <c r="B1706" s="55">
        <v>43789</v>
      </c>
      <c r="C1706" s="54">
        <v>1826.2</v>
      </c>
      <c r="D1706" s="56">
        <f t="shared" si="54"/>
        <v>0.28244382022471903</v>
      </c>
      <c r="E1706" s="64">
        <v>-8.389216192001725E-3</v>
      </c>
      <c r="F1706" s="64">
        <v>1703</v>
      </c>
      <c r="G1706" s="64">
        <f t="shared" ca="1" si="55"/>
        <v>8.0635928510064264E-3</v>
      </c>
    </row>
    <row r="1707" spans="2:7" x14ac:dyDescent="0.3">
      <c r="B1707" s="55">
        <v>43410</v>
      </c>
      <c r="C1707" s="54">
        <v>1424</v>
      </c>
      <c r="D1707" s="56">
        <f t="shared" si="54"/>
        <v>-0.6128751631143976</v>
      </c>
      <c r="E1707" s="64">
        <v>-8.3910727342362268E-3</v>
      </c>
      <c r="F1707" s="64">
        <v>1704</v>
      </c>
      <c r="G1707" s="64">
        <f t="shared" ca="1" si="55"/>
        <v>-5.8801544653822252E-3</v>
      </c>
    </row>
    <row r="1708" spans="2:7" x14ac:dyDescent="0.3">
      <c r="B1708" s="55">
        <v>45628</v>
      </c>
      <c r="C1708" s="54">
        <v>3678.4</v>
      </c>
      <c r="D1708" s="56">
        <f t="shared" si="54"/>
        <v>2.2288922238897335E-2</v>
      </c>
      <c r="E1708" s="64">
        <v>-8.4106103083889661E-3</v>
      </c>
      <c r="F1708" s="64">
        <v>1705</v>
      </c>
      <c r="G1708" s="64">
        <f t="shared" ca="1" si="55"/>
        <v>-9.1885219598869701E-3</v>
      </c>
    </row>
    <row r="1709" spans="2:7" x14ac:dyDescent="0.3">
      <c r="B1709" s="55">
        <v>45148</v>
      </c>
      <c r="C1709" s="54">
        <v>3598.2</v>
      </c>
      <c r="D1709" s="56">
        <f t="shared" si="54"/>
        <v>7.4394231199892413E-2</v>
      </c>
      <c r="E1709" s="64">
        <v>-8.418877023768534E-3</v>
      </c>
      <c r="F1709" s="64">
        <v>1706</v>
      </c>
      <c r="G1709" s="64">
        <f t="shared" ca="1" si="55"/>
        <v>-1.6714395128083162E-2</v>
      </c>
    </row>
    <row r="1710" spans="2:7" x14ac:dyDescent="0.3">
      <c r="B1710" s="55">
        <v>44389</v>
      </c>
      <c r="C1710" s="54">
        <v>3349.05</v>
      </c>
      <c r="D1710" s="56">
        <f t="shared" si="54"/>
        <v>-0.13886246175207628</v>
      </c>
      <c r="E1710" s="64">
        <v>-8.4527475130269369E-3</v>
      </c>
      <c r="F1710" s="64">
        <v>1707</v>
      </c>
      <c r="G1710" s="64">
        <f t="shared" ca="1" si="55"/>
        <v>5.5148856438057472E-3</v>
      </c>
    </row>
    <row r="1711" spans="2:7" x14ac:dyDescent="0.3">
      <c r="B1711" s="55">
        <v>45603</v>
      </c>
      <c r="C1711" s="54">
        <v>3889.1</v>
      </c>
      <c r="D1711" s="56">
        <f t="shared" si="54"/>
        <v>-0.26608291974108822</v>
      </c>
      <c r="E1711" s="64">
        <v>-8.4644213854117023E-3</v>
      </c>
      <c r="F1711" s="64">
        <v>1708</v>
      </c>
      <c r="G1711" s="64">
        <f t="shared" ca="1" si="55"/>
        <v>1.2292126242488443E-2</v>
      </c>
    </row>
    <row r="1712" spans="2:7" x14ac:dyDescent="0.3">
      <c r="B1712" s="55">
        <v>45546</v>
      </c>
      <c r="C1712" s="54">
        <v>5299.1</v>
      </c>
      <c r="D1712" s="56">
        <f t="shared" si="54"/>
        <v>0.59820849607166027</v>
      </c>
      <c r="E1712" s="64">
        <v>-8.4761619639247554E-3</v>
      </c>
      <c r="F1712" s="64">
        <v>1709</v>
      </c>
      <c r="G1712" s="64">
        <f t="shared" ca="1" si="55"/>
        <v>3.0753255263740287E-2</v>
      </c>
    </row>
    <row r="1713" spans="2:7" x14ac:dyDescent="0.3">
      <c r="B1713" s="55">
        <v>44378</v>
      </c>
      <c r="C1713" s="54">
        <v>3315.65</v>
      </c>
      <c r="D1713" s="56">
        <f t="shared" si="54"/>
        <v>-0.1825320512820513</v>
      </c>
      <c r="E1713" s="64">
        <v>-8.5075207081127813E-3</v>
      </c>
      <c r="F1713" s="64">
        <v>1710</v>
      </c>
      <c r="G1713" s="64">
        <f t="shared" ca="1" si="55"/>
        <v>-9.458115193356929E-3</v>
      </c>
    </row>
    <row r="1714" spans="2:7" x14ac:dyDescent="0.3">
      <c r="B1714" s="55">
        <v>44669</v>
      </c>
      <c r="C1714" s="54">
        <v>4056</v>
      </c>
      <c r="D1714" s="56">
        <f t="shared" si="54"/>
        <v>-0.12500404491473316</v>
      </c>
      <c r="E1714" s="64">
        <v>-8.531130069177939E-3</v>
      </c>
      <c r="F1714" s="64">
        <v>1711</v>
      </c>
      <c r="G1714" s="64">
        <f t="shared" ca="1" si="55"/>
        <v>-2.8904526886059951E-3</v>
      </c>
    </row>
    <row r="1715" spans="2:7" x14ac:dyDescent="0.3">
      <c r="B1715" s="55">
        <v>44498</v>
      </c>
      <c r="C1715" s="54">
        <v>4635.45</v>
      </c>
      <c r="D1715" s="56">
        <f t="shared" si="54"/>
        <v>1.3296645307199397</v>
      </c>
      <c r="E1715" s="64">
        <v>-8.5977350742677539E-3</v>
      </c>
      <c r="F1715" s="64">
        <v>1712</v>
      </c>
      <c r="G1715" s="64">
        <f t="shared" ca="1" si="55"/>
        <v>-1.8660530822929622E-2</v>
      </c>
    </row>
    <row r="1716" spans="2:7" x14ac:dyDescent="0.3">
      <c r="B1716" s="55">
        <v>44029</v>
      </c>
      <c r="C1716" s="54">
        <v>1989.75</v>
      </c>
      <c r="D1716" s="56">
        <f t="shared" si="54"/>
        <v>-0.50286078352988206</v>
      </c>
      <c r="E1716" s="64">
        <v>-8.6196158541141932E-3</v>
      </c>
      <c r="F1716" s="64">
        <v>1713</v>
      </c>
      <c r="G1716" s="64">
        <f t="shared" ca="1" si="55"/>
        <v>-2.3284134024408688E-2</v>
      </c>
    </row>
    <row r="1717" spans="2:7" x14ac:dyDescent="0.3">
      <c r="B1717" s="55">
        <v>44904</v>
      </c>
      <c r="C1717" s="54">
        <v>4002.4</v>
      </c>
      <c r="D1717" s="56">
        <f t="shared" si="54"/>
        <v>2.533972010065781</v>
      </c>
      <c r="E1717" s="64">
        <v>-8.6198355295749041E-3</v>
      </c>
      <c r="F1717" s="64">
        <v>1714</v>
      </c>
      <c r="G1717" s="64">
        <f t="shared" ca="1" si="55"/>
        <v>4.8241213885552121E-3</v>
      </c>
    </row>
    <row r="1718" spans="2:7" x14ac:dyDescent="0.3">
      <c r="B1718" s="55">
        <v>43077</v>
      </c>
      <c r="C1718" s="54">
        <v>1132.55</v>
      </c>
      <c r="D1718" s="56">
        <f t="shared" si="54"/>
        <v>-0.73168044729796966</v>
      </c>
      <c r="E1718" s="64">
        <v>-8.6221988795519566E-3</v>
      </c>
      <c r="F1718" s="64">
        <v>1715</v>
      </c>
      <c r="G1718" s="64">
        <f t="shared" ca="1" si="55"/>
        <v>8.5393777011974308E-3</v>
      </c>
    </row>
    <row r="1719" spans="2:7" x14ac:dyDescent="0.3">
      <c r="B1719" s="55">
        <v>45958</v>
      </c>
      <c r="C1719" s="54">
        <v>4220.8999999999996</v>
      </c>
      <c r="D1719" s="56">
        <f t="shared" si="54"/>
        <v>0.11353233699595022</v>
      </c>
      <c r="E1719" s="64">
        <v>-8.6897296789497647E-3</v>
      </c>
      <c r="F1719" s="64">
        <v>1716</v>
      </c>
      <c r="G1719" s="64">
        <f t="shared" ca="1" si="55"/>
        <v>-2.2892638919118129E-2</v>
      </c>
    </row>
    <row r="1720" spans="2:7" x14ac:dyDescent="0.3">
      <c r="B1720" s="55">
        <v>45614</v>
      </c>
      <c r="C1720" s="54">
        <v>3790.55</v>
      </c>
      <c r="D1720" s="56">
        <f t="shared" si="54"/>
        <v>9.0429204303549948E-2</v>
      </c>
      <c r="E1720" s="64">
        <v>-8.7085005949500971E-3</v>
      </c>
      <c r="F1720" s="64">
        <v>1717</v>
      </c>
      <c r="G1720" s="64">
        <f t="shared" ca="1" si="55"/>
        <v>9.2904300162459479E-3</v>
      </c>
    </row>
    <row r="1721" spans="2:7" x14ac:dyDescent="0.3">
      <c r="B1721" s="55">
        <v>45035</v>
      </c>
      <c r="C1721" s="54">
        <v>3476.2</v>
      </c>
      <c r="D1721" s="56">
        <f t="shared" si="54"/>
        <v>1.8156487931313787</v>
      </c>
      <c r="E1721" s="64">
        <v>-8.7259039580245279E-3</v>
      </c>
      <c r="F1721" s="64">
        <v>1718</v>
      </c>
      <c r="G1721" s="64">
        <f t="shared" ca="1" si="55"/>
        <v>9.8035592376423744E-4</v>
      </c>
    </row>
    <row r="1722" spans="2:7" x14ac:dyDescent="0.3">
      <c r="B1722" s="55">
        <v>43112</v>
      </c>
      <c r="C1722" s="54">
        <v>1234.5999999999999</v>
      </c>
      <c r="D1722" s="56">
        <f t="shared" si="54"/>
        <v>-0.68326128506740891</v>
      </c>
      <c r="E1722" s="64">
        <v>-8.7515054195103081E-3</v>
      </c>
      <c r="F1722" s="64">
        <v>1719</v>
      </c>
      <c r="G1722" s="64">
        <f t="shared" ca="1" si="55"/>
        <v>2.0175381680566798E-3</v>
      </c>
    </row>
    <row r="1723" spans="2:7" x14ac:dyDescent="0.3">
      <c r="B1723" s="55">
        <v>45295</v>
      </c>
      <c r="C1723" s="54">
        <v>3897.85</v>
      </c>
      <c r="D1723" s="56">
        <f t="shared" si="54"/>
        <v>1.674431369858314</v>
      </c>
      <c r="E1723" s="64">
        <v>-8.7733797856244244E-3</v>
      </c>
      <c r="F1723" s="64">
        <v>1720</v>
      </c>
      <c r="G1723" s="64">
        <f t="shared" ca="1" si="55"/>
        <v>-5.7216103261567494E-3</v>
      </c>
    </row>
    <row r="1724" spans="2:7" x14ac:dyDescent="0.3">
      <c r="B1724" s="55">
        <v>43531</v>
      </c>
      <c r="C1724" s="54">
        <v>1457.45</v>
      </c>
      <c r="D1724" s="56">
        <f t="shared" si="54"/>
        <v>-0.636559729685922</v>
      </c>
      <c r="E1724" s="64">
        <v>-8.7734212942496281E-3</v>
      </c>
      <c r="F1724" s="64">
        <v>1721</v>
      </c>
      <c r="G1724" s="64">
        <f t="shared" ca="1" si="55"/>
        <v>3.1426398620498794E-3</v>
      </c>
    </row>
    <row r="1725" spans="2:7" x14ac:dyDescent="0.3">
      <c r="B1725" s="55">
        <v>45278</v>
      </c>
      <c r="C1725" s="54">
        <v>4010.15</v>
      </c>
      <c r="D1725" s="56">
        <f t="shared" si="54"/>
        <v>1.6701401604687556</v>
      </c>
      <c r="E1725" s="64">
        <v>-8.7748569451139291E-3</v>
      </c>
      <c r="F1725" s="64">
        <v>1722</v>
      </c>
      <c r="G1725" s="64">
        <f t="shared" ca="1" si="55"/>
        <v>-3.8290893985227009E-3</v>
      </c>
    </row>
    <row r="1726" spans="2:7" x14ac:dyDescent="0.3">
      <c r="B1726" s="55">
        <v>43364</v>
      </c>
      <c r="C1726" s="54">
        <v>1501.85</v>
      </c>
      <c r="D1726" s="56">
        <f t="shared" si="54"/>
        <v>-0.17695574736265252</v>
      </c>
      <c r="E1726" s="64">
        <v>-8.7780087780089389E-3</v>
      </c>
      <c r="F1726" s="64">
        <v>1723</v>
      </c>
      <c r="G1726" s="64">
        <f t="shared" ca="1" si="55"/>
        <v>1.8396712198095531E-3</v>
      </c>
    </row>
    <row r="1727" spans="2:7" x14ac:dyDescent="0.3">
      <c r="B1727" s="55">
        <v>43804</v>
      </c>
      <c r="C1727" s="54">
        <v>1824.75</v>
      </c>
      <c r="D1727" s="56">
        <f t="shared" si="54"/>
        <v>-0.52769509512100421</v>
      </c>
      <c r="E1727" s="64">
        <v>-8.7998044487900273E-3</v>
      </c>
      <c r="F1727" s="64">
        <v>1724</v>
      </c>
      <c r="G1727" s="64">
        <f t="shared" ca="1" si="55"/>
        <v>3.2026923428513418E-2</v>
      </c>
    </row>
    <row r="1728" spans="2:7" x14ac:dyDescent="0.3">
      <c r="B1728" s="55">
        <v>45296</v>
      </c>
      <c r="C1728" s="54">
        <v>3863.5</v>
      </c>
      <c r="D1728" s="56">
        <f t="shared" si="54"/>
        <v>0.11131885517043005</v>
      </c>
      <c r="E1728" s="64">
        <v>-8.8125505086137368E-3</v>
      </c>
      <c r="F1728" s="64">
        <v>1725</v>
      </c>
      <c r="G1728" s="64">
        <f t="shared" ca="1" si="55"/>
        <v>3.0153043100487151E-2</v>
      </c>
    </row>
    <row r="1729" spans="2:7" x14ac:dyDescent="0.3">
      <c r="B1729" s="55">
        <v>45671</v>
      </c>
      <c r="C1729" s="54">
        <v>3476.5</v>
      </c>
      <c r="D1729" s="56">
        <f t="shared" si="54"/>
        <v>1.962505325948019</v>
      </c>
      <c r="E1729" s="64">
        <v>-8.8240744700565088E-3</v>
      </c>
      <c r="F1729" s="64">
        <v>1726</v>
      </c>
      <c r="G1729" s="64">
        <f t="shared" ca="1" si="55"/>
        <v>1.0221759671525686E-2</v>
      </c>
    </row>
    <row r="1730" spans="2:7" x14ac:dyDescent="0.3">
      <c r="B1730" s="55">
        <v>43147</v>
      </c>
      <c r="C1730" s="54">
        <v>1173.5</v>
      </c>
      <c r="D1730" s="56">
        <f t="shared" si="54"/>
        <v>-0.69787469587940731</v>
      </c>
      <c r="E1730" s="64">
        <v>-8.8263862494193379E-3</v>
      </c>
      <c r="F1730" s="64">
        <v>1727</v>
      </c>
      <c r="G1730" s="64">
        <f t="shared" ca="1" si="55"/>
        <v>7.7739759384564591E-3</v>
      </c>
    </row>
    <row r="1731" spans="2:7" x14ac:dyDescent="0.3">
      <c r="B1731" s="55">
        <v>45352</v>
      </c>
      <c r="C1731" s="54">
        <v>3884.15</v>
      </c>
      <c r="D1731" s="56">
        <f t="shared" si="54"/>
        <v>-0.23553897931468826</v>
      </c>
      <c r="E1731" s="64">
        <v>-8.8672841868892016E-3</v>
      </c>
      <c r="F1731" s="64">
        <v>1728</v>
      </c>
      <c r="G1731" s="64">
        <f t="shared" ca="1" si="55"/>
        <v>1.1686625145133476E-2</v>
      </c>
    </row>
    <row r="1732" spans="2:7" x14ac:dyDescent="0.3">
      <c r="B1732" s="55">
        <v>44518</v>
      </c>
      <c r="C1732" s="54">
        <v>5080.8999999999996</v>
      </c>
      <c r="D1732" s="56">
        <f t="shared" ref="D1732:D1795" si="56">C1732/C1733-1</f>
        <v>0.80702409531430597</v>
      </c>
      <c r="E1732" s="64">
        <v>-8.8756242197253199E-3</v>
      </c>
      <c r="F1732" s="64">
        <v>1729</v>
      </c>
      <c r="G1732" s="64">
        <f t="shared" ca="1" si="55"/>
        <v>-9.5280516158696791E-3</v>
      </c>
    </row>
    <row r="1733" spans="2:7" x14ac:dyDescent="0.3">
      <c r="B1733" s="55">
        <v>44223</v>
      </c>
      <c r="C1733" s="54">
        <v>2811.75</v>
      </c>
      <c r="D1733" s="56">
        <f t="shared" si="56"/>
        <v>0.90575437169581119</v>
      </c>
      <c r="E1733" s="64">
        <v>-8.9002467395136176E-3</v>
      </c>
      <c r="F1733" s="64">
        <v>1730</v>
      </c>
      <c r="G1733" s="64">
        <f t="shared" ref="G1733:G1796" ca="1" si="57">_xlfn.NORM.INV(RAND(),K$6,K$7)</f>
        <v>-4.5543745219895088E-3</v>
      </c>
    </row>
    <row r="1734" spans="2:7" x14ac:dyDescent="0.3">
      <c r="B1734" s="55">
        <v>43210</v>
      </c>
      <c r="C1734" s="54">
        <v>1475.4</v>
      </c>
      <c r="D1734" s="56">
        <f t="shared" si="56"/>
        <v>0.27189655172413807</v>
      </c>
      <c r="E1734" s="64">
        <v>-8.9006818258153819E-3</v>
      </c>
      <c r="F1734" s="64">
        <v>1731</v>
      </c>
      <c r="G1734" s="64">
        <f t="shared" ca="1" si="57"/>
        <v>6.134205760679824E-3</v>
      </c>
    </row>
    <row r="1735" spans="2:7" x14ac:dyDescent="0.3">
      <c r="B1735" s="55">
        <v>43102</v>
      </c>
      <c r="C1735" s="54">
        <v>1160</v>
      </c>
      <c r="D1735" s="56">
        <f t="shared" si="56"/>
        <v>-0.74726016950998975</v>
      </c>
      <c r="E1735" s="64">
        <v>-8.9705254164886838E-3</v>
      </c>
      <c r="F1735" s="64">
        <v>1732</v>
      </c>
      <c r="G1735" s="64">
        <f t="shared" ca="1" si="57"/>
        <v>-5.379924267354225E-3</v>
      </c>
    </row>
    <row r="1736" spans="2:7" x14ac:dyDescent="0.3">
      <c r="B1736" s="55">
        <v>45911</v>
      </c>
      <c r="C1736" s="54">
        <v>4589.7</v>
      </c>
      <c r="D1736" s="56">
        <f t="shared" si="56"/>
        <v>0.6178004934790271</v>
      </c>
      <c r="E1736" s="64">
        <v>-8.9823591648133805E-3</v>
      </c>
      <c r="F1736" s="64">
        <v>1733</v>
      </c>
      <c r="G1736" s="64">
        <f t="shared" ca="1" si="57"/>
        <v>-9.4362083324276598E-3</v>
      </c>
    </row>
    <row r="1737" spans="2:7" x14ac:dyDescent="0.3">
      <c r="B1737" s="55">
        <v>44221</v>
      </c>
      <c r="C1737" s="54">
        <v>2837</v>
      </c>
      <c r="D1737" s="56">
        <f t="shared" si="56"/>
        <v>0.75861641457971718</v>
      </c>
      <c r="E1737" s="64">
        <v>-8.9948476115623288E-3</v>
      </c>
      <c r="F1737" s="64">
        <v>1734</v>
      </c>
      <c r="G1737" s="64">
        <f t="shared" ca="1" si="57"/>
        <v>-9.02686352739074E-3</v>
      </c>
    </row>
    <row r="1738" spans="2:7" x14ac:dyDescent="0.3">
      <c r="B1738" s="55">
        <v>43321</v>
      </c>
      <c r="C1738" s="54">
        <v>1613.2</v>
      </c>
      <c r="D1738" s="56">
        <f t="shared" si="56"/>
        <v>-0.65264948431410552</v>
      </c>
      <c r="E1738" s="64">
        <v>-8.9996007003101397E-3</v>
      </c>
      <c r="F1738" s="64">
        <v>1735</v>
      </c>
      <c r="G1738" s="64">
        <f t="shared" ca="1" si="57"/>
        <v>7.5653741350703799E-3</v>
      </c>
    </row>
    <row r="1739" spans="2:7" x14ac:dyDescent="0.3">
      <c r="B1739" s="55">
        <v>45398</v>
      </c>
      <c r="C1739" s="54">
        <v>4644.3</v>
      </c>
      <c r="D1739" s="56">
        <f t="shared" si="56"/>
        <v>0.10092330303066221</v>
      </c>
      <c r="E1739" s="64">
        <v>-9.0680208244431348E-3</v>
      </c>
      <c r="F1739" s="64">
        <v>1736</v>
      </c>
      <c r="G1739" s="64">
        <f t="shared" ca="1" si="57"/>
        <v>-4.5055924053347034E-3</v>
      </c>
    </row>
    <row r="1740" spans="2:7" x14ac:dyDescent="0.3">
      <c r="B1740" s="55">
        <v>44475</v>
      </c>
      <c r="C1740" s="54">
        <v>4218.55</v>
      </c>
      <c r="D1740" s="56">
        <f t="shared" si="56"/>
        <v>0.12389769548421481</v>
      </c>
      <c r="E1740" s="64">
        <v>-9.1020130129424448E-3</v>
      </c>
      <c r="F1740" s="64">
        <v>1737</v>
      </c>
      <c r="G1740" s="64">
        <f t="shared" ca="1" si="57"/>
        <v>1.7181283636381502E-2</v>
      </c>
    </row>
    <row r="1741" spans="2:7" x14ac:dyDescent="0.3">
      <c r="B1741" s="55">
        <v>46021</v>
      </c>
      <c r="C1741" s="54">
        <v>3753.5</v>
      </c>
      <c r="D1741" s="56">
        <f t="shared" si="56"/>
        <v>2.2067492524562153</v>
      </c>
      <c r="E1741" s="64">
        <v>-9.1077085533263213E-3</v>
      </c>
      <c r="F1741" s="64">
        <v>1738</v>
      </c>
      <c r="G1741" s="64">
        <f t="shared" ca="1" si="57"/>
        <v>-2.6871545043614199E-2</v>
      </c>
    </row>
    <row r="1742" spans="2:7" x14ac:dyDescent="0.3">
      <c r="B1742" s="55">
        <v>43101</v>
      </c>
      <c r="C1742" s="54">
        <v>1170.5</v>
      </c>
      <c r="D1742" s="56">
        <f t="shared" si="56"/>
        <v>-0.20938872002701792</v>
      </c>
      <c r="E1742" s="64">
        <v>-9.1844076691919296E-3</v>
      </c>
      <c r="F1742" s="64">
        <v>1739</v>
      </c>
      <c r="G1742" s="64">
        <f t="shared" ca="1" si="57"/>
        <v>-2.8139240768337355E-2</v>
      </c>
    </row>
    <row r="1743" spans="2:7" x14ac:dyDescent="0.3">
      <c r="B1743" s="55">
        <v>43276</v>
      </c>
      <c r="C1743" s="54">
        <v>1480.5</v>
      </c>
      <c r="D1743" s="56">
        <f t="shared" si="56"/>
        <v>-9.4799914401883179E-2</v>
      </c>
      <c r="E1743" s="64">
        <v>-9.201940772962991E-3</v>
      </c>
      <c r="F1743" s="64">
        <v>1740</v>
      </c>
      <c r="G1743" s="64">
        <f t="shared" ca="1" si="57"/>
        <v>-3.1927060551642877E-2</v>
      </c>
    </row>
    <row r="1744" spans="2:7" x14ac:dyDescent="0.3">
      <c r="B1744" s="55">
        <v>43318</v>
      </c>
      <c r="C1744" s="54">
        <v>1635.55</v>
      </c>
      <c r="D1744" s="56">
        <f t="shared" si="56"/>
        <v>-0.56943347549097034</v>
      </c>
      <c r="E1744" s="64">
        <v>-9.2079357867635991E-3</v>
      </c>
      <c r="F1744" s="64">
        <v>1741</v>
      </c>
      <c r="G1744" s="64">
        <f t="shared" ca="1" si="57"/>
        <v>-1.4057347186359008E-2</v>
      </c>
    </row>
    <row r="1745" spans="2:7" x14ac:dyDescent="0.3">
      <c r="B1745" s="55">
        <v>45208</v>
      </c>
      <c r="C1745" s="54">
        <v>3798.6</v>
      </c>
      <c r="D1745" s="56">
        <f t="shared" si="56"/>
        <v>1.574013213620193</v>
      </c>
      <c r="E1745" s="64">
        <v>-9.2202558718814664E-3</v>
      </c>
      <c r="F1745" s="64">
        <v>1742</v>
      </c>
      <c r="G1745" s="64">
        <f t="shared" ca="1" si="57"/>
        <v>-1.1128245567976975E-2</v>
      </c>
    </row>
    <row r="1746" spans="2:7" x14ac:dyDescent="0.3">
      <c r="B1746" s="55">
        <v>43214</v>
      </c>
      <c r="C1746" s="54">
        <v>1475.75</v>
      </c>
      <c r="D1746" s="56">
        <f t="shared" si="56"/>
        <v>-0.51261600449156175</v>
      </c>
      <c r="E1746" s="64">
        <v>-9.2312856663310239E-3</v>
      </c>
      <c r="F1746" s="64">
        <v>1743</v>
      </c>
      <c r="G1746" s="64">
        <f t="shared" ca="1" si="57"/>
        <v>5.1374382802045837E-3</v>
      </c>
    </row>
    <row r="1747" spans="2:7" x14ac:dyDescent="0.3">
      <c r="B1747" s="55">
        <v>44335</v>
      </c>
      <c r="C1747" s="54">
        <v>3027.9</v>
      </c>
      <c r="D1747" s="56">
        <f t="shared" si="56"/>
        <v>-0.12749434495079737</v>
      </c>
      <c r="E1747" s="64">
        <v>-9.2922815168667849E-3</v>
      </c>
      <c r="F1747" s="64">
        <v>1744</v>
      </c>
      <c r="G1747" s="64">
        <f t="shared" ca="1" si="57"/>
        <v>-3.8324753892050978E-2</v>
      </c>
    </row>
    <row r="1748" spans="2:7" x14ac:dyDescent="0.3">
      <c r="B1748" s="55">
        <v>44960</v>
      </c>
      <c r="C1748" s="54">
        <v>3470.35</v>
      </c>
      <c r="D1748" s="56">
        <f t="shared" si="56"/>
        <v>3.0220718113134648E-2</v>
      </c>
      <c r="E1748" s="64">
        <v>-9.2923006651631779E-3</v>
      </c>
      <c r="F1748" s="64">
        <v>1745</v>
      </c>
      <c r="G1748" s="64">
        <f t="shared" ca="1" si="57"/>
        <v>1.2523340366864385E-2</v>
      </c>
    </row>
    <row r="1749" spans="2:7" x14ac:dyDescent="0.3">
      <c r="B1749" s="55">
        <v>45064</v>
      </c>
      <c r="C1749" s="54">
        <v>3368.55</v>
      </c>
      <c r="D1749" s="56">
        <f t="shared" si="56"/>
        <v>-0.11544824326453429</v>
      </c>
      <c r="E1749" s="64">
        <v>-9.3082759837656015E-3</v>
      </c>
      <c r="F1749" s="64">
        <v>1746</v>
      </c>
      <c r="G1749" s="64">
        <f t="shared" ca="1" si="57"/>
        <v>1.7468138785431847E-3</v>
      </c>
    </row>
    <row r="1750" spans="2:7" x14ac:dyDescent="0.3">
      <c r="B1750" s="55">
        <v>46100</v>
      </c>
      <c r="C1750" s="54">
        <v>3808.2</v>
      </c>
      <c r="D1750" s="56">
        <f t="shared" si="56"/>
        <v>-0.20767318235251286</v>
      </c>
      <c r="E1750" s="64">
        <v>-9.3132154006243528E-3</v>
      </c>
      <c r="F1750" s="64">
        <v>1747</v>
      </c>
      <c r="G1750" s="64">
        <f t="shared" ca="1" si="57"/>
        <v>-1.8509160145643903E-2</v>
      </c>
    </row>
    <row r="1751" spans="2:7" x14ac:dyDescent="0.3">
      <c r="B1751" s="55">
        <v>45482</v>
      </c>
      <c r="C1751" s="54">
        <v>4806.3500000000004</v>
      </c>
      <c r="D1751" s="56">
        <f t="shared" si="56"/>
        <v>1.0362438569733943</v>
      </c>
      <c r="E1751" s="64">
        <v>-9.3166101555173242E-3</v>
      </c>
      <c r="F1751" s="64">
        <v>1748</v>
      </c>
      <c r="G1751" s="64">
        <f t="shared" ca="1" si="57"/>
        <v>-4.1144163747898928E-3</v>
      </c>
    </row>
    <row r="1752" spans="2:7" x14ac:dyDescent="0.3">
      <c r="B1752" s="55">
        <v>44158</v>
      </c>
      <c r="C1752" s="54">
        <v>2360.4</v>
      </c>
      <c r="D1752" s="56">
        <f t="shared" si="56"/>
        <v>0.6520156774916015</v>
      </c>
      <c r="E1752" s="64">
        <v>-9.3175522538402333E-3</v>
      </c>
      <c r="F1752" s="64">
        <v>1749</v>
      </c>
      <c r="G1752" s="64">
        <f t="shared" ca="1" si="57"/>
        <v>-3.3975299087242686E-2</v>
      </c>
    </row>
    <row r="1753" spans="2:7" x14ac:dyDescent="0.3">
      <c r="B1753" s="55">
        <v>43509</v>
      </c>
      <c r="C1753" s="54">
        <v>1428.8</v>
      </c>
      <c r="D1753" s="56">
        <f t="shared" si="56"/>
        <v>-0.66839185833313985</v>
      </c>
      <c r="E1753" s="64">
        <v>-9.3257063615878044E-3</v>
      </c>
      <c r="F1753" s="64">
        <v>1750</v>
      </c>
      <c r="G1753" s="64">
        <f t="shared" ca="1" si="57"/>
        <v>-2.9898993922590142E-2</v>
      </c>
    </row>
    <row r="1754" spans="2:7" x14ac:dyDescent="0.3">
      <c r="B1754" s="55">
        <v>44825</v>
      </c>
      <c r="C1754" s="54">
        <v>4308.7</v>
      </c>
      <c r="D1754" s="56">
        <f t="shared" si="56"/>
        <v>-8.2826003661288339E-2</v>
      </c>
      <c r="E1754" s="64">
        <v>-9.3348354907687447E-3</v>
      </c>
      <c r="F1754" s="64">
        <v>1751</v>
      </c>
      <c r="G1754" s="64">
        <f t="shared" ca="1" si="57"/>
        <v>-4.9754654522889555E-3</v>
      </c>
    </row>
    <row r="1755" spans="2:7" x14ac:dyDescent="0.3">
      <c r="B1755" s="55">
        <v>44547</v>
      </c>
      <c r="C1755" s="54">
        <v>4697.8</v>
      </c>
      <c r="D1755" s="56">
        <f t="shared" si="56"/>
        <v>4.7844221890125604E-2</v>
      </c>
      <c r="E1755" s="64">
        <v>-9.3418527656523587E-3</v>
      </c>
      <c r="F1755" s="64">
        <v>1752</v>
      </c>
      <c r="G1755" s="64">
        <f t="shared" ca="1" si="57"/>
        <v>4.1803766989246448E-2</v>
      </c>
    </row>
    <row r="1756" spans="2:7" x14ac:dyDescent="0.3">
      <c r="B1756" s="55">
        <v>45383</v>
      </c>
      <c r="C1756" s="54">
        <v>4483.3</v>
      </c>
      <c r="D1756" s="56">
        <f t="shared" si="56"/>
        <v>2.0035842293906811</v>
      </c>
      <c r="E1756" s="64">
        <v>-9.346826940074271E-3</v>
      </c>
      <c r="F1756" s="64">
        <v>1753</v>
      </c>
      <c r="G1756" s="64">
        <f t="shared" ca="1" si="57"/>
        <v>1.3340178291850647E-2</v>
      </c>
    </row>
    <row r="1757" spans="2:7" x14ac:dyDescent="0.3">
      <c r="B1757" s="55">
        <v>43208</v>
      </c>
      <c r="C1757" s="54">
        <v>1492.65</v>
      </c>
      <c r="D1757" s="56">
        <f t="shared" si="56"/>
        <v>-0.57185882082980766</v>
      </c>
      <c r="E1757" s="64">
        <v>-9.3907618794796255E-3</v>
      </c>
      <c r="F1757" s="64">
        <v>1754</v>
      </c>
      <c r="G1757" s="64">
        <f t="shared" ca="1" si="57"/>
        <v>-1.0537798377096371E-2</v>
      </c>
    </row>
    <row r="1758" spans="2:7" x14ac:dyDescent="0.3">
      <c r="B1758" s="55">
        <v>44734</v>
      </c>
      <c r="C1758" s="54">
        <v>3486.35</v>
      </c>
      <c r="D1758" s="56">
        <f t="shared" si="56"/>
        <v>-0.1296636085626911</v>
      </c>
      <c r="E1758" s="64">
        <v>-9.4330241081956867E-3</v>
      </c>
      <c r="F1758" s="64">
        <v>1755</v>
      </c>
      <c r="G1758" s="64">
        <f t="shared" ca="1" si="57"/>
        <v>-7.242020783429181E-3</v>
      </c>
    </row>
    <row r="1759" spans="2:7" x14ac:dyDescent="0.3">
      <c r="B1759" s="55">
        <v>44897</v>
      </c>
      <c r="C1759" s="54">
        <v>4005.75</v>
      </c>
      <c r="D1759" s="56">
        <f t="shared" si="56"/>
        <v>3.5478542234332426</v>
      </c>
      <c r="E1759" s="64">
        <v>-9.4951967656986547E-3</v>
      </c>
      <c r="F1759" s="64">
        <v>1756</v>
      </c>
      <c r="G1759" s="64">
        <f t="shared" ca="1" si="57"/>
        <v>-2.6314990526498147E-2</v>
      </c>
    </row>
    <row r="1760" spans="2:7" x14ac:dyDescent="0.3">
      <c r="B1760" s="55">
        <v>42957</v>
      </c>
      <c r="C1760" s="54">
        <v>880.8</v>
      </c>
      <c r="D1760" s="56">
        <f t="shared" si="56"/>
        <v>-0.81014581784086137</v>
      </c>
      <c r="E1760" s="64">
        <v>-9.5023896542030251E-3</v>
      </c>
      <c r="F1760" s="64">
        <v>1757</v>
      </c>
      <c r="G1760" s="64">
        <f t="shared" ca="1" si="57"/>
        <v>3.1864541959770655E-2</v>
      </c>
    </row>
    <row r="1761" spans="2:7" x14ac:dyDescent="0.3">
      <c r="B1761" s="55">
        <v>44560</v>
      </c>
      <c r="C1761" s="54">
        <v>4639.3500000000004</v>
      </c>
      <c r="D1761" s="56">
        <f t="shared" si="56"/>
        <v>0.21445773670846324</v>
      </c>
      <c r="E1761" s="64">
        <v>-9.5218779021978284E-3</v>
      </c>
      <c r="F1761" s="64">
        <v>1758</v>
      </c>
      <c r="G1761" s="64">
        <f t="shared" ca="1" si="57"/>
        <v>3.0896275230376739E-2</v>
      </c>
    </row>
    <row r="1762" spans="2:7" x14ac:dyDescent="0.3">
      <c r="B1762" s="55">
        <v>44715</v>
      </c>
      <c r="C1762" s="54">
        <v>3820.1</v>
      </c>
      <c r="D1762" s="56">
        <f t="shared" si="56"/>
        <v>-0.11048758906533795</v>
      </c>
      <c r="E1762" s="64">
        <v>-9.541341491871802E-3</v>
      </c>
      <c r="F1762" s="64">
        <v>1759</v>
      </c>
      <c r="G1762" s="64">
        <f t="shared" ca="1" si="57"/>
        <v>-1.1818888924497279E-2</v>
      </c>
    </row>
    <row r="1763" spans="2:7" x14ac:dyDescent="0.3">
      <c r="B1763" s="55">
        <v>46198</v>
      </c>
      <c r="C1763" s="54">
        <v>4294.6000000000004</v>
      </c>
      <c r="D1763" s="56">
        <f t="shared" si="56"/>
        <v>1.1812733321482085</v>
      </c>
      <c r="E1763" s="64">
        <v>-9.5479704797046816E-3</v>
      </c>
      <c r="F1763" s="64">
        <v>1760</v>
      </c>
      <c r="G1763" s="64">
        <f t="shared" ca="1" si="57"/>
        <v>2.2588892071762554E-2</v>
      </c>
    </row>
    <row r="1764" spans="2:7" x14ac:dyDescent="0.3">
      <c r="B1764" s="55">
        <v>43777</v>
      </c>
      <c r="C1764" s="54">
        <v>1968.85</v>
      </c>
      <c r="D1764" s="56">
        <f t="shared" si="56"/>
        <v>-0.47933305125085945</v>
      </c>
      <c r="E1764" s="64">
        <v>-9.5580652463717053E-3</v>
      </c>
      <c r="F1764" s="64">
        <v>1761</v>
      </c>
      <c r="G1764" s="64">
        <f t="shared" ca="1" si="57"/>
        <v>2.8051194078765038E-2</v>
      </c>
    </row>
    <row r="1765" spans="2:7" x14ac:dyDescent="0.3">
      <c r="B1765" s="55">
        <v>46098</v>
      </c>
      <c r="C1765" s="54">
        <v>3781.4</v>
      </c>
      <c r="D1765" s="56">
        <f t="shared" si="56"/>
        <v>1.5575056643332998</v>
      </c>
      <c r="E1765" s="64">
        <v>-9.5602294455067183E-3</v>
      </c>
      <c r="F1765" s="64">
        <v>1762</v>
      </c>
      <c r="G1765" s="64">
        <f t="shared" ca="1" si="57"/>
        <v>-1.1108312129288622E-2</v>
      </c>
    </row>
    <row r="1766" spans="2:7" x14ac:dyDescent="0.3">
      <c r="B1766" s="55">
        <v>43558</v>
      </c>
      <c r="C1766" s="54">
        <v>1478.55</v>
      </c>
      <c r="D1766" s="56">
        <f t="shared" si="56"/>
        <v>0.64630887429016814</v>
      </c>
      <c r="E1766" s="64">
        <v>-9.5789932009243683E-3</v>
      </c>
      <c r="F1766" s="64">
        <v>1763</v>
      </c>
      <c r="G1766" s="64">
        <f t="shared" ca="1" si="57"/>
        <v>2.5867660888432141E-2</v>
      </c>
    </row>
    <row r="1767" spans="2:7" x14ac:dyDescent="0.3">
      <c r="B1767" s="55">
        <v>42950</v>
      </c>
      <c r="C1767" s="54">
        <v>898.1</v>
      </c>
      <c r="D1767" s="56">
        <f t="shared" si="56"/>
        <v>-0.76490144237061852</v>
      </c>
      <c r="E1767" s="64">
        <v>-9.5941773268636288E-3</v>
      </c>
      <c r="F1767" s="64">
        <v>1764</v>
      </c>
      <c r="G1767" s="64">
        <f t="shared" ca="1" si="57"/>
        <v>-6.4211737922030424E-3</v>
      </c>
    </row>
    <row r="1768" spans="2:7" x14ac:dyDescent="0.3">
      <c r="B1768" s="55">
        <v>45112</v>
      </c>
      <c r="C1768" s="54">
        <v>3820.1</v>
      </c>
      <c r="D1768" s="56">
        <f t="shared" si="56"/>
        <v>-0.1825778082103845</v>
      </c>
      <c r="E1768" s="64">
        <v>-9.6183760240589056E-3</v>
      </c>
      <c r="F1768" s="64">
        <v>1765</v>
      </c>
      <c r="G1768" s="64">
        <f t="shared" ca="1" si="57"/>
        <v>-9.2623287826793677E-3</v>
      </c>
    </row>
    <row r="1769" spans="2:7" x14ac:dyDescent="0.3">
      <c r="B1769" s="55">
        <v>44529</v>
      </c>
      <c r="C1769" s="54">
        <v>4673.3500000000004</v>
      </c>
      <c r="D1769" s="56">
        <f t="shared" si="56"/>
        <v>0.16915590913639567</v>
      </c>
      <c r="E1769" s="64">
        <v>-9.6211920529800654E-3</v>
      </c>
      <c r="F1769" s="64">
        <v>1766</v>
      </c>
      <c r="G1769" s="64">
        <f t="shared" ca="1" si="57"/>
        <v>-2.1104537580100655E-2</v>
      </c>
    </row>
    <row r="1770" spans="2:7" x14ac:dyDescent="0.3">
      <c r="B1770" s="55">
        <v>45979</v>
      </c>
      <c r="C1770" s="54">
        <v>3997.2</v>
      </c>
      <c r="D1770" s="56">
        <f t="shared" si="56"/>
        <v>-0.14806368422174387</v>
      </c>
      <c r="E1770" s="64">
        <v>-9.6625538873197359E-3</v>
      </c>
      <c r="F1770" s="64">
        <v>1767</v>
      </c>
      <c r="G1770" s="64">
        <f t="shared" ca="1" si="57"/>
        <v>1.1112061662782537E-2</v>
      </c>
    </row>
    <row r="1771" spans="2:7" x14ac:dyDescent="0.3">
      <c r="B1771" s="55">
        <v>45890</v>
      </c>
      <c r="C1771" s="54">
        <v>4691.8999999999996</v>
      </c>
      <c r="D1771" s="56">
        <f t="shared" si="56"/>
        <v>3.5596695821185618</v>
      </c>
      <c r="E1771" s="64">
        <v>-9.7089427805567841E-3</v>
      </c>
      <c r="F1771" s="64">
        <v>1768</v>
      </c>
      <c r="G1771" s="64">
        <f t="shared" ca="1" si="57"/>
        <v>1.7038228108976752E-4</v>
      </c>
    </row>
    <row r="1772" spans="2:7" x14ac:dyDescent="0.3">
      <c r="B1772" s="55">
        <v>43003</v>
      </c>
      <c r="C1772" s="54">
        <v>1029</v>
      </c>
      <c r="D1772" s="56">
        <f t="shared" si="56"/>
        <v>-0.73686902265636989</v>
      </c>
      <c r="E1772" s="64">
        <v>-9.7675985180196712E-3</v>
      </c>
      <c r="F1772" s="64">
        <v>1769</v>
      </c>
      <c r="G1772" s="64">
        <f t="shared" ca="1" si="57"/>
        <v>2.4274097888993488E-3</v>
      </c>
    </row>
    <row r="1773" spans="2:7" x14ac:dyDescent="0.3">
      <c r="B1773" s="55">
        <v>44883</v>
      </c>
      <c r="C1773" s="54">
        <v>3910.6</v>
      </c>
      <c r="D1773" s="56">
        <f t="shared" si="56"/>
        <v>7.0722558387865009E-2</v>
      </c>
      <c r="E1773" s="64">
        <v>-9.7741314696647708E-3</v>
      </c>
      <c r="F1773" s="64">
        <v>1770</v>
      </c>
      <c r="G1773" s="64">
        <f t="shared" ca="1" si="57"/>
        <v>2.5796309812743494E-2</v>
      </c>
    </row>
    <row r="1774" spans="2:7" x14ac:dyDescent="0.3">
      <c r="B1774" s="55">
        <v>45639</v>
      </c>
      <c r="C1774" s="54">
        <v>3652.3</v>
      </c>
      <c r="D1774" s="56">
        <f t="shared" si="56"/>
        <v>3.4880426158903077E-2</v>
      </c>
      <c r="E1774" s="64">
        <v>-9.8008648619337668E-3</v>
      </c>
      <c r="F1774" s="64">
        <v>1771</v>
      </c>
      <c r="G1774" s="64">
        <f t="shared" ca="1" si="57"/>
        <v>-1.1419213354620879E-2</v>
      </c>
    </row>
    <row r="1775" spans="2:7" x14ac:dyDescent="0.3">
      <c r="B1775" s="55">
        <v>44414</v>
      </c>
      <c r="C1775" s="54">
        <v>3529.2</v>
      </c>
      <c r="D1775" s="56">
        <f t="shared" si="56"/>
        <v>-6.4071284608040791E-2</v>
      </c>
      <c r="E1775" s="64">
        <v>-9.8059845966079751E-3</v>
      </c>
      <c r="F1775" s="64">
        <v>1772</v>
      </c>
      <c r="G1775" s="64">
        <f t="shared" ca="1" si="57"/>
        <v>-3.0059662546645313E-2</v>
      </c>
    </row>
    <row r="1776" spans="2:7" x14ac:dyDescent="0.3">
      <c r="B1776" s="55">
        <v>46101</v>
      </c>
      <c r="C1776" s="54">
        <v>3770.8</v>
      </c>
      <c r="D1776" s="56">
        <f t="shared" si="56"/>
        <v>-0.27303573322023111</v>
      </c>
      <c r="E1776" s="64">
        <v>-9.8209127671865515E-3</v>
      </c>
      <c r="F1776" s="64">
        <v>1773</v>
      </c>
      <c r="G1776" s="64">
        <f t="shared" ca="1" si="57"/>
        <v>8.1230394339588258E-3</v>
      </c>
    </row>
    <row r="1777" spans="2:7" x14ac:dyDescent="0.3">
      <c r="B1777" s="55">
        <v>45548</v>
      </c>
      <c r="C1777" s="54">
        <v>5187.05</v>
      </c>
      <c r="D1777" s="56">
        <f t="shared" si="56"/>
        <v>0.19278175086807559</v>
      </c>
      <c r="E1777" s="64">
        <v>-9.8309646753395041E-3</v>
      </c>
      <c r="F1777" s="64">
        <v>1774</v>
      </c>
      <c r="G1777" s="64">
        <f t="shared" ca="1" si="57"/>
        <v>-1.6875129539052239E-3</v>
      </c>
    </row>
    <row r="1778" spans="2:7" x14ac:dyDescent="0.3">
      <c r="B1778" s="55">
        <v>45841</v>
      </c>
      <c r="C1778" s="54">
        <v>4348.7</v>
      </c>
      <c r="D1778" s="56">
        <f t="shared" si="56"/>
        <v>9.0118319462548779E-2</v>
      </c>
      <c r="E1778" s="64">
        <v>-9.8362895330038613E-3</v>
      </c>
      <c r="F1778" s="64">
        <v>1775</v>
      </c>
      <c r="G1778" s="64">
        <f t="shared" ca="1" si="57"/>
        <v>-3.163001650668542E-2</v>
      </c>
    </row>
    <row r="1779" spans="2:7" x14ac:dyDescent="0.3">
      <c r="B1779" s="55">
        <v>44676</v>
      </c>
      <c r="C1779" s="54">
        <v>3989.2</v>
      </c>
      <c r="D1779" s="56">
        <f t="shared" si="56"/>
        <v>-7.4420816946832336E-2</v>
      </c>
      <c r="E1779" s="64">
        <v>-9.841518051056819E-3</v>
      </c>
      <c r="F1779" s="64">
        <v>1776</v>
      </c>
      <c r="G1779" s="64">
        <f t="shared" ca="1" si="57"/>
        <v>4.2832648395970417E-2</v>
      </c>
    </row>
    <row r="1780" spans="2:7" x14ac:dyDescent="0.3">
      <c r="B1780" s="55">
        <v>44847</v>
      </c>
      <c r="C1780" s="54">
        <v>4309.95</v>
      </c>
      <c r="D1780" s="56">
        <f t="shared" si="56"/>
        <v>1.7093823668081094</v>
      </c>
      <c r="E1780" s="64">
        <v>-9.8669852282385895E-3</v>
      </c>
      <c r="F1780" s="64">
        <v>1777</v>
      </c>
      <c r="G1780" s="64">
        <f t="shared" ca="1" si="57"/>
        <v>-2.0503478098381094E-2</v>
      </c>
    </row>
    <row r="1781" spans="2:7" x14ac:dyDescent="0.3">
      <c r="B1781" s="55">
        <v>43466</v>
      </c>
      <c r="C1781" s="54">
        <v>1590.75</v>
      </c>
      <c r="D1781" s="56">
        <f t="shared" si="56"/>
        <v>0.1701853759011327</v>
      </c>
      <c r="E1781" s="64">
        <v>-9.8963682195873925E-3</v>
      </c>
      <c r="F1781" s="64">
        <v>1778</v>
      </c>
      <c r="G1781" s="64">
        <f t="shared" ca="1" si="57"/>
        <v>3.5895694033636405E-2</v>
      </c>
    </row>
    <row r="1782" spans="2:7" x14ac:dyDescent="0.3">
      <c r="B1782" s="55">
        <v>43658</v>
      </c>
      <c r="C1782" s="54">
        <v>1359.4</v>
      </c>
      <c r="D1782" s="56">
        <f t="shared" si="56"/>
        <v>-0.63738213052002612</v>
      </c>
      <c r="E1782" s="64">
        <v>-9.9053168244719325E-3</v>
      </c>
      <c r="F1782" s="64">
        <v>1779</v>
      </c>
      <c r="G1782" s="64">
        <f t="shared" ca="1" si="57"/>
        <v>3.6513154675885187E-2</v>
      </c>
    </row>
    <row r="1783" spans="2:7" x14ac:dyDescent="0.3">
      <c r="B1783" s="55">
        <v>45309</v>
      </c>
      <c r="C1783" s="54">
        <v>3748.85</v>
      </c>
      <c r="D1783" s="56">
        <f t="shared" si="56"/>
        <v>-6.3279278378851056E-2</v>
      </c>
      <c r="E1783" s="64">
        <v>-9.9301456509395258E-3</v>
      </c>
      <c r="F1783" s="64">
        <v>1780</v>
      </c>
      <c r="G1783" s="64">
        <f t="shared" ca="1" si="57"/>
        <v>3.9475498917763557E-3</v>
      </c>
    </row>
    <row r="1784" spans="2:7" x14ac:dyDescent="0.3">
      <c r="B1784" s="55">
        <v>45807</v>
      </c>
      <c r="C1784" s="54">
        <v>4002.1</v>
      </c>
      <c r="D1784" s="56">
        <f t="shared" si="56"/>
        <v>0.16162832885857337</v>
      </c>
      <c r="E1784" s="64">
        <v>-9.944833386933194E-3</v>
      </c>
      <c r="F1784" s="64">
        <v>1781</v>
      </c>
      <c r="G1784" s="64">
        <f t="shared" ca="1" si="57"/>
        <v>1.3317849952432851E-2</v>
      </c>
    </row>
    <row r="1785" spans="2:7" x14ac:dyDescent="0.3">
      <c r="B1785" s="55">
        <v>44741</v>
      </c>
      <c r="C1785" s="54">
        <v>3445.25</v>
      </c>
      <c r="D1785" s="56">
        <f t="shared" si="56"/>
        <v>-6.2899496804025623E-2</v>
      </c>
      <c r="E1785" s="64">
        <v>-9.9714076351671288E-3</v>
      </c>
      <c r="F1785" s="64">
        <v>1782</v>
      </c>
      <c r="G1785" s="64">
        <f t="shared" ca="1" si="57"/>
        <v>-6.5968256202604174E-3</v>
      </c>
    </row>
    <row r="1786" spans="2:7" x14ac:dyDescent="0.3">
      <c r="B1786" s="55">
        <v>45125</v>
      </c>
      <c r="C1786" s="54">
        <v>3676.5</v>
      </c>
      <c r="D1786" s="56">
        <f t="shared" si="56"/>
        <v>-8.5083615369301202E-2</v>
      </c>
      <c r="E1786" s="64">
        <v>-9.9769762087490443E-3</v>
      </c>
      <c r="F1786" s="64">
        <v>1783</v>
      </c>
      <c r="G1786" s="64">
        <f t="shared" ca="1" si="57"/>
        <v>-4.4791542364130618E-3</v>
      </c>
    </row>
    <row r="1787" spans="2:7" x14ac:dyDescent="0.3">
      <c r="B1787" s="55">
        <v>45782</v>
      </c>
      <c r="C1787" s="54">
        <v>4018.4</v>
      </c>
      <c r="D1787" s="56">
        <f t="shared" si="56"/>
        <v>7.0873695852043506E-2</v>
      </c>
      <c r="E1787" s="64">
        <v>-1.0051241623965201E-2</v>
      </c>
      <c r="F1787" s="64">
        <v>1784</v>
      </c>
      <c r="G1787" s="64">
        <f t="shared" ca="1" si="57"/>
        <v>1.1372123718569351E-2</v>
      </c>
    </row>
    <row r="1788" spans="2:7" x14ac:dyDescent="0.3">
      <c r="B1788" s="55">
        <v>45615</v>
      </c>
      <c r="C1788" s="54">
        <v>3752.45</v>
      </c>
      <c r="D1788" s="56">
        <f t="shared" si="56"/>
        <v>-0.15262064449111401</v>
      </c>
      <c r="E1788" s="64">
        <v>-1.0051311814908259E-2</v>
      </c>
      <c r="F1788" s="64">
        <v>1785</v>
      </c>
      <c r="G1788" s="64">
        <f t="shared" ca="1" si="57"/>
        <v>-2.510036801275619E-2</v>
      </c>
    </row>
    <row r="1789" spans="2:7" x14ac:dyDescent="0.3">
      <c r="B1789" s="55">
        <v>46128</v>
      </c>
      <c r="C1789" s="54">
        <v>4428.3</v>
      </c>
      <c r="D1789" s="56">
        <f t="shared" si="56"/>
        <v>9.2328564380858458E-2</v>
      </c>
      <c r="E1789" s="64">
        <v>-1.005968747904229E-2</v>
      </c>
      <c r="F1789" s="64">
        <v>1786</v>
      </c>
      <c r="G1789" s="64">
        <f t="shared" ca="1" si="57"/>
        <v>3.4975449353364794E-2</v>
      </c>
    </row>
    <row r="1790" spans="2:7" x14ac:dyDescent="0.3">
      <c r="B1790" s="55">
        <v>44642</v>
      </c>
      <c r="C1790" s="54">
        <v>4054</v>
      </c>
      <c r="D1790" s="56">
        <f t="shared" si="56"/>
        <v>1.7439168838200954</v>
      </c>
      <c r="E1790" s="64">
        <v>-1.0060558702871591E-2</v>
      </c>
      <c r="F1790" s="64">
        <v>1787</v>
      </c>
      <c r="G1790" s="64">
        <f t="shared" ca="1" si="57"/>
        <v>-1.5209933339751418E-2</v>
      </c>
    </row>
    <row r="1791" spans="2:7" x14ac:dyDescent="0.3">
      <c r="B1791" s="55">
        <v>43437</v>
      </c>
      <c r="C1791" s="54">
        <v>1477.45</v>
      </c>
      <c r="D1791" s="56">
        <f t="shared" si="56"/>
        <v>0.6293008381120424</v>
      </c>
      <c r="E1791" s="64">
        <v>-1.0083752093802301E-2</v>
      </c>
      <c r="F1791" s="64">
        <v>1788</v>
      </c>
      <c r="G1791" s="64">
        <f t="shared" ca="1" si="57"/>
        <v>-6.5236605060977008E-3</v>
      </c>
    </row>
    <row r="1792" spans="2:7" x14ac:dyDescent="0.3">
      <c r="B1792" s="55">
        <v>42949</v>
      </c>
      <c r="C1792" s="54">
        <v>906.8</v>
      </c>
      <c r="D1792" s="56">
        <f t="shared" si="56"/>
        <v>-0.25672131147540989</v>
      </c>
      <c r="E1792" s="64">
        <v>-1.0097702090497207E-2</v>
      </c>
      <c r="F1792" s="64">
        <v>1789</v>
      </c>
      <c r="G1792" s="64">
        <f t="shared" ca="1" si="57"/>
        <v>2.6009674350120471E-2</v>
      </c>
    </row>
    <row r="1793" spans="2:7" x14ac:dyDescent="0.3">
      <c r="B1793" s="55">
        <v>43025</v>
      </c>
      <c r="C1793" s="54">
        <v>1220</v>
      </c>
      <c r="D1793" s="56">
        <f t="shared" si="56"/>
        <v>-0.53529120481468784</v>
      </c>
      <c r="E1793" s="64">
        <v>-1.0101829688831221E-2</v>
      </c>
      <c r="F1793" s="64">
        <v>1790</v>
      </c>
      <c r="G1793" s="64">
        <f t="shared" ca="1" si="57"/>
        <v>2.3917045169342399E-2</v>
      </c>
    </row>
    <row r="1794" spans="2:7" x14ac:dyDescent="0.3">
      <c r="B1794" s="55">
        <v>44174</v>
      </c>
      <c r="C1794" s="54">
        <v>2625.3</v>
      </c>
      <c r="D1794" s="56">
        <f t="shared" si="56"/>
        <v>1.1212831286360703</v>
      </c>
      <c r="E1794" s="64">
        <v>-1.0105199653104968E-2</v>
      </c>
      <c r="F1794" s="64">
        <v>1791</v>
      </c>
      <c r="G1794" s="64">
        <f t="shared" ca="1" si="57"/>
        <v>8.8351887607901868E-3</v>
      </c>
    </row>
    <row r="1795" spans="2:7" x14ac:dyDescent="0.3">
      <c r="B1795" s="55">
        <v>43600</v>
      </c>
      <c r="C1795" s="54">
        <v>1237.5999999999999</v>
      </c>
      <c r="D1795" s="56">
        <f t="shared" si="56"/>
        <v>-9.6426999559878768E-3</v>
      </c>
      <c r="E1795" s="64">
        <v>-1.011797640471912E-2</v>
      </c>
      <c r="F1795" s="64">
        <v>1792</v>
      </c>
      <c r="G1795" s="64">
        <f t="shared" ca="1" si="57"/>
        <v>6.9442049383455192E-3</v>
      </c>
    </row>
    <row r="1796" spans="2:7" x14ac:dyDescent="0.3">
      <c r="B1796" s="55">
        <v>43591</v>
      </c>
      <c r="C1796" s="54">
        <v>1249.6500000000001</v>
      </c>
      <c r="D1796" s="56">
        <f t="shared" ref="D1796:D1859" si="58">C1796/C1797-1</f>
        <v>-0.68467070401211205</v>
      </c>
      <c r="E1796" s="64">
        <v>-1.0139015406550711E-2</v>
      </c>
      <c r="F1796" s="64">
        <v>1793</v>
      </c>
      <c r="G1796" s="64">
        <f t="shared" ca="1" si="57"/>
        <v>-1.3291254072627843E-3</v>
      </c>
    </row>
    <row r="1797" spans="2:7" x14ac:dyDescent="0.3">
      <c r="B1797" s="55">
        <v>46065</v>
      </c>
      <c r="C1797" s="54">
        <v>3963</v>
      </c>
      <c r="D1797" s="56">
        <f t="shared" si="58"/>
        <v>1.5215537810581234</v>
      </c>
      <c r="E1797" s="64">
        <v>-1.0165596822938716E-2</v>
      </c>
      <c r="F1797" s="64">
        <v>1794</v>
      </c>
      <c r="G1797" s="64">
        <f t="shared" ref="G1797:G1860" ca="1" si="59">_xlfn.NORM.INV(RAND(),K$6,K$7)</f>
        <v>-7.9775531894553144E-3</v>
      </c>
    </row>
    <row r="1798" spans="2:7" x14ac:dyDescent="0.3">
      <c r="B1798" s="55">
        <v>43476</v>
      </c>
      <c r="C1798" s="54">
        <v>1571.65</v>
      </c>
      <c r="D1798" s="56">
        <f t="shared" si="58"/>
        <v>-0.25742971887550192</v>
      </c>
      <c r="E1798" s="64">
        <v>-1.0171306209850073E-2</v>
      </c>
      <c r="F1798" s="64">
        <v>1795</v>
      </c>
      <c r="G1798" s="64">
        <f t="shared" ca="1" si="59"/>
        <v>-2.5161331011974077E-2</v>
      </c>
    </row>
    <row r="1799" spans="2:7" x14ac:dyDescent="0.3">
      <c r="B1799" s="55">
        <v>44053</v>
      </c>
      <c r="C1799" s="54">
        <v>2116.5</v>
      </c>
      <c r="D1799" s="56">
        <f t="shared" si="58"/>
        <v>-0.47104690975432983</v>
      </c>
      <c r="E1799" s="64">
        <v>-1.024130190796857E-2</v>
      </c>
      <c r="F1799" s="64">
        <v>1796</v>
      </c>
      <c r="G1799" s="64">
        <f t="shared" ca="1" si="59"/>
        <v>1.3001343358197038E-2</v>
      </c>
    </row>
    <row r="1800" spans="2:7" x14ac:dyDescent="0.3">
      <c r="B1800" s="55">
        <v>44645</v>
      </c>
      <c r="C1800" s="54">
        <v>4001.3</v>
      </c>
      <c r="D1800" s="56">
        <f t="shared" si="58"/>
        <v>-1.7627851022562591E-2</v>
      </c>
      <c r="E1800" s="64">
        <v>-1.0277403316966915E-2</v>
      </c>
      <c r="F1800" s="64">
        <v>1797</v>
      </c>
      <c r="G1800" s="64">
        <f t="shared" ca="1" si="59"/>
        <v>2.0414997015903207E-2</v>
      </c>
    </row>
    <row r="1801" spans="2:7" x14ac:dyDescent="0.3">
      <c r="B1801" s="55">
        <v>44610</v>
      </c>
      <c r="C1801" s="54">
        <v>4073.1</v>
      </c>
      <c r="D1801" s="56">
        <f t="shared" si="58"/>
        <v>2.818769923120195</v>
      </c>
      <c r="E1801" s="64">
        <v>-1.0278466248724194E-2</v>
      </c>
      <c r="F1801" s="64">
        <v>1798</v>
      </c>
      <c r="G1801" s="64">
        <f t="shared" ca="1" si="59"/>
        <v>-8.8446522084008033E-3</v>
      </c>
    </row>
    <row r="1802" spans="2:7" x14ac:dyDescent="0.3">
      <c r="B1802" s="55">
        <v>42984</v>
      </c>
      <c r="C1802" s="54">
        <v>1066.5999999999999</v>
      </c>
      <c r="D1802" s="56">
        <f t="shared" si="58"/>
        <v>-0.75684486492647896</v>
      </c>
      <c r="E1802" s="64">
        <v>-1.0299712350375967E-2</v>
      </c>
      <c r="F1802" s="64">
        <v>1799</v>
      </c>
      <c r="G1802" s="64">
        <f t="shared" ca="1" si="59"/>
        <v>4.7223393685428154E-2</v>
      </c>
    </row>
    <row r="1803" spans="2:7" x14ac:dyDescent="0.3">
      <c r="B1803" s="55">
        <v>46149</v>
      </c>
      <c r="C1803" s="54">
        <v>4386.5</v>
      </c>
      <c r="D1803" s="56">
        <f t="shared" si="58"/>
        <v>0.97728143523631372</v>
      </c>
      <c r="E1803" s="64">
        <v>-1.0310906547538412E-2</v>
      </c>
      <c r="F1803" s="64">
        <v>1800</v>
      </c>
      <c r="G1803" s="64">
        <f t="shared" ca="1" si="59"/>
        <v>1.1644218633043569E-2</v>
      </c>
    </row>
    <row r="1804" spans="2:7" x14ac:dyDescent="0.3">
      <c r="B1804" s="55">
        <v>44076</v>
      </c>
      <c r="C1804" s="54">
        <v>2218.4499999999998</v>
      </c>
      <c r="D1804" s="56">
        <f t="shared" si="58"/>
        <v>0.9883038315034729</v>
      </c>
      <c r="E1804" s="64">
        <v>-1.0327444682369791E-2</v>
      </c>
      <c r="F1804" s="64">
        <v>1801</v>
      </c>
      <c r="G1804" s="64">
        <f t="shared" ca="1" si="59"/>
        <v>4.5721486805133001E-3</v>
      </c>
    </row>
    <row r="1805" spans="2:7" x14ac:dyDescent="0.3">
      <c r="B1805" s="55">
        <v>43081</v>
      </c>
      <c r="C1805" s="54">
        <v>1115.75</v>
      </c>
      <c r="D1805" s="56">
        <f t="shared" si="58"/>
        <v>-0.67857400072020169</v>
      </c>
      <c r="E1805" s="64">
        <v>-1.0333510732659312E-2</v>
      </c>
      <c r="F1805" s="64">
        <v>1802</v>
      </c>
      <c r="G1805" s="64">
        <f t="shared" ca="1" si="59"/>
        <v>6.9096673345471894E-4</v>
      </c>
    </row>
    <row r="1806" spans="2:7" x14ac:dyDescent="0.3">
      <c r="B1806" s="55">
        <v>45077</v>
      </c>
      <c r="C1806" s="54">
        <v>3471.25</v>
      </c>
      <c r="D1806" s="56">
        <f t="shared" si="58"/>
        <v>0.19436750563421468</v>
      </c>
      <c r="E1806" s="64">
        <v>-1.0334996436208166E-2</v>
      </c>
      <c r="F1806" s="64">
        <v>1803</v>
      </c>
      <c r="G1806" s="64">
        <f t="shared" ca="1" si="59"/>
        <v>3.4137903265110743E-2</v>
      </c>
    </row>
    <row r="1807" spans="2:7" x14ac:dyDescent="0.3">
      <c r="B1807" s="55">
        <v>44315</v>
      </c>
      <c r="C1807" s="54">
        <v>2906.35</v>
      </c>
      <c r="D1807" s="56">
        <f t="shared" si="58"/>
        <v>1.6285158722980917</v>
      </c>
      <c r="E1807" s="64">
        <v>-1.0368428221193215E-2</v>
      </c>
      <c r="F1807" s="64">
        <v>1804</v>
      </c>
      <c r="G1807" s="64">
        <f t="shared" ca="1" si="59"/>
        <v>-1.2357131846903827E-2</v>
      </c>
    </row>
    <row r="1808" spans="2:7" x14ac:dyDescent="0.3">
      <c r="B1808" s="55">
        <v>43137</v>
      </c>
      <c r="C1808" s="54">
        <v>1105.7</v>
      </c>
      <c r="D1808" s="56">
        <f t="shared" si="58"/>
        <v>-0.72438118503377624</v>
      </c>
      <c r="E1808" s="64">
        <v>-1.0382171305826415E-2</v>
      </c>
      <c r="F1808" s="64">
        <v>1805</v>
      </c>
      <c r="G1808" s="64">
        <f t="shared" ca="1" si="59"/>
        <v>-2.8946738554442658E-2</v>
      </c>
    </row>
    <row r="1809" spans="2:7" x14ac:dyDescent="0.3">
      <c r="B1809" s="55">
        <v>44881</v>
      </c>
      <c r="C1809" s="54">
        <v>4011.7</v>
      </c>
      <c r="D1809" s="56">
        <f t="shared" si="58"/>
        <v>-5.2937603054761251E-3</v>
      </c>
      <c r="E1809" s="64">
        <v>-1.0385317479895462E-2</v>
      </c>
      <c r="F1809" s="64">
        <v>1806</v>
      </c>
      <c r="G1809" s="64">
        <f t="shared" ca="1" si="59"/>
        <v>-3.5302841320268057E-2</v>
      </c>
    </row>
    <row r="1810" spans="2:7" x14ac:dyDescent="0.3">
      <c r="B1810" s="55">
        <v>45273</v>
      </c>
      <c r="C1810" s="54">
        <v>4033.05</v>
      </c>
      <c r="D1810" s="56">
        <f t="shared" si="58"/>
        <v>-6.1022315867897414E-2</v>
      </c>
      <c r="E1810" s="64">
        <v>-1.0391618000686997E-2</v>
      </c>
      <c r="F1810" s="64">
        <v>1807</v>
      </c>
      <c r="G1810" s="64">
        <f t="shared" ca="1" si="59"/>
        <v>1.5139787298941164E-2</v>
      </c>
    </row>
    <row r="1811" spans="2:7" x14ac:dyDescent="0.3">
      <c r="B1811" s="55">
        <v>44622</v>
      </c>
      <c r="C1811" s="54">
        <v>4295.1499999999996</v>
      </c>
      <c r="D1811" s="56">
        <f t="shared" si="58"/>
        <v>-0.10206236215204845</v>
      </c>
      <c r="E1811" s="64">
        <v>-1.0413906712592458E-2</v>
      </c>
      <c r="F1811" s="64">
        <v>1808</v>
      </c>
      <c r="G1811" s="64">
        <f t="shared" ca="1" si="59"/>
        <v>8.8115948931329485E-3</v>
      </c>
    </row>
    <row r="1812" spans="2:7" x14ac:dyDescent="0.3">
      <c r="B1812" s="55">
        <v>45468</v>
      </c>
      <c r="C1812" s="54">
        <v>4783.3500000000004</v>
      </c>
      <c r="D1812" s="56">
        <f t="shared" si="58"/>
        <v>5.463113092825294</v>
      </c>
      <c r="E1812" s="64">
        <v>-1.0416451165773499E-2</v>
      </c>
      <c r="F1812" s="64">
        <v>1809</v>
      </c>
      <c r="G1812" s="64">
        <f t="shared" ca="1" si="59"/>
        <v>-6.024154473585068E-2</v>
      </c>
    </row>
    <row r="1813" spans="2:7" x14ac:dyDescent="0.3">
      <c r="B1813" s="55">
        <v>42852</v>
      </c>
      <c r="C1813" s="54">
        <v>740.1</v>
      </c>
      <c r="D1813" s="56">
        <f t="shared" si="58"/>
        <v>-0.7444008910224309</v>
      </c>
      <c r="E1813" s="64">
        <v>-1.0429201764941776E-2</v>
      </c>
      <c r="F1813" s="64">
        <v>1810</v>
      </c>
      <c r="G1813" s="64">
        <f t="shared" ca="1" si="59"/>
        <v>4.302371148145797E-3</v>
      </c>
    </row>
    <row r="1814" spans="2:7" x14ac:dyDescent="0.3">
      <c r="B1814" s="55">
        <v>44210</v>
      </c>
      <c r="C1814" s="54">
        <v>2895.55</v>
      </c>
      <c r="D1814" s="56">
        <f t="shared" si="58"/>
        <v>0.96949394640185016</v>
      </c>
      <c r="E1814" s="64">
        <v>-1.0440518095758744E-2</v>
      </c>
      <c r="F1814" s="64">
        <v>1811</v>
      </c>
      <c r="G1814" s="64">
        <f t="shared" ca="1" si="59"/>
        <v>4.7989808303767795E-5</v>
      </c>
    </row>
    <row r="1815" spans="2:7" x14ac:dyDescent="0.3">
      <c r="B1815" s="55">
        <v>43700</v>
      </c>
      <c r="C1815" s="54">
        <v>1470.2</v>
      </c>
      <c r="D1815" s="56">
        <f t="shared" si="58"/>
        <v>-0.10929359020962071</v>
      </c>
      <c r="E1815" s="64">
        <v>-1.0466094565034445E-2</v>
      </c>
      <c r="F1815" s="64">
        <v>1812</v>
      </c>
      <c r="G1815" s="64">
        <f t="shared" ca="1" si="59"/>
        <v>-3.2243356828145366E-2</v>
      </c>
    </row>
    <row r="1816" spans="2:7" x14ac:dyDescent="0.3">
      <c r="B1816" s="55">
        <v>43453</v>
      </c>
      <c r="C1816" s="54">
        <v>1650.6</v>
      </c>
      <c r="D1816" s="56">
        <f t="shared" si="58"/>
        <v>0.58742065781881125</v>
      </c>
      <c r="E1816" s="64">
        <v>-1.0520636633396419E-2</v>
      </c>
      <c r="F1816" s="64">
        <v>1813</v>
      </c>
      <c r="G1816" s="64">
        <f t="shared" ca="1" si="59"/>
        <v>1.9319448625542683E-2</v>
      </c>
    </row>
    <row r="1817" spans="2:7" x14ac:dyDescent="0.3">
      <c r="B1817" s="55">
        <v>42978</v>
      </c>
      <c r="C1817" s="54">
        <v>1039.8</v>
      </c>
      <c r="D1817" s="56">
        <f t="shared" si="58"/>
        <v>-0.71765280908029427</v>
      </c>
      <c r="E1817" s="64">
        <v>-1.0562375107051269E-2</v>
      </c>
      <c r="F1817" s="64">
        <v>1814</v>
      </c>
      <c r="G1817" s="64">
        <f t="shared" ca="1" si="59"/>
        <v>9.151334250590705E-3</v>
      </c>
    </row>
    <row r="1818" spans="2:7" x14ac:dyDescent="0.3">
      <c r="B1818" s="55">
        <v>45699</v>
      </c>
      <c r="C1818" s="54">
        <v>3682.7</v>
      </c>
      <c r="D1818" s="56">
        <f t="shared" si="58"/>
        <v>0.69272844272844281</v>
      </c>
      <c r="E1818" s="64">
        <v>-1.0572130949342506E-2</v>
      </c>
      <c r="F1818" s="64">
        <v>1815</v>
      </c>
      <c r="G1818" s="64">
        <f t="shared" ca="1" si="59"/>
        <v>-3.0879913642274159E-2</v>
      </c>
    </row>
    <row r="1819" spans="2:7" x14ac:dyDescent="0.3">
      <c r="B1819" s="55">
        <v>43957</v>
      </c>
      <c r="C1819" s="54">
        <v>2175.6</v>
      </c>
      <c r="D1819" s="56">
        <f t="shared" si="58"/>
        <v>-2.119044405452819E-2</v>
      </c>
      <c r="E1819" s="64">
        <v>-1.0618704381636701E-2</v>
      </c>
      <c r="F1819" s="64">
        <v>1816</v>
      </c>
      <c r="G1819" s="64">
        <f t="shared" ca="1" si="59"/>
        <v>1.5771135657273096E-2</v>
      </c>
    </row>
    <row r="1820" spans="2:7" x14ac:dyDescent="0.3">
      <c r="B1820" s="55">
        <v>44083</v>
      </c>
      <c r="C1820" s="54">
        <v>2222.6999999999998</v>
      </c>
      <c r="D1820" s="56">
        <f t="shared" si="58"/>
        <v>0.50896130346232171</v>
      </c>
      <c r="E1820" s="64">
        <v>-1.0638297872340496E-2</v>
      </c>
      <c r="F1820" s="64">
        <v>1817</v>
      </c>
      <c r="G1820" s="64">
        <f t="shared" ca="1" si="59"/>
        <v>-1.8232923158173993E-2</v>
      </c>
    </row>
    <row r="1821" spans="2:7" x14ac:dyDescent="0.3">
      <c r="B1821" s="55">
        <v>43201</v>
      </c>
      <c r="C1821" s="54">
        <v>1473</v>
      </c>
      <c r="D1821" s="56">
        <f t="shared" si="58"/>
        <v>5.0379719756123764E-2</v>
      </c>
      <c r="E1821" s="64">
        <v>-1.0645800450011733E-2</v>
      </c>
      <c r="F1821" s="64">
        <v>1818</v>
      </c>
      <c r="G1821" s="64">
        <f t="shared" ca="1" si="59"/>
        <v>5.1806145288371703E-3</v>
      </c>
    </row>
    <row r="1822" spans="2:7" x14ac:dyDescent="0.3">
      <c r="B1822" s="55">
        <v>43669</v>
      </c>
      <c r="C1822" s="54">
        <v>1402.35</v>
      </c>
      <c r="D1822" s="56">
        <f t="shared" si="58"/>
        <v>-3.452667814113608E-2</v>
      </c>
      <c r="E1822" s="64">
        <v>-1.0722725829776736E-2</v>
      </c>
      <c r="F1822" s="64">
        <v>1819</v>
      </c>
      <c r="G1822" s="64">
        <f t="shared" ca="1" si="59"/>
        <v>4.8487197955942807E-2</v>
      </c>
    </row>
    <row r="1823" spans="2:7" x14ac:dyDescent="0.3">
      <c r="B1823" s="55">
        <v>43278</v>
      </c>
      <c r="C1823" s="54">
        <v>1452.5</v>
      </c>
      <c r="D1823" s="56">
        <f t="shared" si="58"/>
        <v>-0.64521250610649727</v>
      </c>
      <c r="E1823" s="64">
        <v>-1.0727056019070313E-2</v>
      </c>
      <c r="F1823" s="64">
        <v>1820</v>
      </c>
      <c r="G1823" s="64">
        <f t="shared" ca="1" si="59"/>
        <v>2.9209222209029904E-2</v>
      </c>
    </row>
    <row r="1824" spans="2:7" x14ac:dyDescent="0.3">
      <c r="B1824" s="55">
        <v>45804</v>
      </c>
      <c r="C1824" s="54">
        <v>4094</v>
      </c>
      <c r="D1824" s="56">
        <f t="shared" si="58"/>
        <v>1.7359909112172955</v>
      </c>
      <c r="E1824" s="64">
        <v>-1.0728784071138531E-2</v>
      </c>
      <c r="F1824" s="64">
        <v>1821</v>
      </c>
      <c r="G1824" s="64">
        <f t="shared" ca="1" si="59"/>
        <v>-2.7965918611405099E-2</v>
      </c>
    </row>
    <row r="1825" spans="2:7" x14ac:dyDescent="0.3">
      <c r="B1825" s="55">
        <v>43503</v>
      </c>
      <c r="C1825" s="54">
        <v>1496.35</v>
      </c>
      <c r="D1825" s="56">
        <f t="shared" si="58"/>
        <v>-0.22486984899893814</v>
      </c>
      <c r="E1825" s="64">
        <v>-1.0775790830661491E-2</v>
      </c>
      <c r="F1825" s="64">
        <v>1822</v>
      </c>
      <c r="G1825" s="64">
        <f t="shared" ca="1" si="59"/>
        <v>1.5671861513910278E-2</v>
      </c>
    </row>
    <row r="1826" spans="2:7" x14ac:dyDescent="0.3">
      <c r="B1826" s="55">
        <v>43858</v>
      </c>
      <c r="C1826" s="54">
        <v>1930.45</v>
      </c>
      <c r="D1826" s="56">
        <f t="shared" si="58"/>
        <v>-0.48763171165432484</v>
      </c>
      <c r="E1826" s="64">
        <v>-1.0786574429925699E-2</v>
      </c>
      <c r="F1826" s="64">
        <v>1823</v>
      </c>
      <c r="G1826" s="64">
        <f t="shared" ca="1" si="59"/>
        <v>1.6926646935104303E-2</v>
      </c>
    </row>
    <row r="1827" spans="2:7" x14ac:dyDescent="0.3">
      <c r="B1827" s="55">
        <v>45117</v>
      </c>
      <c r="C1827" s="54">
        <v>3767.7</v>
      </c>
      <c r="D1827" s="56">
        <f t="shared" si="58"/>
        <v>-7.0575756080714425E-2</v>
      </c>
      <c r="E1827" s="64">
        <v>-1.0829756232032417E-2</v>
      </c>
      <c r="F1827" s="64">
        <v>1824</v>
      </c>
      <c r="G1827" s="64">
        <f t="shared" ca="1" si="59"/>
        <v>-1.1084277733493006E-2</v>
      </c>
    </row>
    <row r="1828" spans="2:7" x14ac:dyDescent="0.3">
      <c r="B1828" s="55">
        <v>44880</v>
      </c>
      <c r="C1828" s="54">
        <v>4053.8</v>
      </c>
      <c r="D1828" s="56">
        <f t="shared" si="58"/>
        <v>-0.19300061712420125</v>
      </c>
      <c r="E1828" s="64">
        <v>-1.087022826259354E-2</v>
      </c>
      <c r="F1828" s="64">
        <v>1825</v>
      </c>
      <c r="G1828" s="64">
        <f t="shared" ca="1" si="59"/>
        <v>-7.9464423693371283E-3</v>
      </c>
    </row>
    <row r="1829" spans="2:7" x14ac:dyDescent="0.3">
      <c r="B1829" s="55">
        <v>44515</v>
      </c>
      <c r="C1829" s="54">
        <v>5023.3</v>
      </c>
      <c r="D1829" s="56">
        <f t="shared" si="58"/>
        <v>0.23402896343335833</v>
      </c>
      <c r="E1829" s="64">
        <v>-1.0879089503893824E-2</v>
      </c>
      <c r="F1829" s="64">
        <v>1826</v>
      </c>
      <c r="G1829" s="64">
        <f t="shared" ca="1" si="59"/>
        <v>-6.2716739367775238E-3</v>
      </c>
    </row>
    <row r="1830" spans="2:7" x14ac:dyDescent="0.3">
      <c r="B1830" s="55">
        <v>45268</v>
      </c>
      <c r="C1830" s="54">
        <v>4070.65</v>
      </c>
      <c r="D1830" s="56">
        <f t="shared" si="58"/>
        <v>7.5057111542473853E-2</v>
      </c>
      <c r="E1830" s="64">
        <v>-1.0885808356315807E-2</v>
      </c>
      <c r="F1830" s="64">
        <v>1827</v>
      </c>
      <c r="G1830" s="64">
        <f t="shared" ca="1" si="59"/>
        <v>-1.3922218105415642E-2</v>
      </c>
    </row>
    <row r="1831" spans="2:7" x14ac:dyDescent="0.3">
      <c r="B1831" s="55">
        <v>45308</v>
      </c>
      <c r="C1831" s="54">
        <v>3786.45</v>
      </c>
      <c r="D1831" s="56">
        <f t="shared" si="58"/>
        <v>6.7935866414952084E-3</v>
      </c>
      <c r="E1831" s="64">
        <v>-1.0931745161037676E-2</v>
      </c>
      <c r="F1831" s="64">
        <v>1828</v>
      </c>
      <c r="G1831" s="64">
        <f t="shared" ca="1" si="59"/>
        <v>1.723420953327455E-2</v>
      </c>
    </row>
    <row r="1832" spans="2:7" x14ac:dyDescent="0.3">
      <c r="B1832" s="55">
        <v>46085</v>
      </c>
      <c r="C1832" s="54">
        <v>3760.9</v>
      </c>
      <c r="D1832" s="56">
        <f t="shared" si="58"/>
        <v>2.4902324718110531</v>
      </c>
      <c r="E1832" s="64">
        <v>-1.0940170940170968E-2</v>
      </c>
      <c r="F1832" s="64">
        <v>1829</v>
      </c>
      <c r="G1832" s="64">
        <f t="shared" ca="1" si="59"/>
        <v>2.5639274590332641E-2</v>
      </c>
    </row>
    <row r="1833" spans="2:7" x14ac:dyDescent="0.3">
      <c r="B1833" s="55">
        <v>42997</v>
      </c>
      <c r="C1833" s="54">
        <v>1077.55</v>
      </c>
      <c r="D1833" s="56">
        <f t="shared" si="58"/>
        <v>-0.70466754371539775</v>
      </c>
      <c r="E1833" s="64">
        <v>-1.0968334098210186E-2</v>
      </c>
      <c r="F1833" s="64">
        <v>1830</v>
      </c>
      <c r="G1833" s="64">
        <f t="shared" ca="1" si="59"/>
        <v>3.037344351626764E-2</v>
      </c>
    </row>
    <row r="1834" spans="2:7" x14ac:dyDescent="0.3">
      <c r="B1834" s="55">
        <v>44944</v>
      </c>
      <c r="C1834" s="54">
        <v>3648.6</v>
      </c>
      <c r="D1834" s="56">
        <f t="shared" si="58"/>
        <v>3.3378177441053536E-2</v>
      </c>
      <c r="E1834" s="64">
        <v>-1.1165916851861968E-2</v>
      </c>
      <c r="F1834" s="64">
        <v>1831</v>
      </c>
      <c r="G1834" s="64">
        <f t="shared" ca="1" si="59"/>
        <v>3.6177897712142337E-3</v>
      </c>
    </row>
    <row r="1835" spans="2:7" x14ac:dyDescent="0.3">
      <c r="B1835" s="55">
        <v>45713</v>
      </c>
      <c r="C1835" s="54">
        <v>3530.75</v>
      </c>
      <c r="D1835" s="56">
        <f t="shared" si="58"/>
        <v>1.6523061899038463</v>
      </c>
      <c r="E1835" s="64">
        <v>-1.1243664062281278E-2</v>
      </c>
      <c r="F1835" s="64">
        <v>1832</v>
      </c>
      <c r="G1835" s="64">
        <f t="shared" ca="1" si="59"/>
        <v>5.9748370080142648E-3</v>
      </c>
    </row>
    <row r="1836" spans="2:7" x14ac:dyDescent="0.3">
      <c r="B1836" s="55">
        <v>43378</v>
      </c>
      <c r="C1836" s="54">
        <v>1331.2</v>
      </c>
      <c r="D1836" s="56">
        <f t="shared" si="58"/>
        <v>-0.67026652135143161</v>
      </c>
      <c r="E1836" s="64">
        <v>-1.1252646043005021E-2</v>
      </c>
      <c r="F1836" s="64">
        <v>1833</v>
      </c>
      <c r="G1836" s="64">
        <f t="shared" ca="1" si="59"/>
        <v>2.0570325973049614E-2</v>
      </c>
    </row>
    <row r="1837" spans="2:7" x14ac:dyDescent="0.3">
      <c r="B1837" s="55">
        <v>44903</v>
      </c>
      <c r="C1837" s="54">
        <v>4037.2</v>
      </c>
      <c r="D1837" s="56">
        <f t="shared" si="58"/>
        <v>-5.2100208964335315E-2</v>
      </c>
      <c r="E1837" s="64">
        <v>-1.125356648665865E-2</v>
      </c>
      <c r="F1837" s="64">
        <v>1834</v>
      </c>
      <c r="G1837" s="64">
        <f t="shared" ca="1" si="59"/>
        <v>-4.7774393302672238E-3</v>
      </c>
    </row>
    <row r="1838" spans="2:7" x14ac:dyDescent="0.3">
      <c r="B1838" s="55">
        <v>44775</v>
      </c>
      <c r="C1838" s="54">
        <v>4259.1000000000004</v>
      </c>
      <c r="D1838" s="56">
        <f t="shared" si="58"/>
        <v>2.0319273892151632</v>
      </c>
      <c r="E1838" s="64">
        <v>-1.1270646408134244E-2</v>
      </c>
      <c r="F1838" s="64">
        <v>1835</v>
      </c>
      <c r="G1838" s="64">
        <f t="shared" ca="1" si="59"/>
        <v>1.9472241549996507E-3</v>
      </c>
    </row>
    <row r="1839" spans="2:7" x14ac:dyDescent="0.3">
      <c r="B1839" s="55">
        <v>43370</v>
      </c>
      <c r="C1839" s="54">
        <v>1404.75</v>
      </c>
      <c r="D1839" s="56">
        <f t="shared" si="58"/>
        <v>-0.58757816857990075</v>
      </c>
      <c r="E1839" s="64">
        <v>-1.1296452702702631E-2</v>
      </c>
      <c r="F1839" s="64">
        <v>1836</v>
      </c>
      <c r="G1839" s="64">
        <f t="shared" ca="1" si="59"/>
        <v>8.2291275495935713E-3</v>
      </c>
    </row>
    <row r="1840" spans="2:7" x14ac:dyDescent="0.3">
      <c r="B1840" s="55">
        <v>44742</v>
      </c>
      <c r="C1840" s="54">
        <v>3406.1</v>
      </c>
      <c r="D1840" s="56">
        <f t="shared" si="58"/>
        <v>-7.617407342112037E-2</v>
      </c>
      <c r="E1840" s="64">
        <v>-1.1363471446194096E-2</v>
      </c>
      <c r="F1840" s="64">
        <v>1837</v>
      </c>
      <c r="G1840" s="64">
        <f t="shared" ca="1" si="59"/>
        <v>1.3345566222159828E-2</v>
      </c>
    </row>
    <row r="1841" spans="2:7" x14ac:dyDescent="0.3">
      <c r="B1841" s="55">
        <v>45190</v>
      </c>
      <c r="C1841" s="54">
        <v>3686.95</v>
      </c>
      <c r="D1841" s="56">
        <f t="shared" si="58"/>
        <v>-0.29618883087877379</v>
      </c>
      <c r="E1841" s="64">
        <v>-1.1382528020593252E-2</v>
      </c>
      <c r="F1841" s="64">
        <v>1838</v>
      </c>
      <c r="G1841" s="64">
        <f t="shared" ca="1" si="59"/>
        <v>-7.3864272957944749E-3</v>
      </c>
    </row>
    <row r="1842" spans="2:7" x14ac:dyDescent="0.3">
      <c r="B1842" s="55">
        <v>45547</v>
      </c>
      <c r="C1842" s="54">
        <v>5238.55</v>
      </c>
      <c r="D1842" s="56">
        <f t="shared" si="58"/>
        <v>0.34670557083729658</v>
      </c>
      <c r="E1842" s="64">
        <v>-1.1426468645619137E-2</v>
      </c>
      <c r="F1842" s="64">
        <v>1839</v>
      </c>
      <c r="G1842" s="64">
        <f t="shared" ca="1" si="59"/>
        <v>-6.7617403951013306E-3</v>
      </c>
    </row>
    <row r="1843" spans="2:7" x14ac:dyDescent="0.3">
      <c r="B1843" s="55">
        <v>46059</v>
      </c>
      <c r="C1843" s="54">
        <v>3889.9</v>
      </c>
      <c r="D1843" s="56">
        <f t="shared" si="58"/>
        <v>0.10845467757102556</v>
      </c>
      <c r="E1843" s="64">
        <v>-1.1436122900200796E-2</v>
      </c>
      <c r="F1843" s="64">
        <v>1840</v>
      </c>
      <c r="G1843" s="64">
        <f t="shared" ca="1" si="59"/>
        <v>2.4709440339558972E-4</v>
      </c>
    </row>
    <row r="1844" spans="2:7" x14ac:dyDescent="0.3">
      <c r="B1844" s="55">
        <v>45152</v>
      </c>
      <c r="C1844" s="54">
        <v>3509.3</v>
      </c>
      <c r="D1844" s="56">
        <f t="shared" si="58"/>
        <v>-0.13093115403665179</v>
      </c>
      <c r="E1844" s="64">
        <v>-1.1478711567442734E-2</v>
      </c>
      <c r="F1844" s="64">
        <v>1841</v>
      </c>
      <c r="G1844" s="64">
        <f t="shared" ca="1" si="59"/>
        <v>5.0204583799929176E-3</v>
      </c>
    </row>
    <row r="1845" spans="2:7" x14ac:dyDescent="0.3">
      <c r="B1845" s="55">
        <v>45982</v>
      </c>
      <c r="C1845" s="54">
        <v>4038</v>
      </c>
      <c r="D1845" s="56">
        <f t="shared" si="58"/>
        <v>2.0645467309224754</v>
      </c>
      <c r="E1845" s="64">
        <v>-1.15055079559363E-2</v>
      </c>
      <c r="F1845" s="64">
        <v>1842</v>
      </c>
      <c r="G1845" s="64">
        <f t="shared" ca="1" si="59"/>
        <v>1.0970494661221264E-2</v>
      </c>
    </row>
    <row r="1846" spans="2:7" x14ac:dyDescent="0.3">
      <c r="B1846" s="55">
        <v>43622</v>
      </c>
      <c r="C1846" s="54">
        <v>1317.65</v>
      </c>
      <c r="D1846" s="56">
        <f t="shared" si="58"/>
        <v>-0.41682710394122457</v>
      </c>
      <c r="E1846" s="64">
        <v>-1.1552454896665454E-2</v>
      </c>
      <c r="F1846" s="64">
        <v>1843</v>
      </c>
      <c r="G1846" s="64">
        <f t="shared" ca="1" si="59"/>
        <v>-2.9464015029886511E-3</v>
      </c>
    </row>
    <row r="1847" spans="2:7" x14ac:dyDescent="0.3">
      <c r="B1847" s="55">
        <v>44064</v>
      </c>
      <c r="C1847" s="54">
        <v>2259.4499999999998</v>
      </c>
      <c r="D1847" s="56">
        <f t="shared" si="58"/>
        <v>0.26896183763443871</v>
      </c>
      <c r="E1847" s="64">
        <v>-1.1570934861542592E-2</v>
      </c>
      <c r="F1847" s="64">
        <v>1844</v>
      </c>
      <c r="G1847" s="64">
        <f t="shared" ca="1" si="59"/>
        <v>6.4377825885773635E-3</v>
      </c>
    </row>
    <row r="1848" spans="2:7" x14ac:dyDescent="0.3">
      <c r="B1848" s="55">
        <v>43808</v>
      </c>
      <c r="C1848" s="54">
        <v>1780.55</v>
      </c>
      <c r="D1848" s="56">
        <f t="shared" si="58"/>
        <v>-0.61954059829059838</v>
      </c>
      <c r="E1848" s="64">
        <v>-1.1574331075829947E-2</v>
      </c>
      <c r="F1848" s="64">
        <v>1845</v>
      </c>
      <c r="G1848" s="64">
        <f t="shared" ca="1" si="59"/>
        <v>-2.1447805238783185E-3</v>
      </c>
    </row>
    <row r="1849" spans="2:7" x14ac:dyDescent="0.3">
      <c r="B1849" s="55">
        <v>45902</v>
      </c>
      <c r="C1849" s="54">
        <v>4680</v>
      </c>
      <c r="D1849" s="56">
        <f t="shared" si="58"/>
        <v>0.16740252937214706</v>
      </c>
      <c r="E1849" s="64">
        <v>-1.1594753849078043E-2</v>
      </c>
      <c r="F1849" s="64">
        <v>1846</v>
      </c>
      <c r="G1849" s="64">
        <f t="shared" ca="1" si="59"/>
        <v>4.1114097046993673E-3</v>
      </c>
    </row>
    <row r="1850" spans="2:7" x14ac:dyDescent="0.3">
      <c r="B1850" s="55">
        <v>44670</v>
      </c>
      <c r="C1850" s="54">
        <v>4008.9</v>
      </c>
      <c r="D1850" s="56">
        <f t="shared" si="58"/>
        <v>0.7380503349157832</v>
      </c>
      <c r="E1850" s="64">
        <v>-1.1612426035502943E-2</v>
      </c>
      <c r="F1850" s="64">
        <v>1847</v>
      </c>
      <c r="G1850" s="64">
        <f t="shared" ca="1" si="59"/>
        <v>-1.7847109100131896E-2</v>
      </c>
    </row>
    <row r="1851" spans="2:7" x14ac:dyDescent="0.3">
      <c r="B1851" s="55">
        <v>43969</v>
      </c>
      <c r="C1851" s="54">
        <v>2306.5500000000002</v>
      </c>
      <c r="D1851" s="56">
        <f t="shared" si="58"/>
        <v>-0.51995379668459996</v>
      </c>
      <c r="E1851" s="64">
        <v>-1.1676236181335176E-2</v>
      </c>
      <c r="F1851" s="64">
        <v>1848</v>
      </c>
      <c r="G1851" s="64">
        <f t="shared" ca="1" si="59"/>
        <v>-1.7354827067526932E-2</v>
      </c>
    </row>
    <row r="1852" spans="2:7" x14ac:dyDescent="0.3">
      <c r="B1852" s="55">
        <v>45464</v>
      </c>
      <c r="C1852" s="54">
        <v>4804.8500000000004</v>
      </c>
      <c r="D1852" s="56">
        <f t="shared" si="58"/>
        <v>0.96766861869855458</v>
      </c>
      <c r="E1852" s="64">
        <v>-1.1693440566057034E-2</v>
      </c>
      <c r="F1852" s="64">
        <v>1849</v>
      </c>
      <c r="G1852" s="64">
        <f t="shared" ca="1" si="59"/>
        <v>4.9129060425102546E-2</v>
      </c>
    </row>
    <row r="1853" spans="2:7" x14ac:dyDescent="0.3">
      <c r="B1853" s="55">
        <v>44169</v>
      </c>
      <c r="C1853" s="54">
        <v>2441.9</v>
      </c>
      <c r="D1853" s="56">
        <f t="shared" si="58"/>
        <v>-0.36992981731860874</v>
      </c>
      <c r="E1853" s="64">
        <v>-1.1716615739522762E-2</v>
      </c>
      <c r="F1853" s="64">
        <v>1850</v>
      </c>
      <c r="G1853" s="64">
        <f t="shared" ca="1" si="59"/>
        <v>1.4516405855143166E-2</v>
      </c>
    </row>
    <row r="1854" spans="2:7" x14ac:dyDescent="0.3">
      <c r="B1854" s="55">
        <v>44918</v>
      </c>
      <c r="C1854" s="54">
        <v>3875.6</v>
      </c>
      <c r="D1854" s="56">
        <f t="shared" si="58"/>
        <v>1.9224194608809864E-2</v>
      </c>
      <c r="E1854" s="64">
        <v>-1.1717305657201971E-2</v>
      </c>
      <c r="F1854" s="64">
        <v>1851</v>
      </c>
      <c r="G1854" s="64">
        <f t="shared" ca="1" si="59"/>
        <v>1.8223674461413951E-2</v>
      </c>
    </row>
    <row r="1855" spans="2:7" x14ac:dyDescent="0.3">
      <c r="B1855" s="55">
        <v>46083</v>
      </c>
      <c r="C1855" s="54">
        <v>3802.5</v>
      </c>
      <c r="D1855" s="56">
        <f t="shared" si="58"/>
        <v>3.4524975514201861E-2</v>
      </c>
      <c r="E1855" s="64">
        <v>-1.1721592681151916E-2</v>
      </c>
      <c r="F1855" s="64">
        <v>1852</v>
      </c>
      <c r="G1855" s="64">
        <f t="shared" ca="1" si="59"/>
        <v>-1.2107902808104434E-2</v>
      </c>
    </row>
    <row r="1856" spans="2:7" x14ac:dyDescent="0.3">
      <c r="B1856" s="55">
        <v>45334</v>
      </c>
      <c r="C1856" s="54">
        <v>3675.6</v>
      </c>
      <c r="D1856" s="56">
        <f t="shared" si="58"/>
        <v>1.5605907555122087</v>
      </c>
      <c r="E1856" s="64">
        <v>-1.1722951172295049E-2</v>
      </c>
      <c r="F1856" s="64">
        <v>1853</v>
      </c>
      <c r="G1856" s="64">
        <f t="shared" ca="1" si="59"/>
        <v>-1.2889497927880826E-2</v>
      </c>
    </row>
    <row r="1857" spans="2:7" x14ac:dyDescent="0.3">
      <c r="B1857" s="55">
        <v>43279</v>
      </c>
      <c r="C1857" s="54">
        <v>1435.45</v>
      </c>
      <c r="D1857" s="56">
        <f t="shared" si="58"/>
        <v>0.85446676571280933</v>
      </c>
      <c r="E1857" s="64">
        <v>-1.1738382099827804E-2</v>
      </c>
      <c r="F1857" s="64">
        <v>1854</v>
      </c>
      <c r="G1857" s="64">
        <f t="shared" ca="1" si="59"/>
        <v>1.9761189739206951E-2</v>
      </c>
    </row>
    <row r="1858" spans="2:7" x14ac:dyDescent="0.3">
      <c r="B1858" s="55">
        <v>42842</v>
      </c>
      <c r="C1858" s="54">
        <v>774.05</v>
      </c>
      <c r="D1858" s="56">
        <f t="shared" si="58"/>
        <v>-0.41379832632814573</v>
      </c>
      <c r="E1858" s="64">
        <v>-1.1745930418129658E-2</v>
      </c>
      <c r="F1858" s="64">
        <v>1855</v>
      </c>
      <c r="G1858" s="64">
        <f t="shared" ca="1" si="59"/>
        <v>-3.151279813565085E-3</v>
      </c>
    </row>
    <row r="1859" spans="2:7" x14ac:dyDescent="0.3">
      <c r="B1859" s="55">
        <v>43637</v>
      </c>
      <c r="C1859" s="54">
        <v>1320.45</v>
      </c>
      <c r="D1859" s="56">
        <f t="shared" si="58"/>
        <v>-0.64104550644266833</v>
      </c>
      <c r="E1859" s="64">
        <v>-1.1750177749504154E-2</v>
      </c>
      <c r="F1859" s="64">
        <v>1856</v>
      </c>
      <c r="G1859" s="64">
        <f t="shared" ca="1" si="59"/>
        <v>-1.8161062775047192E-2</v>
      </c>
    </row>
    <row r="1860" spans="2:7" x14ac:dyDescent="0.3">
      <c r="B1860" s="55">
        <v>45337</v>
      </c>
      <c r="C1860" s="54">
        <v>3678.6</v>
      </c>
      <c r="D1860" s="56">
        <f t="shared" ref="D1860:D1923" si="60">C1860/C1861-1</f>
        <v>-6.8685283171725953E-2</v>
      </c>
      <c r="E1860" s="64">
        <v>-1.1766602192134101E-2</v>
      </c>
      <c r="F1860" s="64">
        <v>1857</v>
      </c>
      <c r="G1860" s="64">
        <f t="shared" ca="1" si="59"/>
        <v>-7.822749539342054E-3</v>
      </c>
    </row>
    <row r="1861" spans="2:7" x14ac:dyDescent="0.3">
      <c r="B1861" s="55">
        <v>45866</v>
      </c>
      <c r="C1861" s="54">
        <v>3949.9</v>
      </c>
      <c r="D1861" s="56">
        <f t="shared" si="60"/>
        <v>1.1672976680384086</v>
      </c>
      <c r="E1861" s="64">
        <v>-1.1783837878408754E-2</v>
      </c>
      <c r="F1861" s="64">
        <v>1858</v>
      </c>
      <c r="G1861" s="64">
        <f t="shared" ref="G1861:G1924" ca="1" si="61">_xlfn.NORM.INV(RAND(),K$6,K$7)</f>
        <v>2.4574699130734058E-3</v>
      </c>
    </row>
    <row r="1862" spans="2:7" x14ac:dyDescent="0.3">
      <c r="B1862" s="55">
        <v>43798</v>
      </c>
      <c r="C1862" s="54">
        <v>1822.5</v>
      </c>
      <c r="D1862" s="56">
        <f t="shared" si="60"/>
        <v>-0.21592669075890558</v>
      </c>
      <c r="E1862" s="64">
        <v>-1.1793411956079747E-2</v>
      </c>
      <c r="F1862" s="64">
        <v>1859</v>
      </c>
      <c r="G1862" s="64">
        <f t="shared" ca="1" si="61"/>
        <v>-8.8320686542418814E-3</v>
      </c>
    </row>
    <row r="1863" spans="2:7" x14ac:dyDescent="0.3">
      <c r="B1863" s="55">
        <v>43965</v>
      </c>
      <c r="C1863" s="54">
        <v>2324.4</v>
      </c>
      <c r="D1863" s="56">
        <f t="shared" si="60"/>
        <v>-0.30651152383083458</v>
      </c>
      <c r="E1863" s="64">
        <v>-1.1797716982335338E-2</v>
      </c>
      <c r="F1863" s="64">
        <v>1860</v>
      </c>
      <c r="G1863" s="64">
        <f t="shared" ca="1" si="61"/>
        <v>-1.3275255790791342E-2</v>
      </c>
    </row>
    <row r="1864" spans="2:7" x14ac:dyDescent="0.3">
      <c r="B1864" s="55">
        <v>44998</v>
      </c>
      <c r="C1864" s="54">
        <v>3351.75</v>
      </c>
      <c r="D1864" s="56">
        <f t="shared" si="60"/>
        <v>0.48870727753225718</v>
      </c>
      <c r="E1864" s="64">
        <v>-1.1822456771378387E-2</v>
      </c>
      <c r="F1864" s="64">
        <v>1861</v>
      </c>
      <c r="G1864" s="64">
        <f t="shared" ca="1" si="61"/>
        <v>5.5563989190512975E-3</v>
      </c>
    </row>
    <row r="1865" spans="2:7" x14ac:dyDescent="0.3">
      <c r="B1865" s="55">
        <v>44078</v>
      </c>
      <c r="C1865" s="54">
        <v>2251.4499999999998</v>
      </c>
      <c r="D1865" s="56">
        <f t="shared" si="60"/>
        <v>-0.44310325636617731</v>
      </c>
      <c r="E1865" s="64">
        <v>-1.182847612359561E-2</v>
      </c>
      <c r="F1865" s="64">
        <v>1862</v>
      </c>
      <c r="G1865" s="64">
        <f t="shared" ca="1" si="61"/>
        <v>-3.0683259632759731E-2</v>
      </c>
    </row>
    <row r="1866" spans="2:7" x14ac:dyDescent="0.3">
      <c r="B1866" s="55">
        <v>44644</v>
      </c>
      <c r="C1866" s="54">
        <v>4042.85</v>
      </c>
      <c r="D1866" s="56">
        <f t="shared" si="60"/>
        <v>-1.3602413810165359E-4</v>
      </c>
      <c r="E1866" s="64">
        <v>-1.1854277927823342E-2</v>
      </c>
      <c r="F1866" s="64">
        <v>1863</v>
      </c>
      <c r="G1866" s="64">
        <f t="shared" ca="1" si="61"/>
        <v>2.2850163504041107E-2</v>
      </c>
    </row>
    <row r="1867" spans="2:7" x14ac:dyDescent="0.3">
      <c r="B1867" s="55">
        <v>46183</v>
      </c>
      <c r="C1867" s="54">
        <v>4043.4</v>
      </c>
      <c r="D1867" s="56">
        <f t="shared" si="60"/>
        <v>-6.5887353878852362E-2</v>
      </c>
      <c r="E1867" s="64">
        <v>-1.1876832844574747E-2</v>
      </c>
      <c r="F1867" s="64">
        <v>1864</v>
      </c>
      <c r="G1867" s="64">
        <f t="shared" ca="1" si="61"/>
        <v>-9.1488224885087517E-3</v>
      </c>
    </row>
    <row r="1868" spans="2:7" x14ac:dyDescent="0.3">
      <c r="B1868" s="55">
        <v>46204</v>
      </c>
      <c r="C1868" s="54">
        <v>4328.6000000000004</v>
      </c>
      <c r="D1868" s="56">
        <f t="shared" si="60"/>
        <v>0.63959015927728635</v>
      </c>
      <c r="E1868" s="64">
        <v>-1.1893076448969198E-2</v>
      </c>
      <c r="F1868" s="64">
        <v>1865</v>
      </c>
      <c r="G1868" s="64">
        <f t="shared" ca="1" si="61"/>
        <v>-6.2255453012090385E-3</v>
      </c>
    </row>
    <row r="1869" spans="2:7" x14ac:dyDescent="0.3">
      <c r="B1869" s="55">
        <v>44180</v>
      </c>
      <c r="C1869" s="54">
        <v>2640.05</v>
      </c>
      <c r="D1869" s="56">
        <f t="shared" si="60"/>
        <v>0.15318758599602522</v>
      </c>
      <c r="E1869" s="64">
        <v>-1.1938846161043348E-2</v>
      </c>
      <c r="F1869" s="64">
        <v>1866</v>
      </c>
      <c r="G1869" s="64">
        <f t="shared" ca="1" si="61"/>
        <v>-2.8858838570360708E-2</v>
      </c>
    </row>
    <row r="1870" spans="2:7" x14ac:dyDescent="0.3">
      <c r="B1870" s="55">
        <v>44013</v>
      </c>
      <c r="C1870" s="54">
        <v>2289.35</v>
      </c>
      <c r="D1870" s="56">
        <f t="shared" si="60"/>
        <v>2.2076878432072844E-2</v>
      </c>
      <c r="E1870" s="64">
        <v>-1.1997496925101991E-2</v>
      </c>
      <c r="F1870" s="64">
        <v>1867</v>
      </c>
      <c r="G1870" s="64">
        <f t="shared" ca="1" si="61"/>
        <v>2.4492246165573363E-2</v>
      </c>
    </row>
    <row r="1871" spans="2:7" x14ac:dyDescent="0.3">
      <c r="B1871" s="55">
        <v>44134</v>
      </c>
      <c r="C1871" s="54">
        <v>2239.9</v>
      </c>
      <c r="D1871" s="56">
        <f t="shared" si="60"/>
        <v>-0.49950842382803762</v>
      </c>
      <c r="E1871" s="64">
        <v>-1.1997706320850399E-2</v>
      </c>
      <c r="F1871" s="64">
        <v>1868</v>
      </c>
      <c r="G1871" s="64">
        <f t="shared" ca="1" si="61"/>
        <v>-2.1528187974170103E-2</v>
      </c>
    </row>
    <row r="1872" spans="2:7" x14ac:dyDescent="0.3">
      <c r="B1872" s="55">
        <v>45930</v>
      </c>
      <c r="C1872" s="54">
        <v>4475.3999999999996</v>
      </c>
      <c r="D1872" s="56">
        <f t="shared" si="60"/>
        <v>-4.2828269866221791E-2</v>
      </c>
      <c r="E1872" s="64">
        <v>-1.2031170666019109E-2</v>
      </c>
      <c r="F1872" s="64">
        <v>1869</v>
      </c>
      <c r="G1872" s="64">
        <f t="shared" ca="1" si="61"/>
        <v>-3.7788772273616981E-2</v>
      </c>
    </row>
    <row r="1873" spans="2:7" x14ac:dyDescent="0.3">
      <c r="B1873" s="55">
        <v>44497</v>
      </c>
      <c r="C1873" s="54">
        <v>4675.6499999999996</v>
      </c>
      <c r="D1873" s="56">
        <f t="shared" si="60"/>
        <v>0.9638574458701723</v>
      </c>
      <c r="E1873" s="64">
        <v>-1.2117050496513904E-2</v>
      </c>
      <c r="F1873" s="64">
        <v>1870</v>
      </c>
      <c r="G1873" s="64">
        <f t="shared" ca="1" si="61"/>
        <v>-1.578377473322394E-2</v>
      </c>
    </row>
    <row r="1874" spans="2:7" x14ac:dyDescent="0.3">
      <c r="B1874" s="55">
        <v>44070</v>
      </c>
      <c r="C1874" s="54">
        <v>2380.85</v>
      </c>
      <c r="D1874" s="56">
        <f t="shared" si="60"/>
        <v>-0.22473135786388798</v>
      </c>
      <c r="E1874" s="64">
        <v>-1.2136425874445078E-2</v>
      </c>
      <c r="F1874" s="64">
        <v>1871</v>
      </c>
      <c r="G1874" s="64">
        <f t="shared" ca="1" si="61"/>
        <v>1.1308273647606936E-2</v>
      </c>
    </row>
    <row r="1875" spans="2:7" x14ac:dyDescent="0.3">
      <c r="B1875" s="55">
        <v>44271</v>
      </c>
      <c r="C1875" s="54">
        <v>3071</v>
      </c>
      <c r="D1875" s="56">
        <f t="shared" si="60"/>
        <v>-4.9402587754596605E-2</v>
      </c>
      <c r="E1875" s="64">
        <v>-1.2143144350623247E-2</v>
      </c>
      <c r="F1875" s="64">
        <v>1872</v>
      </c>
      <c r="G1875" s="64">
        <f t="shared" ca="1" si="61"/>
        <v>-1.9510825308333953E-3</v>
      </c>
    </row>
    <row r="1876" spans="2:7" x14ac:dyDescent="0.3">
      <c r="B1876" s="55">
        <v>44694</v>
      </c>
      <c r="C1876" s="54">
        <v>3230.6</v>
      </c>
      <c r="D1876" s="56">
        <f t="shared" si="60"/>
        <v>1.3180024395494008</v>
      </c>
      <c r="E1876" s="64">
        <v>-1.2184867525875664E-2</v>
      </c>
      <c r="F1876" s="64">
        <v>1873</v>
      </c>
      <c r="G1876" s="64">
        <f t="shared" ca="1" si="61"/>
        <v>-1.4140574527533362E-2</v>
      </c>
    </row>
    <row r="1877" spans="2:7" x14ac:dyDescent="0.3">
      <c r="B1877" s="55">
        <v>43430</v>
      </c>
      <c r="C1877" s="54">
        <v>1393.7</v>
      </c>
      <c r="D1877" s="56">
        <f t="shared" si="60"/>
        <v>-0.63284553273884003</v>
      </c>
      <c r="E1877" s="64">
        <v>-1.2190800198454865E-2</v>
      </c>
      <c r="F1877" s="64">
        <v>1874</v>
      </c>
      <c r="G1877" s="64">
        <f t="shared" ca="1" si="61"/>
        <v>2.4735476488803129E-2</v>
      </c>
    </row>
    <row r="1878" spans="2:7" x14ac:dyDescent="0.3">
      <c r="B1878" s="55">
        <v>45217</v>
      </c>
      <c r="C1878" s="54">
        <v>3795.95</v>
      </c>
      <c r="D1878" s="56">
        <f t="shared" si="60"/>
        <v>0.77700536011047894</v>
      </c>
      <c r="E1878" s="64">
        <v>-1.2204483651456655E-2</v>
      </c>
      <c r="F1878" s="64">
        <v>1875</v>
      </c>
      <c r="G1878" s="64">
        <f t="shared" ca="1" si="61"/>
        <v>-2.0320582972135064E-2</v>
      </c>
    </row>
    <row r="1879" spans="2:7" x14ac:dyDescent="0.3">
      <c r="B1879" s="55">
        <v>44089</v>
      </c>
      <c r="C1879" s="54">
        <v>2136.15</v>
      </c>
      <c r="D1879" s="56">
        <f t="shared" si="60"/>
        <v>-0.44712322385278358</v>
      </c>
      <c r="E1879" s="64">
        <v>-1.2276321265085155E-2</v>
      </c>
      <c r="F1879" s="64">
        <v>1876</v>
      </c>
      <c r="G1879" s="64">
        <f t="shared" ca="1" si="61"/>
        <v>8.2427380311657465E-3</v>
      </c>
    </row>
    <row r="1880" spans="2:7" x14ac:dyDescent="0.3">
      <c r="B1880" s="55">
        <v>44939</v>
      </c>
      <c r="C1880" s="54">
        <v>3863.7</v>
      </c>
      <c r="D1880" s="56">
        <f t="shared" si="60"/>
        <v>1.0564722163082818</v>
      </c>
      <c r="E1880" s="64">
        <v>-1.2296129658980637E-2</v>
      </c>
      <c r="F1880" s="64">
        <v>1877</v>
      </c>
      <c r="G1880" s="64">
        <f t="shared" ca="1" si="61"/>
        <v>5.7133459252388938E-4</v>
      </c>
    </row>
    <row r="1881" spans="2:7" x14ac:dyDescent="0.3">
      <c r="B1881" s="55">
        <v>43734</v>
      </c>
      <c r="C1881" s="54">
        <v>1878.8</v>
      </c>
      <c r="D1881" s="56">
        <f t="shared" si="60"/>
        <v>-0.40390564271776896</v>
      </c>
      <c r="E1881" s="64">
        <v>-1.2301545578803585E-2</v>
      </c>
      <c r="F1881" s="64">
        <v>1878</v>
      </c>
      <c r="G1881" s="64">
        <f t="shared" ca="1" si="61"/>
        <v>3.746855652918673E-3</v>
      </c>
    </row>
    <row r="1882" spans="2:7" x14ac:dyDescent="0.3">
      <c r="B1882" s="55">
        <v>44264</v>
      </c>
      <c r="C1882" s="54">
        <v>3151.85</v>
      </c>
      <c r="D1882" s="56">
        <f t="shared" si="60"/>
        <v>-0.26781192649894303</v>
      </c>
      <c r="E1882" s="64">
        <v>-1.2315309527913154E-2</v>
      </c>
      <c r="F1882" s="64">
        <v>1879</v>
      </c>
      <c r="G1882" s="64">
        <f t="shared" ca="1" si="61"/>
        <v>-1.7482213948662423E-2</v>
      </c>
    </row>
    <row r="1883" spans="2:7" x14ac:dyDescent="0.3">
      <c r="B1883" s="55">
        <v>46160</v>
      </c>
      <c r="C1883" s="54">
        <v>4304.7</v>
      </c>
      <c r="D1883" s="56">
        <f t="shared" si="60"/>
        <v>0.22910658709990561</v>
      </c>
      <c r="E1883" s="64">
        <v>-1.2389015073301701E-2</v>
      </c>
      <c r="F1883" s="64">
        <v>1880</v>
      </c>
      <c r="G1883" s="64">
        <f t="shared" ca="1" si="61"/>
        <v>1.2802370760103229E-2</v>
      </c>
    </row>
    <row r="1884" spans="2:7" x14ac:dyDescent="0.3">
      <c r="B1884" s="55">
        <v>44957</v>
      </c>
      <c r="C1884" s="54">
        <v>3502.3</v>
      </c>
      <c r="D1884" s="56">
        <f t="shared" si="60"/>
        <v>1.548331938734675</v>
      </c>
      <c r="E1884" s="64">
        <v>-1.2407297746947488E-2</v>
      </c>
      <c r="F1884" s="64">
        <v>1881</v>
      </c>
      <c r="G1884" s="64">
        <f t="shared" ca="1" si="61"/>
        <v>-6.7828457654549121E-3</v>
      </c>
    </row>
    <row r="1885" spans="2:7" x14ac:dyDescent="0.3">
      <c r="B1885" s="55">
        <v>43417</v>
      </c>
      <c r="C1885" s="54">
        <v>1374.35</v>
      </c>
      <c r="D1885" s="56">
        <f t="shared" si="60"/>
        <v>-0.65533542319749216</v>
      </c>
      <c r="E1885" s="64">
        <v>-1.2502245374528487E-2</v>
      </c>
      <c r="F1885" s="64">
        <v>1882</v>
      </c>
      <c r="G1885" s="64">
        <f t="shared" ca="1" si="61"/>
        <v>-1.5696712477269885E-2</v>
      </c>
    </row>
    <row r="1886" spans="2:7" x14ac:dyDescent="0.3">
      <c r="B1886" s="55">
        <v>45985</v>
      </c>
      <c r="C1886" s="54">
        <v>3987.5</v>
      </c>
      <c r="D1886" s="56">
        <f t="shared" si="60"/>
        <v>0.14608033340518789</v>
      </c>
      <c r="E1886" s="64">
        <v>-1.2506191183754289E-2</v>
      </c>
      <c r="F1886" s="64">
        <v>1883</v>
      </c>
      <c r="G1886" s="64">
        <f t="shared" ca="1" si="61"/>
        <v>1.4253953792013937E-3</v>
      </c>
    </row>
    <row r="1887" spans="2:7" x14ac:dyDescent="0.3">
      <c r="B1887" s="55">
        <v>45062</v>
      </c>
      <c r="C1887" s="54">
        <v>3479.25</v>
      </c>
      <c r="D1887" s="56">
        <f t="shared" si="60"/>
        <v>0.81935838104949421</v>
      </c>
      <c r="E1887" s="64">
        <v>-1.2530510302548703E-2</v>
      </c>
      <c r="F1887" s="64">
        <v>1884</v>
      </c>
      <c r="G1887" s="64">
        <f t="shared" ca="1" si="61"/>
        <v>5.4915806333484009E-3</v>
      </c>
    </row>
    <row r="1888" spans="2:7" x14ac:dyDescent="0.3">
      <c r="B1888" s="55">
        <v>43851</v>
      </c>
      <c r="C1888" s="54">
        <v>1912.35</v>
      </c>
      <c r="D1888" s="56">
        <f t="shared" si="60"/>
        <v>-3.2921186376393963E-2</v>
      </c>
      <c r="E1888" s="64">
        <v>-1.2547440167299251E-2</v>
      </c>
      <c r="F1888" s="64">
        <v>1885</v>
      </c>
      <c r="G1888" s="64">
        <f t="shared" ca="1" si="61"/>
        <v>2.0433658970932717E-2</v>
      </c>
    </row>
    <row r="1889" spans="2:7" x14ac:dyDescent="0.3">
      <c r="B1889" s="55">
        <v>44117</v>
      </c>
      <c r="C1889" s="54">
        <v>1977.45</v>
      </c>
      <c r="D1889" s="56">
        <f t="shared" si="60"/>
        <v>0.33837563451776642</v>
      </c>
      <c r="E1889" s="64">
        <v>-1.2558673724158531E-2</v>
      </c>
      <c r="F1889" s="64">
        <v>1886</v>
      </c>
      <c r="G1889" s="64">
        <f t="shared" ca="1" si="61"/>
        <v>2.4598561545562385E-2</v>
      </c>
    </row>
    <row r="1890" spans="2:7" x14ac:dyDescent="0.3">
      <c r="B1890" s="55">
        <v>43504</v>
      </c>
      <c r="C1890" s="54">
        <v>1477.5</v>
      </c>
      <c r="D1890" s="56">
        <f t="shared" si="60"/>
        <v>-0.63449026544294096</v>
      </c>
      <c r="E1890" s="64">
        <v>-1.2597320145687818E-2</v>
      </c>
      <c r="F1890" s="64">
        <v>1887</v>
      </c>
      <c r="G1890" s="64">
        <f t="shared" ca="1" si="61"/>
        <v>-1.9480214302715994E-2</v>
      </c>
    </row>
    <row r="1891" spans="2:7" x14ac:dyDescent="0.3">
      <c r="B1891" s="55">
        <v>45805</v>
      </c>
      <c r="C1891" s="54">
        <v>4042.3</v>
      </c>
      <c r="D1891" s="56">
        <f t="shared" si="60"/>
        <v>-4.0722371200075824E-2</v>
      </c>
      <c r="E1891" s="64">
        <v>-1.2628236443575913E-2</v>
      </c>
      <c r="F1891" s="64">
        <v>1888</v>
      </c>
      <c r="G1891" s="64">
        <f t="shared" ca="1" si="61"/>
        <v>1.7250249194442999E-2</v>
      </c>
    </row>
    <row r="1892" spans="2:7" x14ac:dyDescent="0.3">
      <c r="B1892" s="55">
        <v>45954</v>
      </c>
      <c r="C1892" s="54">
        <v>4213.8999999999996</v>
      </c>
      <c r="D1892" s="56">
        <f t="shared" si="60"/>
        <v>4.8287291500244134E-3</v>
      </c>
      <c r="E1892" s="64">
        <v>-1.2675726335520276E-2</v>
      </c>
      <c r="F1892" s="64">
        <v>1889</v>
      </c>
      <c r="G1892" s="64">
        <f t="shared" ca="1" si="61"/>
        <v>-3.3319466677521427E-2</v>
      </c>
    </row>
    <row r="1893" spans="2:7" x14ac:dyDescent="0.3">
      <c r="B1893" s="55">
        <v>44867</v>
      </c>
      <c r="C1893" s="54">
        <v>4193.6499999999996</v>
      </c>
      <c r="D1893" s="56">
        <f t="shared" si="60"/>
        <v>3.0602701263494216</v>
      </c>
      <c r="E1893" s="64">
        <v>-1.2678045909358504E-2</v>
      </c>
      <c r="F1893" s="64">
        <v>1890</v>
      </c>
      <c r="G1893" s="64">
        <f t="shared" ca="1" si="61"/>
        <v>-2.9936973999284688E-2</v>
      </c>
    </row>
    <row r="1894" spans="2:7" x14ac:dyDescent="0.3">
      <c r="B1894" s="55">
        <v>42976</v>
      </c>
      <c r="C1894" s="54">
        <v>1032.8499999999999</v>
      </c>
      <c r="D1894" s="56">
        <f t="shared" si="60"/>
        <v>-0.31831831831831847</v>
      </c>
      <c r="E1894" s="64">
        <v>-1.2713282034125251E-2</v>
      </c>
      <c r="F1894" s="64">
        <v>1891</v>
      </c>
      <c r="G1894" s="64">
        <f t="shared" ca="1" si="61"/>
        <v>-5.3084211591387575E-3</v>
      </c>
    </row>
    <row r="1895" spans="2:7" x14ac:dyDescent="0.3">
      <c r="B1895" s="55">
        <v>43362</v>
      </c>
      <c r="C1895" s="54">
        <v>1515.15</v>
      </c>
      <c r="D1895" s="56">
        <f t="shared" si="60"/>
        <v>-0.66462658816237985</v>
      </c>
      <c r="E1895" s="64">
        <v>-1.2738645989444186E-2</v>
      </c>
      <c r="F1895" s="64">
        <v>1892</v>
      </c>
      <c r="G1895" s="64">
        <f t="shared" ca="1" si="61"/>
        <v>-1.4443034100217512E-2</v>
      </c>
    </row>
    <row r="1896" spans="2:7" x14ac:dyDescent="0.3">
      <c r="B1896" s="55">
        <v>45926</v>
      </c>
      <c r="C1896" s="54">
        <v>4517.8</v>
      </c>
      <c r="D1896" s="56">
        <f t="shared" si="60"/>
        <v>1.5079382702342623</v>
      </c>
      <c r="E1896" s="64">
        <v>-1.2761679996503572E-2</v>
      </c>
      <c r="F1896" s="64">
        <v>1893</v>
      </c>
      <c r="G1896" s="64">
        <f t="shared" ca="1" si="61"/>
        <v>1.0124010846160702E-3</v>
      </c>
    </row>
    <row r="1897" spans="2:7" x14ac:dyDescent="0.3">
      <c r="B1897" s="55">
        <v>43805</v>
      </c>
      <c r="C1897" s="54">
        <v>1801.4</v>
      </c>
      <c r="D1897" s="56">
        <f t="shared" si="60"/>
        <v>-0.65344696568905647</v>
      </c>
      <c r="E1897" s="64">
        <v>-1.2796273462118091E-2</v>
      </c>
      <c r="F1897" s="64">
        <v>1894</v>
      </c>
      <c r="G1897" s="64">
        <f t="shared" ca="1" si="61"/>
        <v>-9.5935158413046635E-3</v>
      </c>
    </row>
    <row r="1898" spans="2:7" x14ac:dyDescent="0.3">
      <c r="B1898" s="55">
        <v>45561</v>
      </c>
      <c r="C1898" s="54">
        <v>5198.05</v>
      </c>
      <c r="D1898" s="56">
        <f t="shared" si="60"/>
        <v>0.32682858346202437</v>
      </c>
      <c r="E1898" s="64">
        <v>-1.2809799639160513E-2</v>
      </c>
      <c r="F1898" s="64">
        <v>1895</v>
      </c>
      <c r="G1898" s="64">
        <f t="shared" ca="1" si="61"/>
        <v>1.1892284243206012E-2</v>
      </c>
    </row>
    <row r="1899" spans="2:7" x14ac:dyDescent="0.3">
      <c r="B1899" s="55">
        <v>44441</v>
      </c>
      <c r="C1899" s="54">
        <v>3917.65</v>
      </c>
      <c r="D1899" s="56">
        <f t="shared" si="60"/>
        <v>1.5999800902574997</v>
      </c>
      <c r="E1899" s="64">
        <v>-1.2838280501940136E-2</v>
      </c>
      <c r="F1899" s="64">
        <v>1896</v>
      </c>
      <c r="G1899" s="64">
        <f t="shared" ca="1" si="61"/>
        <v>2.6012102305352273E-2</v>
      </c>
    </row>
    <row r="1900" spans="2:7" x14ac:dyDescent="0.3">
      <c r="B1900" s="55">
        <v>43354</v>
      </c>
      <c r="C1900" s="54">
        <v>1506.8</v>
      </c>
      <c r="D1900" s="56">
        <f t="shared" si="60"/>
        <v>-0.5874154595985871</v>
      </c>
      <c r="E1900" s="64">
        <v>-1.2840670859538883E-2</v>
      </c>
      <c r="F1900" s="64">
        <v>1897</v>
      </c>
      <c r="G1900" s="64">
        <f t="shared" ca="1" si="61"/>
        <v>3.7543607310030454E-3</v>
      </c>
    </row>
    <row r="1901" spans="2:7" x14ac:dyDescent="0.3">
      <c r="B1901" s="55">
        <v>45142</v>
      </c>
      <c r="C1901" s="54">
        <v>3652.1</v>
      </c>
      <c r="D1901" s="56">
        <f t="shared" si="60"/>
        <v>-5.4227631749320215E-2</v>
      </c>
      <c r="E1901" s="64">
        <v>-1.2919268088326774E-2</v>
      </c>
      <c r="F1901" s="64">
        <v>1898</v>
      </c>
      <c r="G1901" s="64">
        <f t="shared" ca="1" si="61"/>
        <v>-8.9414107950230044E-3</v>
      </c>
    </row>
    <row r="1902" spans="2:7" x14ac:dyDescent="0.3">
      <c r="B1902" s="55">
        <v>45259</v>
      </c>
      <c r="C1902" s="54">
        <v>3861.5</v>
      </c>
      <c r="D1902" s="56">
        <f t="shared" si="60"/>
        <v>-0.10943265682656822</v>
      </c>
      <c r="E1902" s="64">
        <v>-1.29468450851834E-2</v>
      </c>
      <c r="F1902" s="64">
        <v>1899</v>
      </c>
      <c r="G1902" s="64">
        <f t="shared" ca="1" si="61"/>
        <v>-4.0565712435329193E-2</v>
      </c>
    </row>
    <row r="1903" spans="2:7" x14ac:dyDescent="0.3">
      <c r="B1903" s="55">
        <v>46197</v>
      </c>
      <c r="C1903" s="54">
        <v>4336</v>
      </c>
      <c r="D1903" s="56">
        <f t="shared" si="60"/>
        <v>2.1535692206989343</v>
      </c>
      <c r="E1903" s="64">
        <v>-1.2952719160463366E-2</v>
      </c>
      <c r="F1903" s="64">
        <v>1900</v>
      </c>
      <c r="G1903" s="64">
        <f t="shared" ca="1" si="61"/>
        <v>1.5247646507085074E-2</v>
      </c>
    </row>
    <row r="1904" spans="2:7" x14ac:dyDescent="0.3">
      <c r="B1904" s="55">
        <v>43655</v>
      </c>
      <c r="C1904" s="54">
        <v>1374.95</v>
      </c>
      <c r="D1904" s="56">
        <f t="shared" si="60"/>
        <v>-0.5965995775143762</v>
      </c>
      <c r="E1904" s="64">
        <v>-1.2957645369705673E-2</v>
      </c>
      <c r="F1904" s="64">
        <v>1901</v>
      </c>
      <c r="G1904" s="64">
        <f t="shared" ca="1" si="61"/>
        <v>1.0962946508168444E-2</v>
      </c>
    </row>
    <row r="1905" spans="2:7" x14ac:dyDescent="0.3">
      <c r="B1905" s="55">
        <v>45720</v>
      </c>
      <c r="C1905" s="54">
        <v>3408.4</v>
      </c>
      <c r="D1905" s="56">
        <f t="shared" si="60"/>
        <v>0.63625453061616377</v>
      </c>
      <c r="E1905" s="64">
        <v>-1.2973473879300257E-2</v>
      </c>
      <c r="F1905" s="64">
        <v>1902</v>
      </c>
      <c r="G1905" s="64">
        <f t="shared" ca="1" si="61"/>
        <v>2.4802707033619774E-2</v>
      </c>
    </row>
    <row r="1906" spans="2:7" x14ac:dyDescent="0.3">
      <c r="B1906" s="55">
        <v>44110</v>
      </c>
      <c r="C1906" s="54">
        <v>2083.0500000000002</v>
      </c>
      <c r="D1906" s="56">
        <f t="shared" si="60"/>
        <v>-0.39633987306923224</v>
      </c>
      <c r="E1906" s="64">
        <v>-1.2983013101471097E-2</v>
      </c>
      <c r="F1906" s="64">
        <v>1903</v>
      </c>
      <c r="G1906" s="64">
        <f t="shared" ca="1" si="61"/>
        <v>-3.1238759156534283E-2</v>
      </c>
    </row>
    <row r="1907" spans="2:7" x14ac:dyDescent="0.3">
      <c r="B1907" s="55">
        <v>45026</v>
      </c>
      <c r="C1907" s="54">
        <v>3450.7</v>
      </c>
      <c r="D1907" s="56">
        <f t="shared" si="60"/>
        <v>-0.19937354988399081</v>
      </c>
      <c r="E1907" s="64">
        <v>-1.2985898572695276E-2</v>
      </c>
      <c r="F1907" s="64">
        <v>1904</v>
      </c>
      <c r="G1907" s="64">
        <f t="shared" ca="1" si="61"/>
        <v>3.0157064867601446E-2</v>
      </c>
    </row>
    <row r="1908" spans="2:7" x14ac:dyDescent="0.3">
      <c r="B1908" s="55">
        <v>45776</v>
      </c>
      <c r="C1908" s="54">
        <v>4310</v>
      </c>
      <c r="D1908" s="56">
        <f t="shared" si="60"/>
        <v>7.4464637399346723E-2</v>
      </c>
      <c r="E1908" s="64">
        <v>-1.3007236420262025E-2</v>
      </c>
      <c r="F1908" s="64">
        <v>1905</v>
      </c>
      <c r="G1908" s="64">
        <f t="shared" ca="1" si="61"/>
        <v>1.9013961727607886E-2</v>
      </c>
    </row>
    <row r="1909" spans="2:7" x14ac:dyDescent="0.3">
      <c r="B1909" s="55">
        <v>45852</v>
      </c>
      <c r="C1909" s="54">
        <v>4011.3</v>
      </c>
      <c r="D1909" s="56">
        <f t="shared" si="60"/>
        <v>1.766127641968072</v>
      </c>
      <c r="E1909" s="64">
        <v>-1.3016091727769186E-2</v>
      </c>
      <c r="F1909" s="64">
        <v>1906</v>
      </c>
      <c r="G1909" s="64">
        <f t="shared" ca="1" si="61"/>
        <v>1.7438376931568626E-2</v>
      </c>
    </row>
    <row r="1910" spans="2:7" x14ac:dyDescent="0.3">
      <c r="B1910" s="55">
        <v>43523</v>
      </c>
      <c r="C1910" s="54">
        <v>1450.15</v>
      </c>
      <c r="D1910" s="56">
        <f t="shared" si="60"/>
        <v>0.92890396382016527</v>
      </c>
      <c r="E1910" s="64">
        <v>-1.3067002416034201E-2</v>
      </c>
      <c r="F1910" s="64">
        <v>1907</v>
      </c>
      <c r="G1910" s="64">
        <f t="shared" ca="1" si="61"/>
        <v>-2.2526426692856066E-2</v>
      </c>
    </row>
    <row r="1911" spans="2:7" x14ac:dyDescent="0.3">
      <c r="B1911" s="55">
        <v>42867</v>
      </c>
      <c r="C1911" s="54">
        <v>751.8</v>
      </c>
      <c r="D1911" s="56">
        <f t="shared" si="60"/>
        <v>-0.78720332866301534</v>
      </c>
      <c r="E1911" s="64">
        <v>-1.3126804935678638E-2</v>
      </c>
      <c r="F1911" s="64">
        <v>1908</v>
      </c>
      <c r="G1911" s="64">
        <f t="shared" ca="1" si="61"/>
        <v>-4.8900717027307705E-3</v>
      </c>
    </row>
    <row r="1912" spans="2:7" x14ac:dyDescent="0.3">
      <c r="B1912" s="55">
        <v>45684</v>
      </c>
      <c r="C1912" s="54">
        <v>3532.95</v>
      </c>
      <c r="D1912" s="56">
        <f t="shared" si="60"/>
        <v>-0.18439642634531483</v>
      </c>
      <c r="E1912" s="64">
        <v>-1.3128674981494171E-2</v>
      </c>
      <c r="F1912" s="64">
        <v>1909</v>
      </c>
      <c r="G1912" s="64">
        <f t="shared" ca="1" si="61"/>
        <v>-1.0961013579648043E-2</v>
      </c>
    </row>
    <row r="1913" spans="2:7" x14ac:dyDescent="0.3">
      <c r="B1913" s="55">
        <v>46154</v>
      </c>
      <c r="C1913" s="54">
        <v>4331.7</v>
      </c>
      <c r="D1913" s="56">
        <f t="shared" si="60"/>
        <v>0.10793667033276222</v>
      </c>
      <c r="E1913" s="64">
        <v>-1.3145304597439234E-2</v>
      </c>
      <c r="F1913" s="64">
        <v>1910</v>
      </c>
      <c r="G1913" s="64">
        <f t="shared" ca="1" si="61"/>
        <v>-3.7818290520053068E-3</v>
      </c>
    </row>
    <row r="1914" spans="2:7" x14ac:dyDescent="0.3">
      <c r="B1914" s="55">
        <v>45994</v>
      </c>
      <c r="C1914" s="54">
        <v>3909.7</v>
      </c>
      <c r="D1914" s="56">
        <f t="shared" si="60"/>
        <v>0.1363920417387261</v>
      </c>
      <c r="E1914" s="64">
        <v>-1.3150588116512818E-2</v>
      </c>
      <c r="F1914" s="64">
        <v>1911</v>
      </c>
      <c r="G1914" s="64">
        <f t="shared" ca="1" si="61"/>
        <v>-1.8905736009883056E-3</v>
      </c>
    </row>
    <row r="1915" spans="2:7" x14ac:dyDescent="0.3">
      <c r="B1915" s="55">
        <v>44735</v>
      </c>
      <c r="C1915" s="54">
        <v>3440.45</v>
      </c>
      <c r="D1915" s="56">
        <f t="shared" si="60"/>
        <v>0.57963728191000907</v>
      </c>
      <c r="E1915" s="64">
        <v>-1.3165631677829248E-2</v>
      </c>
      <c r="F1915" s="64">
        <v>1912</v>
      </c>
      <c r="G1915" s="64">
        <f t="shared" ca="1" si="61"/>
        <v>-2.6215041392663807E-3</v>
      </c>
    </row>
    <row r="1916" spans="2:7" x14ac:dyDescent="0.3">
      <c r="B1916" s="55">
        <v>44057</v>
      </c>
      <c r="C1916" s="54">
        <v>2178</v>
      </c>
      <c r="D1916" s="56">
        <f t="shared" si="60"/>
        <v>0.50440338456225176</v>
      </c>
      <c r="E1916" s="64">
        <v>-1.3184722033437457E-2</v>
      </c>
      <c r="F1916" s="64">
        <v>1913</v>
      </c>
      <c r="G1916" s="64">
        <f t="shared" ca="1" si="61"/>
        <v>1.7614392037753418E-2</v>
      </c>
    </row>
    <row r="1917" spans="2:7" x14ac:dyDescent="0.3">
      <c r="B1917" s="55">
        <v>43229</v>
      </c>
      <c r="C1917" s="54">
        <v>1447.75</v>
      </c>
      <c r="D1917" s="56">
        <f t="shared" si="60"/>
        <v>-0.63308158248219581</v>
      </c>
      <c r="E1917" s="64">
        <v>-1.3222915175680749E-2</v>
      </c>
      <c r="F1917" s="64">
        <v>1914</v>
      </c>
      <c r="G1917" s="64">
        <f t="shared" ca="1" si="61"/>
        <v>6.7037734590795059E-3</v>
      </c>
    </row>
    <row r="1918" spans="2:7" x14ac:dyDescent="0.3">
      <c r="B1918" s="55">
        <v>45742</v>
      </c>
      <c r="C1918" s="54">
        <v>3945.7</v>
      </c>
      <c r="D1918" s="56">
        <f t="shared" si="60"/>
        <v>2.2162536680795566</v>
      </c>
      <c r="E1918" s="64">
        <v>-1.3278983695108604E-2</v>
      </c>
      <c r="F1918" s="64">
        <v>1915</v>
      </c>
      <c r="G1918" s="64">
        <f t="shared" ca="1" si="61"/>
        <v>3.8088355630232815E-2</v>
      </c>
    </row>
    <row r="1919" spans="2:7" x14ac:dyDescent="0.3">
      <c r="B1919" s="55">
        <v>43108</v>
      </c>
      <c r="C1919" s="54">
        <v>1226.8</v>
      </c>
      <c r="D1919" s="56">
        <f t="shared" si="60"/>
        <v>-0.65442740243095177</v>
      </c>
      <c r="E1919" s="64">
        <v>-1.335049059031701E-2</v>
      </c>
      <c r="F1919" s="64">
        <v>1916</v>
      </c>
      <c r="G1919" s="64">
        <f t="shared" ca="1" si="61"/>
        <v>-1.2096617292243617E-2</v>
      </c>
    </row>
    <row r="1920" spans="2:7" x14ac:dyDescent="0.3">
      <c r="B1920" s="55">
        <v>45149</v>
      </c>
      <c r="C1920" s="54">
        <v>3550.05</v>
      </c>
      <c r="D1920" s="56">
        <f t="shared" si="60"/>
        <v>-1.7926055023029908E-2</v>
      </c>
      <c r="E1920" s="64">
        <v>-1.3381690845422622E-2</v>
      </c>
      <c r="F1920" s="64">
        <v>1917</v>
      </c>
      <c r="G1920" s="64">
        <f t="shared" ca="1" si="61"/>
        <v>4.2494664005155065E-3</v>
      </c>
    </row>
    <row r="1921" spans="2:7" x14ac:dyDescent="0.3">
      <c r="B1921" s="55">
        <v>44700</v>
      </c>
      <c r="C1921" s="54">
        <v>3614.85</v>
      </c>
      <c r="D1921" s="56">
        <f t="shared" si="60"/>
        <v>-4.6163385930656053E-2</v>
      </c>
      <c r="E1921" s="64">
        <v>-1.3427764359110861E-2</v>
      </c>
      <c r="F1921" s="64">
        <v>1918</v>
      </c>
      <c r="G1921" s="64">
        <f t="shared" ca="1" si="61"/>
        <v>1.3443374829215527E-3</v>
      </c>
    </row>
    <row r="1922" spans="2:7" x14ac:dyDescent="0.3">
      <c r="B1922" s="55">
        <v>46030</v>
      </c>
      <c r="C1922" s="54">
        <v>3789.8</v>
      </c>
      <c r="D1922" s="56">
        <f t="shared" si="60"/>
        <v>-0.20205497478655421</v>
      </c>
      <c r="E1922" s="64">
        <v>-1.3483965014577159E-2</v>
      </c>
      <c r="F1922" s="64">
        <v>1919</v>
      </c>
      <c r="G1922" s="64">
        <f t="shared" ca="1" si="61"/>
        <v>2.8404313723789258E-2</v>
      </c>
    </row>
    <row r="1923" spans="2:7" x14ac:dyDescent="0.3">
      <c r="B1923" s="55">
        <v>44545</v>
      </c>
      <c r="C1923" s="54">
        <v>4749.45</v>
      </c>
      <c r="D1923" s="56">
        <f t="shared" si="60"/>
        <v>1.0079693907749543</v>
      </c>
      <c r="E1923" s="64">
        <v>-1.3490777666999021E-2</v>
      </c>
      <c r="F1923" s="64">
        <v>1920</v>
      </c>
      <c r="G1923" s="64">
        <f t="shared" ca="1" si="61"/>
        <v>2.0106142162768688E-2</v>
      </c>
    </row>
    <row r="1924" spans="2:7" x14ac:dyDescent="0.3">
      <c r="B1924" s="55">
        <v>43997</v>
      </c>
      <c r="C1924" s="54">
        <v>2365.3000000000002</v>
      </c>
      <c r="D1924" s="56">
        <f t="shared" ref="D1924:D1987" si="62">C1924/C1925-1</f>
        <v>-0.39494014120536158</v>
      </c>
      <c r="E1924" s="64">
        <v>-1.3554091250312816E-2</v>
      </c>
      <c r="F1924" s="64">
        <v>1921</v>
      </c>
      <c r="G1924" s="64">
        <f t="shared" ca="1" si="61"/>
        <v>1.9516663445708782E-3</v>
      </c>
    </row>
    <row r="1925" spans="2:7" x14ac:dyDescent="0.3">
      <c r="B1925" s="55">
        <v>46066</v>
      </c>
      <c r="C1925" s="54">
        <v>3909.2</v>
      </c>
      <c r="D1925" s="56">
        <f t="shared" si="62"/>
        <v>6.1994023363216577E-2</v>
      </c>
      <c r="E1925" s="64">
        <v>-1.3575574060055606E-2</v>
      </c>
      <c r="F1925" s="64">
        <v>1922</v>
      </c>
      <c r="G1925" s="64">
        <f t="shared" ref="G1925:G1988" ca="1" si="63">_xlfn.NORM.INV(RAND(),K$6,K$7)</f>
        <v>1.5040379300611405E-2</v>
      </c>
    </row>
    <row r="1926" spans="2:7" x14ac:dyDescent="0.3">
      <c r="B1926" s="55">
        <v>45311</v>
      </c>
      <c r="C1926" s="54">
        <v>3681</v>
      </c>
      <c r="D1926" s="56">
        <f t="shared" si="62"/>
        <v>-0.16186616270862264</v>
      </c>
      <c r="E1926" s="64">
        <v>-1.3586301149610014E-2</v>
      </c>
      <c r="F1926" s="64">
        <v>1923</v>
      </c>
      <c r="G1926" s="64">
        <f t="shared" ca="1" si="63"/>
        <v>2.6339114979503482E-2</v>
      </c>
    </row>
    <row r="1927" spans="2:7" x14ac:dyDescent="0.3">
      <c r="B1927" s="55">
        <v>45840</v>
      </c>
      <c r="C1927" s="54">
        <v>4391.8999999999996</v>
      </c>
      <c r="D1927" s="56">
        <f t="shared" si="62"/>
        <v>0.86945047460945779</v>
      </c>
      <c r="E1927" s="64">
        <v>-1.3588177162878412E-2</v>
      </c>
      <c r="F1927" s="64">
        <v>1924</v>
      </c>
      <c r="G1927" s="64">
        <f t="shared" ca="1" si="63"/>
        <v>-3.2711023942329699E-2</v>
      </c>
    </row>
    <row r="1928" spans="2:7" x14ac:dyDescent="0.3">
      <c r="B1928" s="55">
        <v>43985</v>
      </c>
      <c r="C1928" s="54">
        <v>2349.3000000000002</v>
      </c>
      <c r="D1928" s="56">
        <f t="shared" si="62"/>
        <v>-0.32932712895029825</v>
      </c>
      <c r="E1928" s="64">
        <v>-1.3603728429273043E-2</v>
      </c>
      <c r="F1928" s="64">
        <v>1925</v>
      </c>
      <c r="G1928" s="64">
        <f t="shared" ca="1" si="63"/>
        <v>5.7936345206927612E-3</v>
      </c>
    </row>
    <row r="1929" spans="2:7" x14ac:dyDescent="0.3">
      <c r="B1929" s="55">
        <v>44959</v>
      </c>
      <c r="C1929" s="54">
        <v>3502.9</v>
      </c>
      <c r="D1929" s="56">
        <f t="shared" si="62"/>
        <v>1.7503925879396989</v>
      </c>
      <c r="E1929" s="64">
        <v>-1.3642699255212776E-2</v>
      </c>
      <c r="F1929" s="64">
        <v>1926</v>
      </c>
      <c r="G1929" s="64">
        <f t="shared" ca="1" si="63"/>
        <v>1.0151160281722338E-2</v>
      </c>
    </row>
    <row r="1930" spans="2:7" x14ac:dyDescent="0.3">
      <c r="B1930" s="55">
        <v>43403</v>
      </c>
      <c r="C1930" s="54">
        <v>1273.5999999999999</v>
      </c>
      <c r="D1930" s="56">
        <f t="shared" si="62"/>
        <v>-0.67886230111702273</v>
      </c>
      <c r="E1930" s="64">
        <v>-1.3668925459825787E-2</v>
      </c>
      <c r="F1930" s="64">
        <v>1927</v>
      </c>
      <c r="G1930" s="64">
        <f t="shared" ca="1" si="63"/>
        <v>2.4153810907441061E-3</v>
      </c>
    </row>
    <row r="1931" spans="2:7" x14ac:dyDescent="0.3">
      <c r="B1931" s="55">
        <v>45280</v>
      </c>
      <c r="C1931" s="54">
        <v>3965.9</v>
      </c>
      <c r="D1931" s="56">
        <f t="shared" si="62"/>
        <v>0.16998554444346126</v>
      </c>
      <c r="E1931" s="64">
        <v>-1.3788901736978776E-2</v>
      </c>
      <c r="F1931" s="64">
        <v>1928</v>
      </c>
      <c r="G1931" s="64">
        <f t="shared" ca="1" si="63"/>
        <v>-1.7091456385402257E-2</v>
      </c>
    </row>
    <row r="1932" spans="2:7" x14ac:dyDescent="0.3">
      <c r="B1932" s="55">
        <v>44993</v>
      </c>
      <c r="C1932" s="54">
        <v>3389.7</v>
      </c>
      <c r="D1932" s="56">
        <f t="shared" si="62"/>
        <v>-0.12313423183382055</v>
      </c>
      <c r="E1932" s="64">
        <v>-1.3805041967909548E-2</v>
      </c>
      <c r="F1932" s="64">
        <v>1929</v>
      </c>
      <c r="G1932" s="64">
        <f t="shared" ca="1" si="63"/>
        <v>-3.6715326853588139E-3</v>
      </c>
    </row>
    <row r="1933" spans="2:7" x14ac:dyDescent="0.3">
      <c r="B1933" s="55">
        <v>45693</v>
      </c>
      <c r="C1933" s="54">
        <v>3865.7</v>
      </c>
      <c r="D1933" s="56">
        <f t="shared" si="62"/>
        <v>-0.1360502408117199</v>
      </c>
      <c r="E1933" s="64">
        <v>-1.3814304118780041E-2</v>
      </c>
      <c r="F1933" s="64">
        <v>1930</v>
      </c>
      <c r="G1933" s="64">
        <f t="shared" ca="1" si="63"/>
        <v>-2.1070920714404966E-2</v>
      </c>
    </row>
    <row r="1934" spans="2:7" x14ac:dyDescent="0.3">
      <c r="B1934" s="55">
        <v>45440</v>
      </c>
      <c r="C1934" s="54">
        <v>4474.45</v>
      </c>
      <c r="D1934" s="56">
        <f t="shared" si="62"/>
        <v>0.56536873775538754</v>
      </c>
      <c r="E1934" s="64">
        <v>-1.3862717224811916E-2</v>
      </c>
      <c r="F1934" s="64">
        <v>1931</v>
      </c>
      <c r="G1934" s="64">
        <f t="shared" ca="1" si="63"/>
        <v>2.3195458960898932E-2</v>
      </c>
    </row>
    <row r="1935" spans="2:7" x14ac:dyDescent="0.3">
      <c r="B1935" s="55">
        <v>44320</v>
      </c>
      <c r="C1935" s="54">
        <v>2858.4</v>
      </c>
      <c r="D1935" s="56">
        <f t="shared" si="62"/>
        <v>-0.27559334490667409</v>
      </c>
      <c r="E1935" s="64">
        <v>-1.3885774412226382E-2</v>
      </c>
      <c r="F1935" s="64">
        <v>1932</v>
      </c>
      <c r="G1935" s="64">
        <f t="shared" ca="1" si="63"/>
        <v>1.9449008956360918E-2</v>
      </c>
    </row>
    <row r="1936" spans="2:7" x14ac:dyDescent="0.3">
      <c r="B1936" s="55">
        <v>45600</v>
      </c>
      <c r="C1936" s="54">
        <v>3945.85</v>
      </c>
      <c r="D1936" s="56">
        <f t="shared" si="62"/>
        <v>-1.0321043391020801E-2</v>
      </c>
      <c r="E1936" s="64">
        <v>-1.393192722910841E-2</v>
      </c>
      <c r="F1936" s="64">
        <v>1933</v>
      </c>
      <c r="G1936" s="64">
        <f t="shared" ca="1" si="63"/>
        <v>2.8600572083084502E-2</v>
      </c>
    </row>
    <row r="1937" spans="2:7" x14ac:dyDescent="0.3">
      <c r="B1937" s="55">
        <v>46184</v>
      </c>
      <c r="C1937" s="54">
        <v>3987</v>
      </c>
      <c r="D1937" s="56">
        <f t="shared" si="62"/>
        <v>-7.653537427664725E-3</v>
      </c>
      <c r="E1937" s="64">
        <v>-1.3948657070782078E-2</v>
      </c>
      <c r="F1937" s="64">
        <v>1934</v>
      </c>
      <c r="G1937" s="64">
        <f t="shared" ca="1" si="63"/>
        <v>4.4441902092447194E-2</v>
      </c>
    </row>
    <row r="1938" spans="2:7" x14ac:dyDescent="0.3">
      <c r="B1938" s="55">
        <v>44923</v>
      </c>
      <c r="C1938" s="54">
        <v>4017.75</v>
      </c>
      <c r="D1938" s="56">
        <f t="shared" si="62"/>
        <v>3.479596387557141</v>
      </c>
      <c r="E1938" s="64">
        <v>-1.3952289795317263E-2</v>
      </c>
      <c r="F1938" s="64">
        <v>1935</v>
      </c>
      <c r="G1938" s="64">
        <f t="shared" ca="1" si="63"/>
        <v>-1.4769508272528797E-2</v>
      </c>
    </row>
    <row r="1939" spans="2:7" x14ac:dyDescent="0.3">
      <c r="B1939" s="55">
        <v>42943</v>
      </c>
      <c r="C1939" s="54">
        <v>896.9</v>
      </c>
      <c r="D1939" s="56">
        <f t="shared" si="62"/>
        <v>-0.78027389206007003</v>
      </c>
      <c r="E1939" s="64">
        <v>-1.396218117854009E-2</v>
      </c>
      <c r="F1939" s="64">
        <v>1936</v>
      </c>
      <c r="G1939" s="64">
        <f t="shared" ca="1" si="63"/>
        <v>1.3232372703464727E-3</v>
      </c>
    </row>
    <row r="1940" spans="2:7" x14ac:dyDescent="0.3">
      <c r="B1940" s="55">
        <v>44596</v>
      </c>
      <c r="C1940" s="54">
        <v>4081.9</v>
      </c>
      <c r="D1940" s="56">
        <f t="shared" si="62"/>
        <v>1.0756127326350047</v>
      </c>
      <c r="E1940" s="64">
        <v>-1.4033816425120804E-2</v>
      </c>
      <c r="F1940" s="64">
        <v>1937</v>
      </c>
      <c r="G1940" s="64">
        <f t="shared" ca="1" si="63"/>
        <v>2.5089244495980205E-2</v>
      </c>
    </row>
    <row r="1941" spans="2:7" x14ac:dyDescent="0.3">
      <c r="B1941" s="55">
        <v>43770</v>
      </c>
      <c r="C1941" s="54">
        <v>1966.6</v>
      </c>
      <c r="D1941" s="56">
        <f t="shared" si="62"/>
        <v>-0.47914294038191596</v>
      </c>
      <c r="E1941" s="64">
        <v>-1.4062617501817476E-2</v>
      </c>
      <c r="F1941" s="64">
        <v>1938</v>
      </c>
      <c r="G1941" s="64">
        <f t="shared" ca="1" si="63"/>
        <v>-1.0090076086288261E-2</v>
      </c>
    </row>
    <row r="1942" spans="2:7" x14ac:dyDescent="0.3">
      <c r="B1942" s="55">
        <v>46038</v>
      </c>
      <c r="C1942" s="54">
        <v>3775.7</v>
      </c>
      <c r="D1942" s="56">
        <f t="shared" si="62"/>
        <v>1.8594039910636524</v>
      </c>
      <c r="E1942" s="64">
        <v>-1.4254758112941635E-2</v>
      </c>
      <c r="F1942" s="64">
        <v>1939</v>
      </c>
      <c r="G1942" s="64">
        <f t="shared" ca="1" si="63"/>
        <v>-7.8222674302438171E-3</v>
      </c>
    </row>
    <row r="1943" spans="2:7" x14ac:dyDescent="0.3">
      <c r="B1943" s="55">
        <v>43181</v>
      </c>
      <c r="C1943" s="54">
        <v>1320.45</v>
      </c>
      <c r="D1943" s="56">
        <f t="shared" si="62"/>
        <v>-0.73647394575608205</v>
      </c>
      <c r="E1943" s="64">
        <v>-1.4295312033442698E-2</v>
      </c>
      <c r="F1943" s="64">
        <v>1940</v>
      </c>
      <c r="G1943" s="64">
        <f t="shared" ca="1" si="63"/>
        <v>3.1636929425166355E-2</v>
      </c>
    </row>
    <row r="1944" spans="2:7" x14ac:dyDescent="0.3">
      <c r="B1944" s="55">
        <v>45492</v>
      </c>
      <c r="C1944" s="54">
        <v>5010.7</v>
      </c>
      <c r="D1944" s="56">
        <f t="shared" si="62"/>
        <v>0.24799501867995022</v>
      </c>
      <c r="E1944" s="64">
        <v>-1.4311146957282972E-2</v>
      </c>
      <c r="F1944" s="64">
        <v>1941</v>
      </c>
      <c r="G1944" s="64">
        <f t="shared" ca="1" si="63"/>
        <v>4.4932186116170385E-3</v>
      </c>
    </row>
    <row r="1945" spans="2:7" x14ac:dyDescent="0.3">
      <c r="B1945" s="55">
        <v>44600</v>
      </c>
      <c r="C1945" s="54">
        <v>4015</v>
      </c>
      <c r="D1945" s="56">
        <f t="shared" si="62"/>
        <v>0.14265385983635714</v>
      </c>
      <c r="E1945" s="64">
        <v>-1.4373212554160464E-2</v>
      </c>
      <c r="F1945" s="64">
        <v>1942</v>
      </c>
      <c r="G1945" s="64">
        <f t="shared" ca="1" si="63"/>
        <v>-1.7191972203034311E-2</v>
      </c>
    </row>
    <row r="1946" spans="2:7" x14ac:dyDescent="0.3">
      <c r="B1946" s="55">
        <v>44946</v>
      </c>
      <c r="C1946" s="54">
        <v>3513.75</v>
      </c>
      <c r="D1946" s="56">
        <f t="shared" si="62"/>
        <v>-5.787483912483915E-2</v>
      </c>
      <c r="E1946" s="64">
        <v>-1.4403523042831878E-2</v>
      </c>
      <c r="F1946" s="64">
        <v>1943</v>
      </c>
      <c r="G1946" s="64">
        <f t="shared" ca="1" si="63"/>
        <v>2.3970744996080852E-2</v>
      </c>
    </row>
    <row r="1947" spans="2:7" x14ac:dyDescent="0.3">
      <c r="B1947" s="55">
        <v>45327</v>
      </c>
      <c r="C1947" s="54">
        <v>3729.6</v>
      </c>
      <c r="D1947" s="56">
        <f t="shared" si="62"/>
        <v>3.1940961484396961</v>
      </c>
      <c r="E1947" s="64">
        <v>-1.4454456570567986E-2</v>
      </c>
      <c r="F1947" s="64">
        <v>1944</v>
      </c>
      <c r="G1947" s="64">
        <f t="shared" ca="1" si="63"/>
        <v>-1.9391712074970244E-2</v>
      </c>
    </row>
    <row r="1948" spans="2:7" x14ac:dyDescent="0.3">
      <c r="B1948" s="55">
        <v>42956</v>
      </c>
      <c r="C1948" s="54">
        <v>889.25</v>
      </c>
      <c r="D1948" s="56">
        <f t="shared" si="62"/>
        <v>-0.16818670782470413</v>
      </c>
      <c r="E1948" s="64">
        <v>-1.4463038900587311E-2</v>
      </c>
      <c r="F1948" s="64">
        <v>1945</v>
      </c>
      <c r="G1948" s="64">
        <f t="shared" ca="1" si="63"/>
        <v>1.9156185557533539E-2</v>
      </c>
    </row>
    <row r="1949" spans="2:7" x14ac:dyDescent="0.3">
      <c r="B1949" s="55">
        <v>42999</v>
      </c>
      <c r="C1949" s="54">
        <v>1069.05</v>
      </c>
      <c r="D1949" s="56">
        <f t="shared" si="62"/>
        <v>-9.7048017230457417E-2</v>
      </c>
      <c r="E1949" s="64">
        <v>-1.4473380963355709E-2</v>
      </c>
      <c r="F1949" s="64">
        <v>1946</v>
      </c>
      <c r="G1949" s="64">
        <f t="shared" ca="1" si="63"/>
        <v>3.8939819277332794E-3</v>
      </c>
    </row>
    <row r="1950" spans="2:7" x14ac:dyDescent="0.3">
      <c r="B1950" s="55">
        <v>43146</v>
      </c>
      <c r="C1950" s="54">
        <v>1183.95</v>
      </c>
      <c r="D1950" s="56">
        <f t="shared" si="62"/>
        <v>-0.71604849444184626</v>
      </c>
      <c r="E1950" s="64">
        <v>-1.4524721158648335E-2</v>
      </c>
      <c r="F1950" s="64">
        <v>1947</v>
      </c>
      <c r="G1950" s="64">
        <f t="shared" ca="1" si="63"/>
        <v>6.5746901539757265E-3</v>
      </c>
    </row>
    <row r="1951" spans="2:7" x14ac:dyDescent="0.3">
      <c r="B1951" s="55">
        <v>44636</v>
      </c>
      <c r="C1951" s="54">
        <v>4169.55</v>
      </c>
      <c r="D1951" s="56">
        <f t="shared" si="62"/>
        <v>1.290458141067897</v>
      </c>
      <c r="E1951" s="64">
        <v>-1.4535399014429018E-2</v>
      </c>
      <c r="F1951" s="64">
        <v>1948</v>
      </c>
      <c r="G1951" s="64">
        <f t="shared" ca="1" si="63"/>
        <v>3.15826446763042E-2</v>
      </c>
    </row>
    <row r="1952" spans="2:7" x14ac:dyDescent="0.3">
      <c r="B1952" s="55">
        <v>43747</v>
      </c>
      <c r="C1952" s="54">
        <v>1820.4</v>
      </c>
      <c r="D1952" s="56">
        <f t="shared" si="62"/>
        <v>-0.58314632470803751</v>
      </c>
      <c r="E1952" s="64">
        <v>-1.4561792886915947E-2</v>
      </c>
      <c r="F1952" s="64">
        <v>1949</v>
      </c>
      <c r="G1952" s="64">
        <f t="shared" ca="1" si="63"/>
        <v>5.0469634494405384E-3</v>
      </c>
    </row>
    <row r="1953" spans="2:7" x14ac:dyDescent="0.3">
      <c r="B1953" s="55">
        <v>44827</v>
      </c>
      <c r="C1953" s="54">
        <v>4367</v>
      </c>
      <c r="D1953" s="56">
        <f t="shared" si="62"/>
        <v>0.31917593040115988</v>
      </c>
      <c r="E1953" s="64">
        <v>-1.4599363675338983E-2</v>
      </c>
      <c r="F1953" s="64">
        <v>1950</v>
      </c>
      <c r="G1953" s="64">
        <f t="shared" ca="1" si="63"/>
        <v>2.9578194120317362E-2</v>
      </c>
    </row>
    <row r="1954" spans="2:7" x14ac:dyDescent="0.3">
      <c r="B1954" s="55">
        <v>44363</v>
      </c>
      <c r="C1954" s="54">
        <v>3310.4</v>
      </c>
      <c r="D1954" s="56">
        <f t="shared" si="62"/>
        <v>-0.31908591644897866</v>
      </c>
      <c r="E1954" s="64">
        <v>-1.4615270129483493E-2</v>
      </c>
      <c r="F1954" s="64">
        <v>1951</v>
      </c>
      <c r="G1954" s="64">
        <f t="shared" ca="1" si="63"/>
        <v>2.1736043721115268E-2</v>
      </c>
    </row>
    <row r="1955" spans="2:7" x14ac:dyDescent="0.3">
      <c r="B1955" s="55">
        <v>45463</v>
      </c>
      <c r="C1955" s="54">
        <v>4861.7</v>
      </c>
      <c r="D1955" s="56">
        <f t="shared" si="62"/>
        <v>9.9795274343690288E-2</v>
      </c>
      <c r="E1955" s="64">
        <v>-1.4633454265388424E-2</v>
      </c>
      <c r="F1955" s="64">
        <v>1952</v>
      </c>
      <c r="G1955" s="64">
        <f t="shared" ca="1" si="63"/>
        <v>2.7487495022023523E-2</v>
      </c>
    </row>
    <row r="1956" spans="2:7" x14ac:dyDescent="0.3">
      <c r="B1956" s="55">
        <v>45378</v>
      </c>
      <c r="C1956" s="54">
        <v>4420.55</v>
      </c>
      <c r="D1956" s="56">
        <f t="shared" si="62"/>
        <v>2.0174402730375429</v>
      </c>
      <c r="E1956" s="64">
        <v>-1.4633765770585283E-2</v>
      </c>
      <c r="F1956" s="64">
        <v>1953</v>
      </c>
      <c r="G1956" s="64">
        <f t="shared" ca="1" si="63"/>
        <v>-9.2966147242303163E-3</v>
      </c>
    </row>
    <row r="1957" spans="2:7" x14ac:dyDescent="0.3">
      <c r="B1957" s="55">
        <v>43227</v>
      </c>
      <c r="C1957" s="54">
        <v>1465</v>
      </c>
      <c r="D1957" s="56">
        <f t="shared" si="62"/>
        <v>-0.66809021602455909</v>
      </c>
      <c r="E1957" s="64">
        <v>-1.466236211998917E-2</v>
      </c>
      <c r="F1957" s="64">
        <v>1954</v>
      </c>
      <c r="G1957" s="64">
        <f t="shared" ca="1" si="63"/>
        <v>1.2172896667616945E-2</v>
      </c>
    </row>
    <row r="1958" spans="2:7" x14ac:dyDescent="0.3">
      <c r="B1958" s="55">
        <v>44840</v>
      </c>
      <c r="C1958" s="54">
        <v>4413.8500000000004</v>
      </c>
      <c r="D1958" s="56">
        <f t="shared" si="62"/>
        <v>1.8184604578397883</v>
      </c>
      <c r="E1958" s="64">
        <v>-1.4666651784219331E-2</v>
      </c>
      <c r="F1958" s="64">
        <v>1955</v>
      </c>
      <c r="G1958" s="64">
        <f t="shared" ca="1" si="63"/>
        <v>2.0848458003232199E-2</v>
      </c>
    </row>
    <row r="1959" spans="2:7" x14ac:dyDescent="0.3">
      <c r="B1959" s="55">
        <v>43325</v>
      </c>
      <c r="C1959" s="54">
        <v>1566.05</v>
      </c>
      <c r="D1959" s="56">
        <f t="shared" si="62"/>
        <v>-1.4691078394362789E-2</v>
      </c>
      <c r="E1959" s="64">
        <v>-1.4691078394362789E-2</v>
      </c>
      <c r="F1959" s="64">
        <v>1956</v>
      </c>
      <c r="G1959" s="64">
        <f t="shared" ca="1" si="63"/>
        <v>9.8201073410914465E-3</v>
      </c>
    </row>
    <row r="1960" spans="2:7" x14ac:dyDescent="0.3">
      <c r="B1960" s="55">
        <v>43322</v>
      </c>
      <c r="C1960" s="54">
        <v>1589.4</v>
      </c>
      <c r="D1960" s="56">
        <f t="shared" si="62"/>
        <v>-0.44279479044330305</v>
      </c>
      <c r="E1960" s="64">
        <v>-1.4753285395487148E-2</v>
      </c>
      <c r="F1960" s="64">
        <v>1957</v>
      </c>
      <c r="G1960" s="64">
        <f t="shared" ca="1" si="63"/>
        <v>8.8407450392178032E-3</v>
      </c>
    </row>
    <row r="1961" spans="2:7" x14ac:dyDescent="0.3">
      <c r="B1961" s="55">
        <v>44326</v>
      </c>
      <c r="C1961" s="54">
        <v>2852.45</v>
      </c>
      <c r="D1961" s="56">
        <f t="shared" si="62"/>
        <v>-0.2258559157586203</v>
      </c>
      <c r="E1961" s="64">
        <v>-1.4867898463132523E-2</v>
      </c>
      <c r="F1961" s="64">
        <v>1958</v>
      </c>
      <c r="G1961" s="64">
        <f t="shared" ca="1" si="63"/>
        <v>-1.5382351328239995E-2</v>
      </c>
    </row>
    <row r="1962" spans="2:7" x14ac:dyDescent="0.3">
      <c r="B1962" s="55">
        <v>45225</v>
      </c>
      <c r="C1962" s="54">
        <v>3684.65</v>
      </c>
      <c r="D1962" s="56">
        <f t="shared" si="62"/>
        <v>-0.13326825366955208</v>
      </c>
      <c r="E1962" s="64">
        <v>-1.4944326369116911E-2</v>
      </c>
      <c r="F1962" s="64">
        <v>1959</v>
      </c>
      <c r="G1962" s="64">
        <f t="shared" ca="1" si="63"/>
        <v>-2.7391012250072441E-2</v>
      </c>
    </row>
    <row r="1963" spans="2:7" x14ac:dyDescent="0.3">
      <c r="B1963" s="55">
        <v>44468</v>
      </c>
      <c r="C1963" s="54">
        <v>4251.2</v>
      </c>
      <c r="D1963" s="56">
        <f t="shared" si="62"/>
        <v>-7.1019623268213761E-2</v>
      </c>
      <c r="E1963" s="64">
        <v>-1.4956844117476775E-2</v>
      </c>
      <c r="F1963" s="64">
        <v>1960</v>
      </c>
      <c r="G1963" s="64">
        <f t="shared" ca="1" si="63"/>
        <v>4.0123745249494892E-2</v>
      </c>
    </row>
    <row r="1964" spans="2:7" x14ac:dyDescent="0.3">
      <c r="B1964" s="55">
        <v>45925</v>
      </c>
      <c r="C1964" s="54">
        <v>4576.2</v>
      </c>
      <c r="D1964" s="56">
        <f t="shared" si="62"/>
        <v>3.0377641505271979</v>
      </c>
      <c r="E1964" s="64">
        <v>-1.4981273408239737E-2</v>
      </c>
      <c r="F1964" s="64">
        <v>1961</v>
      </c>
      <c r="G1964" s="64">
        <f t="shared" ca="1" si="63"/>
        <v>-1.0700620243445046E-2</v>
      </c>
    </row>
    <row r="1965" spans="2:7" x14ac:dyDescent="0.3">
      <c r="B1965" s="55">
        <v>43074</v>
      </c>
      <c r="C1965" s="54">
        <v>1133.3499999999999</v>
      </c>
      <c r="D1965" s="56">
        <f t="shared" si="62"/>
        <v>-0.69803503630187169</v>
      </c>
      <c r="E1965" s="64">
        <v>-1.5077778743373682E-2</v>
      </c>
      <c r="F1965" s="64">
        <v>1962</v>
      </c>
      <c r="G1965" s="64">
        <f t="shared" ca="1" si="63"/>
        <v>-1.0570104309863796E-2</v>
      </c>
    </row>
    <row r="1966" spans="2:7" x14ac:dyDescent="0.3">
      <c r="B1966" s="55">
        <v>45181</v>
      </c>
      <c r="C1966" s="54">
        <v>3753.25</v>
      </c>
      <c r="D1966" s="56">
        <f t="shared" si="62"/>
        <v>-1.3743085756329654E-2</v>
      </c>
      <c r="E1966" s="64">
        <v>-1.5088893262481085E-2</v>
      </c>
      <c r="F1966" s="64">
        <v>1963</v>
      </c>
      <c r="G1966" s="64">
        <f t="shared" ca="1" si="63"/>
        <v>-1.5975349424130217E-2</v>
      </c>
    </row>
    <row r="1967" spans="2:7" x14ac:dyDescent="0.3">
      <c r="B1967" s="55">
        <v>45632</v>
      </c>
      <c r="C1967" s="54">
        <v>3805.55</v>
      </c>
      <c r="D1967" s="56">
        <f t="shared" si="62"/>
        <v>-0.15126678263972526</v>
      </c>
      <c r="E1967" s="64">
        <v>-1.5114067211014492E-2</v>
      </c>
      <c r="F1967" s="64">
        <v>1964</v>
      </c>
      <c r="G1967" s="64">
        <f t="shared" ca="1" si="63"/>
        <v>-4.7085036250246001E-2</v>
      </c>
    </row>
    <row r="1968" spans="2:7" x14ac:dyDescent="0.3">
      <c r="B1968" s="55">
        <v>45411</v>
      </c>
      <c r="C1968" s="54">
        <v>4483.8</v>
      </c>
      <c r="D1968" s="56">
        <f t="shared" si="62"/>
        <v>1.0327779666780006</v>
      </c>
      <c r="E1968" s="64">
        <v>-1.523121355545054E-2</v>
      </c>
      <c r="F1968" s="64">
        <v>1965</v>
      </c>
      <c r="G1968" s="64">
        <f t="shared" ca="1" si="63"/>
        <v>3.7202236036410513E-2</v>
      </c>
    </row>
    <row r="1969" spans="2:7" x14ac:dyDescent="0.3">
      <c r="B1969" s="55">
        <v>44137</v>
      </c>
      <c r="C1969" s="54">
        <v>2205.75</v>
      </c>
      <c r="D1969" s="56">
        <f t="shared" si="62"/>
        <v>-0.51678624240100768</v>
      </c>
      <c r="E1969" s="64">
        <v>-1.5246216348944186E-2</v>
      </c>
      <c r="F1969" s="64">
        <v>1966</v>
      </c>
      <c r="G1969" s="64">
        <f t="shared" ca="1" si="63"/>
        <v>-4.8018393251225413E-3</v>
      </c>
    </row>
    <row r="1970" spans="2:7" x14ac:dyDescent="0.3">
      <c r="B1970" s="55">
        <v>44501</v>
      </c>
      <c r="C1970" s="54">
        <v>4564.75</v>
      </c>
      <c r="D1970" s="56">
        <f t="shared" si="62"/>
        <v>0.19986068762485543</v>
      </c>
      <c r="E1970" s="64">
        <v>-1.525202515397639E-2</v>
      </c>
      <c r="F1970" s="64">
        <v>1967</v>
      </c>
      <c r="G1970" s="64">
        <f t="shared" ca="1" si="63"/>
        <v>-1.0381881876702496E-2</v>
      </c>
    </row>
    <row r="1971" spans="2:7" x14ac:dyDescent="0.3">
      <c r="B1971" s="55">
        <v>45299</v>
      </c>
      <c r="C1971" s="54">
        <v>3804.4</v>
      </c>
      <c r="D1971" s="56">
        <f t="shared" si="62"/>
        <v>0.15047780331438254</v>
      </c>
      <c r="E1971" s="64">
        <v>-1.5297010482722917E-2</v>
      </c>
      <c r="F1971" s="64">
        <v>1968</v>
      </c>
      <c r="G1971" s="64">
        <f t="shared" ca="1" si="63"/>
        <v>-2.6225431384885707E-2</v>
      </c>
    </row>
    <row r="1972" spans="2:7" x14ac:dyDescent="0.3">
      <c r="B1972" s="55">
        <v>45012</v>
      </c>
      <c r="C1972" s="54">
        <v>3306.8</v>
      </c>
      <c r="D1972" s="56">
        <f t="shared" si="62"/>
        <v>0.50415065159544237</v>
      </c>
      <c r="E1972" s="64">
        <v>-1.5364459266317243E-2</v>
      </c>
      <c r="F1972" s="64">
        <v>1969</v>
      </c>
      <c r="G1972" s="64">
        <f t="shared" ca="1" si="63"/>
        <v>-1.445986522569109E-2</v>
      </c>
    </row>
    <row r="1973" spans="2:7" x14ac:dyDescent="0.3">
      <c r="B1973" s="55">
        <v>43894</v>
      </c>
      <c r="C1973" s="54">
        <v>2198.4499999999998</v>
      </c>
      <c r="D1973" s="56">
        <f t="shared" si="62"/>
        <v>-0.38489409921378814</v>
      </c>
      <c r="E1973" s="64">
        <v>-1.5494503033967155E-2</v>
      </c>
      <c r="F1973" s="64">
        <v>1970</v>
      </c>
      <c r="G1973" s="64">
        <f t="shared" ca="1" si="63"/>
        <v>-9.6218165657379687E-3</v>
      </c>
    </row>
    <row r="1974" spans="2:7" x14ac:dyDescent="0.3">
      <c r="B1974" s="55">
        <v>44704</v>
      </c>
      <c r="C1974" s="54">
        <v>3574.1</v>
      </c>
      <c r="D1974" s="56">
        <f t="shared" si="62"/>
        <v>-9.4981262027752478E-2</v>
      </c>
      <c r="E1974" s="64">
        <v>-1.5507933010136643E-2</v>
      </c>
      <c r="F1974" s="64">
        <v>1971</v>
      </c>
      <c r="G1974" s="64">
        <f t="shared" ca="1" si="63"/>
        <v>5.930010595776878E-2</v>
      </c>
    </row>
    <row r="1975" spans="2:7" x14ac:dyDescent="0.3">
      <c r="B1975" s="55">
        <v>44882</v>
      </c>
      <c r="C1975" s="54">
        <v>3949.2</v>
      </c>
      <c r="D1975" s="56">
        <f t="shared" si="62"/>
        <v>2.1996759165485109</v>
      </c>
      <c r="E1975" s="64">
        <v>-1.557943016676222E-2</v>
      </c>
      <c r="F1975" s="64">
        <v>1972</v>
      </c>
      <c r="G1975" s="64">
        <f t="shared" ca="1" si="63"/>
        <v>1.0438948748588117E-2</v>
      </c>
    </row>
    <row r="1976" spans="2:7" x14ac:dyDescent="0.3">
      <c r="B1976" s="55">
        <v>43602</v>
      </c>
      <c r="C1976" s="54">
        <v>1234.25</v>
      </c>
      <c r="D1976" s="56">
        <f t="shared" si="62"/>
        <v>0.10467197708762188</v>
      </c>
      <c r="E1976" s="64">
        <v>-1.5592598500558275E-2</v>
      </c>
      <c r="F1976" s="64">
        <v>1973</v>
      </c>
      <c r="G1976" s="64">
        <f t="shared" ca="1" si="63"/>
        <v>-1.0857927322912754E-2</v>
      </c>
    </row>
    <row r="1977" spans="2:7" x14ac:dyDescent="0.3">
      <c r="B1977" s="55">
        <v>43136</v>
      </c>
      <c r="C1977" s="54">
        <v>1117.3</v>
      </c>
      <c r="D1977" s="56">
        <f t="shared" si="62"/>
        <v>-0.69519314709733737</v>
      </c>
      <c r="E1977" s="64">
        <v>-1.568143775878772E-2</v>
      </c>
      <c r="F1977" s="64">
        <v>1974</v>
      </c>
      <c r="G1977" s="64">
        <f t="shared" ca="1" si="63"/>
        <v>-2.1181760810463975E-2</v>
      </c>
    </row>
    <row r="1978" spans="2:7" x14ac:dyDescent="0.3">
      <c r="B1978" s="55">
        <v>46045</v>
      </c>
      <c r="C1978" s="54">
        <v>3665.6</v>
      </c>
      <c r="D1978" s="56">
        <f t="shared" si="62"/>
        <v>1.697773689052438</v>
      </c>
      <c r="E1978" s="64">
        <v>-1.5708493327246886E-2</v>
      </c>
      <c r="F1978" s="64">
        <v>1975</v>
      </c>
      <c r="G1978" s="64">
        <f t="shared" ca="1" si="63"/>
        <v>2.3701791011088973E-3</v>
      </c>
    </row>
    <row r="1979" spans="2:7" x14ac:dyDescent="0.3">
      <c r="B1979" s="55">
        <v>43243</v>
      </c>
      <c r="C1979" s="54">
        <v>1358.75</v>
      </c>
      <c r="D1979" s="56">
        <f t="shared" si="62"/>
        <v>-0.44755031510469612</v>
      </c>
      <c r="E1979" s="64">
        <v>-1.5790808011299839E-2</v>
      </c>
      <c r="F1979" s="64">
        <v>1976</v>
      </c>
      <c r="G1979" s="64">
        <f t="shared" ca="1" si="63"/>
        <v>1.5664162090906771E-2</v>
      </c>
    </row>
    <row r="1980" spans="2:7" x14ac:dyDescent="0.3">
      <c r="B1980" s="55">
        <v>43990</v>
      </c>
      <c r="C1980" s="54">
        <v>2459.5</v>
      </c>
      <c r="D1980" s="56">
        <f t="shared" si="62"/>
        <v>-0.38013508745400482</v>
      </c>
      <c r="E1980" s="64">
        <v>-1.5806322529011596E-2</v>
      </c>
      <c r="F1980" s="64">
        <v>1977</v>
      </c>
      <c r="G1980" s="64">
        <f t="shared" ca="1" si="63"/>
        <v>1.7208213290597928E-2</v>
      </c>
    </row>
    <row r="1981" spans="2:7" x14ac:dyDescent="0.3">
      <c r="B1981" s="55">
        <v>45364</v>
      </c>
      <c r="C1981" s="54">
        <v>3967.8</v>
      </c>
      <c r="D1981" s="56">
        <f t="shared" si="62"/>
        <v>-0.10064938744517604</v>
      </c>
      <c r="E1981" s="64">
        <v>-1.584939355606807E-2</v>
      </c>
      <c r="F1981" s="64">
        <v>1978</v>
      </c>
      <c r="G1981" s="64">
        <f t="shared" ca="1" si="63"/>
        <v>2.6914793292904418E-3</v>
      </c>
    </row>
    <row r="1982" spans="2:7" x14ac:dyDescent="0.3">
      <c r="B1982" s="55">
        <v>45384</v>
      </c>
      <c r="C1982" s="54">
        <v>4411.8500000000004</v>
      </c>
      <c r="D1982" s="56">
        <f t="shared" si="62"/>
        <v>2.4024987467705241</v>
      </c>
      <c r="E1982" s="64">
        <v>-1.5936921464100084E-2</v>
      </c>
      <c r="F1982" s="64">
        <v>1979</v>
      </c>
      <c r="G1982" s="64">
        <f t="shared" ca="1" si="63"/>
        <v>1.6555325444944632E-2</v>
      </c>
    </row>
    <row r="1983" spans="2:7" x14ac:dyDescent="0.3">
      <c r="B1983" s="55">
        <v>43623</v>
      </c>
      <c r="C1983" s="54">
        <v>1296.6500000000001</v>
      </c>
      <c r="D1983" s="56">
        <f t="shared" si="62"/>
        <v>-0.12979430220462396</v>
      </c>
      <c r="E1983" s="64">
        <v>-1.5937464425302639E-2</v>
      </c>
      <c r="F1983" s="64">
        <v>1980</v>
      </c>
      <c r="G1983" s="64">
        <f t="shared" ca="1" si="63"/>
        <v>3.5171135577866497E-2</v>
      </c>
    </row>
    <row r="1984" spans="2:7" x14ac:dyDescent="0.3">
      <c r="B1984" s="55">
        <v>43682</v>
      </c>
      <c r="C1984" s="54">
        <v>1490.05</v>
      </c>
      <c r="D1984" s="56">
        <f t="shared" si="62"/>
        <v>-0.64824126534466475</v>
      </c>
      <c r="E1984" s="64">
        <v>-1.5949015982036796E-2</v>
      </c>
      <c r="F1984" s="64">
        <v>1981</v>
      </c>
      <c r="G1984" s="64">
        <f t="shared" ca="1" si="63"/>
        <v>4.1334713719802824E-2</v>
      </c>
    </row>
    <row r="1985" spans="2:7" x14ac:dyDescent="0.3">
      <c r="B1985" s="55">
        <v>46161</v>
      </c>
      <c r="C1985" s="54">
        <v>4236</v>
      </c>
      <c r="D1985" s="56">
        <f t="shared" si="62"/>
        <v>-1.8478827550251986E-2</v>
      </c>
      <c r="E1985" s="64">
        <v>-1.5959300299672408E-2</v>
      </c>
      <c r="F1985" s="64">
        <v>1982</v>
      </c>
      <c r="G1985" s="64">
        <f t="shared" ca="1" si="63"/>
        <v>1.4001985592053462E-3</v>
      </c>
    </row>
    <row r="1986" spans="2:7" x14ac:dyDescent="0.3">
      <c r="B1986" s="55">
        <v>44467</v>
      </c>
      <c r="C1986" s="54">
        <v>4315.75</v>
      </c>
      <c r="D1986" s="56">
        <f t="shared" si="62"/>
        <v>8.231974921630103E-2</v>
      </c>
      <c r="E1986" s="64">
        <v>-1.5960782078321856E-2</v>
      </c>
      <c r="F1986" s="64">
        <v>1983</v>
      </c>
      <c r="G1986" s="64">
        <f t="shared" ca="1" si="63"/>
        <v>1.2140507013412837E-2</v>
      </c>
    </row>
    <row r="1987" spans="2:7" x14ac:dyDescent="0.3">
      <c r="B1987" s="55">
        <v>45593</v>
      </c>
      <c r="C1987" s="54">
        <v>3987.5</v>
      </c>
      <c r="D1987" s="56">
        <f t="shared" si="62"/>
        <v>-0.11804388215518002</v>
      </c>
      <c r="E1987" s="64">
        <v>-1.5966635407926533E-2</v>
      </c>
      <c r="F1987" s="64">
        <v>1984</v>
      </c>
      <c r="G1987" s="64">
        <f t="shared" ca="1" si="63"/>
        <v>-1.9920474110542666E-2</v>
      </c>
    </row>
    <row r="1988" spans="2:7" x14ac:dyDescent="0.3">
      <c r="B1988" s="55">
        <v>46135</v>
      </c>
      <c r="C1988" s="54">
        <v>4521.2</v>
      </c>
      <c r="D1988" s="56">
        <f t="shared" ref="D1988:D2051" si="64">C1988/C1989-1</f>
        <v>0.15796078833126304</v>
      </c>
      <c r="E1988" s="64">
        <v>-1.6018107425785799E-2</v>
      </c>
      <c r="F1988" s="64">
        <v>1985</v>
      </c>
      <c r="G1988" s="64">
        <f t="shared" ca="1" si="63"/>
        <v>1.3399761831137197E-2</v>
      </c>
    </row>
    <row r="1989" spans="2:7" x14ac:dyDescent="0.3">
      <c r="B1989" s="55">
        <v>44890</v>
      </c>
      <c r="C1989" s="54">
        <v>3904.45</v>
      </c>
      <c r="D1989" s="56">
        <f t="shared" si="64"/>
        <v>0.26390327592904317</v>
      </c>
      <c r="E1989" s="64">
        <v>-1.6028023840425454E-2</v>
      </c>
      <c r="F1989" s="64">
        <v>1986</v>
      </c>
      <c r="G1989" s="64">
        <f t="shared" ref="G1989:G2052" ca="1" si="65">_xlfn.NORM.INV(RAND(),K$6,K$7)</f>
        <v>3.7984996366643314E-3</v>
      </c>
    </row>
    <row r="1990" spans="2:7" x14ac:dyDescent="0.3">
      <c r="B1990" s="55">
        <v>44252</v>
      </c>
      <c r="C1990" s="54">
        <v>3089.2</v>
      </c>
      <c r="D1990" s="56">
        <f t="shared" si="64"/>
        <v>-0.34292611853789789</v>
      </c>
      <c r="E1990" s="64">
        <v>-1.6084339268082948E-2</v>
      </c>
      <c r="F1990" s="64">
        <v>1987</v>
      </c>
      <c r="G1990" s="64">
        <f t="shared" ca="1" si="65"/>
        <v>6.6027431764723345E-3</v>
      </c>
    </row>
    <row r="1991" spans="2:7" x14ac:dyDescent="0.3">
      <c r="B1991" s="55">
        <v>45454</v>
      </c>
      <c r="C1991" s="54">
        <v>4701.45</v>
      </c>
      <c r="D1991" s="56">
        <f t="shared" si="64"/>
        <v>0.12985748960611354</v>
      </c>
      <c r="E1991" s="64">
        <v>-1.6103716725263673E-2</v>
      </c>
      <c r="F1991" s="64">
        <v>1988</v>
      </c>
      <c r="G1991" s="64">
        <f t="shared" ca="1" si="65"/>
        <v>-8.8255438676068231E-4</v>
      </c>
    </row>
    <row r="1992" spans="2:7" x14ac:dyDescent="0.3">
      <c r="B1992" s="55">
        <v>45960</v>
      </c>
      <c r="C1992" s="54">
        <v>4161.1000000000004</v>
      </c>
      <c r="D1992" s="56">
        <f t="shared" si="64"/>
        <v>-0.15552669230535054</v>
      </c>
      <c r="E1992" s="64">
        <v>-1.6148862722844659E-2</v>
      </c>
      <c r="F1992" s="64">
        <v>1989</v>
      </c>
      <c r="G1992" s="64">
        <f t="shared" ca="1" si="65"/>
        <v>7.927014678384664E-3</v>
      </c>
    </row>
    <row r="1993" spans="2:7" x14ac:dyDescent="0.3">
      <c r="B1993" s="55">
        <v>45534</v>
      </c>
      <c r="C1993" s="54">
        <v>4927.45</v>
      </c>
      <c r="D1993" s="56">
        <f t="shared" si="64"/>
        <v>2.4526503871351992</v>
      </c>
      <c r="E1993" s="64">
        <v>-1.6241415109407464E-2</v>
      </c>
      <c r="F1993" s="64">
        <v>1990</v>
      </c>
      <c r="G1993" s="64">
        <f t="shared" ca="1" si="65"/>
        <v>1.3224285133724855E-2</v>
      </c>
    </row>
    <row r="1994" spans="2:7" x14ac:dyDescent="0.3">
      <c r="B1994" s="55">
        <v>43368</v>
      </c>
      <c r="C1994" s="54">
        <v>1427.15</v>
      </c>
      <c r="D1994" s="56">
        <f t="shared" si="64"/>
        <v>-0.68434614321260712</v>
      </c>
      <c r="E1994" s="64">
        <v>-1.6267447871790353E-2</v>
      </c>
      <c r="F1994" s="64">
        <v>1991</v>
      </c>
      <c r="G1994" s="64">
        <f t="shared" ca="1" si="65"/>
        <v>1.6860223789975384E-2</v>
      </c>
    </row>
    <row r="1995" spans="2:7" x14ac:dyDescent="0.3">
      <c r="B1995" s="55">
        <v>44490</v>
      </c>
      <c r="C1995" s="54">
        <v>4521.25</v>
      </c>
      <c r="D1995" s="56">
        <f t="shared" si="64"/>
        <v>0.94906668965814567</v>
      </c>
      <c r="E1995" s="64">
        <v>-1.6349751979810256E-2</v>
      </c>
      <c r="F1995" s="64">
        <v>1992</v>
      </c>
      <c r="G1995" s="64">
        <f t="shared" ca="1" si="65"/>
        <v>-1.9612612043560023E-3</v>
      </c>
    </row>
    <row r="1996" spans="2:7" x14ac:dyDescent="0.3">
      <c r="B1996" s="55">
        <v>43888</v>
      </c>
      <c r="C1996" s="54">
        <v>2319.6999999999998</v>
      </c>
      <c r="D1996" s="56">
        <f t="shared" si="64"/>
        <v>-0.50505675514210124</v>
      </c>
      <c r="E1996" s="64">
        <v>-1.6409430122116819E-2</v>
      </c>
      <c r="F1996" s="64">
        <v>1993</v>
      </c>
      <c r="G1996" s="64">
        <f t="shared" ca="1" si="65"/>
        <v>-1.7719192580901572E-2</v>
      </c>
    </row>
    <row r="1997" spans="2:7" x14ac:dyDescent="0.3">
      <c r="B1997" s="55">
        <v>45397</v>
      </c>
      <c r="C1997" s="54">
        <v>4686.8</v>
      </c>
      <c r="D1997" s="56">
        <f t="shared" si="64"/>
        <v>0.17826884883223992</v>
      </c>
      <c r="E1997" s="64">
        <v>-1.6421653497864619E-2</v>
      </c>
      <c r="F1997" s="64">
        <v>1994</v>
      </c>
      <c r="G1997" s="64">
        <f t="shared" ca="1" si="65"/>
        <v>-4.9445494631414379E-3</v>
      </c>
    </row>
    <row r="1998" spans="2:7" x14ac:dyDescent="0.3">
      <c r="B1998" s="55">
        <v>44678</v>
      </c>
      <c r="C1998" s="54">
        <v>3977.7</v>
      </c>
      <c r="D1998" s="56">
        <f t="shared" si="64"/>
        <v>-0.15623011327478686</v>
      </c>
      <c r="E1998" s="64">
        <v>-1.6455461457625109E-2</v>
      </c>
      <c r="F1998" s="64">
        <v>1995</v>
      </c>
      <c r="G1998" s="64">
        <f t="shared" ca="1" si="65"/>
        <v>2.5231034692220863E-2</v>
      </c>
    </row>
    <row r="1999" spans="2:7" x14ac:dyDescent="0.3">
      <c r="B1999" s="55">
        <v>45908</v>
      </c>
      <c r="C1999" s="54">
        <v>4714.2</v>
      </c>
      <c r="D1999" s="56">
        <f t="shared" si="64"/>
        <v>1.9695748031496061</v>
      </c>
      <c r="E1999" s="64">
        <v>-1.6502200988880333E-2</v>
      </c>
      <c r="F1999" s="64">
        <v>1996</v>
      </c>
      <c r="G1999" s="64">
        <f t="shared" ca="1" si="65"/>
        <v>-3.523002952932907E-3</v>
      </c>
    </row>
    <row r="2000" spans="2:7" x14ac:dyDescent="0.3">
      <c r="B2000" s="55">
        <v>43333</v>
      </c>
      <c r="C2000" s="54">
        <v>1587.5</v>
      </c>
      <c r="D2000" s="56">
        <f t="shared" si="64"/>
        <v>0.35991776245342022</v>
      </c>
      <c r="E2000" s="64">
        <v>-1.6510237586345844E-2</v>
      </c>
      <c r="F2000" s="64">
        <v>1997</v>
      </c>
      <c r="G2000" s="64">
        <f t="shared" ca="1" si="65"/>
        <v>2.6788210718236269E-2</v>
      </c>
    </row>
    <row r="2001" spans="2:7" x14ac:dyDescent="0.3">
      <c r="B2001" s="55">
        <v>43117</v>
      </c>
      <c r="C2001" s="54">
        <v>1167.3499999999999</v>
      </c>
      <c r="D2001" s="56">
        <f t="shared" si="64"/>
        <v>-0.68341333767255175</v>
      </c>
      <c r="E2001" s="64">
        <v>-1.6554338668913315E-2</v>
      </c>
      <c r="F2001" s="64">
        <v>1998</v>
      </c>
      <c r="G2001" s="64">
        <f t="shared" ca="1" si="65"/>
        <v>1.4934129583009229E-2</v>
      </c>
    </row>
    <row r="2002" spans="2:7" x14ac:dyDescent="0.3">
      <c r="B2002" s="55">
        <v>45321</v>
      </c>
      <c r="C2002" s="54">
        <v>3687.3</v>
      </c>
      <c r="D2002" s="56">
        <f t="shared" si="64"/>
        <v>0.35604876523913731</v>
      </c>
      <c r="E2002" s="64">
        <v>-1.6562650024003811E-2</v>
      </c>
      <c r="F2002" s="64">
        <v>1999</v>
      </c>
      <c r="G2002" s="64">
        <f t="shared" ca="1" si="65"/>
        <v>-1.3254060379367775E-2</v>
      </c>
    </row>
    <row r="2003" spans="2:7" x14ac:dyDescent="0.3">
      <c r="B2003" s="55">
        <v>44217</v>
      </c>
      <c r="C2003" s="54">
        <v>2719.15</v>
      </c>
      <c r="D2003" s="56">
        <f t="shared" si="64"/>
        <v>-0.24916471075521185</v>
      </c>
      <c r="E2003" s="64">
        <v>-1.6564494837157939E-2</v>
      </c>
      <c r="F2003" s="64">
        <v>2000</v>
      </c>
      <c r="G2003" s="64">
        <f t="shared" ca="1" si="65"/>
        <v>-9.9894463689696282E-3</v>
      </c>
    </row>
    <row r="2004" spans="2:7" x14ac:dyDescent="0.3">
      <c r="B2004" s="55">
        <v>45705</v>
      </c>
      <c r="C2004" s="54">
        <v>3621.5</v>
      </c>
      <c r="D2004" s="56">
        <f t="shared" si="64"/>
        <v>-6.3469286384465473E-4</v>
      </c>
      <c r="E2004" s="64">
        <v>-1.6604890500047542E-2</v>
      </c>
      <c r="F2004" s="64">
        <v>2001</v>
      </c>
      <c r="G2004" s="64">
        <f t="shared" ca="1" si="65"/>
        <v>1.437980067522069E-2</v>
      </c>
    </row>
    <row r="2005" spans="2:7" x14ac:dyDescent="0.3">
      <c r="B2005" s="55">
        <v>45708</v>
      </c>
      <c r="C2005" s="54">
        <v>3623.8</v>
      </c>
      <c r="D2005" s="56">
        <f t="shared" si="64"/>
        <v>0.71748145690656195</v>
      </c>
      <c r="E2005" s="64">
        <v>-1.6607869742198078E-2</v>
      </c>
      <c r="F2005" s="64">
        <v>2002</v>
      </c>
      <c r="G2005" s="64">
        <f t="shared" ca="1" si="65"/>
        <v>7.8763733917473842E-4</v>
      </c>
    </row>
    <row r="2006" spans="2:7" x14ac:dyDescent="0.3">
      <c r="B2006" s="55">
        <v>43901</v>
      </c>
      <c r="C2006" s="54">
        <v>2109.9499999999998</v>
      </c>
      <c r="D2006" s="56">
        <f t="shared" si="64"/>
        <v>0.46585382798388197</v>
      </c>
      <c r="E2006" s="64">
        <v>-1.6661229435615432E-2</v>
      </c>
      <c r="F2006" s="64">
        <v>2003</v>
      </c>
      <c r="G2006" s="64">
        <f t="shared" ca="1" si="65"/>
        <v>3.0110022132180344E-3</v>
      </c>
    </row>
    <row r="2007" spans="2:7" x14ac:dyDescent="0.3">
      <c r="B2007" s="55">
        <v>43664</v>
      </c>
      <c r="C2007" s="54">
        <v>1439.4</v>
      </c>
      <c r="D2007" s="56">
        <f t="shared" si="64"/>
        <v>-0.11112483403834861</v>
      </c>
      <c r="E2007" s="64">
        <v>-1.6668943844787454E-2</v>
      </c>
      <c r="F2007" s="64">
        <v>2004</v>
      </c>
      <c r="G2007" s="64">
        <f t="shared" ca="1" si="65"/>
        <v>-1.9467739283978075E-2</v>
      </c>
    </row>
    <row r="2008" spans="2:7" x14ac:dyDescent="0.3">
      <c r="B2008" s="55">
        <v>43727</v>
      </c>
      <c r="C2008" s="54">
        <v>1619.35</v>
      </c>
      <c r="D2008" s="56">
        <f t="shared" si="64"/>
        <v>-0.61407292659675883</v>
      </c>
      <c r="E2008" s="64">
        <v>-1.6728398809885303E-2</v>
      </c>
      <c r="F2008" s="64">
        <v>2005</v>
      </c>
      <c r="G2008" s="64">
        <f t="shared" ca="1" si="65"/>
        <v>-1.4395513303004532E-2</v>
      </c>
    </row>
    <row r="2009" spans="2:7" x14ac:dyDescent="0.3">
      <c r="B2009" s="55">
        <v>45870</v>
      </c>
      <c r="C2009" s="54">
        <v>4196</v>
      </c>
      <c r="D2009" s="56">
        <f t="shared" si="64"/>
        <v>-0.1653405474220242</v>
      </c>
      <c r="E2009" s="64">
        <v>-1.6731499273562322E-2</v>
      </c>
      <c r="F2009" s="64">
        <v>2006</v>
      </c>
      <c r="G2009" s="64">
        <f t="shared" ca="1" si="65"/>
        <v>5.3717578172157599E-3</v>
      </c>
    </row>
    <row r="2010" spans="2:7" x14ac:dyDescent="0.3">
      <c r="B2010" s="55">
        <v>45503</v>
      </c>
      <c r="C2010" s="54">
        <v>5027.2</v>
      </c>
      <c r="D2010" s="56">
        <f t="shared" si="64"/>
        <v>8.8385888567747983E-2</v>
      </c>
      <c r="E2010" s="64">
        <v>-1.6751909404735255E-2</v>
      </c>
      <c r="F2010" s="64">
        <v>2007</v>
      </c>
      <c r="G2010" s="64">
        <f t="shared" ca="1" si="65"/>
        <v>-2.1440345944456714E-2</v>
      </c>
    </row>
    <row r="2011" spans="2:7" x14ac:dyDescent="0.3">
      <c r="B2011" s="55">
        <v>44550</v>
      </c>
      <c r="C2011" s="54">
        <v>4618.95</v>
      </c>
      <c r="D2011" s="56">
        <f t="shared" si="64"/>
        <v>-6.2998275687189409E-2</v>
      </c>
      <c r="E2011" s="64">
        <v>-1.6784452296819907E-2</v>
      </c>
      <c r="F2011" s="64">
        <v>2008</v>
      </c>
      <c r="G2011" s="64">
        <f t="shared" ca="1" si="65"/>
        <v>2.1272721912295608E-2</v>
      </c>
    </row>
    <row r="2012" spans="2:7" x14ac:dyDescent="0.3">
      <c r="B2012" s="55">
        <v>45517</v>
      </c>
      <c r="C2012" s="54">
        <v>4929.5</v>
      </c>
      <c r="D2012" s="56">
        <f t="shared" si="64"/>
        <v>4.0328329633174675E-3</v>
      </c>
      <c r="E2012" s="64">
        <v>-1.6813594479237359E-2</v>
      </c>
      <c r="F2012" s="64">
        <v>2009</v>
      </c>
      <c r="G2012" s="64">
        <f t="shared" ca="1" si="65"/>
        <v>-2.9464843291440923E-3</v>
      </c>
    </row>
    <row r="2013" spans="2:7" x14ac:dyDescent="0.3">
      <c r="B2013" s="55">
        <v>45506</v>
      </c>
      <c r="C2013" s="54">
        <v>4909.7</v>
      </c>
      <c r="D2013" s="56">
        <f t="shared" si="64"/>
        <v>0.25263426457456295</v>
      </c>
      <c r="E2013" s="64">
        <v>-1.6840882694541315E-2</v>
      </c>
      <c r="F2013" s="64">
        <v>2010</v>
      </c>
      <c r="G2013" s="64">
        <f t="shared" ca="1" si="65"/>
        <v>1.8950737779628975E-2</v>
      </c>
    </row>
    <row r="2014" spans="2:7" x14ac:dyDescent="0.3">
      <c r="B2014" s="55">
        <v>45098</v>
      </c>
      <c r="C2014" s="54">
        <v>3919.5</v>
      </c>
      <c r="D2014" s="56">
        <f t="shared" si="64"/>
        <v>1.5993571465602097E-2</v>
      </c>
      <c r="E2014" s="64">
        <v>-1.6905365070606249E-2</v>
      </c>
      <c r="F2014" s="64">
        <v>2011</v>
      </c>
      <c r="G2014" s="64">
        <f t="shared" ca="1" si="65"/>
        <v>2.2098173797783983E-2</v>
      </c>
    </row>
    <row r="2015" spans="2:7" x14ac:dyDescent="0.3">
      <c r="B2015" s="55">
        <v>44931</v>
      </c>
      <c r="C2015" s="54">
        <v>3857.8</v>
      </c>
      <c r="D2015" s="56">
        <f t="shared" si="64"/>
        <v>0.69995813779276017</v>
      </c>
      <c r="E2015" s="64">
        <v>-1.6920646246368576E-2</v>
      </c>
      <c r="F2015" s="64">
        <v>2012</v>
      </c>
      <c r="G2015" s="64">
        <f t="shared" ca="1" si="65"/>
        <v>-7.5640849139081145E-3</v>
      </c>
    </row>
    <row r="2016" spans="2:7" x14ac:dyDescent="0.3">
      <c r="B2016" s="55">
        <v>43980</v>
      </c>
      <c r="C2016" s="54">
        <v>2269.35</v>
      </c>
      <c r="D2016" s="56">
        <f t="shared" si="64"/>
        <v>-0.44028856825749174</v>
      </c>
      <c r="E2016" s="64">
        <v>-1.6937772098161052E-2</v>
      </c>
      <c r="F2016" s="64">
        <v>2013</v>
      </c>
      <c r="G2016" s="64">
        <f t="shared" ca="1" si="65"/>
        <v>2.9615144554539112E-2</v>
      </c>
    </row>
    <row r="2017" spans="2:7" x14ac:dyDescent="0.3">
      <c r="B2017" s="55">
        <v>46171</v>
      </c>
      <c r="C2017" s="54">
        <v>4054.5</v>
      </c>
      <c r="D2017" s="56">
        <f t="shared" si="64"/>
        <v>-4.5438493231312549E-2</v>
      </c>
      <c r="E2017" s="64">
        <v>-1.6947919697410496E-2</v>
      </c>
      <c r="F2017" s="64">
        <v>2014</v>
      </c>
      <c r="G2017" s="64">
        <f t="shared" ca="1" si="65"/>
        <v>6.7959734626903603E-3</v>
      </c>
    </row>
    <row r="2018" spans="2:7" x14ac:dyDescent="0.3">
      <c r="B2018" s="55">
        <v>44866</v>
      </c>
      <c r="C2018" s="54">
        <v>4247.5</v>
      </c>
      <c r="D2018" s="56">
        <f t="shared" si="64"/>
        <v>4.2836173653439484</v>
      </c>
      <c r="E2018" s="64">
        <v>-1.6987201740378044E-2</v>
      </c>
      <c r="F2018" s="64">
        <v>2015</v>
      </c>
      <c r="G2018" s="64">
        <f t="shared" ca="1" si="65"/>
        <v>4.9712120423715507E-3</v>
      </c>
    </row>
    <row r="2019" spans="2:7" x14ac:dyDescent="0.3">
      <c r="B2019" s="55">
        <v>42908</v>
      </c>
      <c r="C2019" s="54">
        <v>803.9</v>
      </c>
      <c r="D2019" s="56">
        <f t="shared" si="64"/>
        <v>-0.40121410748203046</v>
      </c>
      <c r="E2019" s="64">
        <v>-1.6996820738566898E-2</v>
      </c>
      <c r="F2019" s="64">
        <v>2016</v>
      </c>
      <c r="G2019" s="64">
        <f t="shared" ca="1" si="65"/>
        <v>7.3392355299998254E-4</v>
      </c>
    </row>
    <row r="2020" spans="2:7" x14ac:dyDescent="0.3">
      <c r="B2020" s="55">
        <v>43178</v>
      </c>
      <c r="C2020" s="54">
        <v>1342.55</v>
      </c>
      <c r="D2020" s="56">
        <f t="shared" si="64"/>
        <v>-0.14405482945489323</v>
      </c>
      <c r="E2020" s="64">
        <v>-1.70229901889003E-2</v>
      </c>
      <c r="F2020" s="64">
        <v>2017</v>
      </c>
      <c r="G2020" s="64">
        <f t="shared" ca="1" si="65"/>
        <v>3.947368073973552E-2</v>
      </c>
    </row>
    <row r="2021" spans="2:7" x14ac:dyDescent="0.3">
      <c r="B2021" s="55">
        <v>43265</v>
      </c>
      <c r="C2021" s="54">
        <v>1568.5</v>
      </c>
      <c r="D2021" s="56">
        <f t="shared" si="64"/>
        <v>-0.64701249015415774</v>
      </c>
      <c r="E2021" s="64">
        <v>-1.7138202211987252E-2</v>
      </c>
      <c r="F2021" s="64">
        <v>2018</v>
      </c>
      <c r="G2021" s="64">
        <f t="shared" ca="1" si="65"/>
        <v>-2.0403322404820935E-2</v>
      </c>
    </row>
    <row r="2022" spans="2:7" x14ac:dyDescent="0.3">
      <c r="B2022" s="55">
        <v>46136</v>
      </c>
      <c r="C2022" s="54">
        <v>4443.5</v>
      </c>
      <c r="D2022" s="56">
        <f t="shared" si="64"/>
        <v>-4.915518032897026E-3</v>
      </c>
      <c r="E2022" s="64">
        <v>-1.7185702910731626E-2</v>
      </c>
      <c r="F2022" s="64">
        <v>2019</v>
      </c>
      <c r="G2022" s="64">
        <f t="shared" ca="1" si="65"/>
        <v>2.6863571692279806E-2</v>
      </c>
    </row>
    <row r="2023" spans="2:7" x14ac:dyDescent="0.3">
      <c r="B2023" s="55">
        <v>45573</v>
      </c>
      <c r="C2023" s="54">
        <v>4465.45</v>
      </c>
      <c r="D2023" s="56">
        <f t="shared" si="64"/>
        <v>5.0084095801937565</v>
      </c>
      <c r="E2023" s="64">
        <v>-1.7318970544546231E-2</v>
      </c>
      <c r="F2023" s="64">
        <v>2020</v>
      </c>
      <c r="G2023" s="64">
        <f t="shared" ca="1" si="65"/>
        <v>-2.8191168115363728E-2</v>
      </c>
    </row>
    <row r="2024" spans="2:7" x14ac:dyDescent="0.3">
      <c r="B2024" s="55">
        <v>42846</v>
      </c>
      <c r="C2024" s="54">
        <v>743.2</v>
      </c>
      <c r="D2024" s="56">
        <f t="shared" si="64"/>
        <v>-0.18293755496921726</v>
      </c>
      <c r="E2024" s="64">
        <v>-1.7321168848340451E-2</v>
      </c>
      <c r="F2024" s="64">
        <v>2021</v>
      </c>
      <c r="G2024" s="64">
        <f t="shared" ca="1" si="65"/>
        <v>-1.1804926891966458E-2</v>
      </c>
    </row>
    <row r="2025" spans="2:7" x14ac:dyDescent="0.3">
      <c r="B2025" s="55">
        <v>42942</v>
      </c>
      <c r="C2025" s="54">
        <v>909.6</v>
      </c>
      <c r="D2025" s="56">
        <f t="shared" si="64"/>
        <v>-0.19493738106828329</v>
      </c>
      <c r="E2025" s="64">
        <v>-1.7339167071787398E-2</v>
      </c>
      <c r="F2025" s="64">
        <v>2022</v>
      </c>
      <c r="G2025" s="64">
        <f t="shared" ca="1" si="65"/>
        <v>1.5621299017212575E-2</v>
      </c>
    </row>
    <row r="2026" spans="2:7" x14ac:dyDescent="0.3">
      <c r="B2026" s="55">
        <v>43066</v>
      </c>
      <c r="C2026" s="54">
        <v>1129.8499999999999</v>
      </c>
      <c r="D2026" s="56">
        <f t="shared" si="64"/>
        <v>-0.71831214161057089</v>
      </c>
      <c r="E2026" s="64">
        <v>-1.743629880859221E-2</v>
      </c>
      <c r="F2026" s="64">
        <v>2023</v>
      </c>
      <c r="G2026" s="64">
        <f t="shared" ca="1" si="65"/>
        <v>-2.3639192869132483E-3</v>
      </c>
    </row>
    <row r="2027" spans="2:7" x14ac:dyDescent="0.3">
      <c r="B2027" s="55">
        <v>45968</v>
      </c>
      <c r="C2027" s="54">
        <v>4011</v>
      </c>
      <c r="D2027" s="56">
        <f t="shared" si="64"/>
        <v>7.9357390812949014E-2</v>
      </c>
      <c r="E2027" s="64">
        <v>-1.7441575620988692E-2</v>
      </c>
      <c r="F2027" s="64">
        <v>2024</v>
      </c>
      <c r="G2027" s="64">
        <f t="shared" ca="1" si="65"/>
        <v>5.3373591070832054E-2</v>
      </c>
    </row>
    <row r="2028" spans="2:7" x14ac:dyDescent="0.3">
      <c r="B2028" s="55">
        <v>46023</v>
      </c>
      <c r="C2028" s="54">
        <v>3716.1</v>
      </c>
      <c r="D2028" s="56">
        <f t="shared" si="64"/>
        <v>1.7510364228605271</v>
      </c>
      <c r="E2028" s="64">
        <v>-1.7476600920099394E-2</v>
      </c>
      <c r="F2028" s="64">
        <v>2025</v>
      </c>
      <c r="G2028" s="64">
        <f t="shared" ca="1" si="65"/>
        <v>-2.8399415515634394E-3</v>
      </c>
    </row>
    <row r="2029" spans="2:7" x14ac:dyDescent="0.3">
      <c r="B2029" s="55">
        <v>43656</v>
      </c>
      <c r="C2029" s="54">
        <v>1350.8</v>
      </c>
      <c r="D2029" s="56">
        <f t="shared" si="64"/>
        <v>0.19629810034096429</v>
      </c>
      <c r="E2029" s="64">
        <v>-1.756427506454783E-2</v>
      </c>
      <c r="F2029" s="64">
        <v>2026</v>
      </c>
      <c r="G2029" s="64">
        <f t="shared" ca="1" si="65"/>
        <v>3.1107106346295354E-4</v>
      </c>
    </row>
    <row r="2030" spans="2:7" x14ac:dyDescent="0.3">
      <c r="B2030" s="55">
        <v>43042</v>
      </c>
      <c r="C2030" s="54">
        <v>1129.1500000000001</v>
      </c>
      <c r="D2030" s="56">
        <f t="shared" si="64"/>
        <v>-0.74232085805568238</v>
      </c>
      <c r="E2030" s="64">
        <v>-1.7660620296663598E-2</v>
      </c>
      <c r="F2030" s="64">
        <v>2027</v>
      </c>
      <c r="G2030" s="64">
        <f t="shared" ca="1" si="65"/>
        <v>-9.2355635392231978E-3</v>
      </c>
    </row>
    <row r="2031" spans="2:7" x14ac:dyDescent="0.3">
      <c r="B2031" s="55">
        <v>44792</v>
      </c>
      <c r="C2031" s="54">
        <v>4382</v>
      </c>
      <c r="D2031" s="56">
        <f t="shared" si="64"/>
        <v>2.0193619513539587</v>
      </c>
      <c r="E2031" s="64">
        <v>-1.7698023963505505E-2</v>
      </c>
      <c r="F2031" s="64">
        <v>2028</v>
      </c>
      <c r="G2031" s="64">
        <f t="shared" ca="1" si="65"/>
        <v>1.2122158451842257E-2</v>
      </c>
    </row>
    <row r="2032" spans="2:7" x14ac:dyDescent="0.3">
      <c r="B2032" s="55">
        <v>43507</v>
      </c>
      <c r="C2032" s="54">
        <v>1451.3</v>
      </c>
      <c r="D2032" s="56">
        <f t="shared" si="64"/>
        <v>-6.2497981331352315E-2</v>
      </c>
      <c r="E2032" s="64">
        <v>-1.7732656514382383E-2</v>
      </c>
      <c r="F2032" s="64">
        <v>2029</v>
      </c>
      <c r="G2032" s="64">
        <f t="shared" ca="1" si="65"/>
        <v>-1.057738140824251E-2</v>
      </c>
    </row>
    <row r="2033" spans="2:7" x14ac:dyDescent="0.3">
      <c r="B2033" s="55">
        <v>43297</v>
      </c>
      <c r="C2033" s="54">
        <v>1548.05</v>
      </c>
      <c r="D2033" s="56">
        <f t="shared" si="64"/>
        <v>5.3561098444890654E-2</v>
      </c>
      <c r="E2033" s="64">
        <v>-1.7734771573604036E-2</v>
      </c>
      <c r="F2033" s="64">
        <v>2030</v>
      </c>
      <c r="G2033" s="64">
        <f t="shared" ca="1" si="65"/>
        <v>-2.7995039565212015E-2</v>
      </c>
    </row>
    <row r="2034" spans="2:7" x14ac:dyDescent="0.3">
      <c r="B2034" s="55">
        <v>43522</v>
      </c>
      <c r="C2034" s="54">
        <v>1469.35</v>
      </c>
      <c r="D2034" s="56">
        <f t="shared" si="64"/>
        <v>-0.62927032345965594</v>
      </c>
      <c r="E2034" s="64">
        <v>-1.7781342959323543E-2</v>
      </c>
      <c r="F2034" s="64">
        <v>2031</v>
      </c>
      <c r="G2034" s="64">
        <f t="shared" ca="1" si="65"/>
        <v>-1.6024864931912325E-2</v>
      </c>
    </row>
    <row r="2035" spans="2:7" x14ac:dyDescent="0.3">
      <c r="B2035" s="55">
        <v>44764</v>
      </c>
      <c r="C2035" s="54">
        <v>3963.4</v>
      </c>
      <c r="D2035" s="56">
        <f t="shared" si="64"/>
        <v>0.70869349658338887</v>
      </c>
      <c r="E2035" s="64">
        <v>-1.7829928011200979E-2</v>
      </c>
      <c r="F2035" s="64">
        <v>2032</v>
      </c>
      <c r="G2035" s="64">
        <f t="shared" ca="1" si="65"/>
        <v>-1.7742598262784341E-2</v>
      </c>
    </row>
    <row r="2036" spans="2:7" x14ac:dyDescent="0.3">
      <c r="B2036" s="55">
        <v>44020</v>
      </c>
      <c r="C2036" s="54">
        <v>2319.5500000000002</v>
      </c>
      <c r="D2036" s="56">
        <f t="shared" si="64"/>
        <v>-0.38047034628276866</v>
      </c>
      <c r="E2036" s="64">
        <v>-1.7847313375957796E-2</v>
      </c>
      <c r="F2036" s="64">
        <v>2033</v>
      </c>
      <c r="G2036" s="64">
        <f t="shared" ca="1" si="65"/>
        <v>-2.6321893801454124E-2</v>
      </c>
    </row>
    <row r="2037" spans="2:7" x14ac:dyDescent="0.3">
      <c r="B2037" s="55">
        <v>45100</v>
      </c>
      <c r="C2037" s="54">
        <v>3744.05</v>
      </c>
      <c r="D2037" s="56">
        <f t="shared" si="64"/>
        <v>1.0122809846286147</v>
      </c>
      <c r="E2037" s="64">
        <v>-1.7863935049775015E-2</v>
      </c>
      <c r="F2037" s="64">
        <v>2034</v>
      </c>
      <c r="G2037" s="64">
        <f t="shared" ca="1" si="65"/>
        <v>2.178404115247739E-3</v>
      </c>
    </row>
    <row r="2038" spans="2:7" x14ac:dyDescent="0.3">
      <c r="B2038" s="55">
        <v>43738</v>
      </c>
      <c r="C2038" s="54">
        <v>1860.6</v>
      </c>
      <c r="D2038" s="56">
        <f t="shared" si="64"/>
        <v>-0.52554474633754511</v>
      </c>
      <c r="E2038" s="64">
        <v>-1.7919822649177908E-2</v>
      </c>
      <c r="F2038" s="64">
        <v>2035</v>
      </c>
      <c r="G2038" s="64">
        <f t="shared" ca="1" si="65"/>
        <v>1.7498047847650279E-2</v>
      </c>
    </row>
    <row r="2039" spans="2:7" x14ac:dyDescent="0.3">
      <c r="B2039" s="55">
        <v>44917</v>
      </c>
      <c r="C2039" s="54">
        <v>3921.55</v>
      </c>
      <c r="D2039" s="56">
        <f t="shared" si="64"/>
        <v>-7.5226090955182734E-2</v>
      </c>
      <c r="E2039" s="64">
        <v>-1.7943003105278854E-2</v>
      </c>
      <c r="F2039" s="64">
        <v>2036</v>
      </c>
      <c r="G2039" s="64">
        <f t="shared" ca="1" si="65"/>
        <v>-1.4707493867305787E-2</v>
      </c>
    </row>
    <row r="2040" spans="2:7" x14ac:dyDescent="0.3">
      <c r="B2040" s="55">
        <v>44833</v>
      </c>
      <c r="C2040" s="54">
        <v>4240.55</v>
      </c>
      <c r="D2040" s="56">
        <f t="shared" si="64"/>
        <v>0.1286463323751732</v>
      </c>
      <c r="E2040" s="64">
        <v>-1.7970658731169431E-2</v>
      </c>
      <c r="F2040" s="64">
        <v>2037</v>
      </c>
      <c r="G2040" s="64">
        <f t="shared" ca="1" si="65"/>
        <v>2.5892479657826555E-3</v>
      </c>
    </row>
    <row r="2041" spans="2:7" x14ac:dyDescent="0.3">
      <c r="B2041" s="55">
        <v>46009</v>
      </c>
      <c r="C2041" s="54">
        <v>3757.2</v>
      </c>
      <c r="D2041" s="56">
        <f t="shared" si="64"/>
        <v>7.4542821901646406E-3</v>
      </c>
      <c r="E2041" s="64">
        <v>-1.8033558099419755E-2</v>
      </c>
      <c r="F2041" s="64">
        <v>2038</v>
      </c>
      <c r="G2041" s="64">
        <f t="shared" ca="1" si="65"/>
        <v>2.8116242917338476E-2</v>
      </c>
    </row>
    <row r="2042" spans="2:7" x14ac:dyDescent="0.3">
      <c r="B2042" s="55">
        <v>45189</v>
      </c>
      <c r="C2042" s="54">
        <v>3729.4</v>
      </c>
      <c r="D2042" s="56">
        <f t="shared" si="64"/>
        <v>1.5969847846523453</v>
      </c>
      <c r="E2042" s="64">
        <v>-1.8036283209141857E-2</v>
      </c>
      <c r="F2042" s="64">
        <v>2039</v>
      </c>
      <c r="G2042" s="64">
        <f t="shared" ca="1" si="65"/>
        <v>2.464184147875325E-2</v>
      </c>
    </row>
    <row r="2043" spans="2:7" x14ac:dyDescent="0.3">
      <c r="B2043" s="55">
        <v>43409</v>
      </c>
      <c r="C2043" s="54">
        <v>1436.05</v>
      </c>
      <c r="D2043" s="56">
        <f t="shared" si="64"/>
        <v>4.9744152046783618E-2</v>
      </c>
      <c r="E2043" s="64">
        <v>-1.8085470085470123E-2</v>
      </c>
      <c r="F2043" s="64">
        <v>2040</v>
      </c>
      <c r="G2043" s="64">
        <f t="shared" ca="1" si="65"/>
        <v>7.5192803752194099E-3</v>
      </c>
    </row>
    <row r="2044" spans="2:7" x14ac:dyDescent="0.3">
      <c r="B2044" s="55">
        <v>43482</v>
      </c>
      <c r="C2044" s="54">
        <v>1368</v>
      </c>
      <c r="D2044" s="56">
        <f t="shared" si="64"/>
        <v>-0.72284970471743026</v>
      </c>
      <c r="E2044" s="64">
        <v>-1.8123093486452579E-2</v>
      </c>
      <c r="F2044" s="64">
        <v>2041</v>
      </c>
      <c r="G2044" s="64">
        <f t="shared" ca="1" si="65"/>
        <v>-8.1922565062130127E-3</v>
      </c>
    </row>
    <row r="2045" spans="2:7" x14ac:dyDescent="0.3">
      <c r="B2045" s="55">
        <v>45504</v>
      </c>
      <c r="C2045" s="54">
        <v>4935.95</v>
      </c>
      <c r="D2045" s="56">
        <f t="shared" si="64"/>
        <v>5.9677442123094293</v>
      </c>
      <c r="E2045" s="64">
        <v>-1.8151257161043932E-2</v>
      </c>
      <c r="F2045" s="64">
        <v>2042</v>
      </c>
      <c r="G2045" s="64">
        <f t="shared" ca="1" si="65"/>
        <v>-5.4630590314505414E-2</v>
      </c>
    </row>
    <row r="2046" spans="2:7" x14ac:dyDescent="0.3">
      <c r="B2046" s="55">
        <v>42878</v>
      </c>
      <c r="C2046" s="54">
        <v>708.4</v>
      </c>
      <c r="D2046" s="56">
        <f t="shared" si="64"/>
        <v>-8.634810085767719E-2</v>
      </c>
      <c r="E2046" s="64">
        <v>-1.8224655256045996E-2</v>
      </c>
      <c r="F2046" s="64">
        <v>2043</v>
      </c>
      <c r="G2046" s="64">
        <f t="shared" ca="1" si="65"/>
        <v>1.1286005575842766E-2</v>
      </c>
    </row>
    <row r="2047" spans="2:7" x14ac:dyDescent="0.3">
      <c r="B2047" s="55">
        <v>42892</v>
      </c>
      <c r="C2047" s="54">
        <v>775.35</v>
      </c>
      <c r="D2047" s="56">
        <f t="shared" si="64"/>
        <v>-0.74282302602119499</v>
      </c>
      <c r="E2047" s="64">
        <v>-1.8233618233618243E-2</v>
      </c>
      <c r="F2047" s="64">
        <v>2044</v>
      </c>
      <c r="G2047" s="64">
        <f t="shared" ca="1" si="65"/>
        <v>-2.7349071328428357E-2</v>
      </c>
    </row>
    <row r="2048" spans="2:7" x14ac:dyDescent="0.3">
      <c r="B2048" s="55">
        <v>44272</v>
      </c>
      <c r="C2048" s="54">
        <v>3014.85</v>
      </c>
      <c r="D2048" s="56">
        <f t="shared" si="64"/>
        <v>-0.17788776178010468</v>
      </c>
      <c r="E2048" s="64">
        <v>-1.8283946597199674E-2</v>
      </c>
      <c r="F2048" s="64">
        <v>2045</v>
      </c>
      <c r="G2048" s="64">
        <f t="shared" ca="1" si="65"/>
        <v>2.3368929458094649E-2</v>
      </c>
    </row>
    <row r="2049" spans="2:7" x14ac:dyDescent="0.3">
      <c r="B2049" s="55">
        <v>46051</v>
      </c>
      <c r="C2049" s="54">
        <v>3667.2</v>
      </c>
      <c r="D2049" s="56">
        <f t="shared" si="64"/>
        <v>0.28542886185986172</v>
      </c>
      <c r="E2049" s="64">
        <v>-1.8336590197285618E-2</v>
      </c>
      <c r="F2049" s="64">
        <v>2046</v>
      </c>
      <c r="G2049" s="64">
        <f t="shared" ca="1" si="65"/>
        <v>2.0130068512102892E-3</v>
      </c>
    </row>
    <row r="2050" spans="2:7" x14ac:dyDescent="0.3">
      <c r="B2050" s="55">
        <v>44316</v>
      </c>
      <c r="C2050" s="54">
        <v>2852.9</v>
      </c>
      <c r="D2050" s="56">
        <f t="shared" si="64"/>
        <v>-0.12778024061023885</v>
      </c>
      <c r="E2050" s="64">
        <v>-1.8390765048944435E-2</v>
      </c>
      <c r="F2050" s="64">
        <v>2047</v>
      </c>
      <c r="G2050" s="64">
        <f t="shared" ca="1" si="65"/>
        <v>-9.2607791401359829E-3</v>
      </c>
    </row>
    <row r="2051" spans="2:7" x14ac:dyDescent="0.3">
      <c r="B2051" s="55">
        <v>44376</v>
      </c>
      <c r="C2051" s="54">
        <v>3270.85</v>
      </c>
      <c r="D2051" s="56">
        <f t="shared" si="64"/>
        <v>-0.3589459655449504</v>
      </c>
      <c r="E2051" s="64">
        <v>-1.8411259828341575E-2</v>
      </c>
      <c r="F2051" s="64">
        <v>2048</v>
      </c>
      <c r="G2051" s="64">
        <f t="shared" ca="1" si="65"/>
        <v>-3.1935091506825407E-2</v>
      </c>
    </row>
    <row r="2052" spans="2:7" x14ac:dyDescent="0.3">
      <c r="B2052" s="55">
        <v>45562</v>
      </c>
      <c r="C2052" s="54">
        <v>5102.3</v>
      </c>
      <c r="D2052" s="56">
        <f t="shared" ref="D2052:D2115" si="66">C2052/C2053-1</f>
        <v>2.5605722260990929</v>
      </c>
      <c r="E2052" s="64">
        <v>-1.8420369176902929E-2</v>
      </c>
      <c r="F2052" s="64">
        <v>2049</v>
      </c>
      <c r="G2052" s="64">
        <f t="shared" ca="1" si="65"/>
        <v>3.6824165774755405E-2</v>
      </c>
    </row>
    <row r="2053" spans="2:7" x14ac:dyDescent="0.3">
      <c r="B2053" s="55">
        <v>43650</v>
      </c>
      <c r="C2053" s="54">
        <v>1433</v>
      </c>
      <c r="D2053" s="56">
        <f t="shared" si="66"/>
        <v>4.9278758146005686E-2</v>
      </c>
      <c r="E2053" s="64">
        <v>-1.8560372577220652E-2</v>
      </c>
      <c r="F2053" s="64">
        <v>2050</v>
      </c>
      <c r="G2053" s="64">
        <f t="shared" ref="G2053:G2116" ca="1" si="67">_xlfn.NORM.INV(RAND(),K$6,K$7)</f>
        <v>-1.5390218397727034E-2</v>
      </c>
    </row>
    <row r="2054" spans="2:7" x14ac:dyDescent="0.3">
      <c r="B2054" s="55">
        <v>43490</v>
      </c>
      <c r="C2054" s="54">
        <v>1365.7</v>
      </c>
      <c r="D2054" s="56">
        <f t="shared" si="66"/>
        <v>-0.58751396901144703</v>
      </c>
      <c r="E2054" s="64">
        <v>-1.8576407603032474E-2</v>
      </c>
      <c r="F2054" s="64">
        <v>2051</v>
      </c>
      <c r="G2054" s="64">
        <f t="shared" ca="1" si="67"/>
        <v>-2.642987197867868E-2</v>
      </c>
    </row>
    <row r="2055" spans="2:7" x14ac:dyDescent="0.3">
      <c r="B2055" s="55">
        <v>44370</v>
      </c>
      <c r="C2055" s="54">
        <v>3310.9</v>
      </c>
      <c r="D2055" s="56">
        <f t="shared" si="66"/>
        <v>-0.25864308105687417</v>
      </c>
      <c r="E2055" s="64">
        <v>-1.8643665896022288E-2</v>
      </c>
      <c r="F2055" s="64">
        <v>2052</v>
      </c>
      <c r="G2055" s="64">
        <f t="shared" ca="1" si="67"/>
        <v>-1.073517973769896E-2</v>
      </c>
    </row>
    <row r="2056" spans="2:7" x14ac:dyDescent="0.3">
      <c r="B2056" s="55">
        <v>46119</v>
      </c>
      <c r="C2056" s="54">
        <v>4466</v>
      </c>
      <c r="D2056" s="56">
        <f t="shared" si="66"/>
        <v>0.1483081353491722</v>
      </c>
      <c r="E2056" s="64">
        <v>-1.8741897919275829E-2</v>
      </c>
      <c r="F2056" s="64">
        <v>2053</v>
      </c>
      <c r="G2056" s="64">
        <f t="shared" ca="1" si="67"/>
        <v>2.6874868672664524E-2</v>
      </c>
    </row>
    <row r="2057" spans="2:7" x14ac:dyDescent="0.3">
      <c r="B2057" s="55">
        <v>45107</v>
      </c>
      <c r="C2057" s="54">
        <v>3889.2</v>
      </c>
      <c r="D2057" s="56">
        <f t="shared" si="66"/>
        <v>-0.19268492667282489</v>
      </c>
      <c r="E2057" s="64">
        <v>-1.8770814411141368E-2</v>
      </c>
      <c r="F2057" s="64">
        <v>2054</v>
      </c>
      <c r="G2057" s="64">
        <f t="shared" ca="1" si="67"/>
        <v>-2.6127613205386598E-2</v>
      </c>
    </row>
    <row r="2058" spans="2:7" x14ac:dyDescent="0.3">
      <c r="B2058" s="55">
        <v>45509</v>
      </c>
      <c r="C2058" s="54">
        <v>4817.45</v>
      </c>
      <c r="D2058" s="56">
        <f t="shared" si="66"/>
        <v>0.22027179350785864</v>
      </c>
      <c r="E2058" s="64">
        <v>-1.8789335397274787E-2</v>
      </c>
      <c r="F2058" s="64">
        <v>2055</v>
      </c>
      <c r="G2058" s="64">
        <f t="shared" ca="1" si="67"/>
        <v>1.1041299386113292E-2</v>
      </c>
    </row>
    <row r="2059" spans="2:7" x14ac:dyDescent="0.3">
      <c r="B2059" s="55">
        <v>45691</v>
      </c>
      <c r="C2059" s="54">
        <v>3947.85</v>
      </c>
      <c r="D2059" s="56">
        <f t="shared" si="66"/>
        <v>4.6882919412061241E-4</v>
      </c>
      <c r="E2059" s="64">
        <v>-1.8863000931966467E-2</v>
      </c>
      <c r="F2059" s="64">
        <v>2056</v>
      </c>
      <c r="G2059" s="64">
        <f t="shared" ca="1" si="67"/>
        <v>2.921971838252161E-2</v>
      </c>
    </row>
    <row r="2060" spans="2:7" x14ac:dyDescent="0.3">
      <c r="B2060" s="55">
        <v>46239</v>
      </c>
      <c r="C2060" s="54">
        <v>3946</v>
      </c>
      <c r="D2060" s="56">
        <f t="shared" si="66"/>
        <v>1.0986570934716129</v>
      </c>
      <c r="E2060" s="64">
        <v>-1.9139945314441964E-2</v>
      </c>
      <c r="F2060" s="64">
        <v>2057</v>
      </c>
      <c r="G2060" s="64">
        <f t="shared" ca="1" si="67"/>
        <v>2.0864003121586427E-2</v>
      </c>
    </row>
    <row r="2061" spans="2:7" x14ac:dyDescent="0.3">
      <c r="B2061" s="55">
        <v>43732</v>
      </c>
      <c r="C2061" s="54">
        <v>1880.25</v>
      </c>
      <c r="D2061" s="56">
        <f t="shared" si="66"/>
        <v>0.2050953372856914</v>
      </c>
      <c r="E2061" s="64">
        <v>-1.9170579029733958E-2</v>
      </c>
      <c r="F2061" s="64">
        <v>2058</v>
      </c>
      <c r="G2061" s="64">
        <f t="shared" ca="1" si="67"/>
        <v>2.8023736112374797E-2</v>
      </c>
    </row>
    <row r="2062" spans="2:7" x14ac:dyDescent="0.3">
      <c r="B2062" s="55">
        <v>43467</v>
      </c>
      <c r="C2062" s="54">
        <v>1560.25</v>
      </c>
      <c r="D2062" s="56">
        <f t="shared" si="66"/>
        <v>2.5131406044678117E-2</v>
      </c>
      <c r="E2062" s="64">
        <v>-1.9173345906019157E-2</v>
      </c>
      <c r="F2062" s="64">
        <v>2059</v>
      </c>
      <c r="G2062" s="64">
        <f t="shared" ca="1" si="67"/>
        <v>-1.1688400016902457E-2</v>
      </c>
    </row>
    <row r="2063" spans="2:7" x14ac:dyDescent="0.3">
      <c r="B2063" s="55">
        <v>43300</v>
      </c>
      <c r="C2063" s="54">
        <v>1522</v>
      </c>
      <c r="D2063" s="56">
        <f t="shared" si="66"/>
        <v>-0.57562492157983525</v>
      </c>
      <c r="E2063" s="64">
        <v>-1.9203505606392501E-2</v>
      </c>
      <c r="F2063" s="64">
        <v>2060</v>
      </c>
      <c r="G2063" s="64">
        <f t="shared" ca="1" si="67"/>
        <v>4.1803896923823781E-2</v>
      </c>
    </row>
    <row r="2064" spans="2:7" x14ac:dyDescent="0.3">
      <c r="B2064" s="55">
        <v>44706</v>
      </c>
      <c r="C2064" s="54">
        <v>3586.45</v>
      </c>
      <c r="D2064" s="56">
        <f t="shared" si="66"/>
        <v>-0.29283658017193792</v>
      </c>
      <c r="E2064" s="64">
        <v>-1.9224721405619816E-2</v>
      </c>
      <c r="F2064" s="64">
        <v>2061</v>
      </c>
      <c r="G2064" s="64">
        <f t="shared" ca="1" si="67"/>
        <v>3.73051087202355E-2</v>
      </c>
    </row>
    <row r="2065" spans="2:7" x14ac:dyDescent="0.3">
      <c r="B2065" s="55">
        <v>45499</v>
      </c>
      <c r="C2065" s="54">
        <v>5071.6000000000004</v>
      </c>
      <c r="D2065" s="56">
        <f t="shared" si="66"/>
        <v>2.5316319069670281</v>
      </c>
      <c r="E2065" s="64">
        <v>-1.9288967097566445E-2</v>
      </c>
      <c r="F2065" s="64">
        <v>2062</v>
      </c>
      <c r="G2065" s="64">
        <f t="shared" ca="1" si="67"/>
        <v>-2.5102977137572785E-2</v>
      </c>
    </row>
    <row r="2066" spans="2:7" x14ac:dyDescent="0.3">
      <c r="B2066" s="55">
        <v>43514</v>
      </c>
      <c r="C2066" s="54">
        <v>1436.05</v>
      </c>
      <c r="D2066" s="56">
        <f t="shared" si="66"/>
        <v>-8.7295029871615637E-2</v>
      </c>
      <c r="E2066" s="64">
        <v>-1.9292494707368713E-2</v>
      </c>
      <c r="F2066" s="64">
        <v>2063</v>
      </c>
      <c r="G2066" s="64">
        <f t="shared" ca="1" si="67"/>
        <v>9.1029231375636295E-3</v>
      </c>
    </row>
    <row r="2067" spans="2:7" x14ac:dyDescent="0.3">
      <c r="B2067" s="55">
        <v>43347</v>
      </c>
      <c r="C2067" s="54">
        <v>1573.4</v>
      </c>
      <c r="D2067" s="56">
        <f t="shared" si="66"/>
        <v>-0.60700369667299425</v>
      </c>
      <c r="E2067" s="64">
        <v>-1.9474651793225939E-2</v>
      </c>
      <c r="F2067" s="64">
        <v>2064</v>
      </c>
      <c r="G2067" s="64">
        <f t="shared" ca="1" si="67"/>
        <v>3.0898886811812416E-2</v>
      </c>
    </row>
    <row r="2068" spans="2:7" x14ac:dyDescent="0.3">
      <c r="B2068" s="55">
        <v>45748</v>
      </c>
      <c r="C2068" s="54">
        <v>4003.6</v>
      </c>
      <c r="D2068" s="56">
        <f t="shared" si="66"/>
        <v>6.6020529069535261E-2</v>
      </c>
      <c r="E2068" s="64">
        <v>-1.9494514106583094E-2</v>
      </c>
      <c r="F2068" s="64">
        <v>2065</v>
      </c>
      <c r="G2068" s="64">
        <f t="shared" ca="1" si="67"/>
        <v>2.2758589568074437E-2</v>
      </c>
    </row>
    <row r="2069" spans="2:7" x14ac:dyDescent="0.3">
      <c r="B2069" s="55">
        <v>44722</v>
      </c>
      <c r="C2069" s="54">
        <v>3755.65</v>
      </c>
      <c r="D2069" s="56">
        <f t="shared" si="66"/>
        <v>-7.5714320872197538E-2</v>
      </c>
      <c r="E2069" s="64">
        <v>-1.9502134269714255E-2</v>
      </c>
      <c r="F2069" s="64">
        <v>2066</v>
      </c>
      <c r="G2069" s="64">
        <f t="shared" ca="1" si="67"/>
        <v>-9.936276187594701E-3</v>
      </c>
    </row>
    <row r="2070" spans="2:7" x14ac:dyDescent="0.3">
      <c r="B2070" s="55">
        <v>46181</v>
      </c>
      <c r="C2070" s="54">
        <v>4063.3</v>
      </c>
      <c r="D2070" s="56">
        <f t="shared" si="66"/>
        <v>3.7641410659107866E-2</v>
      </c>
      <c r="E2070" s="64">
        <v>-1.9521258626514104E-2</v>
      </c>
      <c r="F2070" s="64">
        <v>2067</v>
      </c>
      <c r="G2070" s="64">
        <f t="shared" ca="1" si="67"/>
        <v>2.0259701619124097E-2</v>
      </c>
    </row>
    <row r="2071" spans="2:7" x14ac:dyDescent="0.3">
      <c r="B2071" s="55">
        <v>46217</v>
      </c>
      <c r="C2071" s="54">
        <v>3915.9</v>
      </c>
      <c r="D2071" s="56">
        <f t="shared" si="66"/>
        <v>0.25198625209815373</v>
      </c>
      <c r="E2071" s="64">
        <v>-1.9578878846298275E-2</v>
      </c>
      <c r="F2071" s="64">
        <v>2068</v>
      </c>
      <c r="G2071" s="64">
        <f t="shared" ca="1" si="67"/>
        <v>-6.3735044569139905E-3</v>
      </c>
    </row>
    <row r="2072" spans="2:7" x14ac:dyDescent="0.3">
      <c r="B2072" s="55">
        <v>44245</v>
      </c>
      <c r="C2072" s="54">
        <v>3127.75</v>
      </c>
      <c r="D2072" s="56">
        <f t="shared" si="66"/>
        <v>-0.26416270644144357</v>
      </c>
      <c r="E2072" s="64">
        <v>-1.9590941148812768E-2</v>
      </c>
      <c r="F2072" s="64">
        <v>2069</v>
      </c>
      <c r="G2072" s="64">
        <f t="shared" ca="1" si="67"/>
        <v>1.5200897807687951E-2</v>
      </c>
    </row>
    <row r="2073" spans="2:7" x14ac:dyDescent="0.3">
      <c r="B2073" s="55">
        <v>45832</v>
      </c>
      <c r="C2073" s="54">
        <v>4250.6000000000004</v>
      </c>
      <c r="D2073" s="56">
        <f t="shared" si="66"/>
        <v>1.8817627118644071</v>
      </c>
      <c r="E2073" s="64">
        <v>-1.9650352876055099E-2</v>
      </c>
      <c r="F2073" s="64">
        <v>2070</v>
      </c>
      <c r="G2073" s="64">
        <f t="shared" ca="1" si="67"/>
        <v>-9.2151812618838942E-3</v>
      </c>
    </row>
    <row r="2074" spans="2:7" x14ac:dyDescent="0.3">
      <c r="B2074" s="55">
        <v>43697</v>
      </c>
      <c r="C2074" s="54">
        <v>1475</v>
      </c>
      <c r="D2074" s="56">
        <f t="shared" si="66"/>
        <v>-0.31005449400098228</v>
      </c>
      <c r="E2074" s="64">
        <v>-1.9738153784807588E-2</v>
      </c>
      <c r="F2074" s="64">
        <v>2071</v>
      </c>
      <c r="G2074" s="64">
        <f t="shared" ca="1" si="67"/>
        <v>1.4853749402371309E-2</v>
      </c>
    </row>
    <row r="2075" spans="2:7" x14ac:dyDescent="0.3">
      <c r="B2075" s="55">
        <v>43937</v>
      </c>
      <c r="C2075" s="54">
        <v>2137.85</v>
      </c>
      <c r="D2075" s="56">
        <f t="shared" si="66"/>
        <v>0.50003508279539699</v>
      </c>
      <c r="E2075" s="64">
        <v>-1.9739557063597646E-2</v>
      </c>
      <c r="F2075" s="64">
        <v>2072</v>
      </c>
      <c r="G2075" s="64">
        <f t="shared" ca="1" si="67"/>
        <v>2.1049356620519828E-2</v>
      </c>
    </row>
    <row r="2076" spans="2:7" x14ac:dyDescent="0.3">
      <c r="B2076" s="55">
        <v>43234</v>
      </c>
      <c r="C2076" s="54">
        <v>1425.2</v>
      </c>
      <c r="D2076" s="56">
        <f t="shared" si="66"/>
        <v>9.2190972488313205E-2</v>
      </c>
      <c r="E2076" s="64">
        <v>-1.9740009629273025E-2</v>
      </c>
      <c r="F2076" s="64">
        <v>2073</v>
      </c>
      <c r="G2076" s="64">
        <f t="shared" ca="1" si="67"/>
        <v>2.2208382788577279E-2</v>
      </c>
    </row>
    <row r="2077" spans="2:7" x14ac:dyDescent="0.3">
      <c r="B2077" s="55">
        <v>43381</v>
      </c>
      <c r="C2077" s="54">
        <v>1304.9000000000001</v>
      </c>
      <c r="D2077" s="56">
        <f t="shared" si="66"/>
        <v>-0.64213037874009271</v>
      </c>
      <c r="E2077" s="64">
        <v>-1.9756610576923017E-2</v>
      </c>
      <c r="F2077" s="64">
        <v>2074</v>
      </c>
      <c r="G2077" s="64">
        <f t="shared" ca="1" si="67"/>
        <v>-1.5844048754204932E-3</v>
      </c>
    </row>
    <row r="2078" spans="2:7" x14ac:dyDescent="0.3">
      <c r="B2078" s="55">
        <v>46027</v>
      </c>
      <c r="C2078" s="54">
        <v>3646.3</v>
      </c>
      <c r="D2078" s="56">
        <f t="shared" si="66"/>
        <v>-0.1082006505735319</v>
      </c>
      <c r="E2078" s="64">
        <v>-1.9759126834776097E-2</v>
      </c>
      <c r="F2078" s="64">
        <v>2075</v>
      </c>
      <c r="G2078" s="64">
        <f t="shared" ca="1" si="67"/>
        <v>1.5504941506258023E-2</v>
      </c>
    </row>
    <row r="2079" spans="2:7" x14ac:dyDescent="0.3">
      <c r="B2079" s="55">
        <v>44663</v>
      </c>
      <c r="C2079" s="54">
        <v>4088.7</v>
      </c>
      <c r="D2079" s="56">
        <f t="shared" si="66"/>
        <v>0.39784615384615374</v>
      </c>
      <c r="E2079" s="64">
        <v>-1.9872470994342861E-2</v>
      </c>
      <c r="F2079" s="64">
        <v>2076</v>
      </c>
      <c r="G2079" s="64">
        <f t="shared" ca="1" si="67"/>
        <v>-1.6672316508591953E-2</v>
      </c>
    </row>
    <row r="2080" spans="2:7" x14ac:dyDescent="0.3">
      <c r="B2080" s="55">
        <v>44236</v>
      </c>
      <c r="C2080" s="54">
        <v>2925</v>
      </c>
      <c r="D2080" s="56">
        <f t="shared" si="66"/>
        <v>1.0941471272597099</v>
      </c>
      <c r="E2080" s="64">
        <v>-1.9903498190591118E-2</v>
      </c>
      <c r="F2080" s="64">
        <v>2077</v>
      </c>
      <c r="G2080" s="64">
        <f t="shared" ca="1" si="67"/>
        <v>2.3669679295170783E-2</v>
      </c>
    </row>
    <row r="2081" spans="2:7" x14ac:dyDescent="0.3">
      <c r="B2081" s="55">
        <v>43413</v>
      </c>
      <c r="C2081" s="54">
        <v>1396.75</v>
      </c>
      <c r="D2081" s="56">
        <f t="shared" si="66"/>
        <v>-0.64587690942511244</v>
      </c>
      <c r="E2081" s="64">
        <v>-1.9927726905939802E-2</v>
      </c>
      <c r="F2081" s="64">
        <v>2078</v>
      </c>
      <c r="G2081" s="64">
        <f t="shared" ca="1" si="67"/>
        <v>1.1603955397982049E-2</v>
      </c>
    </row>
    <row r="2082" spans="2:7" x14ac:dyDescent="0.3">
      <c r="B2082" s="55">
        <v>44680</v>
      </c>
      <c r="C2082" s="54">
        <v>3944.25</v>
      </c>
      <c r="D2082" s="56">
        <f t="shared" si="66"/>
        <v>2.2674237710018641E-2</v>
      </c>
      <c r="E2082" s="64">
        <v>-1.995254127790691E-2</v>
      </c>
      <c r="F2082" s="64">
        <v>2079</v>
      </c>
      <c r="G2082" s="64">
        <f t="shared" ca="1" si="67"/>
        <v>2.431143309423324E-2</v>
      </c>
    </row>
    <row r="2083" spans="2:7" x14ac:dyDescent="0.3">
      <c r="B2083" s="55">
        <v>45215</v>
      </c>
      <c r="C2083" s="54">
        <v>3856.8</v>
      </c>
      <c r="D2083" s="56">
        <f t="shared" si="66"/>
        <v>-9.4881603341860132E-2</v>
      </c>
      <c r="E2083" s="64">
        <v>-2.008460688288416E-2</v>
      </c>
      <c r="F2083" s="64">
        <v>2080</v>
      </c>
      <c r="G2083" s="64">
        <f t="shared" ca="1" si="67"/>
        <v>-7.8381918512630648E-4</v>
      </c>
    </row>
    <row r="2084" spans="2:7" x14ac:dyDescent="0.3">
      <c r="B2084" s="55">
        <v>45842</v>
      </c>
      <c r="C2084" s="54">
        <v>4261.1000000000004</v>
      </c>
      <c r="D2084" s="56">
        <f t="shared" si="66"/>
        <v>2.2748722284133267</v>
      </c>
      <c r="E2084" s="64">
        <v>-2.0143951065835664E-2</v>
      </c>
      <c r="F2084" s="64">
        <v>2081</v>
      </c>
      <c r="G2084" s="64">
        <f t="shared" ca="1" si="67"/>
        <v>-2.914845413652286E-2</v>
      </c>
    </row>
    <row r="2085" spans="2:7" x14ac:dyDescent="0.3">
      <c r="B2085" s="55">
        <v>43581</v>
      </c>
      <c r="C2085" s="54">
        <v>1301.1500000000001</v>
      </c>
      <c r="D2085" s="56">
        <f t="shared" si="66"/>
        <v>-0.70300837689164819</v>
      </c>
      <c r="E2085" s="64">
        <v>-2.0255261473589026E-2</v>
      </c>
      <c r="F2085" s="64">
        <v>2082</v>
      </c>
      <c r="G2085" s="64">
        <f t="shared" ca="1" si="67"/>
        <v>2.9232026279035428E-2</v>
      </c>
    </row>
    <row r="2086" spans="2:7" x14ac:dyDescent="0.3">
      <c r="B2086" s="55">
        <v>44845</v>
      </c>
      <c r="C2086" s="54">
        <v>4381.1000000000004</v>
      </c>
      <c r="D2086" s="56">
        <f t="shared" si="66"/>
        <v>1.281822916666667</v>
      </c>
      <c r="E2086" s="64">
        <v>-2.0271705708056031E-2</v>
      </c>
      <c r="F2086" s="64">
        <v>2083</v>
      </c>
      <c r="G2086" s="64">
        <f t="shared" ca="1" si="67"/>
        <v>2.4749361841929898E-2</v>
      </c>
    </row>
    <row r="2087" spans="2:7" x14ac:dyDescent="0.3">
      <c r="B2087" s="55">
        <v>43783</v>
      </c>
      <c r="C2087" s="54">
        <v>1920</v>
      </c>
      <c r="D2087" s="56">
        <f t="shared" si="66"/>
        <v>-0.46868860171015858</v>
      </c>
      <c r="E2087" s="64">
        <v>-2.0383173040128599E-2</v>
      </c>
      <c r="F2087" s="64">
        <v>2084</v>
      </c>
      <c r="G2087" s="64">
        <f t="shared" ca="1" si="67"/>
        <v>-3.942775462780497E-3</v>
      </c>
    </row>
    <row r="2088" spans="2:7" x14ac:dyDescent="0.3">
      <c r="B2088" s="55">
        <v>46054</v>
      </c>
      <c r="C2088" s="54">
        <v>3613.7</v>
      </c>
      <c r="D2088" s="56">
        <f t="shared" si="66"/>
        <v>1.3241470238286652</v>
      </c>
      <c r="E2088" s="64">
        <v>-2.0544789266838337E-2</v>
      </c>
      <c r="F2088" s="64">
        <v>2085</v>
      </c>
      <c r="G2088" s="64">
        <f t="shared" ca="1" si="67"/>
        <v>-4.4228494137804608E-3</v>
      </c>
    </row>
    <row r="2089" spans="2:7" x14ac:dyDescent="0.3">
      <c r="B2089" s="55">
        <v>43335</v>
      </c>
      <c r="C2089" s="54">
        <v>1554.85</v>
      </c>
      <c r="D2089" s="56">
        <f t="shared" si="66"/>
        <v>-0.66177222349115195</v>
      </c>
      <c r="E2089" s="64">
        <v>-2.056692913385838E-2</v>
      </c>
      <c r="F2089" s="64">
        <v>2086</v>
      </c>
      <c r="G2089" s="64">
        <f t="shared" ca="1" si="67"/>
        <v>1.8984862478661083E-3</v>
      </c>
    </row>
    <row r="2090" spans="2:7" x14ac:dyDescent="0.3">
      <c r="B2090" s="55">
        <v>45426</v>
      </c>
      <c r="C2090" s="54">
        <v>4597.05</v>
      </c>
      <c r="D2090" s="56">
        <f t="shared" si="66"/>
        <v>0.12460552388873958</v>
      </c>
      <c r="E2090" s="64">
        <v>-2.0591431067175092E-2</v>
      </c>
      <c r="F2090" s="64">
        <v>2087</v>
      </c>
      <c r="G2090" s="64">
        <f t="shared" ca="1" si="67"/>
        <v>-1.1990744196354861E-2</v>
      </c>
    </row>
    <row r="2091" spans="2:7" x14ac:dyDescent="0.3">
      <c r="B2091" s="55">
        <v>45582</v>
      </c>
      <c r="C2091" s="54">
        <v>4087.7</v>
      </c>
      <c r="D2091" s="56">
        <f t="shared" si="66"/>
        <v>-0.11780384370515051</v>
      </c>
      <c r="E2091" s="64">
        <v>-2.0628683693516781E-2</v>
      </c>
      <c r="F2091" s="64">
        <v>2088</v>
      </c>
      <c r="G2091" s="64">
        <f t="shared" ca="1" si="67"/>
        <v>1.8172822372819898E-2</v>
      </c>
    </row>
    <row r="2092" spans="2:7" x14ac:dyDescent="0.3">
      <c r="B2092" s="55">
        <v>44571</v>
      </c>
      <c r="C2092" s="54">
        <v>4633.55</v>
      </c>
      <c r="D2092" s="56">
        <f t="shared" si="66"/>
        <v>0.20851047181867988</v>
      </c>
      <c r="E2092" s="64">
        <v>-2.0670633117397808E-2</v>
      </c>
      <c r="F2092" s="64">
        <v>2089</v>
      </c>
      <c r="G2092" s="64">
        <f t="shared" ca="1" si="67"/>
        <v>-6.295069637714118E-3</v>
      </c>
    </row>
    <row r="2093" spans="2:7" x14ac:dyDescent="0.3">
      <c r="B2093" s="55">
        <v>46072</v>
      </c>
      <c r="C2093" s="54">
        <v>3834.1</v>
      </c>
      <c r="D2093" s="56">
        <f t="shared" si="66"/>
        <v>0.17234631319848948</v>
      </c>
      <c r="E2093" s="64">
        <v>-2.0714139762975092E-2</v>
      </c>
      <c r="F2093" s="64">
        <v>2090</v>
      </c>
      <c r="G2093" s="64">
        <f t="shared" ca="1" si="67"/>
        <v>-3.496895144860122E-3</v>
      </c>
    </row>
    <row r="2094" spans="2:7" x14ac:dyDescent="0.3">
      <c r="B2094" s="55">
        <v>44693</v>
      </c>
      <c r="C2094" s="54">
        <v>3270.45</v>
      </c>
      <c r="D2094" s="56">
        <f t="shared" si="66"/>
        <v>0.16968884120171657</v>
      </c>
      <c r="E2094" s="64">
        <v>-2.0735395394795963E-2</v>
      </c>
      <c r="F2094" s="64">
        <v>2091</v>
      </c>
      <c r="G2094" s="64">
        <f t="shared" ca="1" si="67"/>
        <v>2.6849029690430473E-2</v>
      </c>
    </row>
    <row r="2095" spans="2:7" x14ac:dyDescent="0.3">
      <c r="B2095" s="55">
        <v>44280</v>
      </c>
      <c r="C2095" s="54">
        <v>2796</v>
      </c>
      <c r="D2095" s="56">
        <f t="shared" si="66"/>
        <v>-0.43330833620462506</v>
      </c>
      <c r="E2095" s="64">
        <v>-2.087127048606241E-2</v>
      </c>
      <c r="F2095" s="64">
        <v>2092</v>
      </c>
      <c r="G2095" s="64">
        <f t="shared" ca="1" si="67"/>
        <v>3.0922389596721486E-2</v>
      </c>
    </row>
    <row r="2096" spans="2:7" x14ac:dyDescent="0.3">
      <c r="B2096" s="55">
        <v>45462</v>
      </c>
      <c r="C2096" s="54">
        <v>4933.8999999999996</v>
      </c>
      <c r="D2096" s="56">
        <f t="shared" si="66"/>
        <v>0.49001902576027523</v>
      </c>
      <c r="E2096" s="64">
        <v>-2.0915603357609336E-2</v>
      </c>
      <c r="F2096" s="64">
        <v>2093</v>
      </c>
      <c r="G2096" s="64">
        <f t="shared" ca="1" si="67"/>
        <v>-1.3691146480439577E-2</v>
      </c>
    </row>
    <row r="2097" spans="2:7" x14ac:dyDescent="0.3">
      <c r="B2097" s="55">
        <v>45002</v>
      </c>
      <c r="C2097" s="54">
        <v>3311.3</v>
      </c>
      <c r="D2097" s="56">
        <f t="shared" si="66"/>
        <v>3.3443977958541069</v>
      </c>
      <c r="E2097" s="64">
        <v>-2.0948213414544004E-2</v>
      </c>
      <c r="F2097" s="64">
        <v>2094</v>
      </c>
      <c r="G2097" s="64">
        <f t="shared" ca="1" si="67"/>
        <v>-8.0329007789700316E-3</v>
      </c>
    </row>
    <row r="2098" spans="2:7" x14ac:dyDescent="0.3">
      <c r="B2098" s="55">
        <v>42837</v>
      </c>
      <c r="C2098" s="54">
        <v>762.2</v>
      </c>
      <c r="D2098" s="56">
        <f t="shared" si="66"/>
        <v>-0.82204893537542023</v>
      </c>
      <c r="E2098" s="64">
        <v>-2.10005779975595E-2</v>
      </c>
      <c r="F2098" s="64">
        <v>2095</v>
      </c>
      <c r="G2098" s="64">
        <f t="shared" ca="1" si="67"/>
        <v>2.4804218490209543E-3</v>
      </c>
    </row>
    <row r="2099" spans="2:7" x14ac:dyDescent="0.3">
      <c r="B2099" s="55">
        <v>44831</v>
      </c>
      <c r="C2099" s="54">
        <v>4283.2</v>
      </c>
      <c r="D2099" s="56">
        <f t="shared" si="66"/>
        <v>0.63122917261734734</v>
      </c>
      <c r="E2099" s="64">
        <v>-2.1049985143875904E-2</v>
      </c>
      <c r="F2099" s="64">
        <v>2096</v>
      </c>
      <c r="G2099" s="64">
        <f t="shared" ca="1" si="67"/>
        <v>2.6682696445303822E-3</v>
      </c>
    </row>
    <row r="2100" spans="2:7" x14ac:dyDescent="0.3">
      <c r="B2100" s="55">
        <v>44187</v>
      </c>
      <c r="C2100" s="54">
        <v>2625.75</v>
      </c>
      <c r="D2100" s="56">
        <f t="shared" si="66"/>
        <v>0.71019637216269915</v>
      </c>
      <c r="E2100" s="64">
        <v>-2.1119147032508279E-2</v>
      </c>
      <c r="F2100" s="64">
        <v>2097</v>
      </c>
      <c r="G2100" s="64">
        <f t="shared" ca="1" si="67"/>
        <v>9.261819025776578E-3</v>
      </c>
    </row>
    <row r="2101" spans="2:7" x14ac:dyDescent="0.3">
      <c r="B2101" s="55">
        <v>43266</v>
      </c>
      <c r="C2101" s="54">
        <v>1535.35</v>
      </c>
      <c r="D2101" s="56">
        <f t="shared" si="66"/>
        <v>0.39780589949016743</v>
      </c>
      <c r="E2101" s="64">
        <v>-2.1134842205929316E-2</v>
      </c>
      <c r="F2101" s="64">
        <v>2098</v>
      </c>
      <c r="G2101" s="64">
        <f t="shared" ca="1" si="67"/>
        <v>-1.2604868206649437E-2</v>
      </c>
    </row>
    <row r="2102" spans="2:7" x14ac:dyDescent="0.3">
      <c r="B2102" s="55">
        <v>43054</v>
      </c>
      <c r="C2102" s="54">
        <v>1098.4000000000001</v>
      </c>
      <c r="D2102" s="56">
        <f t="shared" si="66"/>
        <v>-0.16066175065907617</v>
      </c>
      <c r="E2102" s="64">
        <v>-2.1164728423116341E-2</v>
      </c>
      <c r="F2102" s="64">
        <v>2099</v>
      </c>
      <c r="G2102" s="64">
        <f t="shared" ca="1" si="67"/>
        <v>5.9678948708260663E-3</v>
      </c>
    </row>
    <row r="2103" spans="2:7" x14ac:dyDescent="0.3">
      <c r="B2103" s="55">
        <v>43390</v>
      </c>
      <c r="C2103" s="54">
        <v>1308.6500000000001</v>
      </c>
      <c r="D2103" s="56">
        <f t="shared" si="66"/>
        <v>-0.61701224776481944</v>
      </c>
      <c r="E2103" s="64">
        <v>-2.1167582931298834E-2</v>
      </c>
      <c r="F2103" s="64">
        <v>2100</v>
      </c>
      <c r="G2103" s="64">
        <f t="shared" ca="1" si="67"/>
        <v>-2.3562421028475541E-2</v>
      </c>
    </row>
    <row r="2104" spans="2:7" x14ac:dyDescent="0.3">
      <c r="B2104" s="55">
        <v>44985</v>
      </c>
      <c r="C2104" s="54">
        <v>3416.95</v>
      </c>
      <c r="D2104" s="56">
        <f t="shared" si="66"/>
        <v>-0.14450063844170158</v>
      </c>
      <c r="E2104" s="64">
        <v>-2.1295792398247193E-2</v>
      </c>
      <c r="F2104" s="64">
        <v>2101</v>
      </c>
      <c r="G2104" s="64">
        <f t="shared" ca="1" si="67"/>
        <v>2.7151574851683041E-2</v>
      </c>
    </row>
    <row r="2105" spans="2:7" x14ac:dyDescent="0.3">
      <c r="B2105" s="55">
        <v>46216</v>
      </c>
      <c r="C2105" s="54">
        <v>3994.1</v>
      </c>
      <c r="D2105" s="56">
        <f t="shared" si="66"/>
        <v>2.0752232830304895</v>
      </c>
      <c r="E2105" s="64">
        <v>-2.1317781970547123E-2</v>
      </c>
      <c r="F2105" s="64">
        <v>2102</v>
      </c>
      <c r="G2105" s="64">
        <f t="shared" ca="1" si="67"/>
        <v>-4.6333655153770872E-2</v>
      </c>
    </row>
    <row r="2106" spans="2:7" x14ac:dyDescent="0.3">
      <c r="B2106" s="55">
        <v>43166</v>
      </c>
      <c r="C2106" s="54">
        <v>1298.8</v>
      </c>
      <c r="D2106" s="56">
        <f t="shared" si="66"/>
        <v>-0.66418450718792021</v>
      </c>
      <c r="E2106" s="64">
        <v>-2.1361564254229082E-2</v>
      </c>
      <c r="F2106" s="64">
        <v>2103</v>
      </c>
      <c r="G2106" s="64">
        <f t="shared" ca="1" si="67"/>
        <v>-1.1852113896917272E-2</v>
      </c>
    </row>
    <row r="2107" spans="2:7" x14ac:dyDescent="0.3">
      <c r="B2107" s="55">
        <v>45999</v>
      </c>
      <c r="C2107" s="54">
        <v>3867.6</v>
      </c>
      <c r="D2107" s="56">
        <f t="shared" si="66"/>
        <v>5.4143556058272813E-2</v>
      </c>
      <c r="E2107" s="64">
        <v>-2.1381037929202207E-2</v>
      </c>
      <c r="F2107" s="64">
        <v>2104</v>
      </c>
      <c r="G2107" s="64">
        <f t="shared" ca="1" si="67"/>
        <v>2.2066215927731177E-2</v>
      </c>
    </row>
    <row r="2108" spans="2:7" x14ac:dyDescent="0.3">
      <c r="B2108" s="55">
        <v>45222</v>
      </c>
      <c r="C2108" s="54">
        <v>3668.95</v>
      </c>
      <c r="D2108" s="56">
        <f t="shared" si="66"/>
        <v>-0.21832456271171996</v>
      </c>
      <c r="E2108" s="64">
        <v>-2.1482864381917599E-2</v>
      </c>
      <c r="F2108" s="64">
        <v>2105</v>
      </c>
      <c r="G2108" s="64">
        <f t="shared" ca="1" si="67"/>
        <v>2.8469701863303498E-2</v>
      </c>
    </row>
    <row r="2109" spans="2:7" x14ac:dyDescent="0.3">
      <c r="B2109" s="55">
        <v>45425</v>
      </c>
      <c r="C2109" s="54">
        <v>4693.7</v>
      </c>
      <c r="D2109" s="56">
        <f t="shared" si="66"/>
        <v>2.1903887982599235</v>
      </c>
      <c r="E2109" s="64">
        <v>-2.1493495663775897E-2</v>
      </c>
      <c r="F2109" s="64">
        <v>2106</v>
      </c>
      <c r="G2109" s="64">
        <f t="shared" ca="1" si="67"/>
        <v>-2.7712111270898059E-2</v>
      </c>
    </row>
    <row r="2110" spans="2:7" x14ac:dyDescent="0.3">
      <c r="B2110" s="55">
        <v>43549</v>
      </c>
      <c r="C2110" s="54">
        <v>1471.2</v>
      </c>
      <c r="D2110" s="56">
        <f t="shared" si="66"/>
        <v>-0.64499782829014041</v>
      </c>
      <c r="E2110" s="64">
        <v>-2.1613353727472195E-2</v>
      </c>
      <c r="F2110" s="64">
        <v>2107</v>
      </c>
      <c r="G2110" s="64">
        <f t="shared" ca="1" si="67"/>
        <v>2.6487025270673578E-2</v>
      </c>
    </row>
    <row r="2111" spans="2:7" x14ac:dyDescent="0.3">
      <c r="B2111" s="55">
        <v>46162</v>
      </c>
      <c r="C2111" s="54">
        <v>4144.2</v>
      </c>
      <c r="D2111" s="56">
        <f t="shared" si="66"/>
        <v>5.3940642404821881E-2</v>
      </c>
      <c r="E2111" s="64">
        <v>-2.1671388101982991E-2</v>
      </c>
      <c r="F2111" s="64">
        <v>2108</v>
      </c>
      <c r="G2111" s="64">
        <f t="shared" ca="1" si="67"/>
        <v>-1.2826548840725078E-2</v>
      </c>
    </row>
    <row r="2112" spans="2:7" x14ac:dyDescent="0.3">
      <c r="B2112" s="55">
        <v>45366</v>
      </c>
      <c r="C2112" s="54">
        <v>3932.1</v>
      </c>
      <c r="D2112" s="56">
        <f t="shared" si="66"/>
        <v>-9.9958798754806844E-2</v>
      </c>
      <c r="E2112" s="64">
        <v>-2.1683149841388305E-2</v>
      </c>
      <c r="F2112" s="64">
        <v>2109</v>
      </c>
      <c r="G2112" s="64">
        <f t="shared" ca="1" si="67"/>
        <v>3.8309340436860788E-2</v>
      </c>
    </row>
    <row r="2113" spans="2:7" x14ac:dyDescent="0.3">
      <c r="B2113" s="55">
        <v>46120</v>
      </c>
      <c r="C2113" s="54">
        <v>4368.8</v>
      </c>
      <c r="D2113" s="56">
        <f t="shared" si="66"/>
        <v>-6.4737112519266948E-2</v>
      </c>
      <c r="E2113" s="64">
        <v>-2.1764442454097588E-2</v>
      </c>
      <c r="F2113" s="64">
        <v>2110</v>
      </c>
      <c r="G2113" s="64">
        <f t="shared" ca="1" si="67"/>
        <v>2.3006892216018038E-2</v>
      </c>
    </row>
    <row r="2114" spans="2:7" x14ac:dyDescent="0.3">
      <c r="B2114" s="55">
        <v>45922</v>
      </c>
      <c r="C2114" s="54">
        <v>4671.2</v>
      </c>
      <c r="D2114" s="56">
        <f t="shared" si="66"/>
        <v>1.4799978763505082</v>
      </c>
      <c r="E2114" s="64">
        <v>-2.1799677507172377E-2</v>
      </c>
      <c r="F2114" s="64">
        <v>2111</v>
      </c>
      <c r="G2114" s="64">
        <f t="shared" ca="1" si="67"/>
        <v>-2.5499983986649846E-3</v>
      </c>
    </row>
    <row r="2115" spans="2:7" x14ac:dyDescent="0.3">
      <c r="B2115" s="55">
        <v>43829</v>
      </c>
      <c r="C2115" s="54">
        <v>1883.55</v>
      </c>
      <c r="D2115" s="56">
        <f t="shared" si="66"/>
        <v>-0.30690682955549009</v>
      </c>
      <c r="E2115" s="64">
        <v>-2.1811949832515332E-2</v>
      </c>
      <c r="F2115" s="64">
        <v>2112</v>
      </c>
      <c r="G2115" s="64">
        <f t="shared" ca="1" si="67"/>
        <v>1.4058817423592511E-2</v>
      </c>
    </row>
    <row r="2116" spans="2:7" x14ac:dyDescent="0.3">
      <c r="B2116" s="55">
        <v>44308</v>
      </c>
      <c r="C2116" s="54">
        <v>2717.6</v>
      </c>
      <c r="D2116" s="56">
        <f t="shared" ref="D2116:D2179" si="68">C2116/C2117-1</f>
        <v>-0.34831299009616079</v>
      </c>
      <c r="E2116" s="64">
        <v>-2.183028885089533E-2</v>
      </c>
      <c r="F2116" s="64">
        <v>2113</v>
      </c>
      <c r="G2116" s="64">
        <f t="shared" ca="1" si="67"/>
        <v>-1.5376567427614398E-2</v>
      </c>
    </row>
    <row r="2117" spans="2:7" x14ac:dyDescent="0.3">
      <c r="B2117" s="55">
        <v>45877</v>
      </c>
      <c r="C2117" s="54">
        <v>4170.1000000000004</v>
      </c>
      <c r="D2117" s="56">
        <f t="shared" si="68"/>
        <v>1.8685124677558043</v>
      </c>
      <c r="E2117" s="64">
        <v>-2.1906884015480133E-2</v>
      </c>
      <c r="F2117" s="64">
        <v>2114</v>
      </c>
      <c r="G2117" s="64">
        <f t="shared" ref="G2117:G2180" ca="1" si="69">_xlfn.NORM.INV(RAND(),K$6,K$7)</f>
        <v>2.9180953453516123E-2</v>
      </c>
    </row>
    <row r="2118" spans="2:7" x14ac:dyDescent="0.3">
      <c r="B2118" s="55">
        <v>43256</v>
      </c>
      <c r="C2118" s="54">
        <v>1453.75</v>
      </c>
      <c r="D2118" s="56">
        <f t="shared" si="68"/>
        <v>-0.56470641075545713</v>
      </c>
      <c r="E2118" s="64">
        <v>-2.196582346609266E-2</v>
      </c>
      <c r="F2118" s="64">
        <v>2115</v>
      </c>
      <c r="G2118" s="64">
        <f t="shared" ca="1" si="69"/>
        <v>1.6355452188602654E-2</v>
      </c>
    </row>
    <row r="2119" spans="2:7" x14ac:dyDescent="0.3">
      <c r="B2119" s="55">
        <v>44692</v>
      </c>
      <c r="C2119" s="54">
        <v>3339.7</v>
      </c>
      <c r="D2119" s="56">
        <f t="shared" si="68"/>
        <v>2.6541386290278459</v>
      </c>
      <c r="E2119" s="64">
        <v>-2.2035461719790872E-2</v>
      </c>
      <c r="F2119" s="64">
        <v>2116</v>
      </c>
      <c r="G2119" s="64">
        <f t="shared" ca="1" si="69"/>
        <v>4.7807232353555634E-2</v>
      </c>
    </row>
    <row r="2120" spans="2:7" x14ac:dyDescent="0.3">
      <c r="B2120" s="55">
        <v>42927</v>
      </c>
      <c r="C2120" s="54">
        <v>913.95</v>
      </c>
      <c r="D2120" s="56">
        <f t="shared" si="68"/>
        <v>-0.50042362458662437</v>
      </c>
      <c r="E2120" s="64">
        <v>-2.2095013909693928E-2</v>
      </c>
      <c r="F2120" s="64">
        <v>2117</v>
      </c>
      <c r="G2120" s="64">
        <f t="shared" ca="1" si="69"/>
        <v>5.1961013693821293E-4</v>
      </c>
    </row>
    <row r="2121" spans="2:7" x14ac:dyDescent="0.3">
      <c r="B2121" s="55">
        <v>43787</v>
      </c>
      <c r="C2121" s="54">
        <v>1829.45</v>
      </c>
      <c r="D2121" s="56">
        <f t="shared" si="68"/>
        <v>0.19853904612159323</v>
      </c>
      <c r="E2121" s="64">
        <v>-2.2128978806424837E-2</v>
      </c>
      <c r="F2121" s="64">
        <v>2118</v>
      </c>
      <c r="G2121" s="64">
        <f t="shared" ca="1" si="69"/>
        <v>-1.6329994389370675E-2</v>
      </c>
    </row>
    <row r="2122" spans="2:7" x14ac:dyDescent="0.3">
      <c r="B2122" s="55">
        <v>43353</v>
      </c>
      <c r="C2122" s="54">
        <v>1526.4</v>
      </c>
      <c r="D2122" s="56">
        <f t="shared" si="68"/>
        <v>-0.56917258217022537</v>
      </c>
      <c r="E2122" s="64">
        <v>-2.2290545734050649E-2</v>
      </c>
      <c r="F2122" s="64">
        <v>2119</v>
      </c>
      <c r="G2122" s="64">
        <f t="shared" ca="1" si="69"/>
        <v>-1.8083285767511036E-3</v>
      </c>
    </row>
    <row r="2123" spans="2:7" x14ac:dyDescent="0.3">
      <c r="B2123" s="55">
        <v>45643</v>
      </c>
      <c r="C2123" s="54">
        <v>3542.95</v>
      </c>
      <c r="D2123" s="56">
        <f t="shared" si="68"/>
        <v>-0.22186837683801319</v>
      </c>
      <c r="E2123" s="64">
        <v>-2.2310833931232454E-2</v>
      </c>
      <c r="F2123" s="64">
        <v>2120</v>
      </c>
      <c r="G2123" s="64">
        <f t="shared" ca="1" si="69"/>
        <v>-2.0724428110903163E-3</v>
      </c>
    </row>
    <row r="2124" spans="2:7" x14ac:dyDescent="0.3">
      <c r="B2124" s="55">
        <v>45408</v>
      </c>
      <c r="C2124" s="54">
        <v>4553.1499999999996</v>
      </c>
      <c r="D2124" s="56">
        <f t="shared" si="68"/>
        <v>0.21913113327531963</v>
      </c>
      <c r="E2124" s="64">
        <v>-2.2320757552983794E-2</v>
      </c>
      <c r="F2124" s="64">
        <v>2121</v>
      </c>
      <c r="G2124" s="64">
        <f t="shared" ca="1" si="69"/>
        <v>2.8977098126709143E-2</v>
      </c>
    </row>
    <row r="2125" spans="2:7" x14ac:dyDescent="0.3">
      <c r="B2125" s="55">
        <v>44718</v>
      </c>
      <c r="C2125" s="54">
        <v>3734.75</v>
      </c>
      <c r="D2125" s="56">
        <f t="shared" si="68"/>
        <v>0.61989546962763753</v>
      </c>
      <c r="E2125" s="64">
        <v>-2.234234705897753E-2</v>
      </c>
      <c r="F2125" s="64">
        <v>2122</v>
      </c>
      <c r="G2125" s="64">
        <f t="shared" ca="1" si="69"/>
        <v>-5.4252347947717754E-3</v>
      </c>
    </row>
    <row r="2126" spans="2:7" x14ac:dyDescent="0.3">
      <c r="B2126" s="55">
        <v>44007</v>
      </c>
      <c r="C2126" s="54">
        <v>2305.5500000000002</v>
      </c>
      <c r="D2126" s="56">
        <f t="shared" si="68"/>
        <v>0.74030042270531426</v>
      </c>
      <c r="E2126" s="64">
        <v>-2.238853435664756E-2</v>
      </c>
      <c r="F2126" s="64">
        <v>2123</v>
      </c>
      <c r="G2126" s="64">
        <f t="shared" ca="1" si="69"/>
        <v>2.359727731651666E-2</v>
      </c>
    </row>
    <row r="2127" spans="2:7" x14ac:dyDescent="0.3">
      <c r="B2127" s="55">
        <v>43187</v>
      </c>
      <c r="C2127" s="54">
        <v>1324.8</v>
      </c>
      <c r="D2127" s="56">
        <f t="shared" si="68"/>
        <v>-0.66330770696994734</v>
      </c>
      <c r="E2127" s="64">
        <v>-2.2432113341204318E-2</v>
      </c>
      <c r="F2127" s="64">
        <v>2124</v>
      </c>
      <c r="G2127" s="64">
        <f t="shared" ca="1" si="69"/>
        <v>-1.1640775612421345E-2</v>
      </c>
    </row>
    <row r="2128" spans="2:7" x14ac:dyDescent="0.3">
      <c r="B2128" s="55">
        <v>45663</v>
      </c>
      <c r="C2128" s="54">
        <v>3934.75</v>
      </c>
      <c r="D2128" s="56">
        <f t="shared" si="68"/>
        <v>2.5763952008725686</v>
      </c>
      <c r="E2128" s="64">
        <v>-2.2470933121335523E-2</v>
      </c>
      <c r="F2128" s="64">
        <v>2125</v>
      </c>
      <c r="G2128" s="64">
        <f t="shared" ca="1" si="69"/>
        <v>1.261163357701019E-2</v>
      </c>
    </row>
    <row r="2129" spans="2:7" x14ac:dyDescent="0.3">
      <c r="B2129" s="55">
        <v>43046</v>
      </c>
      <c r="C2129" s="54">
        <v>1100.2</v>
      </c>
      <c r="D2129" s="56">
        <f t="shared" si="68"/>
        <v>-0.61355134442122261</v>
      </c>
      <c r="E2129" s="64">
        <v>-2.2478898267436653E-2</v>
      </c>
      <c r="F2129" s="64">
        <v>2126</v>
      </c>
      <c r="G2129" s="64">
        <f t="shared" ca="1" si="69"/>
        <v>3.9689834682636385E-3</v>
      </c>
    </row>
    <row r="2130" spans="2:7" x14ac:dyDescent="0.3">
      <c r="B2130" s="55">
        <v>44291</v>
      </c>
      <c r="C2130" s="54">
        <v>2846.95</v>
      </c>
      <c r="D2130" s="56">
        <f t="shared" si="68"/>
        <v>-0.17095224228305184</v>
      </c>
      <c r="E2130" s="64">
        <v>-2.2573557180622816E-2</v>
      </c>
      <c r="F2130" s="64">
        <v>2127</v>
      </c>
      <c r="G2130" s="64">
        <f t="shared" ca="1" si="69"/>
        <v>-1.2776827437835704E-2</v>
      </c>
    </row>
    <row r="2131" spans="2:7" x14ac:dyDescent="0.3">
      <c r="B2131" s="55">
        <v>44949</v>
      </c>
      <c r="C2131" s="54">
        <v>3434</v>
      </c>
      <c r="D2131" s="56">
        <f t="shared" si="68"/>
        <v>1.3403530293736798</v>
      </c>
      <c r="E2131" s="64">
        <v>-2.2696549270722177E-2</v>
      </c>
      <c r="F2131" s="64">
        <v>2128</v>
      </c>
      <c r="G2131" s="64">
        <f t="shared" ca="1" si="69"/>
        <v>2.0691375919254289E-2</v>
      </c>
    </row>
    <row r="2132" spans="2:7" x14ac:dyDescent="0.3">
      <c r="B2132" s="55">
        <v>43538</v>
      </c>
      <c r="C2132" s="54">
        <v>1467.3</v>
      </c>
      <c r="D2132" s="56">
        <f t="shared" si="68"/>
        <v>-0.5684665607905417</v>
      </c>
      <c r="E2132" s="64">
        <v>-2.2712135340349104E-2</v>
      </c>
      <c r="F2132" s="64">
        <v>2129</v>
      </c>
      <c r="G2132" s="64">
        <f t="shared" ca="1" si="69"/>
        <v>-5.6571439292584414E-4</v>
      </c>
    </row>
    <row r="2133" spans="2:7" x14ac:dyDescent="0.3">
      <c r="B2133" s="55">
        <v>45063</v>
      </c>
      <c r="C2133" s="54">
        <v>3400.2</v>
      </c>
      <c r="D2133" s="56">
        <f t="shared" si="68"/>
        <v>3.681536555142503</v>
      </c>
      <c r="E2133" s="64">
        <v>-2.2720413882302282E-2</v>
      </c>
      <c r="F2133" s="64">
        <v>2130</v>
      </c>
      <c r="G2133" s="64">
        <f t="shared" ca="1" si="69"/>
        <v>1.3130439404865048E-2</v>
      </c>
    </row>
    <row r="2134" spans="2:7" x14ac:dyDescent="0.3">
      <c r="B2134" s="55">
        <v>42849</v>
      </c>
      <c r="C2134" s="54">
        <v>726.3</v>
      </c>
      <c r="D2134" s="56">
        <f t="shared" si="68"/>
        <v>-0.84495677233429389</v>
      </c>
      <c r="E2134" s="64">
        <v>-2.273950484391829E-2</v>
      </c>
      <c r="F2134" s="64">
        <v>2131</v>
      </c>
      <c r="G2134" s="64">
        <f t="shared" ca="1" si="69"/>
        <v>8.2120293849743085E-3</v>
      </c>
    </row>
    <row r="2135" spans="2:7" x14ac:dyDescent="0.3">
      <c r="B2135" s="55">
        <v>45436</v>
      </c>
      <c r="C2135" s="54">
        <v>4684.5</v>
      </c>
      <c r="D2135" s="56">
        <f t="shared" si="68"/>
        <v>0.13152173913043486</v>
      </c>
      <c r="E2135" s="64">
        <v>-2.2749319397941004E-2</v>
      </c>
      <c r="F2135" s="64">
        <v>2132</v>
      </c>
      <c r="G2135" s="64">
        <f t="shared" ca="1" si="69"/>
        <v>1.3485059042206659E-2</v>
      </c>
    </row>
    <row r="2136" spans="2:7" x14ac:dyDescent="0.3">
      <c r="B2136" s="55">
        <v>44595</v>
      </c>
      <c r="C2136" s="54">
        <v>4140</v>
      </c>
      <c r="D2136" s="56">
        <f t="shared" si="68"/>
        <v>0.36836886465047103</v>
      </c>
      <c r="E2136" s="64">
        <v>-2.2812835613043259E-2</v>
      </c>
      <c r="F2136" s="64">
        <v>2133</v>
      </c>
      <c r="G2136" s="64">
        <f t="shared" ca="1" si="69"/>
        <v>9.7691020734639224E-3</v>
      </c>
    </row>
    <row r="2137" spans="2:7" x14ac:dyDescent="0.3">
      <c r="B2137" s="55">
        <v>44343</v>
      </c>
      <c r="C2137" s="54">
        <v>3025.5</v>
      </c>
      <c r="D2137" s="56">
        <f t="shared" si="68"/>
        <v>-0.15135620319205634</v>
      </c>
      <c r="E2137" s="64">
        <v>-2.2834442219494822E-2</v>
      </c>
      <c r="F2137" s="64">
        <v>2134</v>
      </c>
      <c r="G2137" s="64">
        <f t="shared" ca="1" si="69"/>
        <v>5.8615088098363608E-3</v>
      </c>
    </row>
    <row r="2138" spans="2:7" x14ac:dyDescent="0.3">
      <c r="B2138" s="55">
        <v>44945</v>
      </c>
      <c r="C2138" s="54">
        <v>3565.1</v>
      </c>
      <c r="D2138" s="56">
        <f t="shared" si="68"/>
        <v>0.73966720343531911</v>
      </c>
      <c r="E2138" s="64">
        <v>-2.2885490325056157E-2</v>
      </c>
      <c r="F2138" s="64">
        <v>2135</v>
      </c>
      <c r="G2138" s="64">
        <f t="shared" ca="1" si="69"/>
        <v>-1.3567642107717253E-2</v>
      </c>
    </row>
    <row r="2139" spans="2:7" x14ac:dyDescent="0.3">
      <c r="B2139" s="55">
        <v>44096</v>
      </c>
      <c r="C2139" s="54">
        <v>2049.3000000000002</v>
      </c>
      <c r="D2139" s="56">
        <f t="shared" si="68"/>
        <v>0.51653962850588342</v>
      </c>
      <c r="E2139" s="64">
        <v>-2.2956447114352962E-2</v>
      </c>
      <c r="F2139" s="64">
        <v>2136</v>
      </c>
      <c r="G2139" s="64">
        <f t="shared" ca="1" si="69"/>
        <v>1.1161868114053957E-3</v>
      </c>
    </row>
    <row r="2140" spans="2:7" x14ac:dyDescent="0.3">
      <c r="B2140" s="55">
        <v>43486</v>
      </c>
      <c r="C2140" s="54">
        <v>1351.3</v>
      </c>
      <c r="D2140" s="56">
        <f t="shared" si="68"/>
        <v>-0.66717568532794758</v>
      </c>
      <c r="E2140" s="64">
        <v>-2.2956509164527628E-2</v>
      </c>
      <c r="F2140" s="64">
        <v>2137</v>
      </c>
      <c r="G2140" s="64">
        <f t="shared" ca="1" si="69"/>
        <v>-9.316164124111178E-3</v>
      </c>
    </row>
    <row r="2141" spans="2:7" x14ac:dyDescent="0.3">
      <c r="B2141" s="55">
        <v>45589</v>
      </c>
      <c r="C2141" s="54">
        <v>4060.1</v>
      </c>
      <c r="D2141" s="56">
        <f t="shared" si="68"/>
        <v>2.5547870244713913</v>
      </c>
      <c r="E2141" s="64">
        <v>-2.3098577993792335E-2</v>
      </c>
      <c r="F2141" s="64">
        <v>2138</v>
      </c>
      <c r="G2141" s="64">
        <f t="shared" ca="1" si="69"/>
        <v>1.493266720071202E-2</v>
      </c>
    </row>
    <row r="2142" spans="2:7" x14ac:dyDescent="0.3">
      <c r="B2142" s="55">
        <v>43124</v>
      </c>
      <c r="C2142" s="54">
        <v>1142.1500000000001</v>
      </c>
      <c r="D2142" s="56">
        <f t="shared" si="68"/>
        <v>-0.72110031256104712</v>
      </c>
      <c r="E2142" s="64">
        <v>-2.3135477249401237E-2</v>
      </c>
      <c r="F2142" s="64">
        <v>2139</v>
      </c>
      <c r="G2142" s="64">
        <f t="shared" ca="1" si="69"/>
        <v>1.2377206031430282E-2</v>
      </c>
    </row>
    <row r="2143" spans="2:7" x14ac:dyDescent="0.3">
      <c r="B2143" s="55">
        <v>44641</v>
      </c>
      <c r="C2143" s="54">
        <v>4095.2</v>
      </c>
      <c r="D2143" s="56">
        <f t="shared" si="68"/>
        <v>3.5386235176770473</v>
      </c>
      <c r="E2143" s="64">
        <v>-2.3266352632520415E-2</v>
      </c>
      <c r="F2143" s="64">
        <v>2140</v>
      </c>
      <c r="G2143" s="64">
        <f t="shared" ca="1" si="69"/>
        <v>-8.80890221291168E-3</v>
      </c>
    </row>
    <row r="2144" spans="2:7" x14ac:dyDescent="0.3">
      <c r="B2144" s="55">
        <v>42955</v>
      </c>
      <c r="C2144" s="54">
        <v>902.3</v>
      </c>
      <c r="D2144" s="56">
        <f t="shared" si="68"/>
        <v>-0.82863925553128859</v>
      </c>
      <c r="E2144" s="64">
        <v>-2.3273435808616627E-2</v>
      </c>
      <c r="F2144" s="64">
        <v>2141</v>
      </c>
      <c r="G2144" s="64">
        <f t="shared" ca="1" si="69"/>
        <v>-3.7073914176350429E-3</v>
      </c>
    </row>
    <row r="2145" spans="2:7" x14ac:dyDescent="0.3">
      <c r="B2145" s="55">
        <v>45560</v>
      </c>
      <c r="C2145" s="54">
        <v>5265.5</v>
      </c>
      <c r="D2145" s="56">
        <f t="shared" si="68"/>
        <v>3.1617926019601645</v>
      </c>
      <c r="E2145" s="64">
        <v>-2.3361062422910361E-2</v>
      </c>
      <c r="F2145" s="64">
        <v>2142</v>
      </c>
      <c r="G2145" s="64">
        <f t="shared" ca="1" si="69"/>
        <v>-1.8884748669673913E-4</v>
      </c>
    </row>
    <row r="2146" spans="2:7" x14ac:dyDescent="0.3">
      <c r="B2146" s="55">
        <v>43587</v>
      </c>
      <c r="C2146" s="54">
        <v>1265.2</v>
      </c>
      <c r="D2146" s="56">
        <f t="shared" si="68"/>
        <v>0.73922606364698606</v>
      </c>
      <c r="E2146" s="64">
        <v>-2.3388653029718265E-2</v>
      </c>
      <c r="F2146" s="64">
        <v>2143</v>
      </c>
      <c r="G2146" s="64">
        <f t="shared" ca="1" si="69"/>
        <v>-2.6302899449185298E-2</v>
      </c>
    </row>
    <row r="2147" spans="2:7" x14ac:dyDescent="0.3">
      <c r="B2147" s="55">
        <v>42873</v>
      </c>
      <c r="C2147" s="54">
        <v>727.45</v>
      </c>
      <c r="D2147" s="56">
        <f t="shared" si="68"/>
        <v>-0.69371171133239296</v>
      </c>
      <c r="E2147" s="64">
        <v>-2.3425963216539003E-2</v>
      </c>
      <c r="F2147" s="64">
        <v>2144</v>
      </c>
      <c r="G2147" s="64">
        <f t="shared" ca="1" si="69"/>
        <v>6.8446567660481288E-3</v>
      </c>
    </row>
    <row r="2148" spans="2:7" x14ac:dyDescent="0.3">
      <c r="B2148" s="55">
        <v>44153</v>
      </c>
      <c r="C2148" s="54">
        <v>2375.0500000000002</v>
      </c>
      <c r="D2148" s="56">
        <f t="shared" si="68"/>
        <v>-0.40522638485425211</v>
      </c>
      <c r="E2148" s="64">
        <v>-2.3477170404785808E-2</v>
      </c>
      <c r="F2148" s="64">
        <v>2145</v>
      </c>
      <c r="G2148" s="64">
        <f t="shared" ca="1" si="69"/>
        <v>-1.8708414884121179E-2</v>
      </c>
    </row>
    <row r="2149" spans="2:7" x14ac:dyDescent="0.3">
      <c r="B2149" s="55">
        <v>44916</v>
      </c>
      <c r="C2149" s="54">
        <v>3993.2</v>
      </c>
      <c r="D2149" s="56">
        <f t="shared" si="68"/>
        <v>1.7661402050429484</v>
      </c>
      <c r="E2149" s="64">
        <v>-2.3560049394187765E-2</v>
      </c>
      <c r="F2149" s="64">
        <v>2146</v>
      </c>
      <c r="G2149" s="64">
        <f t="shared" ca="1" si="69"/>
        <v>-3.6624648049834565E-3</v>
      </c>
    </row>
    <row r="2150" spans="2:7" x14ac:dyDescent="0.3">
      <c r="B2150" s="55">
        <v>43559</v>
      </c>
      <c r="C2150" s="54">
        <v>1443.6</v>
      </c>
      <c r="D2150" s="56">
        <f t="shared" si="68"/>
        <v>-0.49360694554064721</v>
      </c>
      <c r="E2150" s="64">
        <v>-2.3638023739474545E-2</v>
      </c>
      <c r="F2150" s="64">
        <v>2147</v>
      </c>
      <c r="G2150" s="64">
        <f t="shared" ca="1" si="69"/>
        <v>-1.6923152519656946E-2</v>
      </c>
    </row>
    <row r="2151" spans="2:7" x14ac:dyDescent="0.3">
      <c r="B2151" s="55">
        <v>44305</v>
      </c>
      <c r="C2151" s="54">
        <v>2850.75</v>
      </c>
      <c r="D2151" s="56">
        <f t="shared" si="68"/>
        <v>-0.30128676470588234</v>
      </c>
      <c r="E2151" s="64">
        <v>-2.3682317887598892E-2</v>
      </c>
      <c r="F2151" s="64">
        <v>2148</v>
      </c>
      <c r="G2151" s="64">
        <f t="shared" ca="1" si="69"/>
        <v>4.5211595627272581E-2</v>
      </c>
    </row>
    <row r="2152" spans="2:7" x14ac:dyDescent="0.3">
      <c r="B2152" s="55">
        <v>45818</v>
      </c>
      <c r="C2152" s="54">
        <v>4080</v>
      </c>
      <c r="D2152" s="56">
        <f t="shared" si="68"/>
        <v>-5.3892508941255635E-4</v>
      </c>
      <c r="E2152" s="64">
        <v>-2.3713239692756849E-2</v>
      </c>
      <c r="F2152" s="64">
        <v>2149</v>
      </c>
      <c r="G2152" s="64">
        <f t="shared" ca="1" si="69"/>
        <v>-3.0747624088843836E-2</v>
      </c>
    </row>
    <row r="2153" spans="2:7" x14ac:dyDescent="0.3">
      <c r="B2153" s="55">
        <v>45967</v>
      </c>
      <c r="C2153" s="54">
        <v>4082.2</v>
      </c>
      <c r="D2153" s="56">
        <f t="shared" si="68"/>
        <v>6.9674815921180189E-2</v>
      </c>
      <c r="E2153" s="64">
        <v>-2.3957536342769647E-2</v>
      </c>
      <c r="F2153" s="64">
        <v>2150</v>
      </c>
      <c r="G2153" s="64">
        <f t="shared" ca="1" si="69"/>
        <v>-1.026477704009339E-2</v>
      </c>
    </row>
    <row r="2154" spans="2:7" x14ac:dyDescent="0.3">
      <c r="B2154" s="55">
        <v>46001</v>
      </c>
      <c r="C2154" s="54">
        <v>3816.3</v>
      </c>
      <c r="D2154" s="56">
        <f t="shared" si="68"/>
        <v>1.0759376614899234</v>
      </c>
      <c r="E2154" s="64">
        <v>-2.3964194373401471E-2</v>
      </c>
      <c r="F2154" s="64">
        <v>2151</v>
      </c>
      <c r="G2154" s="64">
        <f t="shared" ca="1" si="69"/>
        <v>-2.3721834380029581E-2</v>
      </c>
    </row>
    <row r="2155" spans="2:7" x14ac:dyDescent="0.3">
      <c r="B2155" s="55">
        <v>43830</v>
      </c>
      <c r="C2155" s="54">
        <v>1838.35</v>
      </c>
      <c r="D2155" s="56">
        <f t="shared" si="68"/>
        <v>-0.12353095425397498</v>
      </c>
      <c r="E2155" s="64">
        <v>-2.3997239255660885E-2</v>
      </c>
      <c r="F2155" s="64">
        <v>2152</v>
      </c>
      <c r="G2155" s="64">
        <f t="shared" ca="1" si="69"/>
        <v>9.7311306680283385E-3</v>
      </c>
    </row>
    <row r="2156" spans="2:7" x14ac:dyDescent="0.3">
      <c r="B2156" s="55">
        <v>44095</v>
      </c>
      <c r="C2156" s="54">
        <v>2097.4499999999998</v>
      </c>
      <c r="D2156" s="56">
        <f t="shared" si="68"/>
        <v>-0.28319264550083734</v>
      </c>
      <c r="E2156" s="64">
        <v>-2.4010609339010447E-2</v>
      </c>
      <c r="F2156" s="64">
        <v>2153</v>
      </c>
      <c r="G2156" s="64">
        <f t="shared" ca="1" si="69"/>
        <v>1.0892265940517593E-2</v>
      </c>
    </row>
    <row r="2157" spans="2:7" x14ac:dyDescent="0.3">
      <c r="B2157" s="55">
        <v>44209</v>
      </c>
      <c r="C2157" s="54">
        <v>2926.1</v>
      </c>
      <c r="D2157" s="56">
        <f t="shared" si="68"/>
        <v>0.25489439262356606</v>
      </c>
      <c r="E2157" s="64">
        <v>-2.4047761990527605E-2</v>
      </c>
      <c r="F2157" s="64">
        <v>2154</v>
      </c>
      <c r="G2157" s="64">
        <f t="shared" ca="1" si="69"/>
        <v>-5.2131373181374631E-3</v>
      </c>
    </row>
    <row r="2158" spans="2:7" x14ac:dyDescent="0.3">
      <c r="B2158" s="55">
        <v>43886</v>
      </c>
      <c r="C2158" s="54">
        <v>2331.75</v>
      </c>
      <c r="D2158" s="56">
        <f t="shared" si="68"/>
        <v>-0.21232645339999334</v>
      </c>
      <c r="E2158" s="64">
        <v>-2.4249905845922015E-2</v>
      </c>
      <c r="F2158" s="64">
        <v>2155</v>
      </c>
      <c r="G2158" s="64">
        <f t="shared" ca="1" si="69"/>
        <v>2.3366928510641267E-2</v>
      </c>
    </row>
    <row r="2159" spans="2:7" x14ac:dyDescent="0.3">
      <c r="B2159" s="55">
        <v>44274</v>
      </c>
      <c r="C2159" s="54">
        <v>2960.3</v>
      </c>
      <c r="D2159" s="56">
        <f t="shared" si="68"/>
        <v>0.70465276978003022</v>
      </c>
      <c r="E2159" s="64">
        <v>-2.4484281289131937E-2</v>
      </c>
      <c r="F2159" s="64">
        <v>2156</v>
      </c>
      <c r="G2159" s="64">
        <f t="shared" ca="1" si="69"/>
        <v>4.8039227296455683E-6</v>
      </c>
    </row>
    <row r="2160" spans="2:7" x14ac:dyDescent="0.3">
      <c r="B2160" s="55">
        <v>43809</v>
      </c>
      <c r="C2160" s="54">
        <v>1736.6</v>
      </c>
      <c r="D2160" s="56">
        <f t="shared" si="68"/>
        <v>-0.56440163543783073</v>
      </c>
      <c r="E2160" s="64">
        <v>-2.4683384347533144E-2</v>
      </c>
      <c r="F2160" s="64">
        <v>2157</v>
      </c>
      <c r="G2160" s="64">
        <f t="shared" ca="1" si="69"/>
        <v>3.7383111417987089E-3</v>
      </c>
    </row>
    <row r="2161" spans="2:7" x14ac:dyDescent="0.3">
      <c r="B2161" s="55">
        <v>45583</v>
      </c>
      <c r="C2161" s="54">
        <v>3986.7</v>
      </c>
      <c r="D2161" s="56">
        <f t="shared" si="68"/>
        <v>2.009284420289855</v>
      </c>
      <c r="E2161" s="64">
        <v>-2.4708271154928241E-2</v>
      </c>
      <c r="F2161" s="64">
        <v>2158</v>
      </c>
      <c r="G2161" s="64">
        <f t="shared" ca="1" si="69"/>
        <v>8.1296221191635195E-4</v>
      </c>
    </row>
    <row r="2162" spans="2:7" x14ac:dyDescent="0.3">
      <c r="B2162" s="55">
        <v>43577</v>
      </c>
      <c r="C2162" s="54">
        <v>1324.8</v>
      </c>
      <c r="D2162" s="56">
        <f t="shared" si="68"/>
        <v>-0.65803229178766409</v>
      </c>
      <c r="E2162" s="64">
        <v>-2.4806772175193226E-2</v>
      </c>
      <c r="F2162" s="64">
        <v>2159</v>
      </c>
      <c r="G2162" s="64">
        <f t="shared" ca="1" si="69"/>
        <v>6.4912132170316379E-4</v>
      </c>
    </row>
    <row r="2163" spans="2:7" x14ac:dyDescent="0.3">
      <c r="B2163" s="55">
        <v>44713</v>
      </c>
      <c r="C2163" s="54">
        <v>3874.05</v>
      </c>
      <c r="D2163" s="56">
        <f t="shared" si="68"/>
        <v>1.9857803468208095</v>
      </c>
      <c r="E2163" s="64">
        <v>-2.4856524365686639E-2</v>
      </c>
      <c r="F2163" s="64">
        <v>2160</v>
      </c>
      <c r="G2163" s="64">
        <f t="shared" ca="1" si="69"/>
        <v>1.6428719963615966E-2</v>
      </c>
    </row>
    <row r="2164" spans="2:7" x14ac:dyDescent="0.3">
      <c r="B2164" s="55">
        <v>43633</v>
      </c>
      <c r="C2164" s="54">
        <v>1297.5</v>
      </c>
      <c r="D2164" s="56">
        <f t="shared" si="68"/>
        <v>-0.2976235587073025</v>
      </c>
      <c r="E2164" s="64">
        <v>-2.487599579137223E-2</v>
      </c>
      <c r="F2164" s="64">
        <v>2161</v>
      </c>
      <c r="G2164" s="64">
        <f t="shared" ca="1" si="69"/>
        <v>4.0802962776033687E-2</v>
      </c>
    </row>
    <row r="2165" spans="2:7" x14ac:dyDescent="0.3">
      <c r="B2165" s="55">
        <v>43745</v>
      </c>
      <c r="C2165" s="54">
        <v>1847.3</v>
      </c>
      <c r="D2165" s="56">
        <f t="shared" si="68"/>
        <v>-0.49549377321389554</v>
      </c>
      <c r="E2165" s="64">
        <v>-2.4991423218008624E-2</v>
      </c>
      <c r="F2165" s="64">
        <v>2162</v>
      </c>
      <c r="G2165" s="64">
        <f t="shared" ca="1" si="69"/>
        <v>-1.6325596082608175E-2</v>
      </c>
    </row>
    <row r="2166" spans="2:7" x14ac:dyDescent="0.3">
      <c r="B2166" s="55">
        <v>44725</v>
      </c>
      <c r="C2166" s="54">
        <v>3661.6</v>
      </c>
      <c r="D2166" s="56">
        <f t="shared" si="68"/>
        <v>-9.9060085625707339E-2</v>
      </c>
      <c r="E2166" s="64">
        <v>-2.504226964706513E-2</v>
      </c>
      <c r="F2166" s="64">
        <v>2163</v>
      </c>
      <c r="G2166" s="64">
        <f t="shared" ca="1" si="69"/>
        <v>-1.8522239542472646E-2</v>
      </c>
    </row>
    <row r="2167" spans="2:7" x14ac:dyDescent="0.3">
      <c r="B2167" s="55">
        <v>45849</v>
      </c>
      <c r="C2167" s="54">
        <v>4064.2</v>
      </c>
      <c r="D2167" s="56">
        <f t="shared" si="68"/>
        <v>2.092410119840213</v>
      </c>
      <c r="E2167" s="64">
        <v>-2.5137922763252663E-2</v>
      </c>
      <c r="F2167" s="64">
        <v>2164</v>
      </c>
      <c r="G2167" s="64">
        <f t="shared" ca="1" si="69"/>
        <v>-1.6420014921420673E-2</v>
      </c>
    </row>
    <row r="2168" spans="2:7" x14ac:dyDescent="0.3">
      <c r="B2168" s="55">
        <v>43160</v>
      </c>
      <c r="C2168" s="54">
        <v>1314.25</v>
      </c>
      <c r="D2168" s="56">
        <f t="shared" si="68"/>
        <v>-0.11501296252651427</v>
      </c>
      <c r="E2168" s="64">
        <v>-2.5145569854986505E-2</v>
      </c>
      <c r="F2168" s="64">
        <v>2165</v>
      </c>
      <c r="G2168" s="64">
        <f t="shared" ca="1" si="69"/>
        <v>-8.6111481782550226E-4</v>
      </c>
    </row>
    <row r="2169" spans="2:7" x14ac:dyDescent="0.3">
      <c r="B2169" s="55">
        <v>43270</v>
      </c>
      <c r="C2169" s="54">
        <v>1485.05</v>
      </c>
      <c r="D2169" s="56">
        <f t="shared" si="68"/>
        <v>-0.46547286961216594</v>
      </c>
      <c r="E2169" s="64">
        <v>-2.5333902142880671E-2</v>
      </c>
      <c r="F2169" s="64">
        <v>2166</v>
      </c>
      <c r="G2169" s="64">
        <f t="shared" ca="1" si="69"/>
        <v>-1.8478580455884415E-2</v>
      </c>
    </row>
    <row r="2170" spans="2:7" x14ac:dyDescent="0.3">
      <c r="B2170" s="55">
        <v>44306</v>
      </c>
      <c r="C2170" s="54">
        <v>2778.25</v>
      </c>
      <c r="D2170" s="56">
        <f t="shared" si="68"/>
        <v>-4.6896173176212197E-2</v>
      </c>
      <c r="E2170" s="64">
        <v>-2.5431903884942542E-2</v>
      </c>
      <c r="F2170" s="64">
        <v>2167</v>
      </c>
      <c r="G2170" s="64">
        <f t="shared" ca="1" si="69"/>
        <v>1.1249987935074768E-3</v>
      </c>
    </row>
    <row r="2171" spans="2:7" x14ac:dyDescent="0.3">
      <c r="B2171" s="55">
        <v>44202</v>
      </c>
      <c r="C2171" s="54">
        <v>2914.95</v>
      </c>
      <c r="D2171" s="56">
        <f t="shared" si="68"/>
        <v>-0.30594776066096807</v>
      </c>
      <c r="E2171" s="64">
        <v>-2.5475151697507692E-2</v>
      </c>
      <c r="F2171" s="64">
        <v>2168</v>
      </c>
      <c r="G2171" s="64">
        <f t="shared" ca="1" si="69"/>
        <v>-1.5101027145342545E-2</v>
      </c>
    </row>
    <row r="2172" spans="2:7" x14ac:dyDescent="0.3">
      <c r="B2172" s="55">
        <v>45777</v>
      </c>
      <c r="C2172" s="54">
        <v>4199.8999999999996</v>
      </c>
      <c r="D2172" s="56">
        <f t="shared" si="68"/>
        <v>1.2449154127802871</v>
      </c>
      <c r="E2172" s="64">
        <v>-2.5545243619489622E-2</v>
      </c>
      <c r="F2172" s="64">
        <v>2169</v>
      </c>
      <c r="G2172" s="64">
        <f t="shared" ca="1" si="69"/>
        <v>-2.0640456973121279E-2</v>
      </c>
    </row>
    <row r="2173" spans="2:7" x14ac:dyDescent="0.3">
      <c r="B2173" s="55">
        <v>43784</v>
      </c>
      <c r="C2173" s="54">
        <v>1870.85</v>
      </c>
      <c r="D2173" s="56">
        <f t="shared" si="68"/>
        <v>-0.45108998621013419</v>
      </c>
      <c r="E2173" s="64">
        <v>-2.5598958333333366E-2</v>
      </c>
      <c r="F2173" s="64">
        <v>2170</v>
      </c>
      <c r="G2173" s="64">
        <f t="shared" ca="1" si="69"/>
        <v>1.8695845973648109E-2</v>
      </c>
    </row>
    <row r="2174" spans="2:7" x14ac:dyDescent="0.3">
      <c r="B2174" s="55">
        <v>45646</v>
      </c>
      <c r="C2174" s="54">
        <v>3408.3</v>
      </c>
      <c r="D2174" s="56">
        <f t="shared" si="68"/>
        <v>0.20821000017724534</v>
      </c>
      <c r="E2174" s="64">
        <v>-2.5685004931177868E-2</v>
      </c>
      <c r="F2174" s="64">
        <v>2171</v>
      </c>
      <c r="G2174" s="64">
        <f t="shared" ca="1" si="69"/>
        <v>-6.6123865712978047E-3</v>
      </c>
    </row>
    <row r="2175" spans="2:7" x14ac:dyDescent="0.3">
      <c r="B2175" s="55">
        <v>44211</v>
      </c>
      <c r="C2175" s="54">
        <v>2820.95</v>
      </c>
      <c r="D2175" s="56">
        <f t="shared" si="68"/>
        <v>0.21624126929378273</v>
      </c>
      <c r="E2175" s="64">
        <v>-2.5763671841273816E-2</v>
      </c>
      <c r="F2175" s="64">
        <v>2172</v>
      </c>
      <c r="G2175" s="64">
        <f t="shared" ca="1" si="69"/>
        <v>1.2449983808369462E-3</v>
      </c>
    </row>
    <row r="2176" spans="2:7" x14ac:dyDescent="0.3">
      <c r="B2176" s="55">
        <v>44071</v>
      </c>
      <c r="C2176" s="54">
        <v>2319.4</v>
      </c>
      <c r="D2176" s="56">
        <f t="shared" si="68"/>
        <v>0.65429192967440541</v>
      </c>
      <c r="E2176" s="64">
        <v>-2.5810109834722872E-2</v>
      </c>
      <c r="F2176" s="64">
        <v>2173</v>
      </c>
      <c r="G2176" s="64">
        <f t="shared" ca="1" si="69"/>
        <v>7.3436816995881551E-3</v>
      </c>
    </row>
    <row r="2177" spans="2:7" x14ac:dyDescent="0.3">
      <c r="B2177" s="55">
        <v>43665</v>
      </c>
      <c r="C2177" s="54">
        <v>1402.05</v>
      </c>
      <c r="D2177" s="56">
        <f t="shared" si="68"/>
        <v>0.5729511415268973</v>
      </c>
      <c r="E2177" s="64">
        <v>-2.5948311796581969E-2</v>
      </c>
      <c r="F2177" s="64">
        <v>2174</v>
      </c>
      <c r="G2177" s="64">
        <f t="shared" ca="1" si="69"/>
        <v>4.1551430684241986E-3</v>
      </c>
    </row>
    <row r="2178" spans="2:7" x14ac:dyDescent="0.3">
      <c r="B2178" s="55">
        <v>42930</v>
      </c>
      <c r="C2178" s="54">
        <v>891.35</v>
      </c>
      <c r="D2178" s="56">
        <f t="shared" si="68"/>
        <v>-0.41783684932401532</v>
      </c>
      <c r="E2178" s="64">
        <v>-2.6006665573949594E-2</v>
      </c>
      <c r="F2178" s="64">
        <v>2175</v>
      </c>
      <c r="G2178" s="64">
        <f t="shared" ca="1" si="69"/>
        <v>-7.2504429541225632E-3</v>
      </c>
    </row>
    <row r="2179" spans="2:7" x14ac:dyDescent="0.3">
      <c r="B2179" s="55">
        <v>43252</v>
      </c>
      <c r="C2179" s="54">
        <v>1531.1</v>
      </c>
      <c r="D2179" s="56">
        <f t="shared" si="68"/>
        <v>-0.62369278033794173</v>
      </c>
      <c r="E2179" s="64">
        <v>-2.6110740069331895E-2</v>
      </c>
      <c r="F2179" s="64">
        <v>2176</v>
      </c>
      <c r="G2179" s="64">
        <f t="shared" ca="1" si="69"/>
        <v>-4.3277138179856865E-2</v>
      </c>
    </row>
    <row r="2180" spans="2:7" x14ac:dyDescent="0.3">
      <c r="B2180" s="55">
        <v>44925</v>
      </c>
      <c r="C2180" s="54">
        <v>4068.75</v>
      </c>
      <c r="D2180" s="56">
        <f t="shared" ref="D2180:D2243" si="70">C2180/C2181-1</f>
        <v>0.73848487438044774</v>
      </c>
      <c r="E2180" s="64">
        <v>-2.6218797118445325E-2</v>
      </c>
      <c r="F2180" s="64">
        <v>2177</v>
      </c>
      <c r="G2180" s="64">
        <f t="shared" ca="1" si="69"/>
        <v>-5.5102871295226008E-2</v>
      </c>
    </row>
    <row r="2181" spans="2:7" x14ac:dyDescent="0.3">
      <c r="B2181" s="55">
        <v>43999</v>
      </c>
      <c r="C2181" s="54">
        <v>2340.4</v>
      </c>
      <c r="D2181" s="56">
        <f t="shared" si="70"/>
        <v>-0.45592337734796362</v>
      </c>
      <c r="E2181" s="64">
        <v>-2.6273636912067633E-2</v>
      </c>
      <c r="F2181" s="64">
        <v>2178</v>
      </c>
      <c r="G2181" s="64">
        <f t="shared" ref="G2181:G2244" ca="1" si="71">_xlfn.NORM.INV(RAND(),K$6,K$7)</f>
        <v>1.3747237175694516E-3</v>
      </c>
    </row>
    <row r="2182" spans="2:7" x14ac:dyDescent="0.3">
      <c r="B2182" s="55">
        <v>45936</v>
      </c>
      <c r="C2182" s="54">
        <v>4301.6000000000004</v>
      </c>
      <c r="D2182" s="56">
        <f t="shared" si="70"/>
        <v>3.2145691471121349</v>
      </c>
      <c r="E2182" s="64">
        <v>-2.6434908564185955E-2</v>
      </c>
      <c r="F2182" s="64">
        <v>2179</v>
      </c>
      <c r="G2182" s="64">
        <f t="shared" ca="1" si="71"/>
        <v>-2.4063652436367322E-2</v>
      </c>
    </row>
    <row r="2183" spans="2:7" x14ac:dyDescent="0.3">
      <c r="B2183" s="55">
        <v>42982</v>
      </c>
      <c r="C2183" s="54">
        <v>1020.65</v>
      </c>
      <c r="D2183" s="56">
        <f t="shared" si="70"/>
        <v>-0.73353262146568154</v>
      </c>
      <c r="E2183" s="64">
        <v>-2.6468904998092402E-2</v>
      </c>
      <c r="F2183" s="64">
        <v>2180</v>
      </c>
      <c r="G2183" s="64">
        <f t="shared" ca="1" si="71"/>
        <v>2.2557756500619208E-3</v>
      </c>
    </row>
    <row r="2184" spans="2:7" x14ac:dyDescent="0.3">
      <c r="B2184" s="55">
        <v>45664</v>
      </c>
      <c r="C2184" s="54">
        <v>3830.3</v>
      </c>
      <c r="D2184" s="56">
        <f t="shared" si="70"/>
        <v>0.34132931783162923</v>
      </c>
      <c r="E2184" s="64">
        <v>-2.6545523857932518E-2</v>
      </c>
      <c r="F2184" s="64">
        <v>2181</v>
      </c>
      <c r="G2184" s="64">
        <f t="shared" ca="1" si="71"/>
        <v>2.0176628846072922E-2</v>
      </c>
    </row>
    <row r="2185" spans="2:7" x14ac:dyDescent="0.3">
      <c r="B2185" s="55">
        <v>44279</v>
      </c>
      <c r="C2185" s="54">
        <v>2855.6</v>
      </c>
      <c r="D2185" s="56">
        <f t="shared" si="70"/>
        <v>-0.27382768792594858</v>
      </c>
      <c r="E2185" s="64">
        <v>-2.6605082405876668E-2</v>
      </c>
      <c r="F2185" s="64">
        <v>2182</v>
      </c>
      <c r="G2185" s="64">
        <f t="shared" ca="1" si="71"/>
        <v>3.2669308451432656E-2</v>
      </c>
    </row>
    <row r="2186" spans="2:7" x14ac:dyDescent="0.3">
      <c r="B2186" s="55">
        <v>44768</v>
      </c>
      <c r="C2186" s="54">
        <v>3932.4</v>
      </c>
      <c r="D2186" s="56">
        <f t="shared" si="70"/>
        <v>-0.10639458255692413</v>
      </c>
      <c r="E2186" s="64">
        <v>-2.6645709830323883E-2</v>
      </c>
      <c r="F2186" s="64">
        <v>2183</v>
      </c>
      <c r="G2186" s="64">
        <f t="shared" ca="1" si="71"/>
        <v>2.1075950351222492E-2</v>
      </c>
    </row>
    <row r="2187" spans="2:7" x14ac:dyDescent="0.3">
      <c r="B2187" s="55">
        <v>44494</v>
      </c>
      <c r="C2187" s="54">
        <v>4400.6000000000004</v>
      </c>
      <c r="D2187" s="56">
        <f t="shared" si="70"/>
        <v>1.1974433236792175</v>
      </c>
      <c r="E2187" s="64">
        <v>-2.6728151367370945E-2</v>
      </c>
      <c r="F2187" s="64">
        <v>2184</v>
      </c>
      <c r="G2187" s="64">
        <f t="shared" ca="1" si="71"/>
        <v>1.8399941068215846E-2</v>
      </c>
    </row>
    <row r="2188" spans="2:7" x14ac:dyDescent="0.3">
      <c r="B2188" s="55">
        <v>44116</v>
      </c>
      <c r="C2188" s="54">
        <v>2002.6</v>
      </c>
      <c r="D2188" s="56">
        <f t="shared" si="70"/>
        <v>-0.49628996151621096</v>
      </c>
      <c r="E2188" s="64">
        <v>-2.6730171073094833E-2</v>
      </c>
      <c r="F2188" s="64">
        <v>2185</v>
      </c>
      <c r="G2188" s="64">
        <f t="shared" ca="1" si="71"/>
        <v>-1.2693850967735587E-2</v>
      </c>
    </row>
    <row r="2189" spans="2:7" x14ac:dyDescent="0.3">
      <c r="B2189" s="55">
        <v>45096</v>
      </c>
      <c r="C2189" s="54">
        <v>3975.7</v>
      </c>
      <c r="D2189" s="56">
        <f t="shared" si="70"/>
        <v>0.44839520565412205</v>
      </c>
      <c r="E2189" s="64">
        <v>-2.6899353828079176E-2</v>
      </c>
      <c r="F2189" s="64">
        <v>2186</v>
      </c>
      <c r="G2189" s="64">
        <f t="shared" ca="1" si="71"/>
        <v>3.2906783147823447E-3</v>
      </c>
    </row>
    <row r="2190" spans="2:7" x14ac:dyDescent="0.3">
      <c r="B2190" s="55">
        <v>44214</v>
      </c>
      <c r="C2190" s="54">
        <v>2744.9</v>
      </c>
      <c r="D2190" s="56">
        <f t="shared" si="70"/>
        <v>-0.40731544058903546</v>
      </c>
      <c r="E2190" s="64">
        <v>-2.6959003172689955E-2</v>
      </c>
      <c r="F2190" s="64">
        <v>2187</v>
      </c>
      <c r="G2190" s="64">
        <f t="shared" ca="1" si="71"/>
        <v>1.8978273967171368E-2</v>
      </c>
    </row>
    <row r="2191" spans="2:7" x14ac:dyDescent="0.3">
      <c r="B2191" s="55">
        <v>45910</v>
      </c>
      <c r="C2191" s="54">
        <v>4631.3</v>
      </c>
      <c r="D2191" s="56">
        <f t="shared" si="70"/>
        <v>0.81189726335556811</v>
      </c>
      <c r="E2191" s="64">
        <v>-2.6996932644228755E-2</v>
      </c>
      <c r="F2191" s="64">
        <v>2188</v>
      </c>
      <c r="G2191" s="64">
        <f t="shared" ca="1" si="71"/>
        <v>-2.2309241714876986E-3</v>
      </c>
    </row>
    <row r="2192" spans="2:7" x14ac:dyDescent="0.3">
      <c r="B2192" s="55">
        <v>44182</v>
      </c>
      <c r="C2192" s="54">
        <v>2556.0500000000002</v>
      </c>
      <c r="D2192" s="56">
        <f t="shared" si="70"/>
        <v>0.31983063537551959</v>
      </c>
      <c r="E2192" s="64">
        <v>-2.702651262823319E-2</v>
      </c>
      <c r="F2192" s="64">
        <v>2189</v>
      </c>
      <c r="G2192" s="64">
        <f t="shared" ca="1" si="71"/>
        <v>-5.3208685857803695E-2</v>
      </c>
    </row>
    <row r="2193" spans="2:7" x14ac:dyDescent="0.3">
      <c r="B2193" s="55">
        <v>43850</v>
      </c>
      <c r="C2193" s="54">
        <v>1936.65</v>
      </c>
      <c r="D2193" s="56">
        <f t="shared" si="70"/>
        <v>-0.32757543140863155</v>
      </c>
      <c r="E2193" s="64">
        <v>-2.7077943282007411E-2</v>
      </c>
      <c r="F2193" s="64">
        <v>2190</v>
      </c>
      <c r="G2193" s="64">
        <f t="shared" ca="1" si="71"/>
        <v>5.1589739141207052E-3</v>
      </c>
    </row>
    <row r="2194" spans="2:7" x14ac:dyDescent="0.3">
      <c r="B2194" s="55">
        <v>44277</v>
      </c>
      <c r="C2194" s="54">
        <v>2880.1</v>
      </c>
      <c r="D2194" s="56">
        <f t="shared" si="70"/>
        <v>-0.25739995874587462</v>
      </c>
      <c r="E2194" s="64">
        <v>-2.7091848799108309E-2</v>
      </c>
      <c r="F2194" s="64">
        <v>2191</v>
      </c>
      <c r="G2194" s="64">
        <f t="shared" ca="1" si="71"/>
        <v>1.0257430549722234E-2</v>
      </c>
    </row>
    <row r="2195" spans="2:7" x14ac:dyDescent="0.3">
      <c r="B2195" s="55">
        <v>44754</v>
      </c>
      <c r="C2195" s="54">
        <v>3878.4</v>
      </c>
      <c r="D2195" s="56">
        <f t="shared" si="70"/>
        <v>-7.7142721172607454E-2</v>
      </c>
      <c r="E2195" s="64">
        <v>-2.7201926332819149E-2</v>
      </c>
      <c r="F2195" s="64">
        <v>2192</v>
      </c>
      <c r="G2195" s="64">
        <f t="shared" ca="1" si="71"/>
        <v>1.7310572728756329E-2</v>
      </c>
    </row>
    <row r="2196" spans="2:7" x14ac:dyDescent="0.3">
      <c r="B2196" s="55">
        <v>45943</v>
      </c>
      <c r="C2196" s="54">
        <v>4202.6000000000004</v>
      </c>
      <c r="D2196" s="56">
        <f t="shared" si="70"/>
        <v>2.7012638161081513</v>
      </c>
      <c r="E2196" s="64">
        <v>-2.7265993889454498E-2</v>
      </c>
      <c r="F2196" s="64">
        <v>2193</v>
      </c>
      <c r="G2196" s="64">
        <f t="shared" ca="1" si="71"/>
        <v>2.2625801315832028E-3</v>
      </c>
    </row>
    <row r="2197" spans="2:7" x14ac:dyDescent="0.3">
      <c r="B2197" s="55">
        <v>43118</v>
      </c>
      <c r="C2197" s="54">
        <v>1135.45</v>
      </c>
      <c r="D2197" s="56">
        <f t="shared" si="70"/>
        <v>-0.70214970554673872</v>
      </c>
      <c r="E2197" s="64">
        <v>-2.7326851415599318E-2</v>
      </c>
      <c r="F2197" s="64">
        <v>2194</v>
      </c>
      <c r="G2197" s="64">
        <f t="shared" ca="1" si="71"/>
        <v>8.2959262087599402E-3</v>
      </c>
    </row>
    <row r="2198" spans="2:7" x14ac:dyDescent="0.3">
      <c r="B2198" s="55">
        <v>45099</v>
      </c>
      <c r="C2198" s="54">
        <v>3812.15</v>
      </c>
      <c r="D2198" s="56">
        <f t="shared" si="70"/>
        <v>1.1330293196060879</v>
      </c>
      <c r="E2198" s="64">
        <v>-2.7388697537951256E-2</v>
      </c>
      <c r="F2198" s="64">
        <v>2195</v>
      </c>
      <c r="G2198" s="64">
        <f t="shared" ca="1" si="71"/>
        <v>1.698212495681499E-2</v>
      </c>
    </row>
    <row r="2199" spans="2:7" x14ac:dyDescent="0.3">
      <c r="B2199" s="55">
        <v>43795</v>
      </c>
      <c r="C2199" s="54">
        <v>1787.2</v>
      </c>
      <c r="D2199" s="56">
        <f t="shared" si="70"/>
        <v>-0.59151581641982076</v>
      </c>
      <c r="E2199" s="64">
        <v>-2.7453541207520527E-2</v>
      </c>
      <c r="F2199" s="64">
        <v>2196</v>
      </c>
      <c r="G2199" s="64">
        <f t="shared" ca="1" si="71"/>
        <v>8.654953778753624E-3</v>
      </c>
    </row>
    <row r="2200" spans="2:7" x14ac:dyDescent="0.3">
      <c r="B2200" s="55">
        <v>45772</v>
      </c>
      <c r="C2200" s="54">
        <v>4375.2</v>
      </c>
      <c r="D2200" s="56">
        <f t="shared" si="70"/>
        <v>-2.8790872161424175E-2</v>
      </c>
      <c r="E2200" s="64">
        <v>-2.7473993064817348E-2</v>
      </c>
      <c r="F2200" s="64">
        <v>2197</v>
      </c>
      <c r="G2200" s="64">
        <f t="shared" ca="1" si="71"/>
        <v>2.1080542550918194E-2</v>
      </c>
    </row>
    <row r="2201" spans="2:7" x14ac:dyDescent="0.3">
      <c r="B2201" s="55">
        <v>44572</v>
      </c>
      <c r="C2201" s="54">
        <v>4504.8999999999996</v>
      </c>
      <c r="D2201" s="56">
        <f t="shared" si="70"/>
        <v>-9.0718257692734783E-2</v>
      </c>
      <c r="E2201" s="64">
        <v>-2.7764888692255463E-2</v>
      </c>
      <c r="F2201" s="64">
        <v>2198</v>
      </c>
      <c r="G2201" s="64">
        <f t="shared" ca="1" si="71"/>
        <v>-1.3742605391506122E-2</v>
      </c>
    </row>
    <row r="2202" spans="2:7" x14ac:dyDescent="0.3">
      <c r="B2202" s="55">
        <v>45566</v>
      </c>
      <c r="C2202" s="54">
        <v>4954.3500000000004</v>
      </c>
      <c r="D2202" s="56">
        <f t="shared" si="70"/>
        <v>0.35305604107494015</v>
      </c>
      <c r="E2202" s="64">
        <v>-2.7853540804112731E-2</v>
      </c>
      <c r="F2202" s="64">
        <v>2199</v>
      </c>
      <c r="G2202" s="64">
        <f t="shared" ca="1" si="71"/>
        <v>1.4725167183156215E-2</v>
      </c>
    </row>
    <row r="2203" spans="2:7" x14ac:dyDescent="0.3">
      <c r="B2203" s="55">
        <v>46042</v>
      </c>
      <c r="C2203" s="54">
        <v>3661.6</v>
      </c>
      <c r="D2203" s="56">
        <f t="shared" si="70"/>
        <v>2.5236491363133324</v>
      </c>
      <c r="E2203" s="64">
        <v>-2.7902407943292462E-2</v>
      </c>
      <c r="F2203" s="64">
        <v>2200</v>
      </c>
      <c r="G2203" s="64">
        <f t="shared" ca="1" si="71"/>
        <v>1.6294964213784818E-2</v>
      </c>
    </row>
    <row r="2204" spans="2:7" x14ac:dyDescent="0.3">
      <c r="B2204" s="55">
        <v>43000</v>
      </c>
      <c r="C2204" s="54">
        <v>1039.1500000000001</v>
      </c>
      <c r="D2204" s="56">
        <f t="shared" si="70"/>
        <v>-0.72487423881387336</v>
      </c>
      <c r="E2204" s="64">
        <v>-2.7968757307890058E-2</v>
      </c>
      <c r="F2204" s="64">
        <v>2201</v>
      </c>
      <c r="G2204" s="64">
        <f t="shared" ca="1" si="71"/>
        <v>-1.4765309753741929E-2</v>
      </c>
    </row>
    <row r="2205" spans="2:7" x14ac:dyDescent="0.3">
      <c r="B2205" s="55">
        <v>45608</v>
      </c>
      <c r="C2205" s="54">
        <v>3777</v>
      </c>
      <c r="D2205" s="56">
        <f t="shared" si="70"/>
        <v>0.58026860800803326</v>
      </c>
      <c r="E2205" s="64">
        <v>-2.7974367552821788E-2</v>
      </c>
      <c r="F2205" s="64">
        <v>2202</v>
      </c>
      <c r="G2205" s="64">
        <f t="shared" ca="1" si="71"/>
        <v>1.5221583571524325E-2</v>
      </c>
    </row>
    <row r="2206" spans="2:7" x14ac:dyDescent="0.3">
      <c r="B2206" s="55">
        <v>43991</v>
      </c>
      <c r="C2206" s="54">
        <v>2390.1</v>
      </c>
      <c r="D2206" s="56">
        <f t="shared" si="70"/>
        <v>2.8743718592964824</v>
      </c>
      <c r="E2206" s="64">
        <v>-2.8217117300264327E-2</v>
      </c>
      <c r="F2206" s="64">
        <v>2203</v>
      </c>
      <c r="G2206" s="64">
        <f t="shared" ca="1" si="71"/>
        <v>-1.5353816677438814E-2</v>
      </c>
    </row>
    <row r="2207" spans="2:7" x14ac:dyDescent="0.3">
      <c r="B2207" s="55">
        <v>42818</v>
      </c>
      <c r="C2207" s="54">
        <v>616.9</v>
      </c>
      <c r="D2207" s="56">
        <f t="shared" si="70"/>
        <v>-0.84729820045050619</v>
      </c>
      <c r="E2207" s="64">
        <v>-2.8274395526502349E-2</v>
      </c>
      <c r="F2207" s="64">
        <v>2204</v>
      </c>
      <c r="G2207" s="64">
        <f t="shared" ca="1" si="71"/>
        <v>-8.4826656705801282E-3</v>
      </c>
    </row>
    <row r="2208" spans="2:7" x14ac:dyDescent="0.3">
      <c r="B2208" s="55">
        <v>45751</v>
      </c>
      <c r="C2208" s="54">
        <v>4039.9</v>
      </c>
      <c r="D2208" s="56">
        <f t="shared" si="70"/>
        <v>8.9421028503626987E-2</v>
      </c>
      <c r="E2208" s="64">
        <v>-2.8356342296406822E-2</v>
      </c>
      <c r="F2208" s="64">
        <v>2205</v>
      </c>
      <c r="G2208" s="64">
        <f t="shared" ca="1" si="71"/>
        <v>-3.2484928763810948E-2</v>
      </c>
    </row>
    <row r="2209" spans="2:7" x14ac:dyDescent="0.3">
      <c r="B2209" s="55">
        <v>45637</v>
      </c>
      <c r="C2209" s="54">
        <v>3708.3</v>
      </c>
      <c r="D2209" s="56">
        <f t="shared" si="70"/>
        <v>0.5851161597811454</v>
      </c>
      <c r="E2209" s="64">
        <v>-2.8452409023029146E-2</v>
      </c>
      <c r="F2209" s="64">
        <v>2206</v>
      </c>
      <c r="G2209" s="64">
        <f t="shared" ca="1" si="71"/>
        <v>-7.2635470195148745E-3</v>
      </c>
    </row>
    <row r="2210" spans="2:7" x14ac:dyDescent="0.3">
      <c r="B2210" s="55">
        <v>43878</v>
      </c>
      <c r="C2210" s="54">
        <v>2339.4499999999998</v>
      </c>
      <c r="D2210" s="56">
        <f t="shared" si="70"/>
        <v>-0.19563685124378971</v>
      </c>
      <c r="E2210" s="64">
        <v>-2.8608798555027293E-2</v>
      </c>
      <c r="F2210" s="64">
        <v>2207</v>
      </c>
      <c r="G2210" s="64">
        <f t="shared" ca="1" si="71"/>
        <v>-5.4988350282829676E-3</v>
      </c>
    </row>
    <row r="2211" spans="2:7" x14ac:dyDescent="0.3">
      <c r="B2211" s="55">
        <v>44256</v>
      </c>
      <c r="C2211" s="54">
        <v>2908.45</v>
      </c>
      <c r="D2211" s="56">
        <f t="shared" si="70"/>
        <v>-0.34291620540858059</v>
      </c>
      <c r="E2211" s="64">
        <v>-2.8638701489546503E-2</v>
      </c>
      <c r="F2211" s="64">
        <v>2208</v>
      </c>
      <c r="G2211" s="64">
        <f t="shared" ca="1" si="71"/>
        <v>1.958055865057818E-2</v>
      </c>
    </row>
    <row r="2212" spans="2:7" x14ac:dyDescent="0.3">
      <c r="B2212" s="55">
        <v>44811</v>
      </c>
      <c r="C2212" s="54">
        <v>4426.3</v>
      </c>
      <c r="D2212" s="56">
        <f t="shared" si="70"/>
        <v>1.1266485694381054</v>
      </c>
      <c r="E2212" s="64">
        <v>-2.8702464286498031E-2</v>
      </c>
      <c r="F2212" s="64">
        <v>2209</v>
      </c>
      <c r="G2212" s="64">
        <f t="shared" ca="1" si="71"/>
        <v>-1.551708138576712E-2</v>
      </c>
    </row>
    <row r="2213" spans="2:7" x14ac:dyDescent="0.3">
      <c r="B2213" s="55">
        <v>44125</v>
      </c>
      <c r="C2213" s="54">
        <v>2081.35</v>
      </c>
      <c r="D2213" s="56">
        <f t="shared" si="70"/>
        <v>-0.47857402327358367</v>
      </c>
      <c r="E2213" s="64">
        <v>-2.879074216653843E-2</v>
      </c>
      <c r="F2213" s="64">
        <v>2210</v>
      </c>
      <c r="G2213" s="64">
        <f t="shared" ca="1" si="71"/>
        <v>-3.4303408882918371E-2</v>
      </c>
    </row>
    <row r="2214" spans="2:7" x14ac:dyDescent="0.3">
      <c r="B2214" s="55">
        <v>44627</v>
      </c>
      <c r="C2214" s="54">
        <v>3991.65</v>
      </c>
      <c r="D2214" s="56">
        <f t="shared" si="70"/>
        <v>0.25085000705074978</v>
      </c>
      <c r="E2214" s="64">
        <v>-2.884287869203439E-2</v>
      </c>
      <c r="F2214" s="64">
        <v>2211</v>
      </c>
      <c r="G2214" s="64">
        <f t="shared" ca="1" si="71"/>
        <v>-4.9670599354100058E-3</v>
      </c>
    </row>
    <row r="2215" spans="2:7" x14ac:dyDescent="0.3">
      <c r="B2215" s="55">
        <v>44263</v>
      </c>
      <c r="C2215" s="54">
        <v>3191.15</v>
      </c>
      <c r="D2215" s="56">
        <f t="shared" si="70"/>
        <v>0.54009314447045198</v>
      </c>
      <c r="E2215" s="64">
        <v>-2.8894434131645386E-2</v>
      </c>
      <c r="F2215" s="64">
        <v>2212</v>
      </c>
      <c r="G2215" s="64">
        <f t="shared" ca="1" si="71"/>
        <v>1.3311564250343246E-2</v>
      </c>
    </row>
    <row r="2216" spans="2:7" x14ac:dyDescent="0.3">
      <c r="B2216" s="55">
        <v>43862</v>
      </c>
      <c r="C2216" s="54">
        <v>2072.0500000000002</v>
      </c>
      <c r="D2216" s="56">
        <f t="shared" si="70"/>
        <v>0.15763450472093421</v>
      </c>
      <c r="E2216" s="64">
        <v>-2.9007240094659936E-2</v>
      </c>
      <c r="F2216" s="64">
        <v>2213</v>
      </c>
      <c r="G2216" s="64">
        <f t="shared" ca="1" si="71"/>
        <v>-5.6387096993434057E-3</v>
      </c>
    </row>
    <row r="2217" spans="2:7" x14ac:dyDescent="0.3">
      <c r="B2217" s="55">
        <v>43836</v>
      </c>
      <c r="C2217" s="54">
        <v>1789.9</v>
      </c>
      <c r="D2217" s="56">
        <f t="shared" si="70"/>
        <v>-0.25367968978026101</v>
      </c>
      <c r="E2217" s="64">
        <v>-2.9101461853489163E-2</v>
      </c>
      <c r="F2217" s="64">
        <v>2214</v>
      </c>
      <c r="G2217" s="64">
        <f t="shared" ca="1" si="71"/>
        <v>3.0058461913712049E-4</v>
      </c>
    </row>
    <row r="2218" spans="2:7" x14ac:dyDescent="0.3">
      <c r="B2218" s="55">
        <v>43973</v>
      </c>
      <c r="C2218" s="54">
        <v>2398.3000000000002</v>
      </c>
      <c r="D2218" s="56">
        <f t="shared" si="70"/>
        <v>-0.37982752155980504</v>
      </c>
      <c r="E2218" s="64">
        <v>-2.9126606618763207E-2</v>
      </c>
      <c r="F2218" s="64">
        <v>2215</v>
      </c>
      <c r="G2218" s="64">
        <f t="shared" ca="1" si="71"/>
        <v>-9.492552817133541E-3</v>
      </c>
    </row>
    <row r="2219" spans="2:7" x14ac:dyDescent="0.3">
      <c r="B2219" s="55">
        <v>44685</v>
      </c>
      <c r="C2219" s="54">
        <v>3867.15</v>
      </c>
      <c r="D2219" s="56">
        <f t="shared" si="70"/>
        <v>1.4069648025394454</v>
      </c>
      <c r="E2219" s="64">
        <v>-2.9171426060978778E-2</v>
      </c>
      <c r="F2219" s="64">
        <v>2216</v>
      </c>
      <c r="G2219" s="64">
        <f t="shared" ca="1" si="71"/>
        <v>3.6117111042634667E-2</v>
      </c>
    </row>
    <row r="2220" spans="2:7" x14ac:dyDescent="0.3">
      <c r="B2220" s="55">
        <v>43465</v>
      </c>
      <c r="C2220" s="54">
        <v>1606.65</v>
      </c>
      <c r="D2220" s="56">
        <f t="shared" si="70"/>
        <v>8.0900161463939746E-2</v>
      </c>
      <c r="E2220" s="64">
        <v>-2.9185171757454831E-2</v>
      </c>
      <c r="F2220" s="64">
        <v>2217</v>
      </c>
      <c r="G2220" s="64">
        <f t="shared" ca="1" si="71"/>
        <v>-1.583969747030773E-2</v>
      </c>
    </row>
    <row r="2221" spans="2:7" x14ac:dyDescent="0.3">
      <c r="B2221" s="55">
        <v>43255</v>
      </c>
      <c r="C2221" s="54">
        <v>1486.4</v>
      </c>
      <c r="D2221" s="56">
        <f t="shared" si="70"/>
        <v>-0.68737314782681858</v>
      </c>
      <c r="E2221" s="64">
        <v>-2.919469662334262E-2</v>
      </c>
      <c r="F2221" s="64">
        <v>2218</v>
      </c>
      <c r="G2221" s="64">
        <f t="shared" ca="1" si="71"/>
        <v>5.0652030965805554E-2</v>
      </c>
    </row>
    <row r="2222" spans="2:7" x14ac:dyDescent="0.3">
      <c r="B2222" s="55">
        <v>44488</v>
      </c>
      <c r="C2222" s="54">
        <v>4754.55</v>
      </c>
      <c r="D2222" s="56">
        <f t="shared" si="70"/>
        <v>2.6970180008553326</v>
      </c>
      <c r="E2222" s="64">
        <v>-2.9247825554330475E-2</v>
      </c>
      <c r="F2222" s="64">
        <v>2219</v>
      </c>
      <c r="G2222" s="64">
        <f t="shared" ca="1" si="71"/>
        <v>2.1776296997965211E-2</v>
      </c>
    </row>
    <row r="2223" spans="2:7" x14ac:dyDescent="0.3">
      <c r="B2223" s="55">
        <v>43578</v>
      </c>
      <c r="C2223" s="54">
        <v>1286.05</v>
      </c>
      <c r="D2223" s="56">
        <f t="shared" si="70"/>
        <v>-0.72385175323699302</v>
      </c>
      <c r="E2223" s="64">
        <v>-2.924969806763289E-2</v>
      </c>
      <c r="F2223" s="64">
        <v>2220</v>
      </c>
      <c r="G2223" s="64">
        <f t="shared" ca="1" si="71"/>
        <v>-3.1914744174624365E-2</v>
      </c>
    </row>
    <row r="2224" spans="2:7" x14ac:dyDescent="0.3">
      <c r="B2224" s="55">
        <v>45407</v>
      </c>
      <c r="C2224" s="54">
        <v>4657.1000000000004</v>
      </c>
      <c r="D2224" s="56">
        <f t="shared" si="70"/>
        <v>2.3013858859391063</v>
      </c>
      <c r="E2224" s="64">
        <v>-2.9275359297974979E-2</v>
      </c>
      <c r="F2224" s="64">
        <v>2221</v>
      </c>
      <c r="G2224" s="64">
        <f t="shared" ca="1" si="71"/>
        <v>-1.8010494724526351E-2</v>
      </c>
    </row>
    <row r="2225" spans="2:7" x14ac:dyDescent="0.3">
      <c r="B2225" s="55">
        <v>43571</v>
      </c>
      <c r="C2225" s="54">
        <v>1410.65</v>
      </c>
      <c r="D2225" s="56">
        <f t="shared" si="70"/>
        <v>-0.3733925596890616</v>
      </c>
      <c r="E2225" s="64">
        <v>-2.9313607431618705E-2</v>
      </c>
      <c r="F2225" s="64">
        <v>2222</v>
      </c>
      <c r="G2225" s="64">
        <f t="shared" ca="1" si="71"/>
        <v>-1.6217063611409829E-2</v>
      </c>
    </row>
    <row r="2226" spans="2:7" x14ac:dyDescent="0.3">
      <c r="B2226" s="55">
        <v>44074</v>
      </c>
      <c r="C2226" s="54">
        <v>2251.25</v>
      </c>
      <c r="D2226" s="56">
        <f t="shared" si="70"/>
        <v>-0.33863599641592856</v>
      </c>
      <c r="E2226" s="64">
        <v>-2.938259894800388E-2</v>
      </c>
      <c r="F2226" s="64">
        <v>2223</v>
      </c>
      <c r="G2226" s="64">
        <f t="shared" ca="1" si="71"/>
        <v>2.1503043789030889E-2</v>
      </c>
    </row>
    <row r="2227" spans="2:7" x14ac:dyDescent="0.3">
      <c r="B2227" s="55">
        <v>45716</v>
      </c>
      <c r="C2227" s="54">
        <v>3403.95</v>
      </c>
      <c r="D2227" s="56">
        <f t="shared" si="70"/>
        <v>0.42442566012470184</v>
      </c>
      <c r="E2227" s="64">
        <v>-2.943943886861311E-2</v>
      </c>
      <c r="F2227" s="64">
        <v>2224</v>
      </c>
      <c r="G2227" s="64">
        <f t="shared" ca="1" si="71"/>
        <v>1.7396856658247958E-2</v>
      </c>
    </row>
    <row r="2228" spans="2:7" x14ac:dyDescent="0.3">
      <c r="B2228" s="55">
        <v>43885</v>
      </c>
      <c r="C2228" s="54">
        <v>2389.6999999999998</v>
      </c>
      <c r="D2228" s="56">
        <f t="shared" si="70"/>
        <v>1.1865678470125349</v>
      </c>
      <c r="E2228" s="64">
        <v>-2.9622561062270458E-2</v>
      </c>
      <c r="F2228" s="64">
        <v>2225</v>
      </c>
      <c r="G2228" s="64">
        <f t="shared" ca="1" si="71"/>
        <v>-5.1586441666259652E-3</v>
      </c>
    </row>
    <row r="2229" spans="2:7" x14ac:dyDescent="0.3">
      <c r="B2229" s="55">
        <v>43032</v>
      </c>
      <c r="C2229" s="54">
        <v>1092.9000000000001</v>
      </c>
      <c r="D2229" s="56">
        <f t="shared" si="70"/>
        <v>-0.14690500351260627</v>
      </c>
      <c r="E2229" s="64">
        <v>-2.9740767045454586E-2</v>
      </c>
      <c r="F2229" s="64">
        <v>2226</v>
      </c>
      <c r="G2229" s="64">
        <f t="shared" ca="1" si="71"/>
        <v>1.1624591103833619E-2</v>
      </c>
    </row>
    <row r="2230" spans="2:7" x14ac:dyDescent="0.3">
      <c r="B2230" s="55">
        <v>43182</v>
      </c>
      <c r="C2230" s="54">
        <v>1281.0999999999999</v>
      </c>
      <c r="D2230" s="56">
        <f t="shared" si="70"/>
        <v>-0.62485541515981202</v>
      </c>
      <c r="E2230" s="64">
        <v>-2.9800446817372928E-2</v>
      </c>
      <c r="F2230" s="64">
        <v>2227</v>
      </c>
      <c r="G2230" s="64">
        <f t="shared" ca="1" si="71"/>
        <v>-3.8091335508941004E-2</v>
      </c>
    </row>
    <row r="2231" spans="2:7" x14ac:dyDescent="0.3">
      <c r="B2231" s="55">
        <v>44691</v>
      </c>
      <c r="C2231" s="54">
        <v>3414.95</v>
      </c>
      <c r="D2231" s="56">
        <f t="shared" si="70"/>
        <v>-0.19662412515438454</v>
      </c>
      <c r="E2231" s="64">
        <v>-2.9926426724995125E-2</v>
      </c>
      <c r="F2231" s="64">
        <v>2228</v>
      </c>
      <c r="G2231" s="64">
        <f t="shared" ca="1" si="71"/>
        <v>7.2298647278205104E-3</v>
      </c>
    </row>
    <row r="2232" spans="2:7" x14ac:dyDescent="0.3">
      <c r="B2232" s="55">
        <v>44795</v>
      </c>
      <c r="C2232" s="54">
        <v>4250.75</v>
      </c>
      <c r="D2232" s="56">
        <f t="shared" si="70"/>
        <v>0.10861174138695451</v>
      </c>
      <c r="E2232" s="64">
        <v>-2.9952076677316253E-2</v>
      </c>
      <c r="F2232" s="64">
        <v>2229</v>
      </c>
      <c r="G2232" s="64">
        <f t="shared" ca="1" si="71"/>
        <v>-2.3392775285981951E-2</v>
      </c>
    </row>
    <row r="2233" spans="2:7" x14ac:dyDescent="0.3">
      <c r="B2233" s="55">
        <v>46094</v>
      </c>
      <c r="C2233" s="54">
        <v>3834.3</v>
      </c>
      <c r="D2233" s="56">
        <f t="shared" si="70"/>
        <v>2.2902799823927289E-2</v>
      </c>
      <c r="E2233" s="64">
        <v>-3.0175030352084131E-2</v>
      </c>
      <c r="F2233" s="64">
        <v>2230</v>
      </c>
      <c r="G2233" s="64">
        <f t="shared" ca="1" si="71"/>
        <v>2.0339344806624811E-2</v>
      </c>
    </row>
    <row r="2234" spans="2:7" x14ac:dyDescent="0.3">
      <c r="B2234" s="55">
        <v>45694</v>
      </c>
      <c r="C2234" s="54">
        <v>3748.45</v>
      </c>
      <c r="D2234" s="56">
        <f t="shared" si="70"/>
        <v>2.5906413142391873</v>
      </c>
      <c r="E2234" s="64">
        <v>-3.0330858576713138E-2</v>
      </c>
      <c r="F2234" s="64">
        <v>2231</v>
      </c>
      <c r="G2234" s="64">
        <f t="shared" ca="1" si="71"/>
        <v>-9.4470798186802023E-3</v>
      </c>
    </row>
    <row r="2235" spans="2:7" x14ac:dyDescent="0.3">
      <c r="B2235" s="55">
        <v>43006</v>
      </c>
      <c r="C2235" s="54">
        <v>1043.95</v>
      </c>
      <c r="D2235" s="56">
        <f t="shared" si="70"/>
        <v>-0.1511911537523376</v>
      </c>
      <c r="E2235" s="64">
        <v>-3.0462038541908432E-2</v>
      </c>
      <c r="F2235" s="64">
        <v>2232</v>
      </c>
      <c r="G2235" s="64">
        <f t="shared" ca="1" si="71"/>
        <v>2.7596929321729927E-2</v>
      </c>
    </row>
    <row r="2236" spans="2:7" x14ac:dyDescent="0.3">
      <c r="B2236" s="55">
        <v>43021</v>
      </c>
      <c r="C2236" s="54">
        <v>1229.9000000000001</v>
      </c>
      <c r="D2236" s="56">
        <f t="shared" si="70"/>
        <v>-0.66355728197833463</v>
      </c>
      <c r="E2236" s="64">
        <v>-3.0544279352067161E-2</v>
      </c>
      <c r="F2236" s="64">
        <v>2233</v>
      </c>
      <c r="G2236" s="64">
        <f t="shared" ca="1" si="71"/>
        <v>5.1596312851501937E-2</v>
      </c>
    </row>
    <row r="2237" spans="2:7" x14ac:dyDescent="0.3">
      <c r="B2237" s="55">
        <v>46104</v>
      </c>
      <c r="C2237" s="54">
        <v>3655.6</v>
      </c>
      <c r="D2237" s="56">
        <f t="shared" si="70"/>
        <v>0.22089372787388961</v>
      </c>
      <c r="E2237" s="64">
        <v>-3.0550546303171777E-2</v>
      </c>
      <c r="F2237" s="64">
        <v>2234</v>
      </c>
      <c r="G2237" s="64">
        <f t="shared" ca="1" si="71"/>
        <v>1.8515687410521224E-2</v>
      </c>
    </row>
    <row r="2238" spans="2:7" x14ac:dyDescent="0.3">
      <c r="B2238" s="55">
        <v>44253</v>
      </c>
      <c r="C2238" s="54">
        <v>2994.2</v>
      </c>
      <c r="D2238" s="56">
        <f t="shared" si="70"/>
        <v>-0.38912577782311542</v>
      </c>
      <c r="E2238" s="64">
        <v>-3.075229832966464E-2</v>
      </c>
      <c r="F2238" s="64">
        <v>2235</v>
      </c>
      <c r="G2238" s="64">
        <f t="shared" ca="1" si="71"/>
        <v>-2.1910306696238911E-2</v>
      </c>
    </row>
    <row r="2239" spans="2:7" x14ac:dyDescent="0.3">
      <c r="B2239" s="55">
        <v>45527</v>
      </c>
      <c r="C2239" s="54">
        <v>4901.5</v>
      </c>
      <c r="D2239" s="56">
        <f t="shared" si="70"/>
        <v>8.0256096620273887E-2</v>
      </c>
      <c r="E2239" s="64">
        <v>-3.091234417786215E-2</v>
      </c>
      <c r="F2239" s="64">
        <v>2236</v>
      </c>
      <c r="G2239" s="64">
        <f t="shared" ca="1" si="71"/>
        <v>2.4543542781755745E-2</v>
      </c>
    </row>
    <row r="2240" spans="2:7" x14ac:dyDescent="0.3">
      <c r="B2240" s="55">
        <v>45439</v>
      </c>
      <c r="C2240" s="54">
        <v>4537.3500000000004</v>
      </c>
      <c r="D2240" s="56">
        <f t="shared" si="70"/>
        <v>5.4670339248980238E-2</v>
      </c>
      <c r="E2240" s="64">
        <v>-3.1412103746397579E-2</v>
      </c>
      <c r="F2240" s="64">
        <v>2237</v>
      </c>
      <c r="G2240" s="64">
        <f t="shared" ca="1" si="71"/>
        <v>-1.5863530397984289E-3</v>
      </c>
    </row>
    <row r="2241" spans="2:7" x14ac:dyDescent="0.3">
      <c r="B2241" s="55">
        <v>45443</v>
      </c>
      <c r="C2241" s="54">
        <v>4302.1499999999996</v>
      </c>
      <c r="D2241" s="56">
        <f t="shared" si="70"/>
        <v>5.6649883335379903E-2</v>
      </c>
      <c r="E2241" s="64">
        <v>-3.2126345628184838E-2</v>
      </c>
      <c r="F2241" s="64">
        <v>2238</v>
      </c>
      <c r="G2241" s="64">
        <f t="shared" ca="1" si="71"/>
        <v>-4.9318626912079975E-3</v>
      </c>
    </row>
    <row r="2242" spans="2:7" x14ac:dyDescent="0.3">
      <c r="B2242" s="55">
        <v>45797</v>
      </c>
      <c r="C2242" s="54">
        <v>4071.5</v>
      </c>
      <c r="D2242" s="56">
        <f t="shared" si="70"/>
        <v>9.6390246529600931E-2</v>
      </c>
      <c r="E2242" s="64">
        <v>-3.216221355899973E-2</v>
      </c>
      <c r="F2242" s="64">
        <v>2239</v>
      </c>
      <c r="G2242" s="64">
        <f t="shared" ca="1" si="71"/>
        <v>-5.0115714170961348E-3</v>
      </c>
    </row>
    <row r="2243" spans="2:7" x14ac:dyDescent="0.3">
      <c r="B2243" s="55">
        <v>45124</v>
      </c>
      <c r="C2243" s="54">
        <v>3713.55</v>
      </c>
      <c r="D2243" s="56">
        <f t="shared" si="70"/>
        <v>1.521764226538096</v>
      </c>
      <c r="E2243" s="64">
        <v>-3.2614783458156937E-2</v>
      </c>
      <c r="F2243" s="64">
        <v>2240</v>
      </c>
      <c r="G2243" s="64">
        <f t="shared" ca="1" si="71"/>
        <v>-1.3569347824132359E-2</v>
      </c>
    </row>
    <row r="2244" spans="2:7" x14ac:dyDescent="0.3">
      <c r="B2244" s="55">
        <v>43566</v>
      </c>
      <c r="C2244" s="54">
        <v>1472.6</v>
      </c>
      <c r="D2244" s="56">
        <f t="shared" ref="D2244:D2307" si="72">C2244/C2245-1</f>
        <v>-0.6482923334129449</v>
      </c>
      <c r="E2244" s="64">
        <v>-3.2647966892202618E-2</v>
      </c>
      <c r="F2244" s="64">
        <v>2241</v>
      </c>
      <c r="G2244" s="64">
        <f t="shared" ca="1" si="71"/>
        <v>1.0606492986949318E-2</v>
      </c>
    </row>
    <row r="2245" spans="2:7" x14ac:dyDescent="0.3">
      <c r="B2245" s="55">
        <v>46205</v>
      </c>
      <c r="C2245" s="54">
        <v>4187</v>
      </c>
      <c r="D2245" s="56">
        <f t="shared" si="72"/>
        <v>1.0611401004233532</v>
      </c>
      <c r="E2245" s="64">
        <v>-3.2712655362010845E-2</v>
      </c>
      <c r="F2245" s="64">
        <v>2242</v>
      </c>
      <c r="G2245" s="64">
        <f t="shared" ref="G2245:G2308" ca="1" si="73">_xlfn.NORM.INV(RAND(),K$6,K$7)</f>
        <v>2.3343728539459499E-2</v>
      </c>
    </row>
    <row r="2246" spans="2:7" x14ac:dyDescent="0.3">
      <c r="B2246" s="55">
        <v>44036</v>
      </c>
      <c r="C2246" s="54">
        <v>2031.4</v>
      </c>
      <c r="D2246" s="56">
        <f t="shared" si="72"/>
        <v>-0.55804542685580016</v>
      </c>
      <c r="E2246" s="64">
        <v>-3.2827862022996035E-2</v>
      </c>
      <c r="F2246" s="64">
        <v>2243</v>
      </c>
      <c r="G2246" s="64">
        <f t="shared" ca="1" si="73"/>
        <v>-1.4155424818277191E-2</v>
      </c>
    </row>
    <row r="2247" spans="2:7" x14ac:dyDescent="0.3">
      <c r="B2247" s="55">
        <v>44489</v>
      </c>
      <c r="C2247" s="54">
        <v>4596.3999999999996</v>
      </c>
      <c r="D2247" s="56">
        <f t="shared" si="72"/>
        <v>3.0493348603647252</v>
      </c>
      <c r="E2247" s="64">
        <v>-3.3262874509680351E-2</v>
      </c>
      <c r="F2247" s="64">
        <v>2244</v>
      </c>
      <c r="G2247" s="64">
        <f t="shared" ca="1" si="73"/>
        <v>-3.2849983555487863E-2</v>
      </c>
    </row>
    <row r="2248" spans="2:7" x14ac:dyDescent="0.3">
      <c r="B2248" s="55">
        <v>43133</v>
      </c>
      <c r="C2248" s="54">
        <v>1135.0999999999999</v>
      </c>
      <c r="D2248" s="56">
        <f t="shared" si="72"/>
        <v>1.15403466559727E-2</v>
      </c>
      <c r="E2248" s="64">
        <v>-3.3381589031763692E-2</v>
      </c>
      <c r="F2248" s="64">
        <v>2245</v>
      </c>
      <c r="G2248" s="64">
        <f t="shared" ca="1" si="73"/>
        <v>2.5537208725934908E-2</v>
      </c>
    </row>
    <row r="2249" spans="2:7" x14ac:dyDescent="0.3">
      <c r="B2249" s="55">
        <v>43053</v>
      </c>
      <c r="C2249" s="54">
        <v>1122.1500000000001</v>
      </c>
      <c r="D2249" s="56">
        <f t="shared" si="72"/>
        <v>-0.69558494404883009</v>
      </c>
      <c r="E2249" s="64">
        <v>-3.3420905293078951E-2</v>
      </c>
      <c r="F2249" s="64">
        <v>2246</v>
      </c>
      <c r="G2249" s="64">
        <f t="shared" ca="1" si="73"/>
        <v>-4.8394307904886302E-2</v>
      </c>
    </row>
    <row r="2250" spans="2:7" x14ac:dyDescent="0.3">
      <c r="B2250" s="55">
        <v>45667</v>
      </c>
      <c r="C2250" s="54">
        <v>3686.25</v>
      </c>
      <c r="D2250" s="56">
        <f t="shared" si="72"/>
        <v>-9.1877709893575021E-2</v>
      </c>
      <c r="E2250" s="64">
        <v>-3.3444333735382026E-2</v>
      </c>
      <c r="F2250" s="64">
        <v>2247</v>
      </c>
      <c r="G2250" s="64">
        <f t="shared" ca="1" si="73"/>
        <v>6.9985528529494167E-3</v>
      </c>
    </row>
    <row r="2251" spans="2:7" x14ac:dyDescent="0.3">
      <c r="B2251" s="55">
        <v>45779</v>
      </c>
      <c r="C2251" s="54">
        <v>4059.2</v>
      </c>
      <c r="D2251" s="56">
        <f t="shared" si="72"/>
        <v>3.4401916314153125E-2</v>
      </c>
      <c r="E2251" s="64">
        <v>-3.3500797638038926E-2</v>
      </c>
      <c r="F2251" s="64">
        <v>2248</v>
      </c>
      <c r="G2251" s="64">
        <f t="shared" ca="1" si="73"/>
        <v>1.5329289320073667E-2</v>
      </c>
    </row>
    <row r="2252" spans="2:7" x14ac:dyDescent="0.3">
      <c r="B2252" s="55">
        <v>44930</v>
      </c>
      <c r="C2252" s="54">
        <v>3924.2</v>
      </c>
      <c r="D2252" s="56">
        <f t="shared" si="72"/>
        <v>1.9095088044485635</v>
      </c>
      <c r="E2252" s="64">
        <v>-3.3662488610899155E-2</v>
      </c>
      <c r="F2252" s="64">
        <v>2249</v>
      </c>
      <c r="G2252" s="64">
        <f t="shared" ca="1" si="73"/>
        <v>-1.0603781612684961E-2</v>
      </c>
    </row>
    <row r="2253" spans="2:7" x14ac:dyDescent="0.3">
      <c r="B2253" s="55">
        <v>43374</v>
      </c>
      <c r="C2253" s="54">
        <v>1348.75</v>
      </c>
      <c r="D2253" s="56">
        <f t="shared" si="72"/>
        <v>-7.0308461140789258E-2</v>
      </c>
      <c r="E2253" s="64">
        <v>-3.381209928722384E-2</v>
      </c>
      <c r="F2253" s="64">
        <v>2250</v>
      </c>
      <c r="G2253" s="64">
        <f t="shared" ca="1" si="73"/>
        <v>9.510083385712003E-4</v>
      </c>
    </row>
    <row r="2254" spans="2:7" x14ac:dyDescent="0.3">
      <c r="B2254" s="55">
        <v>43367</v>
      </c>
      <c r="C2254" s="54">
        <v>1450.75</v>
      </c>
      <c r="D2254" s="56">
        <f t="shared" si="72"/>
        <v>-0.3125873628846928</v>
      </c>
      <c r="E2254" s="64">
        <v>-3.402470286646464E-2</v>
      </c>
      <c r="F2254" s="64">
        <v>2251</v>
      </c>
      <c r="G2254" s="64">
        <f t="shared" ca="1" si="73"/>
        <v>3.8673119536858376E-2</v>
      </c>
    </row>
    <row r="2255" spans="2:7" x14ac:dyDescent="0.3">
      <c r="B2255" s="55">
        <v>44109</v>
      </c>
      <c r="C2255" s="54">
        <v>2110.4499999999998</v>
      </c>
      <c r="D2255" s="56">
        <f t="shared" si="72"/>
        <v>0.77796967144060636</v>
      </c>
      <c r="E2255" s="64">
        <v>-3.4030574880996145E-2</v>
      </c>
      <c r="F2255" s="64">
        <v>2252</v>
      </c>
      <c r="G2255" s="64">
        <f t="shared" ca="1" si="73"/>
        <v>2.0394041903041435E-2</v>
      </c>
    </row>
    <row r="2256" spans="2:7" x14ac:dyDescent="0.3">
      <c r="B2256" s="55">
        <v>43116</v>
      </c>
      <c r="C2256" s="54">
        <v>1187</v>
      </c>
      <c r="D2256" s="56">
        <f t="shared" si="72"/>
        <v>-0.45114902667961343</v>
      </c>
      <c r="E2256" s="64">
        <v>-3.4056231435895312E-2</v>
      </c>
      <c r="F2256" s="64">
        <v>2253</v>
      </c>
      <c r="G2256" s="64">
        <f t="shared" ca="1" si="73"/>
        <v>1.1870028524020439E-2</v>
      </c>
    </row>
    <row r="2257" spans="2:7" x14ac:dyDescent="0.3">
      <c r="B2257" s="55">
        <v>44088</v>
      </c>
      <c r="C2257" s="54">
        <v>2162.6999999999998</v>
      </c>
      <c r="D2257" s="56">
        <f t="shared" si="72"/>
        <v>0.81465010907870439</v>
      </c>
      <c r="E2257" s="64">
        <v>-3.4228682430169521E-2</v>
      </c>
      <c r="F2257" s="64">
        <v>2254</v>
      </c>
      <c r="G2257" s="64">
        <f t="shared" ca="1" si="73"/>
        <v>1.1755149225277504E-2</v>
      </c>
    </row>
    <row r="2258" spans="2:7" x14ac:dyDescent="0.3">
      <c r="B2258" s="55">
        <v>43395</v>
      </c>
      <c r="C2258" s="54">
        <v>1191.8</v>
      </c>
      <c r="D2258" s="56">
        <f t="shared" si="72"/>
        <v>-0.67103701454635789</v>
      </c>
      <c r="E2258" s="64">
        <v>-3.4393356289244559E-2</v>
      </c>
      <c r="F2258" s="64">
        <v>2255</v>
      </c>
      <c r="G2258" s="64">
        <f t="shared" ca="1" si="73"/>
        <v>1.3197711044609926E-2</v>
      </c>
    </row>
    <row r="2259" spans="2:7" x14ac:dyDescent="0.3">
      <c r="B2259" s="55">
        <v>45617</v>
      </c>
      <c r="C2259" s="54">
        <v>3622.9</v>
      </c>
      <c r="D2259" s="56">
        <f t="shared" si="72"/>
        <v>1.8479679270497607</v>
      </c>
      <c r="E2259" s="64">
        <v>-3.4524110914202599E-2</v>
      </c>
      <c r="F2259" s="64">
        <v>2256</v>
      </c>
      <c r="G2259" s="64">
        <f t="shared" ca="1" si="73"/>
        <v>-3.2895706012773009E-3</v>
      </c>
    </row>
    <row r="2260" spans="2:7" x14ac:dyDescent="0.3">
      <c r="B2260" s="55">
        <v>43606</v>
      </c>
      <c r="C2260" s="54">
        <v>1272.0999999999999</v>
      </c>
      <c r="D2260" s="56">
        <f t="shared" si="72"/>
        <v>-2.2514215460273657E-2</v>
      </c>
      <c r="E2260" s="64">
        <v>-3.4898717851452821E-2</v>
      </c>
      <c r="F2260" s="64">
        <v>2257</v>
      </c>
      <c r="G2260" s="64">
        <f t="shared" ca="1" si="73"/>
        <v>7.9254999308606515E-3</v>
      </c>
    </row>
    <row r="2261" spans="2:7" x14ac:dyDescent="0.3">
      <c r="B2261" s="55">
        <v>43376</v>
      </c>
      <c r="C2261" s="54">
        <v>1301.4000000000001</v>
      </c>
      <c r="D2261" s="56">
        <f t="shared" si="72"/>
        <v>0.15536221590909083</v>
      </c>
      <c r="E2261" s="64">
        <v>-3.5106580166821111E-2</v>
      </c>
      <c r="F2261" s="64">
        <v>2258</v>
      </c>
      <c r="G2261" s="64">
        <f t="shared" ca="1" si="73"/>
        <v>1.2426771155206802E-2</v>
      </c>
    </row>
    <row r="2262" spans="2:7" x14ac:dyDescent="0.3">
      <c r="B2262" s="55">
        <v>43031</v>
      </c>
      <c r="C2262" s="54">
        <v>1126.4000000000001</v>
      </c>
      <c r="D2262" s="56">
        <f t="shared" si="72"/>
        <v>-0.15059196139054354</v>
      </c>
      <c r="E2262" s="64">
        <v>-3.5120781223231146E-2</v>
      </c>
      <c r="F2262" s="64">
        <v>2259</v>
      </c>
      <c r="G2262" s="64">
        <f t="shared" ca="1" si="73"/>
        <v>1.6036477742359542E-2</v>
      </c>
    </row>
    <row r="2263" spans="2:7" x14ac:dyDescent="0.3">
      <c r="B2263" s="55">
        <v>43384</v>
      </c>
      <c r="C2263" s="54">
        <v>1326.1</v>
      </c>
      <c r="D2263" s="56">
        <f t="shared" si="72"/>
        <v>-0.55687362159994658</v>
      </c>
      <c r="E2263" s="64">
        <v>-3.5142607683352867E-2</v>
      </c>
      <c r="F2263" s="64">
        <v>2260</v>
      </c>
      <c r="G2263" s="64">
        <f t="shared" ca="1" si="73"/>
        <v>9.620917274656797E-3</v>
      </c>
    </row>
    <row r="2264" spans="2:7" x14ac:dyDescent="0.3">
      <c r="B2264" s="55">
        <v>44249</v>
      </c>
      <c r="C2264" s="54">
        <v>2992.6</v>
      </c>
      <c r="D2264" s="56">
        <f t="shared" si="72"/>
        <v>1.7792895286742509</v>
      </c>
      <c r="E2264" s="64">
        <v>-3.5158705850112049E-2</v>
      </c>
      <c r="F2264" s="64">
        <v>2261</v>
      </c>
      <c r="G2264" s="64">
        <f t="shared" ca="1" si="73"/>
        <v>-1.5133208151788624E-2</v>
      </c>
    </row>
    <row r="2265" spans="2:7" x14ac:dyDescent="0.3">
      <c r="B2265" s="55">
        <v>43005</v>
      </c>
      <c r="C2265" s="54">
        <v>1076.75</v>
      </c>
      <c r="D2265" s="56">
        <f t="shared" si="72"/>
        <v>-0.52963917525773185</v>
      </c>
      <c r="E2265" s="64">
        <v>-3.5213476098741037E-2</v>
      </c>
      <c r="F2265" s="64">
        <v>2262</v>
      </c>
      <c r="G2265" s="64">
        <f t="shared" ca="1" si="73"/>
        <v>2.5079957067986332E-2</v>
      </c>
    </row>
    <row r="2266" spans="2:7" x14ac:dyDescent="0.3">
      <c r="B2266" s="55">
        <v>44162</v>
      </c>
      <c r="C2266" s="54">
        <v>2289.1999999999998</v>
      </c>
      <c r="D2266" s="56">
        <f t="shared" si="72"/>
        <v>6.2347727219992155E-2</v>
      </c>
      <c r="E2266" s="64">
        <v>-3.5334274456922721E-2</v>
      </c>
      <c r="F2266" s="64">
        <v>2263</v>
      </c>
      <c r="G2266" s="64">
        <f t="shared" ca="1" si="73"/>
        <v>4.0857384981497144E-2</v>
      </c>
    </row>
    <row r="2267" spans="2:7" x14ac:dyDescent="0.3">
      <c r="B2267" s="55">
        <v>44026</v>
      </c>
      <c r="C2267" s="54">
        <v>2154.85</v>
      </c>
      <c r="D2267" s="56">
        <f t="shared" si="72"/>
        <v>-0.48119033574498304</v>
      </c>
      <c r="E2267" s="64">
        <v>-3.5408133575057565E-2</v>
      </c>
      <c r="F2267" s="64">
        <v>2264</v>
      </c>
      <c r="G2267" s="64">
        <f t="shared" ca="1" si="73"/>
        <v>-7.5543967309187887E-3</v>
      </c>
    </row>
    <row r="2268" spans="2:7" x14ac:dyDescent="0.3">
      <c r="B2268" s="55">
        <v>44851</v>
      </c>
      <c r="C2268" s="54">
        <v>4153.45</v>
      </c>
      <c r="D2268" s="56">
        <f t="shared" si="72"/>
        <v>4.3239120681920147</v>
      </c>
      <c r="E2268" s="64">
        <v>-3.5460910558155145E-2</v>
      </c>
      <c r="F2268" s="64">
        <v>2265</v>
      </c>
      <c r="G2268" s="64">
        <f t="shared" ca="1" si="73"/>
        <v>8.2459827994052735E-3</v>
      </c>
    </row>
    <row r="2269" spans="2:7" x14ac:dyDescent="0.3">
      <c r="B2269" s="55">
        <v>42863</v>
      </c>
      <c r="C2269" s="54">
        <v>780.15</v>
      </c>
      <c r="D2269" s="56">
        <f t="shared" si="72"/>
        <v>-0.67419085404050949</v>
      </c>
      <c r="E2269" s="64">
        <v>-3.5542094202002716E-2</v>
      </c>
      <c r="F2269" s="64">
        <v>2266</v>
      </c>
      <c r="G2269" s="64">
        <f t="shared" ca="1" si="73"/>
        <v>2.6788049116728038E-2</v>
      </c>
    </row>
    <row r="2270" spans="2:7" x14ac:dyDescent="0.3">
      <c r="B2270" s="55">
        <v>43872</v>
      </c>
      <c r="C2270" s="54">
        <v>2394.5</v>
      </c>
      <c r="D2270" s="56">
        <f t="shared" si="72"/>
        <v>-0.49255629139072843</v>
      </c>
      <c r="E2270" s="64">
        <v>-3.589475167596079E-2</v>
      </c>
      <c r="F2270" s="64">
        <v>2267</v>
      </c>
      <c r="G2270" s="64">
        <f t="shared" ca="1" si="73"/>
        <v>-2.3456476052453192E-2</v>
      </c>
    </row>
    <row r="2271" spans="2:7" x14ac:dyDescent="0.3">
      <c r="B2271" s="55">
        <v>44526</v>
      </c>
      <c r="C2271" s="54">
        <v>4718.75</v>
      </c>
      <c r="D2271" s="56">
        <f t="shared" si="72"/>
        <v>6.7633159449973501E-3</v>
      </c>
      <c r="E2271" s="64">
        <v>-3.5907651445500011E-2</v>
      </c>
      <c r="F2271" s="64">
        <v>2268</v>
      </c>
      <c r="G2271" s="64">
        <f t="shared" ca="1" si="73"/>
        <v>2.0208267004190844E-2</v>
      </c>
    </row>
    <row r="2272" spans="2:7" x14ac:dyDescent="0.3">
      <c r="B2272" s="55">
        <v>45449</v>
      </c>
      <c r="C2272" s="54">
        <v>4687.05</v>
      </c>
      <c r="D2272" s="56">
        <f t="shared" si="72"/>
        <v>1.1314945769571843</v>
      </c>
      <c r="E2272" s="64">
        <v>-3.603270091007249E-2</v>
      </c>
      <c r="F2272" s="64">
        <v>2269</v>
      </c>
      <c r="G2272" s="64">
        <f t="shared" ca="1" si="73"/>
        <v>1.0157113849380152E-2</v>
      </c>
    </row>
    <row r="2273" spans="2:7" x14ac:dyDescent="0.3">
      <c r="B2273" s="55">
        <v>43956</v>
      </c>
      <c r="C2273" s="54">
        <v>2198.9499999999998</v>
      </c>
      <c r="D2273" s="56">
        <f t="shared" si="72"/>
        <v>-5.6813016998458199E-4</v>
      </c>
      <c r="E2273" s="64">
        <v>-3.6097838951475225E-2</v>
      </c>
      <c r="F2273" s="64">
        <v>2270</v>
      </c>
      <c r="G2273" s="64">
        <f t="shared" ca="1" si="73"/>
        <v>1.3577195910341157E-2</v>
      </c>
    </row>
    <row r="2274" spans="2:7" x14ac:dyDescent="0.3">
      <c r="B2274" s="55">
        <v>43978</v>
      </c>
      <c r="C2274" s="54">
        <v>2200.1999999999998</v>
      </c>
      <c r="D2274" s="56">
        <f t="shared" si="72"/>
        <v>1.8881596219480179</v>
      </c>
      <c r="E2274" s="64">
        <v>-3.6373590277017476E-2</v>
      </c>
      <c r="F2274" s="64">
        <v>2271</v>
      </c>
      <c r="G2274" s="64">
        <f t="shared" ca="1" si="73"/>
        <v>-3.8869198756422807E-2</v>
      </c>
    </row>
    <row r="2275" spans="2:7" x14ac:dyDescent="0.3">
      <c r="B2275" s="55">
        <v>42866</v>
      </c>
      <c r="C2275" s="54">
        <v>761.8</v>
      </c>
      <c r="D2275" s="56">
        <f t="shared" si="72"/>
        <v>-0.43923444976076553</v>
      </c>
      <c r="E2275" s="64">
        <v>-3.6732629449326759E-2</v>
      </c>
      <c r="F2275" s="64">
        <v>2272</v>
      </c>
      <c r="G2275" s="64">
        <f t="shared" ca="1" si="73"/>
        <v>7.6158022135453833E-3</v>
      </c>
    </row>
    <row r="2276" spans="2:7" x14ac:dyDescent="0.3">
      <c r="B2276" s="55">
        <v>43573</v>
      </c>
      <c r="C2276" s="54">
        <v>1358.5</v>
      </c>
      <c r="D2276" s="56">
        <f t="shared" si="72"/>
        <v>-0.71198388721047334</v>
      </c>
      <c r="E2276" s="64">
        <v>-3.69687732605537E-2</v>
      </c>
      <c r="F2276" s="64">
        <v>2273</v>
      </c>
      <c r="G2276" s="64">
        <f t="shared" ca="1" si="73"/>
        <v>2.1038758523911252E-2</v>
      </c>
    </row>
    <row r="2277" spans="2:7" x14ac:dyDescent="0.3">
      <c r="B2277" s="55">
        <v>45471</v>
      </c>
      <c r="C2277" s="54">
        <v>4716.75</v>
      </c>
      <c r="D2277" s="56">
        <f t="shared" si="72"/>
        <v>2.2885379627692952</v>
      </c>
      <c r="E2277" s="64">
        <v>-3.7417603722373127E-2</v>
      </c>
      <c r="F2277" s="64">
        <v>2274</v>
      </c>
      <c r="G2277" s="64">
        <f t="shared" ca="1" si="73"/>
        <v>-2.0631200324694107E-2</v>
      </c>
    </row>
    <row r="2278" spans="2:7" x14ac:dyDescent="0.3">
      <c r="B2278" s="55">
        <v>43684</v>
      </c>
      <c r="C2278" s="54">
        <v>1434.3</v>
      </c>
      <c r="D2278" s="56">
        <f t="shared" si="72"/>
        <v>0.11190356215357178</v>
      </c>
      <c r="E2278" s="64">
        <v>-3.7673185950551913E-2</v>
      </c>
      <c r="F2278" s="64">
        <v>2275</v>
      </c>
      <c r="G2278" s="64">
        <f t="shared" ca="1" si="73"/>
        <v>-1.43257952607675E-2</v>
      </c>
    </row>
    <row r="2279" spans="2:7" x14ac:dyDescent="0.3">
      <c r="B2279" s="55">
        <v>43612</v>
      </c>
      <c r="C2279" s="54">
        <v>1289.95</v>
      </c>
      <c r="D2279" s="56">
        <f t="shared" si="72"/>
        <v>-0.42256988741914536</v>
      </c>
      <c r="E2279" s="64">
        <v>-3.8104470377689048E-2</v>
      </c>
      <c r="F2279" s="64">
        <v>2276</v>
      </c>
      <c r="G2279" s="64">
        <f t="shared" ca="1" si="73"/>
        <v>7.649324493444405E-3</v>
      </c>
    </row>
    <row r="2280" spans="2:7" x14ac:dyDescent="0.3">
      <c r="B2280" s="55">
        <v>44025</v>
      </c>
      <c r="C2280" s="54">
        <v>2233.9499999999998</v>
      </c>
      <c r="D2280" s="56">
        <f t="shared" si="72"/>
        <v>-0.45648630236971444</v>
      </c>
      <c r="E2280" s="64">
        <v>-3.8209841994230831E-2</v>
      </c>
      <c r="F2280" s="64">
        <v>2277</v>
      </c>
      <c r="G2280" s="64">
        <f t="shared" ca="1" si="73"/>
        <v>-1.2655744793615576E-3</v>
      </c>
    </row>
    <row r="2281" spans="2:7" x14ac:dyDescent="0.3">
      <c r="B2281" s="55">
        <v>44624</v>
      </c>
      <c r="C2281" s="54">
        <v>4110.2</v>
      </c>
      <c r="D2281" s="56">
        <f t="shared" si="72"/>
        <v>3.2778440856837676E-2</v>
      </c>
      <c r="E2281" s="64">
        <v>-3.8886940254881375E-2</v>
      </c>
      <c r="F2281" s="64">
        <v>2278</v>
      </c>
      <c r="G2281" s="64">
        <f t="shared" ca="1" si="73"/>
        <v>6.1078886684045814E-3</v>
      </c>
    </row>
    <row r="2282" spans="2:7" x14ac:dyDescent="0.3">
      <c r="B2282" s="55">
        <v>44606</v>
      </c>
      <c r="C2282" s="54">
        <v>3979.75</v>
      </c>
      <c r="D2282" s="56">
        <f t="shared" si="72"/>
        <v>0.1305144447916371</v>
      </c>
      <c r="E2282" s="64">
        <v>-3.9229887138632402E-2</v>
      </c>
      <c r="F2282" s="64">
        <v>2279</v>
      </c>
      <c r="G2282" s="64">
        <f t="shared" ca="1" si="73"/>
        <v>-2.1504193133617892E-2</v>
      </c>
    </row>
    <row r="2283" spans="2:7" x14ac:dyDescent="0.3">
      <c r="B2283" s="55">
        <v>44690</v>
      </c>
      <c r="C2283" s="54">
        <v>3520.3</v>
      </c>
      <c r="D2283" s="56">
        <f t="shared" si="72"/>
        <v>1.3344164456233423</v>
      </c>
      <c r="E2283" s="64">
        <v>-3.9795974033058679E-2</v>
      </c>
      <c r="F2283" s="64">
        <v>2280</v>
      </c>
      <c r="G2283" s="64">
        <f t="shared" ca="1" si="73"/>
        <v>1.6563363456807978E-2</v>
      </c>
    </row>
    <row r="2284" spans="2:7" x14ac:dyDescent="0.3">
      <c r="B2284" s="55">
        <v>43711</v>
      </c>
      <c r="C2284" s="54">
        <v>1508</v>
      </c>
      <c r="D2284" s="56">
        <f t="shared" si="72"/>
        <v>-0.3085423449034802</v>
      </c>
      <c r="E2284" s="64">
        <v>-4.0193488845750025E-2</v>
      </c>
      <c r="F2284" s="64">
        <v>2281</v>
      </c>
      <c r="G2284" s="64">
        <f t="shared" ca="1" si="73"/>
        <v>-1.0952852817257596E-2</v>
      </c>
    </row>
    <row r="2285" spans="2:7" x14ac:dyDescent="0.3">
      <c r="B2285" s="55">
        <v>43936</v>
      </c>
      <c r="C2285" s="54">
        <v>2180.9</v>
      </c>
      <c r="D2285" s="56">
        <f t="shared" si="72"/>
        <v>-0.52006425844217286</v>
      </c>
      <c r="E2285" s="64">
        <v>-4.054024328545347E-2</v>
      </c>
      <c r="F2285" s="64">
        <v>2282</v>
      </c>
      <c r="G2285" s="64">
        <f t="shared" ca="1" si="73"/>
        <v>-5.3644366590624007E-2</v>
      </c>
    </row>
    <row r="2286" spans="2:7" x14ac:dyDescent="0.3">
      <c r="B2286" s="55">
        <v>45572</v>
      </c>
      <c r="C2286" s="54">
        <v>4544.1499999999996</v>
      </c>
      <c r="D2286" s="56">
        <f t="shared" si="72"/>
        <v>1.0386953498283944</v>
      </c>
      <c r="E2286" s="64">
        <v>-4.0822788149993294E-2</v>
      </c>
      <c r="F2286" s="64">
        <v>2283</v>
      </c>
      <c r="G2286" s="64">
        <f t="shared" ca="1" si="73"/>
        <v>1.2007310996698389E-2</v>
      </c>
    </row>
    <row r="2287" spans="2:7" x14ac:dyDescent="0.3">
      <c r="B2287" s="55">
        <v>43892</v>
      </c>
      <c r="C2287" s="54">
        <v>2228.9499999999998</v>
      </c>
      <c r="D2287" s="56">
        <f t="shared" si="72"/>
        <v>-0.48161542397320811</v>
      </c>
      <c r="E2287" s="64">
        <v>-4.0878676391488677E-2</v>
      </c>
      <c r="F2287" s="64">
        <v>2284</v>
      </c>
      <c r="G2287" s="64">
        <f t="shared" ca="1" si="73"/>
        <v>-1.0919926193121744E-2</v>
      </c>
    </row>
    <row r="2288" spans="2:7" x14ac:dyDescent="0.3">
      <c r="B2288" s="55">
        <v>44582</v>
      </c>
      <c r="C2288" s="54">
        <v>4299.8</v>
      </c>
      <c r="D2288" s="56">
        <f t="shared" si="72"/>
        <v>-9.2400080210235269E-2</v>
      </c>
      <c r="E2288" s="64">
        <v>-4.0983149513220574E-2</v>
      </c>
      <c r="F2288" s="64">
        <v>2285</v>
      </c>
      <c r="G2288" s="64">
        <f t="shared" ca="1" si="73"/>
        <v>3.3305719244023112E-2</v>
      </c>
    </row>
    <row r="2289" spans="2:7" x14ac:dyDescent="0.3">
      <c r="B2289" s="55">
        <v>45569</v>
      </c>
      <c r="C2289" s="54">
        <v>4737.55</v>
      </c>
      <c r="D2289" s="56">
        <f t="shared" si="72"/>
        <v>0.20476305517057236</v>
      </c>
      <c r="E2289" s="64">
        <v>-4.1486262291101861E-2</v>
      </c>
      <c r="F2289" s="64">
        <v>2286</v>
      </c>
      <c r="G2289" s="64">
        <f t="shared" ca="1" si="73"/>
        <v>-3.4981382687923257E-3</v>
      </c>
    </row>
    <row r="2290" spans="2:7" x14ac:dyDescent="0.3">
      <c r="B2290" s="55">
        <v>45294</v>
      </c>
      <c r="C2290" s="54">
        <v>3932.35</v>
      </c>
      <c r="D2290" s="56">
        <f t="shared" si="72"/>
        <v>0.11606686723051585</v>
      </c>
      <c r="E2290" s="64">
        <v>-4.1673266964797118E-2</v>
      </c>
      <c r="F2290" s="64">
        <v>2287</v>
      </c>
      <c r="G2290" s="64">
        <f t="shared" ca="1" si="73"/>
        <v>-7.2866930428629375E-3</v>
      </c>
    </row>
    <row r="2291" spans="2:7" x14ac:dyDescent="0.3">
      <c r="B2291" s="55">
        <v>45061</v>
      </c>
      <c r="C2291" s="54">
        <v>3523.4</v>
      </c>
      <c r="D2291" s="56">
        <f t="shared" si="72"/>
        <v>-0.1223643406025432</v>
      </c>
      <c r="E2291" s="64">
        <v>-4.1916493317561976E-2</v>
      </c>
      <c r="F2291" s="64">
        <v>2288</v>
      </c>
      <c r="G2291" s="64">
        <f t="shared" ca="1" si="73"/>
        <v>-3.8279852475250485E-4</v>
      </c>
    </row>
    <row r="2292" spans="2:7" x14ac:dyDescent="0.3">
      <c r="B2292" s="55">
        <v>44616</v>
      </c>
      <c r="C2292" s="54">
        <v>4014.65</v>
      </c>
      <c r="D2292" s="56">
        <f t="shared" si="72"/>
        <v>-0.12600550784268905</v>
      </c>
      <c r="E2292" s="64">
        <v>-4.2637923428203495E-2</v>
      </c>
      <c r="F2292" s="64">
        <v>2289</v>
      </c>
      <c r="G2292" s="64">
        <f t="shared" ca="1" si="73"/>
        <v>-2.4984481587482739E-2</v>
      </c>
    </row>
    <row r="2293" spans="2:7" x14ac:dyDescent="0.3">
      <c r="B2293" s="55">
        <v>44536</v>
      </c>
      <c r="C2293" s="54">
        <v>4593.45</v>
      </c>
      <c r="D2293" s="56">
        <f t="shared" si="72"/>
        <v>1.0135229912769033</v>
      </c>
      <c r="E2293" s="64">
        <v>-4.2841812442045879E-2</v>
      </c>
      <c r="F2293" s="64">
        <v>2290</v>
      </c>
      <c r="G2293" s="64">
        <f t="shared" ca="1" si="73"/>
        <v>-1.3815781701939867E-2</v>
      </c>
    </row>
    <row r="2294" spans="2:7" x14ac:dyDescent="0.3">
      <c r="B2294" s="55">
        <v>43955</v>
      </c>
      <c r="C2294" s="54">
        <v>2281.3000000000002</v>
      </c>
      <c r="D2294" s="56">
        <f t="shared" si="72"/>
        <v>6.3196159761383486E-2</v>
      </c>
      <c r="E2294" s="64">
        <v>-4.2938350848488627E-2</v>
      </c>
      <c r="F2294" s="64">
        <v>2291</v>
      </c>
      <c r="G2294" s="64">
        <f t="shared" ca="1" si="73"/>
        <v>-3.3526832147478182E-2</v>
      </c>
    </row>
    <row r="2295" spans="2:7" x14ac:dyDescent="0.3">
      <c r="B2295" s="55">
        <v>43899</v>
      </c>
      <c r="C2295" s="54">
        <v>2145.6999999999998</v>
      </c>
      <c r="D2295" s="56">
        <f t="shared" si="72"/>
        <v>-0.38625897428563261</v>
      </c>
      <c r="E2295" s="64">
        <v>-4.3016747318422199E-2</v>
      </c>
      <c r="F2295" s="64">
        <v>2292</v>
      </c>
      <c r="G2295" s="64">
        <f t="shared" ca="1" si="73"/>
        <v>8.5484178751734727E-3</v>
      </c>
    </row>
    <row r="2296" spans="2:7" x14ac:dyDescent="0.3">
      <c r="B2296" s="55">
        <v>45022</v>
      </c>
      <c r="C2296" s="54">
        <v>3496.1</v>
      </c>
      <c r="D2296" s="56">
        <f t="shared" si="72"/>
        <v>-0.19212949590414907</v>
      </c>
      <c r="E2296" s="64">
        <v>-4.3435435106775944E-2</v>
      </c>
      <c r="F2296" s="64">
        <v>2293</v>
      </c>
      <c r="G2296" s="64">
        <f t="shared" ca="1" si="73"/>
        <v>-1.0573602706180366E-2</v>
      </c>
    </row>
    <row r="2297" spans="2:7" x14ac:dyDescent="0.3">
      <c r="B2297" s="55">
        <v>44820</v>
      </c>
      <c r="C2297" s="54">
        <v>4327.55</v>
      </c>
      <c r="D2297" s="56">
        <f t="shared" si="72"/>
        <v>0.12503249623043744</v>
      </c>
      <c r="E2297" s="64">
        <v>-4.3814973982787775E-2</v>
      </c>
      <c r="F2297" s="64">
        <v>2294</v>
      </c>
      <c r="G2297" s="64">
        <f t="shared" ca="1" si="73"/>
        <v>2.6344160726499435E-2</v>
      </c>
    </row>
    <row r="2298" spans="2:7" x14ac:dyDescent="0.3">
      <c r="B2298" s="55">
        <v>46231</v>
      </c>
      <c r="C2298" s="54">
        <v>3846.6</v>
      </c>
      <c r="D2298" s="56">
        <f t="shared" si="72"/>
        <v>0.36651390813172746</v>
      </c>
      <c r="E2298" s="64">
        <v>-4.4963626883829488E-2</v>
      </c>
      <c r="F2298" s="64">
        <v>2295</v>
      </c>
      <c r="G2298" s="64">
        <f t="shared" ca="1" si="73"/>
        <v>-8.1750574492914004E-3</v>
      </c>
    </row>
    <row r="2299" spans="2:7" x14ac:dyDescent="0.3">
      <c r="B2299" s="55">
        <v>44298</v>
      </c>
      <c r="C2299" s="54">
        <v>2814.9</v>
      </c>
      <c r="D2299" s="56">
        <f t="shared" si="72"/>
        <v>-0.35681480635210783</v>
      </c>
      <c r="E2299" s="64">
        <v>-4.506827241116107E-2</v>
      </c>
      <c r="F2299" s="64">
        <v>2296</v>
      </c>
      <c r="G2299" s="64">
        <f t="shared" ca="1" si="73"/>
        <v>-4.8351484284131427E-3</v>
      </c>
    </row>
    <row r="2300" spans="2:7" x14ac:dyDescent="0.3">
      <c r="B2300" s="55">
        <v>46146</v>
      </c>
      <c r="C2300" s="54">
        <v>4376.5</v>
      </c>
      <c r="D2300" s="56">
        <f t="shared" si="72"/>
        <v>9.6867167919799435E-2</v>
      </c>
      <c r="E2300" s="64">
        <v>-4.5661702174055185E-2</v>
      </c>
      <c r="F2300" s="64">
        <v>2297</v>
      </c>
      <c r="G2300" s="64">
        <f t="shared" ca="1" si="73"/>
        <v>2.6992734732413121E-2</v>
      </c>
    </row>
    <row r="2301" spans="2:7" x14ac:dyDescent="0.3">
      <c r="B2301" s="55">
        <v>44911</v>
      </c>
      <c r="C2301" s="54">
        <v>3990</v>
      </c>
      <c r="D2301" s="56">
        <f t="shared" si="72"/>
        <v>-1.1015421590226948E-3</v>
      </c>
      <c r="E2301" s="64">
        <v>-4.5911047345767564E-2</v>
      </c>
      <c r="F2301" s="64">
        <v>2298</v>
      </c>
      <c r="G2301" s="64">
        <f t="shared" ca="1" si="73"/>
        <v>-2.8110227329471528E-2</v>
      </c>
    </row>
    <row r="2302" spans="2:7" x14ac:dyDescent="0.3">
      <c r="B2302" s="55">
        <v>46206</v>
      </c>
      <c r="C2302" s="54">
        <v>3994.4</v>
      </c>
      <c r="D2302" s="56">
        <f t="shared" si="72"/>
        <v>0.91789504009218814</v>
      </c>
      <c r="E2302" s="64">
        <v>-4.5999522331024556E-2</v>
      </c>
      <c r="F2302" s="64">
        <v>2299</v>
      </c>
      <c r="G2302" s="64">
        <f t="shared" ca="1" si="73"/>
        <v>2.4947197811240961E-2</v>
      </c>
    </row>
    <row r="2303" spans="2:7" x14ac:dyDescent="0.3">
      <c r="B2303" s="55">
        <v>43922</v>
      </c>
      <c r="C2303" s="54">
        <v>2082.6999999999998</v>
      </c>
      <c r="D2303" s="56">
        <f t="shared" si="72"/>
        <v>-8.7835322457024079E-2</v>
      </c>
      <c r="E2303" s="64">
        <v>-4.7908571428571523E-2</v>
      </c>
      <c r="F2303" s="64">
        <v>2300</v>
      </c>
      <c r="G2303" s="64">
        <f t="shared" ca="1" si="73"/>
        <v>3.1973672889856553E-3</v>
      </c>
    </row>
    <row r="2304" spans="2:7" x14ac:dyDescent="0.3">
      <c r="B2304" s="55">
        <v>43977</v>
      </c>
      <c r="C2304" s="54">
        <v>2283.25</v>
      </c>
      <c r="D2304" s="56">
        <f t="shared" si="72"/>
        <v>-0.37927331548112608</v>
      </c>
      <c r="E2304" s="64">
        <v>-4.7971479798190497E-2</v>
      </c>
      <c r="F2304" s="64">
        <v>2301</v>
      </c>
      <c r="G2304" s="64">
        <f t="shared" ca="1" si="73"/>
        <v>-5.206922160704063E-3</v>
      </c>
    </row>
    <row r="2305" spans="2:7" x14ac:dyDescent="0.3">
      <c r="B2305" s="55">
        <v>44942</v>
      </c>
      <c r="C2305" s="54">
        <v>3678.35</v>
      </c>
      <c r="D2305" s="56">
        <f t="shared" si="72"/>
        <v>4.8724857089908591E-2</v>
      </c>
      <c r="E2305" s="64">
        <v>-4.7972151046923872E-2</v>
      </c>
      <c r="F2305" s="64">
        <v>2302</v>
      </c>
      <c r="G2305" s="64">
        <f t="shared" ca="1" si="73"/>
        <v>-6.7154216071568917E-3</v>
      </c>
    </row>
    <row r="2306" spans="2:7" x14ac:dyDescent="0.3">
      <c r="B2306" s="55">
        <v>45670</v>
      </c>
      <c r="C2306" s="54">
        <v>3507.45</v>
      </c>
      <c r="D2306" s="56">
        <f t="shared" si="72"/>
        <v>2.093807885684043</v>
      </c>
      <c r="E2306" s="64">
        <v>-4.8504577822990891E-2</v>
      </c>
      <c r="F2306" s="64">
        <v>2303</v>
      </c>
      <c r="G2306" s="64">
        <f t="shared" ca="1" si="73"/>
        <v>-2.3393461732982975E-3</v>
      </c>
    </row>
    <row r="2307" spans="2:7" x14ac:dyDescent="0.3">
      <c r="B2307" s="55">
        <v>43396</v>
      </c>
      <c r="C2307" s="54">
        <v>1133.7</v>
      </c>
      <c r="D2307" s="56">
        <f t="shared" si="72"/>
        <v>-2.2419591273605266E-2</v>
      </c>
      <c r="E2307" s="64">
        <v>-4.8749790233260537E-2</v>
      </c>
      <c r="F2307" s="64">
        <v>2304</v>
      </c>
      <c r="G2307" s="64">
        <f t="shared" ca="1" si="73"/>
        <v>-2.0494222902905805E-2</v>
      </c>
    </row>
    <row r="2308" spans="2:7" x14ac:dyDescent="0.3">
      <c r="B2308" s="55">
        <v>43026</v>
      </c>
      <c r="C2308" s="54">
        <v>1159.7</v>
      </c>
      <c r="D2308" s="56">
        <f t="shared" ref="D2308:D2332" si="74">C2308/C2309-1</f>
        <v>-0.75981194209141933</v>
      </c>
      <c r="E2308" s="64">
        <v>-4.942622950819664E-2</v>
      </c>
      <c r="F2308" s="64">
        <v>2305</v>
      </c>
      <c r="G2308" s="64">
        <f t="shared" ca="1" si="73"/>
        <v>1.364254077648365E-2</v>
      </c>
    </row>
    <row r="2309" spans="2:7" x14ac:dyDescent="0.3">
      <c r="B2309" s="55">
        <v>44522</v>
      </c>
      <c r="C2309" s="54">
        <v>4828.3</v>
      </c>
      <c r="D2309" s="56">
        <f t="shared" si="74"/>
        <v>1.418624455242198</v>
      </c>
      <c r="E2309" s="64">
        <v>-4.9715601566651446E-2</v>
      </c>
      <c r="F2309" s="64">
        <v>2306</v>
      </c>
      <c r="G2309" s="64">
        <f t="shared" ref="G2309:G2372" ca="1" si="75">_xlfn.NORM.INV(RAND(),K$6,K$7)</f>
        <v>-2.1316460353979896E-2</v>
      </c>
    </row>
    <row r="2310" spans="2:7" x14ac:dyDescent="0.3">
      <c r="B2310" s="55">
        <v>43906</v>
      </c>
      <c r="C2310" s="54">
        <v>1996.3</v>
      </c>
      <c r="D2310" s="56">
        <f t="shared" si="74"/>
        <v>3.9252433755010641E-2</v>
      </c>
      <c r="E2310" s="64">
        <v>-4.9833412660637788E-2</v>
      </c>
      <c r="F2310" s="64">
        <v>2307</v>
      </c>
      <c r="G2310" s="64">
        <f t="shared" ca="1" si="75"/>
        <v>8.1154715500760476E-4</v>
      </c>
    </row>
    <row r="2311" spans="2:7" x14ac:dyDescent="0.3">
      <c r="B2311" s="55">
        <v>43908</v>
      </c>
      <c r="C2311" s="54">
        <v>1920.9</v>
      </c>
      <c r="D2311" s="56">
        <f t="shared" si="74"/>
        <v>5.2605622225875281E-2</v>
      </c>
      <c r="E2311" s="64">
        <v>-4.9976507826603012E-2</v>
      </c>
      <c r="F2311" s="64">
        <v>2308</v>
      </c>
      <c r="G2311" s="64">
        <f t="shared" ca="1" si="75"/>
        <v>2.2222443070894866E-3</v>
      </c>
    </row>
    <row r="2312" spans="2:7" x14ac:dyDescent="0.3">
      <c r="B2312" s="55">
        <v>43909</v>
      </c>
      <c r="C2312" s="54">
        <v>1824.9</v>
      </c>
      <c r="D2312" s="56">
        <f t="shared" si="74"/>
        <v>-8.9598403591918174E-2</v>
      </c>
      <c r="E2312" s="64">
        <v>-4.9976573481180675E-2</v>
      </c>
      <c r="F2312" s="64">
        <v>2309</v>
      </c>
      <c r="G2312" s="64">
        <f t="shared" ca="1" si="75"/>
        <v>1.3647621344088017E-2</v>
      </c>
    </row>
    <row r="2313" spans="2:7" x14ac:dyDescent="0.3">
      <c r="B2313" s="55">
        <v>43902</v>
      </c>
      <c r="C2313" s="54">
        <v>2004.5</v>
      </c>
      <c r="D2313" s="56">
        <f t="shared" si="74"/>
        <v>-0.11814522337828037</v>
      </c>
      <c r="E2313" s="64">
        <v>-4.9977487618189875E-2</v>
      </c>
      <c r="F2313" s="64">
        <v>2310</v>
      </c>
      <c r="G2313" s="64">
        <f t="shared" ca="1" si="75"/>
        <v>9.9901833033574083E-3</v>
      </c>
    </row>
    <row r="2314" spans="2:7" x14ac:dyDescent="0.3">
      <c r="B2314" s="55">
        <v>43934</v>
      </c>
      <c r="C2314" s="54">
        <v>2273.0500000000002</v>
      </c>
      <c r="D2314" s="56">
        <f t="shared" si="74"/>
        <v>0.24872273801021816</v>
      </c>
      <c r="E2314" s="64">
        <v>-4.9986416734582928E-2</v>
      </c>
      <c r="F2314" s="64">
        <v>2311</v>
      </c>
      <c r="G2314" s="64">
        <f t="shared" ca="1" si="75"/>
        <v>4.6211007460604187E-3</v>
      </c>
    </row>
    <row r="2315" spans="2:7" x14ac:dyDescent="0.3">
      <c r="B2315" s="55">
        <v>43913</v>
      </c>
      <c r="C2315" s="54">
        <v>1820.3</v>
      </c>
      <c r="D2315" s="56">
        <f t="shared" si="74"/>
        <v>0.35293024638596737</v>
      </c>
      <c r="E2315" s="64">
        <v>-4.9997390532853125E-2</v>
      </c>
      <c r="F2315" s="64">
        <v>2312</v>
      </c>
      <c r="G2315" s="64">
        <f t="shared" ca="1" si="75"/>
        <v>-3.0138403982950965E-2</v>
      </c>
    </row>
    <row r="2316" spans="2:7" x14ac:dyDescent="0.3">
      <c r="B2316" s="55">
        <v>43241</v>
      </c>
      <c r="C2316" s="54">
        <v>1345.45</v>
      </c>
      <c r="D2316" s="56">
        <f t="shared" si="74"/>
        <v>-0.68535581487804309</v>
      </c>
      <c r="E2316" s="64">
        <v>-5.0627998871013213E-2</v>
      </c>
      <c r="F2316" s="64">
        <v>2313</v>
      </c>
      <c r="G2316" s="64">
        <f t="shared" ca="1" si="75"/>
        <v>2.3340915741470951E-2</v>
      </c>
    </row>
    <row r="2317" spans="2:7" x14ac:dyDescent="0.3">
      <c r="B2317" s="55">
        <v>44573</v>
      </c>
      <c r="C2317" s="54">
        <v>4276.1000000000004</v>
      </c>
      <c r="D2317" s="56">
        <f t="shared" si="74"/>
        <v>0.61270978691306821</v>
      </c>
      <c r="E2317" s="64">
        <v>-5.0789140713445202E-2</v>
      </c>
      <c r="F2317" s="64">
        <v>2314</v>
      </c>
      <c r="G2317" s="64">
        <f t="shared" ca="1" si="75"/>
        <v>-2.0267940417762885E-2</v>
      </c>
    </row>
    <row r="2318" spans="2:7" x14ac:dyDescent="0.3">
      <c r="B2318" s="55">
        <v>44225</v>
      </c>
      <c r="C2318" s="54">
        <v>2651.5</v>
      </c>
      <c r="D2318" s="56">
        <f t="shared" si="74"/>
        <v>0.87094270392322892</v>
      </c>
      <c r="E2318" s="64">
        <v>-5.1154967882767521E-2</v>
      </c>
      <c r="F2318" s="64">
        <v>2315</v>
      </c>
      <c r="G2318" s="64">
        <f t="shared" ca="1" si="75"/>
        <v>-3.7836959328157546E-2</v>
      </c>
    </row>
    <row r="2319" spans="2:7" x14ac:dyDescent="0.3">
      <c r="B2319" s="55">
        <v>43238</v>
      </c>
      <c r="C2319" s="54">
        <v>1417.2</v>
      </c>
      <c r="D2319" s="56">
        <f t="shared" si="74"/>
        <v>-0.4115473249320073</v>
      </c>
      <c r="E2319" s="64">
        <v>-5.2040133779264197E-2</v>
      </c>
      <c r="F2319" s="64">
        <v>2316</v>
      </c>
      <c r="G2319" s="64">
        <f t="shared" ca="1" si="75"/>
        <v>7.5792271142585176E-3</v>
      </c>
    </row>
    <row r="2320" spans="2:7" x14ac:dyDescent="0.3">
      <c r="B2320" s="55">
        <v>43875</v>
      </c>
      <c r="C2320" s="54">
        <v>2408.35</v>
      </c>
      <c r="D2320" s="56">
        <f t="shared" si="74"/>
        <v>0.77587287541938554</v>
      </c>
      <c r="E2320" s="64">
        <v>-5.3377355894896228E-2</v>
      </c>
      <c r="F2320" s="64">
        <v>2317</v>
      </c>
      <c r="G2320" s="64">
        <f t="shared" ca="1" si="75"/>
        <v>5.6275511335769227E-3</v>
      </c>
    </row>
    <row r="2321" spans="2:7" x14ac:dyDescent="0.3">
      <c r="B2321" s="55">
        <v>43651</v>
      </c>
      <c r="C2321" s="54">
        <v>1356.15</v>
      </c>
      <c r="D2321" s="56">
        <f t="shared" si="74"/>
        <v>0.85735807710744383</v>
      </c>
      <c r="E2321" s="64">
        <v>-5.3628750872295794E-2</v>
      </c>
      <c r="F2321" s="64">
        <v>2318</v>
      </c>
      <c r="G2321" s="64">
        <f t="shared" ca="1" si="75"/>
        <v>-4.2004096770078721E-3</v>
      </c>
    </row>
    <row r="2322" spans="2:7" x14ac:dyDescent="0.3">
      <c r="B2322" s="55">
        <v>42843</v>
      </c>
      <c r="C2322" s="54">
        <v>730.15</v>
      </c>
      <c r="D2322" s="56">
        <f t="shared" si="74"/>
        <v>-0.40842616973870771</v>
      </c>
      <c r="E2322" s="64">
        <v>-5.671468251404943E-2</v>
      </c>
      <c r="F2322" s="64">
        <v>2319</v>
      </c>
      <c r="G2322" s="64">
        <f t="shared" ca="1" si="75"/>
        <v>-1.7564643370722574E-3</v>
      </c>
    </row>
    <row r="2323" spans="2:7" x14ac:dyDescent="0.3">
      <c r="B2323" s="55">
        <v>43392</v>
      </c>
      <c r="C2323" s="54">
        <v>1234.25</v>
      </c>
      <c r="D2323" s="56">
        <f t="shared" si="74"/>
        <v>-7.1818010904305285E-2</v>
      </c>
      <c r="E2323" s="64">
        <v>-5.685248156497158E-2</v>
      </c>
      <c r="F2323" s="64">
        <v>2320</v>
      </c>
      <c r="G2323" s="64">
        <f t="shared" ca="1" si="75"/>
        <v>-2.0634323957937357E-2</v>
      </c>
    </row>
    <row r="2324" spans="2:7" x14ac:dyDescent="0.3">
      <c r="B2324" s="55">
        <v>43388</v>
      </c>
      <c r="C2324" s="54">
        <v>1329.75</v>
      </c>
      <c r="D2324" s="56">
        <f t="shared" si="74"/>
        <v>-0.61574027250003616</v>
      </c>
      <c r="E2324" s="64">
        <v>-5.8050577318127128E-2</v>
      </c>
      <c r="F2324" s="64">
        <v>2321</v>
      </c>
      <c r="G2324" s="64">
        <f t="shared" ca="1" si="75"/>
        <v>-2.4640522299768431E-3</v>
      </c>
    </row>
    <row r="2325" spans="2:7" x14ac:dyDescent="0.3">
      <c r="B2325" s="55">
        <v>44729</v>
      </c>
      <c r="C2325" s="54">
        <v>3460.55</v>
      </c>
      <c r="D2325" s="56">
        <f t="shared" si="74"/>
        <v>-0.14243055039278363</v>
      </c>
      <c r="E2325" s="64">
        <v>-6.0297072720360556E-2</v>
      </c>
      <c r="F2325" s="64">
        <v>2322</v>
      </c>
      <c r="G2325" s="64">
        <f t="shared" ca="1" si="75"/>
        <v>-5.3132224792538686E-3</v>
      </c>
    </row>
    <row r="2326" spans="2:7" x14ac:dyDescent="0.3">
      <c r="B2326" s="55">
        <v>44585</v>
      </c>
      <c r="C2326" s="54">
        <v>4035.3</v>
      </c>
      <c r="D2326" s="56">
        <f t="shared" si="74"/>
        <v>1.6105773896166911</v>
      </c>
      <c r="E2326" s="64">
        <v>-6.1514489046002097E-2</v>
      </c>
      <c r="F2326" s="64">
        <v>2323</v>
      </c>
      <c r="G2326" s="64">
        <f t="shared" ca="1" si="75"/>
        <v>7.3423911700322793E-3</v>
      </c>
    </row>
    <row r="2327" spans="2:7" x14ac:dyDescent="0.3">
      <c r="B2327" s="55">
        <v>43458</v>
      </c>
      <c r="C2327" s="54">
        <v>1545.75</v>
      </c>
      <c r="D2327" s="56">
        <f t="shared" si="74"/>
        <v>-0.22983981465334691</v>
      </c>
      <c r="E2327" s="64">
        <v>-6.2101814210302697E-2</v>
      </c>
      <c r="F2327" s="64">
        <v>2324</v>
      </c>
      <c r="G2327" s="64">
        <f t="shared" ca="1" si="75"/>
        <v>1.823571378860047E-2</v>
      </c>
    </row>
    <row r="2328" spans="2:7" x14ac:dyDescent="0.3">
      <c r="B2328" s="55">
        <v>44028</v>
      </c>
      <c r="C2328" s="54">
        <v>2007.05</v>
      </c>
      <c r="D2328" s="56">
        <f t="shared" si="74"/>
        <v>-0.45255305220664443</v>
      </c>
      <c r="E2328" s="64">
        <v>-6.4900878235143344E-2</v>
      </c>
      <c r="F2328" s="64">
        <v>2325</v>
      </c>
      <c r="G2328" s="64">
        <f t="shared" ca="1" si="75"/>
        <v>-1.2421887423457864E-2</v>
      </c>
    </row>
    <row r="2329" spans="2:7" x14ac:dyDescent="0.3">
      <c r="B2329" s="55">
        <v>44687</v>
      </c>
      <c r="C2329" s="54">
        <v>3666.2</v>
      </c>
      <c r="D2329" s="56">
        <f t="shared" si="74"/>
        <v>-0.25145983911143788</v>
      </c>
      <c r="E2329" s="64">
        <v>-7.038896495765512E-2</v>
      </c>
      <c r="F2329" s="64">
        <v>2326</v>
      </c>
      <c r="G2329" s="64">
        <f t="shared" ca="1" si="75"/>
        <v>-3.1757130671524185E-2</v>
      </c>
    </row>
    <row r="2330" spans="2:7" x14ac:dyDescent="0.3">
      <c r="B2330" s="55">
        <v>44487</v>
      </c>
      <c r="C2330" s="54">
        <v>4897.8</v>
      </c>
      <c r="D2330" s="56">
        <f t="shared" si="74"/>
        <v>0.17071421742040349</v>
      </c>
      <c r="E2330" s="64">
        <v>-8.0009391876027181E-2</v>
      </c>
      <c r="F2330" s="64">
        <v>2327</v>
      </c>
      <c r="G2330" s="64">
        <f t="shared" ca="1" si="75"/>
        <v>2.925733356297288E-2</v>
      </c>
    </row>
    <row r="2331" spans="2:7" x14ac:dyDescent="0.3">
      <c r="B2331" s="55">
        <v>45579</v>
      </c>
      <c r="C2331" s="54">
        <v>4183.6000000000004</v>
      </c>
      <c r="D2331" s="56">
        <f t="shared" si="74"/>
        <v>1.9938457134678691</v>
      </c>
      <c r="E2331" s="64">
        <v>-8.5091958798958922E-2</v>
      </c>
      <c r="F2331" s="64">
        <v>2328</v>
      </c>
      <c r="G2331" s="64">
        <f t="shared" ca="1" si="75"/>
        <v>-3.0868326822896752E-2</v>
      </c>
    </row>
    <row r="2332" spans="2:7" x14ac:dyDescent="0.3">
      <c r="B2332" s="55">
        <v>43479</v>
      </c>
      <c r="C2332" s="54">
        <v>1397.4</v>
      </c>
      <c r="D2332" s="56">
        <f t="shared" si="74"/>
        <v>1.1883955837444211</v>
      </c>
      <c r="E2332" s="64">
        <v>-0.11087074094104921</v>
      </c>
      <c r="F2332" s="64">
        <v>2329</v>
      </c>
      <c r="G2332" s="64">
        <f t="shared" ca="1" si="75"/>
        <v>1.4549071721031181E-2</v>
      </c>
    </row>
    <row r="2333" spans="2:7" x14ac:dyDescent="0.3">
      <c r="B2333">
        <v>42816</v>
      </c>
      <c r="C2333">
        <v>638.54999999999995</v>
      </c>
      <c r="F2333" s="64">
        <v>2330</v>
      </c>
      <c r="G2333" s="64">
        <f t="shared" ca="1" si="75"/>
        <v>-1.9011641721968009E-2</v>
      </c>
    </row>
    <row r="2334" spans="2:7" x14ac:dyDescent="0.3">
      <c r="F2334" s="64">
        <v>2331</v>
      </c>
      <c r="G2334" s="64">
        <f t="shared" ca="1" si="75"/>
        <v>-3.5209666780691505E-2</v>
      </c>
    </row>
    <row r="2335" spans="2:7" x14ac:dyDescent="0.3">
      <c r="F2335" s="64">
        <v>2332</v>
      </c>
      <c r="G2335" s="64">
        <f t="shared" ca="1" si="75"/>
        <v>-1.4986716986896756E-3</v>
      </c>
    </row>
    <row r="2336" spans="2:7" x14ac:dyDescent="0.3">
      <c r="F2336" s="64">
        <v>2333</v>
      </c>
      <c r="G2336" s="64">
        <f t="shared" ca="1" si="75"/>
        <v>1.7795720750538578E-4</v>
      </c>
    </row>
    <row r="2337" spans="6:7" x14ac:dyDescent="0.3">
      <c r="F2337" s="64">
        <v>2334</v>
      </c>
      <c r="G2337" s="64">
        <f t="shared" ca="1" si="75"/>
        <v>-6.8540514922027073E-3</v>
      </c>
    </row>
    <row r="2338" spans="6:7" x14ac:dyDescent="0.3">
      <c r="F2338" s="64">
        <v>2335</v>
      </c>
      <c r="G2338" s="64">
        <f t="shared" ca="1" si="75"/>
        <v>1.696078363820306E-2</v>
      </c>
    </row>
    <row r="2339" spans="6:7" x14ac:dyDescent="0.3">
      <c r="F2339" s="64">
        <v>2336</v>
      </c>
      <c r="G2339" s="64">
        <f t="shared" ca="1" si="75"/>
        <v>-2.7957443329202636E-2</v>
      </c>
    </row>
    <row r="2340" spans="6:7" x14ac:dyDescent="0.3">
      <c r="F2340" s="64">
        <v>2337</v>
      </c>
      <c r="G2340" s="64">
        <f t="shared" ca="1" si="75"/>
        <v>4.4886186119242385E-3</v>
      </c>
    </row>
    <row r="2341" spans="6:7" x14ac:dyDescent="0.3">
      <c r="F2341" s="64">
        <v>2338</v>
      </c>
      <c r="G2341" s="64">
        <f t="shared" ca="1" si="75"/>
        <v>1.9445805611849026E-3</v>
      </c>
    </row>
    <row r="2342" spans="6:7" x14ac:dyDescent="0.3">
      <c r="F2342" s="64">
        <v>2339</v>
      </c>
      <c r="G2342" s="64">
        <f t="shared" ca="1" si="75"/>
        <v>-2.4189119598989429E-2</v>
      </c>
    </row>
    <row r="2343" spans="6:7" x14ac:dyDescent="0.3">
      <c r="F2343" s="64">
        <v>2340</v>
      </c>
      <c r="G2343" s="64">
        <f t="shared" ca="1" si="75"/>
        <v>-3.3331764222786456E-2</v>
      </c>
    </row>
    <row r="2344" spans="6:7" x14ac:dyDescent="0.3">
      <c r="F2344" s="64">
        <v>2341</v>
      </c>
      <c r="G2344" s="64">
        <f t="shared" ca="1" si="75"/>
        <v>-2.3130131222591006E-2</v>
      </c>
    </row>
    <row r="2345" spans="6:7" x14ac:dyDescent="0.3">
      <c r="F2345" s="64">
        <v>2342</v>
      </c>
      <c r="G2345" s="64">
        <f t="shared" ca="1" si="75"/>
        <v>8.3635631584854202E-3</v>
      </c>
    </row>
    <row r="2346" spans="6:7" x14ac:dyDescent="0.3">
      <c r="F2346" s="64">
        <v>2343</v>
      </c>
      <c r="G2346" s="64">
        <f t="shared" ca="1" si="75"/>
        <v>1.0405819263936988E-3</v>
      </c>
    </row>
    <row r="2347" spans="6:7" x14ac:dyDescent="0.3">
      <c r="F2347" s="64">
        <v>2344</v>
      </c>
      <c r="G2347" s="64">
        <f t="shared" ca="1" si="75"/>
        <v>3.8463109916533115E-3</v>
      </c>
    </row>
    <row r="2348" spans="6:7" x14ac:dyDescent="0.3">
      <c r="F2348" s="64">
        <v>2345</v>
      </c>
      <c r="G2348" s="64">
        <f t="shared" ca="1" si="75"/>
        <v>1.6598068062469561E-2</v>
      </c>
    </row>
    <row r="2349" spans="6:7" x14ac:dyDescent="0.3">
      <c r="F2349" s="64">
        <v>2346</v>
      </c>
      <c r="G2349" s="64">
        <f t="shared" ca="1" si="75"/>
        <v>-2.227059443940502E-3</v>
      </c>
    </row>
    <row r="2350" spans="6:7" x14ac:dyDescent="0.3">
      <c r="F2350" s="64">
        <v>2347</v>
      </c>
      <c r="G2350" s="64">
        <f t="shared" ca="1" si="75"/>
        <v>-1.2140012610082221E-3</v>
      </c>
    </row>
    <row r="2351" spans="6:7" x14ac:dyDescent="0.3">
      <c r="F2351" s="64">
        <v>2348</v>
      </c>
      <c r="G2351" s="64">
        <f t="shared" ca="1" si="75"/>
        <v>3.4878250505809297E-2</v>
      </c>
    </row>
    <row r="2352" spans="6:7" x14ac:dyDescent="0.3">
      <c r="F2352" s="64">
        <v>2349</v>
      </c>
      <c r="G2352" s="64">
        <f t="shared" ca="1" si="75"/>
        <v>-1.6964997367407059E-2</v>
      </c>
    </row>
    <row r="2353" spans="6:7" x14ac:dyDescent="0.3">
      <c r="F2353" s="64">
        <v>2350</v>
      </c>
      <c r="G2353" s="64">
        <f t="shared" ca="1" si="75"/>
        <v>4.0324068633402307E-2</v>
      </c>
    </row>
    <row r="2354" spans="6:7" x14ac:dyDescent="0.3">
      <c r="F2354" s="64">
        <v>2351</v>
      </c>
      <c r="G2354" s="64">
        <f t="shared" ca="1" si="75"/>
        <v>2.5466075337389989E-2</v>
      </c>
    </row>
    <row r="2355" spans="6:7" x14ac:dyDescent="0.3">
      <c r="F2355" s="64">
        <v>2352</v>
      </c>
      <c r="G2355" s="64">
        <f t="shared" ca="1" si="75"/>
        <v>1.423455514029383E-3</v>
      </c>
    </row>
    <row r="2356" spans="6:7" x14ac:dyDescent="0.3">
      <c r="F2356" s="64">
        <v>2353</v>
      </c>
      <c r="G2356" s="64">
        <f t="shared" ca="1" si="75"/>
        <v>9.2985790639901426E-3</v>
      </c>
    </row>
    <row r="2357" spans="6:7" x14ac:dyDescent="0.3">
      <c r="F2357" s="64">
        <v>2354</v>
      </c>
      <c r="G2357" s="64">
        <f t="shared" ca="1" si="75"/>
        <v>1.0155734864468325E-2</v>
      </c>
    </row>
    <row r="2358" spans="6:7" x14ac:dyDescent="0.3">
      <c r="F2358" s="64">
        <v>2355</v>
      </c>
      <c r="G2358" s="64">
        <f t="shared" ca="1" si="75"/>
        <v>3.9243141825261216E-2</v>
      </c>
    </row>
    <row r="2359" spans="6:7" x14ac:dyDescent="0.3">
      <c r="F2359" s="64">
        <v>2356</v>
      </c>
      <c r="G2359" s="64">
        <f t="shared" ca="1" si="75"/>
        <v>3.5874685761624205E-2</v>
      </c>
    </row>
    <row r="2360" spans="6:7" x14ac:dyDescent="0.3">
      <c r="F2360" s="64">
        <v>2357</v>
      </c>
      <c r="G2360" s="64">
        <f t="shared" ca="1" si="75"/>
        <v>1.2533318056383046E-2</v>
      </c>
    </row>
    <row r="2361" spans="6:7" x14ac:dyDescent="0.3">
      <c r="F2361" s="64">
        <v>2358</v>
      </c>
      <c r="G2361" s="64">
        <f t="shared" ca="1" si="75"/>
        <v>-6.4897337833353238E-3</v>
      </c>
    </row>
    <row r="2362" spans="6:7" x14ac:dyDescent="0.3">
      <c r="F2362" s="64">
        <v>2359</v>
      </c>
      <c r="G2362" s="64">
        <f t="shared" ca="1" si="75"/>
        <v>5.9153649493286341E-3</v>
      </c>
    </row>
    <row r="2363" spans="6:7" x14ac:dyDescent="0.3">
      <c r="F2363" s="64">
        <v>2360</v>
      </c>
      <c r="G2363" s="64">
        <f t="shared" ca="1" si="75"/>
        <v>5.5258579755428968E-3</v>
      </c>
    </row>
    <row r="2364" spans="6:7" x14ac:dyDescent="0.3">
      <c r="F2364" s="64">
        <v>2361</v>
      </c>
      <c r="G2364" s="64">
        <f t="shared" ca="1" si="75"/>
        <v>-6.695906483590061E-3</v>
      </c>
    </row>
    <row r="2365" spans="6:7" x14ac:dyDescent="0.3">
      <c r="F2365" s="64">
        <v>2362</v>
      </c>
      <c r="G2365" s="64">
        <f t="shared" ca="1" si="75"/>
        <v>3.6787967016374662E-3</v>
      </c>
    </row>
    <row r="2366" spans="6:7" x14ac:dyDescent="0.3">
      <c r="F2366" s="64">
        <v>2363</v>
      </c>
      <c r="G2366" s="64">
        <f t="shared" ca="1" si="75"/>
        <v>3.5757299863185224E-2</v>
      </c>
    </row>
    <row r="2367" spans="6:7" x14ac:dyDescent="0.3">
      <c r="F2367" s="64">
        <v>2364</v>
      </c>
      <c r="G2367" s="64">
        <f t="shared" ca="1" si="75"/>
        <v>-2.3145203846168566E-3</v>
      </c>
    </row>
    <row r="2368" spans="6:7" x14ac:dyDescent="0.3">
      <c r="F2368" s="64">
        <v>2365</v>
      </c>
      <c r="G2368" s="64">
        <f t="shared" ca="1" si="75"/>
        <v>2.2951527309038678E-3</v>
      </c>
    </row>
    <row r="2369" spans="6:7" x14ac:dyDescent="0.3">
      <c r="F2369" s="64">
        <v>2366</v>
      </c>
      <c r="G2369" s="64">
        <f t="shared" ca="1" si="75"/>
        <v>5.3408748954356707E-3</v>
      </c>
    </row>
    <row r="2370" spans="6:7" x14ac:dyDescent="0.3">
      <c r="F2370" s="64">
        <v>2367</v>
      </c>
      <c r="G2370" s="64">
        <f t="shared" ca="1" si="75"/>
        <v>7.5339053333037627E-3</v>
      </c>
    </row>
    <row r="2371" spans="6:7" x14ac:dyDescent="0.3">
      <c r="F2371" s="64">
        <v>2368</v>
      </c>
      <c r="G2371" s="64">
        <f t="shared" ca="1" si="75"/>
        <v>-2.4308691230911519E-4</v>
      </c>
    </row>
    <row r="2372" spans="6:7" x14ac:dyDescent="0.3">
      <c r="F2372" s="64">
        <v>2369</v>
      </c>
      <c r="G2372" s="64">
        <f t="shared" ca="1" si="75"/>
        <v>3.54019583740669E-2</v>
      </c>
    </row>
    <row r="2373" spans="6:7" x14ac:dyDescent="0.3">
      <c r="F2373" s="64">
        <v>2370</v>
      </c>
      <c r="G2373" s="64">
        <f t="shared" ref="G2373:G2436" ca="1" si="76">_xlfn.NORM.INV(RAND(),K$6,K$7)</f>
        <v>2.4315720805557599E-2</v>
      </c>
    </row>
    <row r="2374" spans="6:7" x14ac:dyDescent="0.3">
      <c r="F2374" s="64">
        <v>2371</v>
      </c>
      <c r="G2374" s="64">
        <f t="shared" ca="1" si="76"/>
        <v>3.5472311618547983E-2</v>
      </c>
    </row>
    <row r="2375" spans="6:7" x14ac:dyDescent="0.3">
      <c r="F2375" s="64">
        <v>2372</v>
      </c>
      <c r="G2375" s="64">
        <f t="shared" ca="1" si="76"/>
        <v>2.5452163461755058E-2</v>
      </c>
    </row>
    <row r="2376" spans="6:7" x14ac:dyDescent="0.3">
      <c r="F2376" s="64">
        <v>2373</v>
      </c>
      <c r="G2376" s="64">
        <f t="shared" ca="1" si="76"/>
        <v>5.6191593765055857E-3</v>
      </c>
    </row>
    <row r="2377" spans="6:7" x14ac:dyDescent="0.3">
      <c r="F2377" s="64">
        <v>2374</v>
      </c>
      <c r="G2377" s="64">
        <f t="shared" ca="1" si="76"/>
        <v>2.4721921339519143E-2</v>
      </c>
    </row>
    <row r="2378" spans="6:7" x14ac:dyDescent="0.3">
      <c r="F2378" s="64">
        <v>2375</v>
      </c>
      <c r="G2378" s="64">
        <f t="shared" ca="1" si="76"/>
        <v>-7.1413851694042216E-3</v>
      </c>
    </row>
    <row r="2379" spans="6:7" x14ac:dyDescent="0.3">
      <c r="F2379" s="64">
        <v>2376</v>
      </c>
      <c r="G2379" s="64">
        <f t="shared" ca="1" si="76"/>
        <v>2.135566650907076E-2</v>
      </c>
    </row>
    <row r="2380" spans="6:7" x14ac:dyDescent="0.3">
      <c r="F2380" s="64">
        <v>2377</v>
      </c>
      <c r="G2380" s="64">
        <f t="shared" ca="1" si="76"/>
        <v>-2.359037580411083E-2</v>
      </c>
    </row>
    <row r="2381" spans="6:7" x14ac:dyDescent="0.3">
      <c r="F2381" s="64">
        <v>2378</v>
      </c>
      <c r="G2381" s="64">
        <f t="shared" ca="1" si="76"/>
        <v>-1.0184910252406176E-2</v>
      </c>
    </row>
    <row r="2382" spans="6:7" x14ac:dyDescent="0.3">
      <c r="F2382" s="64">
        <v>2379</v>
      </c>
      <c r="G2382" s="64">
        <f t="shared" ca="1" si="76"/>
        <v>-2.6353644943168553E-2</v>
      </c>
    </row>
    <row r="2383" spans="6:7" x14ac:dyDescent="0.3">
      <c r="F2383" s="64">
        <v>2380</v>
      </c>
      <c r="G2383" s="64">
        <f t="shared" ca="1" si="76"/>
        <v>-1.8008307630015305E-2</v>
      </c>
    </row>
    <row r="2384" spans="6:7" x14ac:dyDescent="0.3">
      <c r="F2384" s="64">
        <v>2381</v>
      </c>
      <c r="G2384" s="64">
        <f t="shared" ca="1" si="76"/>
        <v>-2.4276381820402702E-3</v>
      </c>
    </row>
    <row r="2385" spans="6:7" x14ac:dyDescent="0.3">
      <c r="F2385" s="64">
        <v>2382</v>
      </c>
      <c r="G2385" s="64">
        <f t="shared" ca="1" si="76"/>
        <v>-3.2801015602777525E-2</v>
      </c>
    </row>
    <row r="2386" spans="6:7" x14ac:dyDescent="0.3">
      <c r="F2386" s="64">
        <v>2383</v>
      </c>
      <c r="G2386" s="64">
        <f t="shared" ca="1" si="76"/>
        <v>-1.0184349486920746E-2</v>
      </c>
    </row>
    <row r="2387" spans="6:7" x14ac:dyDescent="0.3">
      <c r="F2387" s="64">
        <v>2384</v>
      </c>
      <c r="G2387" s="64">
        <f t="shared" ca="1" si="76"/>
        <v>-2.7121014036865551E-2</v>
      </c>
    </row>
    <row r="2388" spans="6:7" x14ac:dyDescent="0.3">
      <c r="F2388" s="64">
        <v>2385</v>
      </c>
      <c r="G2388" s="64">
        <f t="shared" ca="1" si="76"/>
        <v>4.9413131081469204E-3</v>
      </c>
    </row>
    <row r="2389" spans="6:7" x14ac:dyDescent="0.3">
      <c r="F2389" s="64">
        <v>2386</v>
      </c>
      <c r="G2389" s="64">
        <f t="shared" ca="1" si="76"/>
        <v>-7.2848640662473321E-4</v>
      </c>
    </row>
    <row r="2390" spans="6:7" x14ac:dyDescent="0.3">
      <c r="F2390" s="64">
        <v>2387</v>
      </c>
      <c r="G2390" s="64">
        <f t="shared" ca="1" si="76"/>
        <v>5.5300164174822601E-3</v>
      </c>
    </row>
    <row r="2391" spans="6:7" x14ac:dyDescent="0.3">
      <c r="F2391" s="64">
        <v>2388</v>
      </c>
      <c r="G2391" s="64">
        <f t="shared" ca="1" si="76"/>
        <v>1.2917497720514594E-2</v>
      </c>
    </row>
    <row r="2392" spans="6:7" x14ac:dyDescent="0.3">
      <c r="F2392" s="64">
        <v>2389</v>
      </c>
      <c r="G2392" s="64">
        <f t="shared" ca="1" si="76"/>
        <v>-1.9483531370615217E-2</v>
      </c>
    </row>
    <row r="2393" spans="6:7" x14ac:dyDescent="0.3">
      <c r="F2393" s="64">
        <v>2390</v>
      </c>
      <c r="G2393" s="64">
        <f t="shared" ca="1" si="76"/>
        <v>2.9781095889997833E-2</v>
      </c>
    </row>
    <row r="2394" spans="6:7" x14ac:dyDescent="0.3">
      <c r="F2394" s="64">
        <v>2391</v>
      </c>
      <c r="G2394" s="64">
        <f t="shared" ca="1" si="76"/>
        <v>1.9534508949383834E-2</v>
      </c>
    </row>
    <row r="2395" spans="6:7" x14ac:dyDescent="0.3">
      <c r="F2395" s="64">
        <v>2392</v>
      </c>
      <c r="G2395" s="64">
        <f t="shared" ca="1" si="76"/>
        <v>4.0948274177932606E-3</v>
      </c>
    </row>
    <row r="2396" spans="6:7" x14ac:dyDescent="0.3">
      <c r="F2396" s="64">
        <v>2393</v>
      </c>
      <c r="G2396" s="64">
        <f t="shared" ca="1" si="76"/>
        <v>-1.3574640403979026E-2</v>
      </c>
    </row>
    <row r="2397" spans="6:7" x14ac:dyDescent="0.3">
      <c r="F2397" s="64">
        <v>2394</v>
      </c>
      <c r="G2397" s="64">
        <f t="shared" ca="1" si="76"/>
        <v>2.9746500771532437E-2</v>
      </c>
    </row>
    <row r="2398" spans="6:7" x14ac:dyDescent="0.3">
      <c r="F2398" s="64">
        <v>2395</v>
      </c>
      <c r="G2398" s="64">
        <f t="shared" ca="1" si="76"/>
        <v>-4.4217905986460833E-3</v>
      </c>
    </row>
    <row r="2399" spans="6:7" x14ac:dyDescent="0.3">
      <c r="F2399" s="64">
        <v>2396</v>
      </c>
      <c r="G2399" s="64">
        <f t="shared" ca="1" si="76"/>
        <v>4.3563516467495537E-3</v>
      </c>
    </row>
    <row r="2400" spans="6:7" x14ac:dyDescent="0.3">
      <c r="F2400" s="64">
        <v>2397</v>
      </c>
      <c r="G2400" s="64">
        <f t="shared" ca="1" si="76"/>
        <v>-3.0287720974758129E-5</v>
      </c>
    </row>
    <row r="2401" spans="6:7" x14ac:dyDescent="0.3">
      <c r="F2401" s="64">
        <v>2398</v>
      </c>
      <c r="G2401" s="64">
        <f t="shared" ca="1" si="76"/>
        <v>-1.5800866368911468E-2</v>
      </c>
    </row>
    <row r="2402" spans="6:7" x14ac:dyDescent="0.3">
      <c r="F2402" s="64">
        <v>2399</v>
      </c>
      <c r="G2402" s="64">
        <f t="shared" ca="1" si="76"/>
        <v>-9.4844437021163637E-3</v>
      </c>
    </row>
    <row r="2403" spans="6:7" x14ac:dyDescent="0.3">
      <c r="F2403" s="64">
        <v>2400</v>
      </c>
      <c r="G2403" s="64">
        <f t="shared" ca="1" si="76"/>
        <v>-4.0672097855941718E-3</v>
      </c>
    </row>
    <row r="2404" spans="6:7" x14ac:dyDescent="0.3">
      <c r="F2404" s="64">
        <v>2401</v>
      </c>
      <c r="G2404" s="64">
        <f t="shared" ca="1" si="76"/>
        <v>-2.0525039531777783E-2</v>
      </c>
    </row>
    <row r="2405" spans="6:7" x14ac:dyDescent="0.3">
      <c r="F2405" s="64">
        <v>2402</v>
      </c>
      <c r="G2405" s="64">
        <f t="shared" ca="1" si="76"/>
        <v>-4.7918570875356923E-3</v>
      </c>
    </row>
    <row r="2406" spans="6:7" x14ac:dyDescent="0.3">
      <c r="F2406" s="64">
        <v>2403</v>
      </c>
      <c r="G2406" s="64">
        <f t="shared" ca="1" si="76"/>
        <v>1.3852865012639637E-2</v>
      </c>
    </row>
    <row r="2407" spans="6:7" x14ac:dyDescent="0.3">
      <c r="F2407" s="64">
        <v>2404</v>
      </c>
      <c r="G2407" s="64">
        <f t="shared" ca="1" si="76"/>
        <v>1.1764687830593226E-2</v>
      </c>
    </row>
    <row r="2408" spans="6:7" x14ac:dyDescent="0.3">
      <c r="F2408" s="64">
        <v>2405</v>
      </c>
      <c r="G2408" s="64">
        <f t="shared" ca="1" si="76"/>
        <v>-2.9358042531653139E-2</v>
      </c>
    </row>
    <row r="2409" spans="6:7" x14ac:dyDescent="0.3">
      <c r="F2409" s="64">
        <v>2406</v>
      </c>
      <c r="G2409" s="64">
        <f t="shared" ca="1" si="76"/>
        <v>2.8670944864913839E-2</v>
      </c>
    </row>
    <row r="2410" spans="6:7" x14ac:dyDescent="0.3">
      <c r="F2410" s="64">
        <v>2407</v>
      </c>
      <c r="G2410" s="64">
        <f t="shared" ca="1" si="76"/>
        <v>-1.6812336160086587E-2</v>
      </c>
    </row>
    <row r="2411" spans="6:7" x14ac:dyDescent="0.3">
      <c r="F2411" s="64">
        <v>2408</v>
      </c>
      <c r="G2411" s="64">
        <f t="shared" ca="1" si="76"/>
        <v>-4.1700028327829569E-2</v>
      </c>
    </row>
    <row r="2412" spans="6:7" x14ac:dyDescent="0.3">
      <c r="F2412" s="64">
        <v>2409</v>
      </c>
      <c r="G2412" s="64">
        <f t="shared" ca="1" si="76"/>
        <v>-2.401842320822932E-2</v>
      </c>
    </row>
    <row r="2413" spans="6:7" x14ac:dyDescent="0.3">
      <c r="F2413" s="64">
        <v>2410</v>
      </c>
      <c r="G2413" s="64">
        <f t="shared" ca="1" si="76"/>
        <v>-1.3263436830026634E-2</v>
      </c>
    </row>
    <row r="2414" spans="6:7" x14ac:dyDescent="0.3">
      <c r="F2414" s="64">
        <v>2411</v>
      </c>
      <c r="G2414" s="64">
        <f t="shared" ca="1" si="76"/>
        <v>-2.3220473816816724E-2</v>
      </c>
    </row>
    <row r="2415" spans="6:7" x14ac:dyDescent="0.3">
      <c r="F2415" s="64">
        <v>2412</v>
      </c>
      <c r="G2415" s="64">
        <f t="shared" ca="1" si="76"/>
        <v>6.9248902484062187E-3</v>
      </c>
    </row>
    <row r="2416" spans="6:7" x14ac:dyDescent="0.3">
      <c r="F2416" s="64">
        <v>2413</v>
      </c>
      <c r="G2416" s="64">
        <f t="shared" ca="1" si="76"/>
        <v>-3.9117849598839481E-2</v>
      </c>
    </row>
    <row r="2417" spans="6:7" x14ac:dyDescent="0.3">
      <c r="F2417" s="64">
        <v>2414</v>
      </c>
      <c r="G2417" s="64">
        <f t="shared" ca="1" si="76"/>
        <v>-5.7325359575531615E-2</v>
      </c>
    </row>
    <row r="2418" spans="6:7" x14ac:dyDescent="0.3">
      <c r="F2418" s="64">
        <v>2415</v>
      </c>
      <c r="G2418" s="64">
        <f t="shared" ca="1" si="76"/>
        <v>-2.6729554570304161E-2</v>
      </c>
    </row>
    <row r="2419" spans="6:7" x14ac:dyDescent="0.3">
      <c r="F2419" s="64">
        <v>2416</v>
      </c>
      <c r="G2419" s="64">
        <f t="shared" ca="1" si="76"/>
        <v>6.3927404918196944E-3</v>
      </c>
    </row>
    <row r="2420" spans="6:7" x14ac:dyDescent="0.3">
      <c r="F2420" s="64">
        <v>2417</v>
      </c>
      <c r="G2420" s="64">
        <f t="shared" ca="1" si="76"/>
        <v>-1.8272987714579185E-2</v>
      </c>
    </row>
    <row r="2421" spans="6:7" x14ac:dyDescent="0.3">
      <c r="F2421" s="64">
        <v>2418</v>
      </c>
      <c r="G2421" s="64">
        <f t="shared" ca="1" si="76"/>
        <v>-2.7881191986660586E-2</v>
      </c>
    </row>
    <row r="2422" spans="6:7" x14ac:dyDescent="0.3">
      <c r="F2422" s="64">
        <v>2419</v>
      </c>
      <c r="G2422" s="64">
        <f t="shared" ca="1" si="76"/>
        <v>6.4725015762493489E-3</v>
      </c>
    </row>
    <row r="2423" spans="6:7" x14ac:dyDescent="0.3">
      <c r="F2423" s="64">
        <v>2420</v>
      </c>
      <c r="G2423" s="64">
        <f t="shared" ca="1" si="76"/>
        <v>-1.810626483746023E-2</v>
      </c>
    </row>
    <row r="2424" spans="6:7" x14ac:dyDescent="0.3">
      <c r="F2424" s="64">
        <v>2421</v>
      </c>
      <c r="G2424" s="64">
        <f t="shared" ca="1" si="76"/>
        <v>5.9358260658262472E-3</v>
      </c>
    </row>
    <row r="2425" spans="6:7" x14ac:dyDescent="0.3">
      <c r="F2425" s="64">
        <v>2422</v>
      </c>
      <c r="G2425" s="64">
        <f t="shared" ca="1" si="76"/>
        <v>4.324279896147417E-3</v>
      </c>
    </row>
    <row r="2426" spans="6:7" x14ac:dyDescent="0.3">
      <c r="F2426" s="64">
        <v>2423</v>
      </c>
      <c r="G2426" s="64">
        <f t="shared" ca="1" si="76"/>
        <v>-1.490062122856404E-2</v>
      </c>
    </row>
    <row r="2427" spans="6:7" x14ac:dyDescent="0.3">
      <c r="F2427" s="64">
        <v>2424</v>
      </c>
      <c r="G2427" s="64">
        <f t="shared" ca="1" si="76"/>
        <v>2.420967509511366E-2</v>
      </c>
    </row>
    <row r="2428" spans="6:7" x14ac:dyDescent="0.3">
      <c r="F2428" s="64">
        <v>2425</v>
      </c>
      <c r="G2428" s="64">
        <f t="shared" ca="1" si="76"/>
        <v>-1.0660686046303217E-2</v>
      </c>
    </row>
    <row r="2429" spans="6:7" x14ac:dyDescent="0.3">
      <c r="F2429" s="64">
        <v>2426</v>
      </c>
      <c r="G2429" s="64">
        <f t="shared" ca="1" si="76"/>
        <v>4.4583041973345471E-2</v>
      </c>
    </row>
    <row r="2430" spans="6:7" x14ac:dyDescent="0.3">
      <c r="F2430" s="64">
        <v>2427</v>
      </c>
      <c r="G2430" s="64">
        <f t="shared" ca="1" si="76"/>
        <v>-2.6112277194674259E-2</v>
      </c>
    </row>
    <row r="2431" spans="6:7" x14ac:dyDescent="0.3">
      <c r="F2431" s="64">
        <v>2428</v>
      </c>
      <c r="G2431" s="64">
        <f t="shared" ca="1" si="76"/>
        <v>1.4168448575408695E-2</v>
      </c>
    </row>
    <row r="2432" spans="6:7" x14ac:dyDescent="0.3">
      <c r="F2432" s="64">
        <v>2429</v>
      </c>
      <c r="G2432" s="64">
        <f t="shared" ca="1" si="76"/>
        <v>9.8581248075416111E-3</v>
      </c>
    </row>
    <row r="2433" spans="6:7" x14ac:dyDescent="0.3">
      <c r="F2433" s="64">
        <v>2430</v>
      </c>
      <c r="G2433" s="64">
        <f t="shared" ca="1" si="76"/>
        <v>1.1366975070275497E-2</v>
      </c>
    </row>
    <row r="2434" spans="6:7" x14ac:dyDescent="0.3">
      <c r="F2434" s="64">
        <v>2431</v>
      </c>
      <c r="G2434" s="64">
        <f t="shared" ca="1" si="76"/>
        <v>1.0897436639521626E-3</v>
      </c>
    </row>
    <row r="2435" spans="6:7" x14ac:dyDescent="0.3">
      <c r="F2435" s="64">
        <v>2432</v>
      </c>
      <c r="G2435" s="64">
        <f t="shared" ca="1" si="76"/>
        <v>5.8144633638703546E-3</v>
      </c>
    </row>
    <row r="2436" spans="6:7" x14ac:dyDescent="0.3">
      <c r="F2436" s="64">
        <v>2433</v>
      </c>
      <c r="G2436" s="64">
        <f t="shared" ca="1" si="76"/>
        <v>-7.8404826409675214E-3</v>
      </c>
    </row>
    <row r="2437" spans="6:7" x14ac:dyDescent="0.3">
      <c r="F2437" s="64">
        <v>2434</v>
      </c>
      <c r="G2437" s="64">
        <f t="shared" ref="G2437:G2500" ca="1" si="77">_xlfn.NORM.INV(RAND(),K$6,K$7)</f>
        <v>3.3671404300028254E-2</v>
      </c>
    </row>
    <row r="2438" spans="6:7" x14ac:dyDescent="0.3">
      <c r="F2438" s="64">
        <v>2435</v>
      </c>
      <c r="G2438" s="64">
        <f t="shared" ca="1" si="77"/>
        <v>-4.3754993147669804E-3</v>
      </c>
    </row>
    <row r="2439" spans="6:7" x14ac:dyDescent="0.3">
      <c r="F2439" s="64">
        <v>2436</v>
      </c>
      <c r="G2439" s="64">
        <f t="shared" ca="1" si="77"/>
        <v>-1.7671165585963072E-2</v>
      </c>
    </row>
    <row r="2440" spans="6:7" x14ac:dyDescent="0.3">
      <c r="F2440" s="64">
        <v>2437</v>
      </c>
      <c r="G2440" s="64">
        <f t="shared" ca="1" si="77"/>
        <v>7.6711279572010864E-3</v>
      </c>
    </row>
    <row r="2441" spans="6:7" x14ac:dyDescent="0.3">
      <c r="F2441" s="64">
        <v>2438</v>
      </c>
      <c r="G2441" s="64">
        <f t="shared" ca="1" si="77"/>
        <v>8.7774410159051179E-3</v>
      </c>
    </row>
    <row r="2442" spans="6:7" x14ac:dyDescent="0.3">
      <c r="F2442" s="64">
        <v>2439</v>
      </c>
      <c r="G2442" s="64">
        <f t="shared" ca="1" si="77"/>
        <v>-2.2614662066304464E-3</v>
      </c>
    </row>
    <row r="2443" spans="6:7" x14ac:dyDescent="0.3">
      <c r="F2443" s="64">
        <v>2440</v>
      </c>
      <c r="G2443" s="64">
        <f t="shared" ca="1" si="77"/>
        <v>3.2353104276610652E-2</v>
      </c>
    </row>
    <row r="2444" spans="6:7" x14ac:dyDescent="0.3">
      <c r="F2444" s="64">
        <v>2441</v>
      </c>
      <c r="G2444" s="64">
        <f t="shared" ca="1" si="77"/>
        <v>2.5492760544400805E-2</v>
      </c>
    </row>
    <row r="2445" spans="6:7" x14ac:dyDescent="0.3">
      <c r="F2445" s="64">
        <v>2442</v>
      </c>
      <c r="G2445" s="64">
        <f t="shared" ca="1" si="77"/>
        <v>-7.9683404775608199E-3</v>
      </c>
    </row>
    <row r="2446" spans="6:7" x14ac:dyDescent="0.3">
      <c r="F2446" s="64">
        <v>2443</v>
      </c>
      <c r="G2446" s="64">
        <f t="shared" ca="1" si="77"/>
        <v>-1.374353551267081E-2</v>
      </c>
    </row>
    <row r="2447" spans="6:7" x14ac:dyDescent="0.3">
      <c r="F2447" s="64">
        <v>2444</v>
      </c>
      <c r="G2447" s="64">
        <f t="shared" ca="1" si="77"/>
        <v>-9.1375302792156988E-3</v>
      </c>
    </row>
    <row r="2448" spans="6:7" x14ac:dyDescent="0.3">
      <c r="F2448" s="64">
        <v>2445</v>
      </c>
      <c r="G2448" s="64">
        <f t="shared" ca="1" si="77"/>
        <v>-2.1692307373517641E-2</v>
      </c>
    </row>
    <row r="2449" spans="6:7" x14ac:dyDescent="0.3">
      <c r="F2449" s="64">
        <v>2446</v>
      </c>
      <c r="G2449" s="64">
        <f t="shared" ca="1" si="77"/>
        <v>1.7153289982494095E-2</v>
      </c>
    </row>
    <row r="2450" spans="6:7" x14ac:dyDescent="0.3">
      <c r="F2450" s="64">
        <v>2447</v>
      </c>
      <c r="G2450" s="64">
        <f t="shared" ca="1" si="77"/>
        <v>6.5841931210723877E-3</v>
      </c>
    </row>
    <row r="2451" spans="6:7" x14ac:dyDescent="0.3">
      <c r="F2451" s="64">
        <v>2448</v>
      </c>
      <c r="G2451" s="64">
        <f t="shared" ca="1" si="77"/>
        <v>8.3144725763092432E-3</v>
      </c>
    </row>
    <row r="2452" spans="6:7" x14ac:dyDescent="0.3">
      <c r="F2452" s="64">
        <v>2449</v>
      </c>
      <c r="G2452" s="64">
        <f t="shared" ca="1" si="77"/>
        <v>2.4490900701835674E-3</v>
      </c>
    </row>
    <row r="2453" spans="6:7" x14ac:dyDescent="0.3">
      <c r="F2453" s="64">
        <v>2450</v>
      </c>
      <c r="G2453" s="64">
        <f t="shared" ca="1" si="77"/>
        <v>4.3695548277049863E-2</v>
      </c>
    </row>
    <row r="2454" spans="6:7" x14ac:dyDescent="0.3">
      <c r="F2454" s="64">
        <v>2451</v>
      </c>
      <c r="G2454" s="64">
        <f t="shared" ca="1" si="77"/>
        <v>6.389950891150872E-3</v>
      </c>
    </row>
    <row r="2455" spans="6:7" x14ac:dyDescent="0.3">
      <c r="F2455" s="64">
        <v>2452</v>
      </c>
      <c r="G2455" s="64">
        <f t="shared" ca="1" si="77"/>
        <v>-5.7609491321198155E-3</v>
      </c>
    </row>
    <row r="2456" spans="6:7" x14ac:dyDescent="0.3">
      <c r="F2456" s="64">
        <v>2453</v>
      </c>
      <c r="G2456" s="64">
        <f t="shared" ca="1" si="77"/>
        <v>1.6430182227982325E-3</v>
      </c>
    </row>
    <row r="2457" spans="6:7" x14ac:dyDescent="0.3">
      <c r="F2457" s="64">
        <v>2454</v>
      </c>
      <c r="G2457" s="64">
        <f t="shared" ca="1" si="77"/>
        <v>-1.0729984648661034E-2</v>
      </c>
    </row>
    <row r="2458" spans="6:7" x14ac:dyDescent="0.3">
      <c r="F2458" s="64">
        <v>2455</v>
      </c>
      <c r="G2458" s="64">
        <f t="shared" ca="1" si="77"/>
        <v>-1.7708628075850268E-2</v>
      </c>
    </row>
    <row r="2459" spans="6:7" x14ac:dyDescent="0.3">
      <c r="F2459" s="64">
        <v>2456</v>
      </c>
      <c r="G2459" s="64">
        <f t="shared" ca="1" si="77"/>
        <v>1.4724657958821569E-2</v>
      </c>
    </row>
    <row r="2460" spans="6:7" x14ac:dyDescent="0.3">
      <c r="F2460" s="64">
        <v>2457</v>
      </c>
      <c r="G2460" s="64">
        <f t="shared" ca="1" si="77"/>
        <v>-9.0433122787825782E-3</v>
      </c>
    </row>
    <row r="2461" spans="6:7" x14ac:dyDescent="0.3">
      <c r="F2461" s="64">
        <v>2458</v>
      </c>
      <c r="G2461" s="64">
        <f t="shared" ca="1" si="77"/>
        <v>-1.6208080280053327E-2</v>
      </c>
    </row>
    <row r="2462" spans="6:7" x14ac:dyDescent="0.3">
      <c r="F2462" s="64">
        <v>2459</v>
      </c>
      <c r="G2462" s="64">
        <f t="shared" ca="1" si="77"/>
        <v>-2.2353417963841389E-2</v>
      </c>
    </row>
    <row r="2463" spans="6:7" x14ac:dyDescent="0.3">
      <c r="F2463" s="64">
        <v>2460</v>
      </c>
      <c r="G2463" s="64">
        <f t="shared" ca="1" si="77"/>
        <v>2.6508488405640428E-2</v>
      </c>
    </row>
    <row r="2464" spans="6:7" x14ac:dyDescent="0.3">
      <c r="F2464" s="64">
        <v>2461</v>
      </c>
      <c r="G2464" s="64">
        <f t="shared" ca="1" si="77"/>
        <v>-3.2929653802971277E-4</v>
      </c>
    </row>
    <row r="2465" spans="6:7" x14ac:dyDescent="0.3">
      <c r="F2465" s="64">
        <v>2462</v>
      </c>
      <c r="G2465" s="64">
        <f t="shared" ca="1" si="77"/>
        <v>-9.477269767711306E-3</v>
      </c>
    </row>
    <row r="2466" spans="6:7" x14ac:dyDescent="0.3">
      <c r="F2466" s="64">
        <v>2463</v>
      </c>
      <c r="G2466" s="64">
        <f t="shared" ca="1" si="77"/>
        <v>-1.0651067245873591E-2</v>
      </c>
    </row>
    <row r="2467" spans="6:7" x14ac:dyDescent="0.3">
      <c r="F2467" s="64">
        <v>2464</v>
      </c>
      <c r="G2467" s="64">
        <f t="shared" ca="1" si="77"/>
        <v>-3.3837323140038615E-2</v>
      </c>
    </row>
    <row r="2468" spans="6:7" x14ac:dyDescent="0.3">
      <c r="F2468" s="64">
        <v>2465</v>
      </c>
      <c r="G2468" s="64">
        <f t="shared" ca="1" si="77"/>
        <v>2.7689730102107477E-3</v>
      </c>
    </row>
    <row r="2469" spans="6:7" x14ac:dyDescent="0.3">
      <c r="F2469" s="64">
        <v>2466</v>
      </c>
      <c r="G2469" s="64">
        <f t="shared" ca="1" si="77"/>
        <v>-2.5340667590499473E-2</v>
      </c>
    </row>
    <row r="2470" spans="6:7" x14ac:dyDescent="0.3">
      <c r="F2470" s="64">
        <v>2467</v>
      </c>
      <c r="G2470" s="64">
        <f t="shared" ca="1" si="77"/>
        <v>1.0177263743235233E-2</v>
      </c>
    </row>
    <row r="2471" spans="6:7" x14ac:dyDescent="0.3">
      <c r="F2471" s="64">
        <v>2468</v>
      </c>
      <c r="G2471" s="64">
        <f t="shared" ca="1" si="77"/>
        <v>-1.9958788410558274E-3</v>
      </c>
    </row>
    <row r="2472" spans="6:7" x14ac:dyDescent="0.3">
      <c r="F2472" s="64">
        <v>2469</v>
      </c>
      <c r="G2472" s="64">
        <f t="shared" ca="1" si="77"/>
        <v>-1.532482963293876E-2</v>
      </c>
    </row>
    <row r="2473" spans="6:7" x14ac:dyDescent="0.3">
      <c r="F2473" s="64">
        <v>2470</v>
      </c>
      <c r="G2473" s="64">
        <f t="shared" ca="1" si="77"/>
        <v>-2.7265459025305324E-4</v>
      </c>
    </row>
    <row r="2474" spans="6:7" x14ac:dyDescent="0.3">
      <c r="F2474" s="64">
        <v>2471</v>
      </c>
      <c r="G2474" s="64">
        <f t="shared" ca="1" si="77"/>
        <v>5.2925329333069811E-3</v>
      </c>
    </row>
    <row r="2475" spans="6:7" x14ac:dyDescent="0.3">
      <c r="F2475" s="64">
        <v>2472</v>
      </c>
      <c r="G2475" s="64">
        <f t="shared" ca="1" si="77"/>
        <v>-1.1397756156151243E-2</v>
      </c>
    </row>
    <row r="2476" spans="6:7" x14ac:dyDescent="0.3">
      <c r="F2476" s="64">
        <v>2473</v>
      </c>
      <c r="G2476" s="64">
        <f t="shared" ca="1" si="77"/>
        <v>2.2864081185728392E-2</v>
      </c>
    </row>
    <row r="2477" spans="6:7" x14ac:dyDescent="0.3">
      <c r="F2477" s="64">
        <v>2474</v>
      </c>
      <c r="G2477" s="64">
        <f t="shared" ca="1" si="77"/>
        <v>-1.3801213609055528E-2</v>
      </c>
    </row>
    <row r="2478" spans="6:7" x14ac:dyDescent="0.3">
      <c r="F2478" s="64">
        <v>2475</v>
      </c>
      <c r="G2478" s="64">
        <f t="shared" ca="1" si="77"/>
        <v>-1.8028371692524379E-2</v>
      </c>
    </row>
    <row r="2479" spans="6:7" x14ac:dyDescent="0.3">
      <c r="F2479" s="64">
        <v>2476</v>
      </c>
      <c r="G2479" s="64">
        <f t="shared" ca="1" si="77"/>
        <v>-2.6342073639398798E-2</v>
      </c>
    </row>
    <row r="2480" spans="6:7" x14ac:dyDescent="0.3">
      <c r="F2480" s="64">
        <v>2477</v>
      </c>
      <c r="G2480" s="64">
        <f t="shared" ca="1" si="77"/>
        <v>1.7889768158598933E-2</v>
      </c>
    </row>
    <row r="2481" spans="6:7" x14ac:dyDescent="0.3">
      <c r="F2481" s="64">
        <v>2478</v>
      </c>
      <c r="G2481" s="64">
        <f t="shared" ca="1" si="77"/>
        <v>2.929188183110535E-2</v>
      </c>
    </row>
    <row r="2482" spans="6:7" x14ac:dyDescent="0.3">
      <c r="F2482" s="64">
        <v>2479</v>
      </c>
      <c r="G2482" s="64">
        <f t="shared" ca="1" si="77"/>
        <v>2.0333867476758721E-2</v>
      </c>
    </row>
    <row r="2483" spans="6:7" x14ac:dyDescent="0.3">
      <c r="F2483" s="64">
        <v>2480</v>
      </c>
      <c r="G2483" s="64">
        <f t="shared" ca="1" si="77"/>
        <v>-1.5570150973510681E-2</v>
      </c>
    </row>
    <row r="2484" spans="6:7" x14ac:dyDescent="0.3">
      <c r="F2484" s="64">
        <v>2481</v>
      </c>
      <c r="G2484" s="64">
        <f t="shared" ca="1" si="77"/>
        <v>3.8265743383618309E-2</v>
      </c>
    </row>
    <row r="2485" spans="6:7" x14ac:dyDescent="0.3">
      <c r="F2485" s="64">
        <v>2482</v>
      </c>
      <c r="G2485" s="64">
        <f t="shared" ca="1" si="77"/>
        <v>-1.7519162241364868E-3</v>
      </c>
    </row>
    <row r="2486" spans="6:7" x14ac:dyDescent="0.3">
      <c r="F2486" s="64">
        <v>2483</v>
      </c>
      <c r="G2486" s="64">
        <f t="shared" ca="1" si="77"/>
        <v>-2.2506654819596419E-2</v>
      </c>
    </row>
    <row r="2487" spans="6:7" x14ac:dyDescent="0.3">
      <c r="F2487" s="64">
        <v>2484</v>
      </c>
      <c r="G2487" s="64">
        <f t="shared" ca="1" si="77"/>
        <v>-1.6222905536378743E-2</v>
      </c>
    </row>
    <row r="2488" spans="6:7" x14ac:dyDescent="0.3">
      <c r="F2488" s="64">
        <v>2485</v>
      </c>
      <c r="G2488" s="64">
        <f t="shared" ca="1" si="77"/>
        <v>-3.4191576385047155E-2</v>
      </c>
    </row>
    <row r="2489" spans="6:7" x14ac:dyDescent="0.3">
      <c r="F2489" s="64">
        <v>2486</v>
      </c>
      <c r="G2489" s="64">
        <f t="shared" ca="1" si="77"/>
        <v>-3.555629840849301E-3</v>
      </c>
    </row>
    <row r="2490" spans="6:7" x14ac:dyDescent="0.3">
      <c r="F2490" s="64">
        <v>2487</v>
      </c>
      <c r="G2490" s="64">
        <f t="shared" ca="1" si="77"/>
        <v>4.4789135968468313E-2</v>
      </c>
    </row>
    <row r="2491" spans="6:7" x14ac:dyDescent="0.3">
      <c r="F2491" s="64">
        <v>2488</v>
      </c>
      <c r="G2491" s="64">
        <f t="shared" ca="1" si="77"/>
        <v>-2.4111381075012941E-2</v>
      </c>
    </row>
    <row r="2492" spans="6:7" x14ac:dyDescent="0.3">
      <c r="F2492" s="64">
        <v>2489</v>
      </c>
      <c r="G2492" s="64">
        <f t="shared" ca="1" si="77"/>
        <v>-2.4129156914124866E-3</v>
      </c>
    </row>
    <row r="2493" spans="6:7" x14ac:dyDescent="0.3">
      <c r="F2493" s="64">
        <v>2490</v>
      </c>
      <c r="G2493" s="64">
        <f t="shared" ca="1" si="77"/>
        <v>-3.9689120497686395E-3</v>
      </c>
    </row>
    <row r="2494" spans="6:7" x14ac:dyDescent="0.3">
      <c r="F2494" s="64">
        <v>2491</v>
      </c>
      <c r="G2494" s="64">
        <f t="shared" ca="1" si="77"/>
        <v>3.469860544155362E-2</v>
      </c>
    </row>
    <row r="2495" spans="6:7" x14ac:dyDescent="0.3">
      <c r="F2495" s="64">
        <v>2492</v>
      </c>
      <c r="G2495" s="64">
        <f t="shared" ca="1" si="77"/>
        <v>-1.9166739704584976E-2</v>
      </c>
    </row>
    <row r="2496" spans="6:7" x14ac:dyDescent="0.3">
      <c r="F2496" s="64">
        <v>2493</v>
      </c>
      <c r="G2496" s="64">
        <f t="shared" ca="1" si="77"/>
        <v>-6.8328567503237615E-3</v>
      </c>
    </row>
    <row r="2497" spans="6:7" x14ac:dyDescent="0.3">
      <c r="F2497" s="64">
        <v>2494</v>
      </c>
      <c r="G2497" s="64">
        <f t="shared" ca="1" si="77"/>
        <v>7.7949076026996994E-3</v>
      </c>
    </row>
    <row r="2498" spans="6:7" x14ac:dyDescent="0.3">
      <c r="F2498" s="64">
        <v>2495</v>
      </c>
      <c r="G2498" s="64">
        <f t="shared" ca="1" si="77"/>
        <v>-3.1106396574829085E-3</v>
      </c>
    </row>
    <row r="2499" spans="6:7" x14ac:dyDescent="0.3">
      <c r="F2499" s="64">
        <v>2496</v>
      </c>
      <c r="G2499" s="64">
        <f t="shared" ca="1" si="77"/>
        <v>3.4988753113891974E-4</v>
      </c>
    </row>
    <row r="2500" spans="6:7" x14ac:dyDescent="0.3">
      <c r="F2500" s="64">
        <v>2497</v>
      </c>
      <c r="G2500" s="64">
        <f t="shared" ca="1" si="77"/>
        <v>-5.4219717325046943E-3</v>
      </c>
    </row>
    <row r="2501" spans="6:7" x14ac:dyDescent="0.3">
      <c r="F2501" s="64">
        <v>2498</v>
      </c>
      <c r="G2501" s="64">
        <f t="shared" ref="G2501:G2564" ca="1" si="78">_xlfn.NORM.INV(RAND(),K$6,K$7)</f>
        <v>-2.2394742378289284E-4</v>
      </c>
    </row>
    <row r="2502" spans="6:7" x14ac:dyDescent="0.3">
      <c r="F2502" s="64">
        <v>2499</v>
      </c>
      <c r="G2502" s="64">
        <f t="shared" ca="1" si="78"/>
        <v>2.061708338880338E-2</v>
      </c>
    </row>
    <row r="2503" spans="6:7" x14ac:dyDescent="0.3">
      <c r="F2503" s="64">
        <v>2500</v>
      </c>
      <c r="G2503" s="64">
        <f t="shared" ca="1" si="78"/>
        <v>1.2018439170748574E-2</v>
      </c>
    </row>
    <row r="2504" spans="6:7" x14ac:dyDescent="0.3">
      <c r="F2504" s="64">
        <v>2501</v>
      </c>
      <c r="G2504" s="64">
        <f t="shared" ca="1" si="78"/>
        <v>1.0954106550922061E-2</v>
      </c>
    </row>
    <row r="2505" spans="6:7" x14ac:dyDescent="0.3">
      <c r="F2505" s="64">
        <v>2502</v>
      </c>
      <c r="G2505" s="64">
        <f t="shared" ca="1" si="78"/>
        <v>-2.1681589261074045E-2</v>
      </c>
    </row>
    <row r="2506" spans="6:7" x14ac:dyDescent="0.3">
      <c r="F2506" s="64">
        <v>2503</v>
      </c>
      <c r="G2506" s="64">
        <f t="shared" ca="1" si="78"/>
        <v>-2.838099623722732E-2</v>
      </c>
    </row>
    <row r="2507" spans="6:7" x14ac:dyDescent="0.3">
      <c r="F2507" s="64">
        <v>2504</v>
      </c>
      <c r="G2507" s="64">
        <f t="shared" ca="1" si="78"/>
        <v>6.5613289148471554E-3</v>
      </c>
    </row>
    <row r="2508" spans="6:7" x14ac:dyDescent="0.3">
      <c r="F2508" s="64">
        <v>2505</v>
      </c>
      <c r="G2508" s="64">
        <f t="shared" ca="1" si="78"/>
        <v>3.2638044113847517E-3</v>
      </c>
    </row>
    <row r="2509" spans="6:7" x14ac:dyDescent="0.3">
      <c r="F2509" s="64">
        <v>2506</v>
      </c>
      <c r="G2509" s="64">
        <f t="shared" ca="1" si="78"/>
        <v>2.9319962436353329E-3</v>
      </c>
    </row>
    <row r="2510" spans="6:7" x14ac:dyDescent="0.3">
      <c r="F2510" s="64">
        <v>2507</v>
      </c>
      <c r="G2510" s="64">
        <f t="shared" ca="1" si="78"/>
        <v>5.7920823200310889E-3</v>
      </c>
    </row>
    <row r="2511" spans="6:7" x14ac:dyDescent="0.3">
      <c r="F2511" s="64">
        <v>2508</v>
      </c>
      <c r="G2511" s="64">
        <f t="shared" ca="1" si="78"/>
        <v>-4.0273743484183624E-2</v>
      </c>
    </row>
    <row r="2512" spans="6:7" x14ac:dyDescent="0.3">
      <c r="F2512" s="64">
        <v>2509</v>
      </c>
      <c r="G2512" s="64">
        <f t="shared" ca="1" si="78"/>
        <v>2.0860636405479905E-3</v>
      </c>
    </row>
    <row r="2513" spans="6:7" x14ac:dyDescent="0.3">
      <c r="F2513" s="64">
        <v>2510</v>
      </c>
      <c r="G2513" s="64">
        <f t="shared" ca="1" si="78"/>
        <v>-5.0766327124904462E-3</v>
      </c>
    </row>
    <row r="2514" spans="6:7" x14ac:dyDescent="0.3">
      <c r="F2514" s="64">
        <v>2511</v>
      </c>
      <c r="G2514" s="64">
        <f t="shared" ca="1" si="78"/>
        <v>2.8540042174573038E-2</v>
      </c>
    </row>
    <row r="2515" spans="6:7" x14ac:dyDescent="0.3">
      <c r="F2515" s="64">
        <v>2512</v>
      </c>
      <c r="G2515" s="64">
        <f t="shared" ca="1" si="78"/>
        <v>-7.4098933572408938E-3</v>
      </c>
    </row>
    <row r="2516" spans="6:7" x14ac:dyDescent="0.3">
      <c r="F2516" s="64">
        <v>2513</v>
      </c>
      <c r="G2516" s="64">
        <f t="shared" ca="1" si="78"/>
        <v>2.2507801394721794E-3</v>
      </c>
    </row>
    <row r="2517" spans="6:7" x14ac:dyDescent="0.3">
      <c r="F2517" s="64">
        <v>2514</v>
      </c>
      <c r="G2517" s="64">
        <f t="shared" ca="1" si="78"/>
        <v>-6.7609109828811898E-3</v>
      </c>
    </row>
    <row r="2518" spans="6:7" x14ac:dyDescent="0.3">
      <c r="F2518" s="64">
        <v>2515</v>
      </c>
      <c r="G2518" s="64">
        <f t="shared" ca="1" si="78"/>
        <v>-5.6889320784660802E-2</v>
      </c>
    </row>
    <row r="2519" spans="6:7" x14ac:dyDescent="0.3">
      <c r="F2519" s="64">
        <v>2516</v>
      </c>
      <c r="G2519" s="64">
        <f t="shared" ca="1" si="78"/>
        <v>-2.3918343496896484E-2</v>
      </c>
    </row>
    <row r="2520" spans="6:7" x14ac:dyDescent="0.3">
      <c r="F2520" s="64">
        <v>2517</v>
      </c>
      <c r="G2520" s="64">
        <f t="shared" ca="1" si="78"/>
        <v>-1.3307641137687013E-2</v>
      </c>
    </row>
    <row r="2521" spans="6:7" x14ac:dyDescent="0.3">
      <c r="F2521" s="64">
        <v>2518</v>
      </c>
      <c r="G2521" s="64">
        <f t="shared" ca="1" si="78"/>
        <v>5.6520990722707214E-3</v>
      </c>
    </row>
    <row r="2522" spans="6:7" x14ac:dyDescent="0.3">
      <c r="F2522" s="64">
        <v>2519</v>
      </c>
      <c r="G2522" s="64">
        <f t="shared" ca="1" si="78"/>
        <v>1.8508384862844793E-3</v>
      </c>
    </row>
    <row r="2523" spans="6:7" x14ac:dyDescent="0.3">
      <c r="F2523" s="64">
        <v>2520</v>
      </c>
      <c r="G2523" s="64">
        <f t="shared" ca="1" si="78"/>
        <v>2.1499554671851981E-2</v>
      </c>
    </row>
    <row r="2524" spans="6:7" x14ac:dyDescent="0.3">
      <c r="F2524" s="64">
        <v>2521</v>
      </c>
      <c r="G2524" s="64">
        <f t="shared" ca="1" si="78"/>
        <v>2.0766968623941284E-2</v>
      </c>
    </row>
    <row r="2525" spans="6:7" x14ac:dyDescent="0.3">
      <c r="F2525" s="64">
        <v>2522</v>
      </c>
      <c r="G2525" s="64">
        <f t="shared" ca="1" si="78"/>
        <v>-6.7253056053490582E-3</v>
      </c>
    </row>
    <row r="2526" spans="6:7" x14ac:dyDescent="0.3">
      <c r="F2526" s="64">
        <v>2523</v>
      </c>
      <c r="G2526" s="64">
        <f t="shared" ca="1" si="78"/>
        <v>-2.8596769383419415E-2</v>
      </c>
    </row>
    <row r="2527" spans="6:7" x14ac:dyDescent="0.3">
      <c r="F2527" s="64">
        <v>2524</v>
      </c>
      <c r="G2527" s="64">
        <f t="shared" ca="1" si="78"/>
        <v>-2.8879351681908812E-2</v>
      </c>
    </row>
    <row r="2528" spans="6:7" x14ac:dyDescent="0.3">
      <c r="F2528" s="64">
        <v>2525</v>
      </c>
      <c r="G2528" s="64">
        <f t="shared" ca="1" si="78"/>
        <v>1.0504397280974099E-3</v>
      </c>
    </row>
    <row r="2529" spans="6:7" x14ac:dyDescent="0.3">
      <c r="F2529" s="64">
        <v>2526</v>
      </c>
      <c r="G2529" s="64">
        <f t="shared" ca="1" si="78"/>
        <v>-1.4337624178840784E-2</v>
      </c>
    </row>
    <row r="2530" spans="6:7" x14ac:dyDescent="0.3">
      <c r="F2530" s="64">
        <v>2527</v>
      </c>
      <c r="G2530" s="64">
        <f t="shared" ca="1" si="78"/>
        <v>-2.0707282462904271E-2</v>
      </c>
    </row>
    <row r="2531" spans="6:7" x14ac:dyDescent="0.3">
      <c r="F2531" s="64">
        <v>2528</v>
      </c>
      <c r="G2531" s="64">
        <f t="shared" ca="1" si="78"/>
        <v>-2.7178981963225261E-2</v>
      </c>
    </row>
    <row r="2532" spans="6:7" x14ac:dyDescent="0.3">
      <c r="F2532" s="64">
        <v>2529</v>
      </c>
      <c r="G2532" s="64">
        <f t="shared" ca="1" si="78"/>
        <v>-1.8788977928929211E-3</v>
      </c>
    </row>
    <row r="2533" spans="6:7" x14ac:dyDescent="0.3">
      <c r="F2533" s="64">
        <v>2530</v>
      </c>
      <c r="G2533" s="64">
        <f t="shared" ca="1" si="78"/>
        <v>-2.6082030248512846E-3</v>
      </c>
    </row>
    <row r="2534" spans="6:7" x14ac:dyDescent="0.3">
      <c r="F2534" s="64">
        <v>2531</v>
      </c>
      <c r="G2534" s="64">
        <f t="shared" ca="1" si="78"/>
        <v>1.2507656910028404E-2</v>
      </c>
    </row>
    <row r="2535" spans="6:7" x14ac:dyDescent="0.3">
      <c r="F2535" s="64">
        <v>2532</v>
      </c>
      <c r="G2535" s="64">
        <f t="shared" ca="1" si="78"/>
        <v>6.4992106200778112E-3</v>
      </c>
    </row>
    <row r="2536" spans="6:7" x14ac:dyDescent="0.3">
      <c r="F2536" s="64">
        <v>2533</v>
      </c>
      <c r="G2536" s="64">
        <f t="shared" ca="1" si="78"/>
        <v>-2.4207491773876513E-3</v>
      </c>
    </row>
    <row r="2537" spans="6:7" x14ac:dyDescent="0.3">
      <c r="F2537" s="64">
        <v>2534</v>
      </c>
      <c r="G2537" s="64">
        <f t="shared" ca="1" si="78"/>
        <v>-1.9492982594117763E-3</v>
      </c>
    </row>
    <row r="2538" spans="6:7" x14ac:dyDescent="0.3">
      <c r="F2538" s="64">
        <v>2535</v>
      </c>
      <c r="G2538" s="64">
        <f t="shared" ca="1" si="78"/>
        <v>-7.8087039554470647E-2</v>
      </c>
    </row>
    <row r="2539" spans="6:7" x14ac:dyDescent="0.3">
      <c r="F2539" s="64">
        <v>2536</v>
      </c>
      <c r="G2539" s="64">
        <f t="shared" ca="1" si="78"/>
        <v>5.3810263414878958E-3</v>
      </c>
    </row>
    <row r="2540" spans="6:7" x14ac:dyDescent="0.3">
      <c r="F2540" s="64">
        <v>2537</v>
      </c>
      <c r="G2540" s="64">
        <f t="shared" ca="1" si="78"/>
        <v>2.0781251973589009E-2</v>
      </c>
    </row>
    <row r="2541" spans="6:7" x14ac:dyDescent="0.3">
      <c r="F2541" s="64">
        <v>2538</v>
      </c>
      <c r="G2541" s="64">
        <f t="shared" ca="1" si="78"/>
        <v>7.1571841846719457E-3</v>
      </c>
    </row>
    <row r="2542" spans="6:7" x14ac:dyDescent="0.3">
      <c r="F2542" s="64">
        <v>2539</v>
      </c>
      <c r="G2542" s="64">
        <f t="shared" ca="1" si="78"/>
        <v>-1.5747351990434456E-2</v>
      </c>
    </row>
    <row r="2543" spans="6:7" x14ac:dyDescent="0.3">
      <c r="F2543" s="64">
        <v>2540</v>
      </c>
      <c r="G2543" s="64">
        <f t="shared" ca="1" si="78"/>
        <v>-4.3520447012951515E-3</v>
      </c>
    </row>
    <row r="2544" spans="6:7" x14ac:dyDescent="0.3">
      <c r="F2544" s="64">
        <v>2541</v>
      </c>
      <c r="G2544" s="64">
        <f t="shared" ca="1" si="78"/>
        <v>7.7596560636255365E-3</v>
      </c>
    </row>
    <row r="2545" spans="6:7" x14ac:dyDescent="0.3">
      <c r="F2545" s="64">
        <v>2542</v>
      </c>
      <c r="G2545" s="64">
        <f t="shared" ca="1" si="78"/>
        <v>2.1199330959679706E-2</v>
      </c>
    </row>
    <row r="2546" spans="6:7" x14ac:dyDescent="0.3">
      <c r="F2546" s="64">
        <v>2543</v>
      </c>
      <c r="G2546" s="64">
        <f t="shared" ca="1" si="78"/>
        <v>-7.4449053055026717E-3</v>
      </c>
    </row>
    <row r="2547" spans="6:7" x14ac:dyDescent="0.3">
      <c r="F2547" s="64">
        <v>2544</v>
      </c>
      <c r="G2547" s="64">
        <f t="shared" ca="1" si="78"/>
        <v>3.9312943238691504E-3</v>
      </c>
    </row>
    <row r="2548" spans="6:7" x14ac:dyDescent="0.3">
      <c r="F2548" s="64">
        <v>2545</v>
      </c>
      <c r="G2548" s="64">
        <f t="shared" ca="1" si="78"/>
        <v>2.4852530835656826E-2</v>
      </c>
    </row>
    <row r="2549" spans="6:7" x14ac:dyDescent="0.3">
      <c r="F2549" s="64">
        <v>2546</v>
      </c>
      <c r="G2549" s="64">
        <f t="shared" ca="1" si="78"/>
        <v>3.322064691254728E-2</v>
      </c>
    </row>
    <row r="2550" spans="6:7" x14ac:dyDescent="0.3">
      <c r="F2550" s="64">
        <v>2547</v>
      </c>
      <c r="G2550" s="64">
        <f t="shared" ca="1" si="78"/>
        <v>2.5590947214278799E-2</v>
      </c>
    </row>
    <row r="2551" spans="6:7" x14ac:dyDescent="0.3">
      <c r="F2551" s="64">
        <v>2548</v>
      </c>
      <c r="G2551" s="64">
        <f t="shared" ca="1" si="78"/>
        <v>3.7318885856566113E-2</v>
      </c>
    </row>
    <row r="2552" spans="6:7" x14ac:dyDescent="0.3">
      <c r="F2552" s="64">
        <v>2549</v>
      </c>
      <c r="G2552" s="64">
        <f t="shared" ca="1" si="78"/>
        <v>3.9848569966930624E-3</v>
      </c>
    </row>
    <row r="2553" spans="6:7" x14ac:dyDescent="0.3">
      <c r="F2553" s="64">
        <v>2550</v>
      </c>
      <c r="G2553" s="64">
        <f t="shared" ca="1" si="78"/>
        <v>3.1801877993849488E-2</v>
      </c>
    </row>
    <row r="2554" spans="6:7" x14ac:dyDescent="0.3">
      <c r="F2554" s="64">
        <v>2551</v>
      </c>
      <c r="G2554" s="64">
        <f t="shared" ca="1" si="78"/>
        <v>-2.2045516966674554E-2</v>
      </c>
    </row>
    <row r="2555" spans="6:7" x14ac:dyDescent="0.3">
      <c r="F2555" s="64">
        <v>2552</v>
      </c>
      <c r="G2555" s="64">
        <f t="shared" ca="1" si="78"/>
        <v>2.7196993623088583E-2</v>
      </c>
    </row>
    <row r="2556" spans="6:7" x14ac:dyDescent="0.3">
      <c r="F2556" s="64">
        <v>2553</v>
      </c>
      <c r="G2556" s="64">
        <f t="shared" ca="1" si="78"/>
        <v>-2.1557911767312136E-2</v>
      </c>
    </row>
    <row r="2557" spans="6:7" x14ac:dyDescent="0.3">
      <c r="F2557" s="64">
        <v>2554</v>
      </c>
      <c r="G2557" s="64">
        <f t="shared" ca="1" si="78"/>
        <v>-5.8683126474621677E-3</v>
      </c>
    </row>
    <row r="2558" spans="6:7" x14ac:dyDescent="0.3">
      <c r="F2558" s="64">
        <v>2555</v>
      </c>
      <c r="G2558" s="64">
        <f t="shared" ca="1" si="78"/>
        <v>2.1281254406015783E-2</v>
      </c>
    </row>
    <row r="2559" spans="6:7" x14ac:dyDescent="0.3">
      <c r="F2559" s="64">
        <v>2556</v>
      </c>
      <c r="G2559" s="64">
        <f t="shared" ca="1" si="78"/>
        <v>-1.9286057600761401E-2</v>
      </c>
    </row>
    <row r="2560" spans="6:7" x14ac:dyDescent="0.3">
      <c r="F2560" s="64">
        <v>2557</v>
      </c>
      <c r="G2560" s="64">
        <f t="shared" ca="1" si="78"/>
        <v>-3.0394286998036202E-2</v>
      </c>
    </row>
    <row r="2561" spans="6:7" x14ac:dyDescent="0.3">
      <c r="F2561" s="64">
        <v>2558</v>
      </c>
      <c r="G2561" s="64">
        <f t="shared" ca="1" si="78"/>
        <v>-1.445678824007444E-3</v>
      </c>
    </row>
    <row r="2562" spans="6:7" x14ac:dyDescent="0.3">
      <c r="F2562" s="64">
        <v>2559</v>
      </c>
      <c r="G2562" s="64">
        <f t="shared" ca="1" si="78"/>
        <v>-1.3992854834224583E-2</v>
      </c>
    </row>
    <row r="2563" spans="6:7" x14ac:dyDescent="0.3">
      <c r="F2563" s="64">
        <v>2560</v>
      </c>
      <c r="G2563" s="64">
        <f t="shared" ca="1" si="78"/>
        <v>-1.0645455145042644E-2</v>
      </c>
    </row>
    <row r="2564" spans="6:7" x14ac:dyDescent="0.3">
      <c r="F2564" s="64">
        <v>2561</v>
      </c>
      <c r="G2564" s="64">
        <f t="shared" ca="1" si="78"/>
        <v>2.3283600214621621E-2</v>
      </c>
    </row>
    <row r="2565" spans="6:7" x14ac:dyDescent="0.3">
      <c r="F2565" s="64">
        <v>2562</v>
      </c>
      <c r="G2565" s="64">
        <f t="shared" ref="G2565:G2628" ca="1" si="79">_xlfn.NORM.INV(RAND(),K$6,K$7)</f>
        <v>-7.0676243749259356E-3</v>
      </c>
    </row>
    <row r="2566" spans="6:7" x14ac:dyDescent="0.3">
      <c r="F2566" s="64">
        <v>2563</v>
      </c>
      <c r="G2566" s="64">
        <f t="shared" ca="1" si="79"/>
        <v>-2.704617319214947E-2</v>
      </c>
    </row>
    <row r="2567" spans="6:7" x14ac:dyDescent="0.3">
      <c r="F2567" s="64">
        <v>2564</v>
      </c>
      <c r="G2567" s="64">
        <f t="shared" ca="1" si="79"/>
        <v>1.319502215903408E-2</v>
      </c>
    </row>
    <row r="2568" spans="6:7" x14ac:dyDescent="0.3">
      <c r="F2568" s="64">
        <v>2565</v>
      </c>
      <c r="G2568" s="64">
        <f t="shared" ca="1" si="79"/>
        <v>-1.8836672863840623E-2</v>
      </c>
    </row>
    <row r="2569" spans="6:7" x14ac:dyDescent="0.3">
      <c r="F2569" s="64">
        <v>2566</v>
      </c>
      <c r="G2569" s="64">
        <f t="shared" ca="1" si="79"/>
        <v>7.0499833668293353E-3</v>
      </c>
    </row>
    <row r="2570" spans="6:7" x14ac:dyDescent="0.3">
      <c r="F2570" s="64">
        <v>2567</v>
      </c>
      <c r="G2570" s="64">
        <f t="shared" ca="1" si="79"/>
        <v>-2.0477192932763649E-2</v>
      </c>
    </row>
    <row r="2571" spans="6:7" x14ac:dyDescent="0.3">
      <c r="F2571" s="64">
        <v>2568</v>
      </c>
      <c r="G2571" s="64">
        <f t="shared" ca="1" si="79"/>
        <v>4.0572142845073543E-3</v>
      </c>
    </row>
    <row r="2572" spans="6:7" x14ac:dyDescent="0.3">
      <c r="F2572" s="64">
        <v>2569</v>
      </c>
      <c r="G2572" s="64">
        <f t="shared" ca="1" si="79"/>
        <v>-5.2493801942895733E-4</v>
      </c>
    </row>
    <row r="2573" spans="6:7" x14ac:dyDescent="0.3">
      <c r="F2573" s="64">
        <v>2570</v>
      </c>
      <c r="G2573" s="64">
        <f t="shared" ca="1" si="79"/>
        <v>1.4973817024761775E-2</v>
      </c>
    </row>
    <row r="2574" spans="6:7" x14ac:dyDescent="0.3">
      <c r="F2574" s="64">
        <v>2571</v>
      </c>
      <c r="G2574" s="64">
        <f t="shared" ca="1" si="79"/>
        <v>-7.0622664378295306E-3</v>
      </c>
    </row>
    <row r="2575" spans="6:7" x14ac:dyDescent="0.3">
      <c r="F2575" s="64">
        <v>2572</v>
      </c>
      <c r="G2575" s="64">
        <f t="shared" ca="1" si="79"/>
        <v>9.8744654093337308E-3</v>
      </c>
    </row>
    <row r="2576" spans="6:7" x14ac:dyDescent="0.3">
      <c r="F2576" s="64">
        <v>2573</v>
      </c>
      <c r="G2576" s="64">
        <f t="shared" ca="1" si="79"/>
        <v>-2.329388001860349E-2</v>
      </c>
    </row>
    <row r="2577" spans="6:7" x14ac:dyDescent="0.3">
      <c r="F2577" s="64">
        <v>2574</v>
      </c>
      <c r="G2577" s="64">
        <f t="shared" ca="1" si="79"/>
        <v>-1.9643859851565554E-2</v>
      </c>
    </row>
    <row r="2578" spans="6:7" x14ac:dyDescent="0.3">
      <c r="F2578" s="64">
        <v>2575</v>
      </c>
      <c r="G2578" s="64">
        <f t="shared" ca="1" si="79"/>
        <v>2.4382103446501095E-2</v>
      </c>
    </row>
    <row r="2579" spans="6:7" x14ac:dyDescent="0.3">
      <c r="F2579" s="64">
        <v>2576</v>
      </c>
      <c r="G2579" s="64">
        <f t="shared" ca="1" si="79"/>
        <v>2.3711208703876725E-2</v>
      </c>
    </row>
    <row r="2580" spans="6:7" x14ac:dyDescent="0.3">
      <c r="F2580" s="64">
        <v>2577</v>
      </c>
      <c r="G2580" s="64">
        <f t="shared" ca="1" si="79"/>
        <v>8.5959437955721515E-3</v>
      </c>
    </row>
    <row r="2581" spans="6:7" x14ac:dyDescent="0.3">
      <c r="F2581" s="64">
        <v>2578</v>
      </c>
      <c r="G2581" s="64">
        <f t="shared" ca="1" si="79"/>
        <v>4.0167200781271936E-2</v>
      </c>
    </row>
    <row r="2582" spans="6:7" x14ac:dyDescent="0.3">
      <c r="F2582" s="64">
        <v>2579</v>
      </c>
      <c r="G2582" s="64">
        <f t="shared" ca="1" si="79"/>
        <v>-1.717790430474149E-2</v>
      </c>
    </row>
    <row r="2583" spans="6:7" x14ac:dyDescent="0.3">
      <c r="F2583" s="64">
        <v>2580</v>
      </c>
      <c r="G2583" s="64">
        <f t="shared" ca="1" si="79"/>
        <v>1.3860271681506886E-2</v>
      </c>
    </row>
    <row r="2584" spans="6:7" x14ac:dyDescent="0.3">
      <c r="F2584" s="64">
        <v>2581</v>
      </c>
      <c r="G2584" s="64">
        <f t="shared" ca="1" si="79"/>
        <v>3.8782418842551374E-4</v>
      </c>
    </row>
    <row r="2585" spans="6:7" x14ac:dyDescent="0.3">
      <c r="F2585" s="64">
        <v>2582</v>
      </c>
      <c r="G2585" s="64">
        <f t="shared" ca="1" si="79"/>
        <v>1.5560031026093227E-2</v>
      </c>
    </row>
    <row r="2586" spans="6:7" x14ac:dyDescent="0.3">
      <c r="F2586" s="64">
        <v>2583</v>
      </c>
      <c r="G2586" s="64">
        <f t="shared" ca="1" si="79"/>
        <v>-2.6298957581365199E-3</v>
      </c>
    </row>
    <row r="2587" spans="6:7" x14ac:dyDescent="0.3">
      <c r="F2587" s="64">
        <v>2584</v>
      </c>
      <c r="G2587" s="64">
        <f t="shared" ca="1" si="79"/>
        <v>2.0224621979794198E-3</v>
      </c>
    </row>
    <row r="2588" spans="6:7" x14ac:dyDescent="0.3">
      <c r="F2588" s="64">
        <v>2585</v>
      </c>
      <c r="G2588" s="64">
        <f t="shared" ca="1" si="79"/>
        <v>-1.9866966325306566E-2</v>
      </c>
    </row>
    <row r="2589" spans="6:7" x14ac:dyDescent="0.3">
      <c r="F2589" s="64">
        <v>2586</v>
      </c>
      <c r="G2589" s="64">
        <f t="shared" ca="1" si="79"/>
        <v>-1.2274529478201951E-2</v>
      </c>
    </row>
    <row r="2590" spans="6:7" x14ac:dyDescent="0.3">
      <c r="F2590" s="64">
        <v>2587</v>
      </c>
      <c r="G2590" s="64">
        <f t="shared" ca="1" si="79"/>
        <v>2.2267269021667632E-2</v>
      </c>
    </row>
    <row r="2591" spans="6:7" x14ac:dyDescent="0.3">
      <c r="F2591" s="64">
        <v>2588</v>
      </c>
      <c r="G2591" s="64">
        <f t="shared" ca="1" si="79"/>
        <v>2.2641197889976387E-3</v>
      </c>
    </row>
    <row r="2592" spans="6:7" x14ac:dyDescent="0.3">
      <c r="F2592" s="64">
        <v>2589</v>
      </c>
      <c r="G2592" s="64">
        <f t="shared" ca="1" si="79"/>
        <v>-3.895520010488341E-2</v>
      </c>
    </row>
    <row r="2593" spans="6:7" x14ac:dyDescent="0.3">
      <c r="F2593" s="64">
        <v>2590</v>
      </c>
      <c r="G2593" s="64">
        <f t="shared" ca="1" si="79"/>
        <v>9.4117675449903009E-3</v>
      </c>
    </row>
    <row r="2594" spans="6:7" x14ac:dyDescent="0.3">
      <c r="F2594" s="64">
        <v>2591</v>
      </c>
      <c r="G2594" s="64">
        <f t="shared" ca="1" si="79"/>
        <v>-2.3490387503086289E-2</v>
      </c>
    </row>
    <row r="2595" spans="6:7" x14ac:dyDescent="0.3">
      <c r="F2595" s="64">
        <v>2592</v>
      </c>
      <c r="G2595" s="64">
        <f t="shared" ca="1" si="79"/>
        <v>-4.7753197595018547E-4</v>
      </c>
    </row>
    <row r="2596" spans="6:7" x14ac:dyDescent="0.3">
      <c r="F2596" s="64">
        <v>2593</v>
      </c>
      <c r="G2596" s="64">
        <f t="shared" ca="1" si="79"/>
        <v>-2.012461102056122E-2</v>
      </c>
    </row>
    <row r="2597" spans="6:7" x14ac:dyDescent="0.3">
      <c r="F2597" s="64">
        <v>2594</v>
      </c>
      <c r="G2597" s="64">
        <f t="shared" ca="1" si="79"/>
        <v>-1.107950385732763E-2</v>
      </c>
    </row>
    <row r="2598" spans="6:7" x14ac:dyDescent="0.3">
      <c r="F2598" s="64">
        <v>2595</v>
      </c>
      <c r="G2598" s="64">
        <f t="shared" ca="1" si="79"/>
        <v>2.8957470539613256E-2</v>
      </c>
    </row>
    <row r="2599" spans="6:7" x14ac:dyDescent="0.3">
      <c r="F2599" s="64">
        <v>2596</v>
      </c>
      <c r="G2599" s="64">
        <f t="shared" ca="1" si="79"/>
        <v>7.5186129458200837E-3</v>
      </c>
    </row>
    <row r="2600" spans="6:7" x14ac:dyDescent="0.3">
      <c r="F2600" s="64">
        <v>2597</v>
      </c>
      <c r="G2600" s="64">
        <f t="shared" ca="1" si="79"/>
        <v>3.763971295488009E-2</v>
      </c>
    </row>
    <row r="2601" spans="6:7" x14ac:dyDescent="0.3">
      <c r="F2601" s="64">
        <v>2598</v>
      </c>
      <c r="G2601" s="64">
        <f t="shared" ca="1" si="79"/>
        <v>-1.1750010878093372E-2</v>
      </c>
    </row>
    <row r="2602" spans="6:7" x14ac:dyDescent="0.3">
      <c r="F2602" s="64">
        <v>2599</v>
      </c>
      <c r="G2602" s="64">
        <f t="shared" ca="1" si="79"/>
        <v>2.5487081618136884E-2</v>
      </c>
    </row>
    <row r="2603" spans="6:7" x14ac:dyDescent="0.3">
      <c r="F2603" s="64">
        <v>2600</v>
      </c>
      <c r="G2603" s="64">
        <f t="shared" ca="1" si="79"/>
        <v>-1.9221285415339921E-3</v>
      </c>
    </row>
    <row r="2604" spans="6:7" x14ac:dyDescent="0.3">
      <c r="F2604" s="64">
        <v>2601</v>
      </c>
      <c r="G2604" s="64">
        <f t="shared" ca="1" si="79"/>
        <v>3.5473999970562771E-4</v>
      </c>
    </row>
    <row r="2605" spans="6:7" x14ac:dyDescent="0.3">
      <c r="F2605" s="64">
        <v>2602</v>
      </c>
      <c r="G2605" s="64">
        <f t="shared" ca="1" si="79"/>
        <v>-2.4743132473331007E-2</v>
      </c>
    </row>
    <row r="2606" spans="6:7" x14ac:dyDescent="0.3">
      <c r="F2606" s="64">
        <v>2603</v>
      </c>
      <c r="G2606" s="64">
        <f t="shared" ca="1" si="79"/>
        <v>-4.4870361491041611E-3</v>
      </c>
    </row>
    <row r="2607" spans="6:7" x14ac:dyDescent="0.3">
      <c r="F2607" s="64">
        <v>2604</v>
      </c>
      <c r="G2607" s="64">
        <f t="shared" ca="1" si="79"/>
        <v>-3.8291275131325089E-2</v>
      </c>
    </row>
    <row r="2608" spans="6:7" x14ac:dyDescent="0.3">
      <c r="F2608" s="64">
        <v>2605</v>
      </c>
      <c r="G2608" s="64">
        <f t="shared" ca="1" si="79"/>
        <v>-1.4125650192809635E-2</v>
      </c>
    </row>
    <row r="2609" spans="6:7" x14ac:dyDescent="0.3">
      <c r="F2609" s="64">
        <v>2606</v>
      </c>
      <c r="G2609" s="64">
        <f t="shared" ca="1" si="79"/>
        <v>7.8634311501241949E-3</v>
      </c>
    </row>
    <row r="2610" spans="6:7" x14ac:dyDescent="0.3">
      <c r="F2610" s="64">
        <v>2607</v>
      </c>
      <c r="G2610" s="64">
        <f t="shared" ca="1" si="79"/>
        <v>-1.9638454802870235E-2</v>
      </c>
    </row>
    <row r="2611" spans="6:7" x14ac:dyDescent="0.3">
      <c r="F2611" s="64">
        <v>2608</v>
      </c>
      <c r="G2611" s="64">
        <f t="shared" ca="1" si="79"/>
        <v>2.2831676860764073E-2</v>
      </c>
    </row>
    <row r="2612" spans="6:7" x14ac:dyDescent="0.3">
      <c r="F2612" s="64">
        <v>2609</v>
      </c>
      <c r="G2612" s="64">
        <f t="shared" ca="1" si="79"/>
        <v>7.6510298227493376E-3</v>
      </c>
    </row>
    <row r="2613" spans="6:7" x14ac:dyDescent="0.3">
      <c r="F2613" s="64">
        <v>2610</v>
      </c>
      <c r="G2613" s="64">
        <f t="shared" ca="1" si="79"/>
        <v>-1.0048839086641208E-2</v>
      </c>
    </row>
    <row r="2614" spans="6:7" x14ac:dyDescent="0.3">
      <c r="F2614" s="64">
        <v>2611</v>
      </c>
      <c r="G2614" s="64">
        <f t="shared" ca="1" si="79"/>
        <v>-2.8579590393513561E-3</v>
      </c>
    </row>
    <row r="2615" spans="6:7" x14ac:dyDescent="0.3">
      <c r="F2615" s="64">
        <v>2612</v>
      </c>
      <c r="G2615" s="64">
        <f t="shared" ca="1" si="79"/>
        <v>-2.3525986079212455E-2</v>
      </c>
    </row>
    <row r="2616" spans="6:7" x14ac:dyDescent="0.3">
      <c r="F2616" s="64">
        <v>2613</v>
      </c>
      <c r="G2616" s="64">
        <f t="shared" ca="1" si="79"/>
        <v>-2.2144562372406725E-3</v>
      </c>
    </row>
    <row r="2617" spans="6:7" x14ac:dyDescent="0.3">
      <c r="F2617" s="64">
        <v>2614</v>
      </c>
      <c r="G2617" s="64">
        <f t="shared" ca="1" si="79"/>
        <v>-3.661646029339545E-2</v>
      </c>
    </row>
    <row r="2618" spans="6:7" x14ac:dyDescent="0.3">
      <c r="F2618" s="64">
        <v>2615</v>
      </c>
      <c r="G2618" s="64">
        <f t="shared" ca="1" si="79"/>
        <v>-1.0826231792309599E-2</v>
      </c>
    </row>
    <row r="2619" spans="6:7" x14ac:dyDescent="0.3">
      <c r="F2619" s="64">
        <v>2616</v>
      </c>
      <c r="G2619" s="64">
        <f t="shared" ca="1" si="79"/>
        <v>-1.3955505150008688E-2</v>
      </c>
    </row>
    <row r="2620" spans="6:7" x14ac:dyDescent="0.3">
      <c r="F2620" s="64">
        <v>2617</v>
      </c>
      <c r="G2620" s="64">
        <f t="shared" ca="1" si="79"/>
        <v>2.0254715643941469E-2</v>
      </c>
    </row>
    <row r="2621" spans="6:7" x14ac:dyDescent="0.3">
      <c r="F2621" s="64">
        <v>2618</v>
      </c>
      <c r="G2621" s="64">
        <f t="shared" ca="1" si="79"/>
        <v>8.0688365788517749E-3</v>
      </c>
    </row>
    <row r="2622" spans="6:7" x14ac:dyDescent="0.3">
      <c r="F2622" s="64">
        <v>2619</v>
      </c>
      <c r="G2622" s="64">
        <f t="shared" ca="1" si="79"/>
        <v>8.9913444093143707E-3</v>
      </c>
    </row>
    <row r="2623" spans="6:7" x14ac:dyDescent="0.3">
      <c r="F2623" s="64">
        <v>2620</v>
      </c>
      <c r="G2623" s="64">
        <f t="shared" ca="1" si="79"/>
        <v>8.3620399796357596E-3</v>
      </c>
    </row>
    <row r="2624" spans="6:7" x14ac:dyDescent="0.3">
      <c r="F2624" s="64">
        <v>2621</v>
      </c>
      <c r="G2624" s="64">
        <f t="shared" ca="1" si="79"/>
        <v>-2.3369304854107499E-3</v>
      </c>
    </row>
    <row r="2625" spans="6:7" x14ac:dyDescent="0.3">
      <c r="F2625" s="64">
        <v>2622</v>
      </c>
      <c r="G2625" s="64">
        <f t="shared" ca="1" si="79"/>
        <v>2.842514964168557E-2</v>
      </c>
    </row>
    <row r="2626" spans="6:7" x14ac:dyDescent="0.3">
      <c r="F2626" s="64">
        <v>2623</v>
      </c>
      <c r="G2626" s="64">
        <f t="shared" ca="1" si="79"/>
        <v>-1.7409908693364111E-2</v>
      </c>
    </row>
    <row r="2627" spans="6:7" x14ac:dyDescent="0.3">
      <c r="F2627" s="64">
        <v>2624</v>
      </c>
      <c r="G2627" s="64">
        <f t="shared" ca="1" si="79"/>
        <v>-6.7993408739319703E-3</v>
      </c>
    </row>
    <row r="2628" spans="6:7" x14ac:dyDescent="0.3">
      <c r="F2628" s="64">
        <v>2625</v>
      </c>
      <c r="G2628" s="64">
        <f t="shared" ca="1" si="79"/>
        <v>-1.8621121826176187E-2</v>
      </c>
    </row>
    <row r="2629" spans="6:7" x14ac:dyDescent="0.3">
      <c r="F2629" s="64">
        <v>2626</v>
      </c>
      <c r="G2629" s="64">
        <f t="shared" ref="G2629:G2692" ca="1" si="80">_xlfn.NORM.INV(RAND(),K$6,K$7)</f>
        <v>1.4359328502522674E-2</v>
      </c>
    </row>
    <row r="2630" spans="6:7" x14ac:dyDescent="0.3">
      <c r="F2630" s="64">
        <v>2627</v>
      </c>
      <c r="G2630" s="64">
        <f t="shared" ca="1" si="80"/>
        <v>7.6600967009280724E-3</v>
      </c>
    </row>
    <row r="2631" spans="6:7" x14ac:dyDescent="0.3">
      <c r="F2631" s="64">
        <v>2628</v>
      </c>
      <c r="G2631" s="64">
        <f t="shared" ca="1" si="80"/>
        <v>4.997854198843037E-3</v>
      </c>
    </row>
    <row r="2632" spans="6:7" x14ac:dyDescent="0.3">
      <c r="F2632" s="64">
        <v>2629</v>
      </c>
      <c r="G2632" s="64">
        <f t="shared" ca="1" si="80"/>
        <v>-2.314830256676962E-2</v>
      </c>
    </row>
    <row r="2633" spans="6:7" x14ac:dyDescent="0.3">
      <c r="F2633" s="64">
        <v>2630</v>
      </c>
      <c r="G2633" s="64">
        <f t="shared" ca="1" si="80"/>
        <v>2.6051299922106155E-2</v>
      </c>
    </row>
    <row r="2634" spans="6:7" x14ac:dyDescent="0.3">
      <c r="F2634" s="64">
        <v>2631</v>
      </c>
      <c r="G2634" s="64">
        <f t="shared" ca="1" si="80"/>
        <v>-2.6983149200547077E-2</v>
      </c>
    </row>
    <row r="2635" spans="6:7" x14ac:dyDescent="0.3">
      <c r="F2635" s="64">
        <v>2632</v>
      </c>
      <c r="G2635" s="64">
        <f t="shared" ca="1" si="80"/>
        <v>-6.7838243485432281E-3</v>
      </c>
    </row>
    <row r="2636" spans="6:7" x14ac:dyDescent="0.3">
      <c r="F2636" s="64">
        <v>2633</v>
      </c>
      <c r="G2636" s="64">
        <f t="shared" ca="1" si="80"/>
        <v>-3.2789306242502064E-3</v>
      </c>
    </row>
    <row r="2637" spans="6:7" x14ac:dyDescent="0.3">
      <c r="F2637" s="64">
        <v>2634</v>
      </c>
      <c r="G2637" s="64">
        <f t="shared" ca="1" si="80"/>
        <v>-2.7113842442766642E-2</v>
      </c>
    </row>
    <row r="2638" spans="6:7" x14ac:dyDescent="0.3">
      <c r="F2638" s="64">
        <v>2635</v>
      </c>
      <c r="G2638" s="64">
        <f t="shared" ca="1" si="80"/>
        <v>-5.0995825669570994E-3</v>
      </c>
    </row>
    <row r="2639" spans="6:7" x14ac:dyDescent="0.3">
      <c r="F2639" s="64">
        <v>2636</v>
      </c>
      <c r="G2639" s="64">
        <f t="shared" ca="1" si="80"/>
        <v>2.5850829991034543E-3</v>
      </c>
    </row>
    <row r="2640" spans="6:7" x14ac:dyDescent="0.3">
      <c r="F2640" s="64">
        <v>2637</v>
      </c>
      <c r="G2640" s="64">
        <f t="shared" ca="1" si="80"/>
        <v>2.7241677056551838E-2</v>
      </c>
    </row>
    <row r="2641" spans="6:7" x14ac:dyDescent="0.3">
      <c r="F2641" s="64">
        <v>2638</v>
      </c>
      <c r="G2641" s="64">
        <f t="shared" ca="1" si="80"/>
        <v>-1.5278491111979041E-2</v>
      </c>
    </row>
    <row r="2642" spans="6:7" x14ac:dyDescent="0.3">
      <c r="F2642" s="64">
        <v>2639</v>
      </c>
      <c r="G2642" s="64">
        <f t="shared" ca="1" si="80"/>
        <v>-9.9052124473278883E-3</v>
      </c>
    </row>
    <row r="2643" spans="6:7" x14ac:dyDescent="0.3">
      <c r="F2643" s="64">
        <v>2640</v>
      </c>
      <c r="G2643" s="64">
        <f t="shared" ca="1" si="80"/>
        <v>1.3356235638345296E-3</v>
      </c>
    </row>
    <row r="2644" spans="6:7" x14ac:dyDescent="0.3">
      <c r="F2644" s="64">
        <v>2641</v>
      </c>
      <c r="G2644" s="64">
        <f t="shared" ca="1" si="80"/>
        <v>-4.0386686200939862E-3</v>
      </c>
    </row>
    <row r="2645" spans="6:7" x14ac:dyDescent="0.3">
      <c r="F2645" s="64">
        <v>2642</v>
      </c>
      <c r="G2645" s="64">
        <f t="shared" ca="1" si="80"/>
        <v>-5.3142838827828489E-3</v>
      </c>
    </row>
    <row r="2646" spans="6:7" x14ac:dyDescent="0.3">
      <c r="F2646" s="64">
        <v>2643</v>
      </c>
      <c r="G2646" s="64">
        <f t="shared" ca="1" si="80"/>
        <v>1.9221681221084849E-2</v>
      </c>
    </row>
    <row r="2647" spans="6:7" x14ac:dyDescent="0.3">
      <c r="F2647" s="64">
        <v>2644</v>
      </c>
      <c r="G2647" s="64">
        <f t="shared" ca="1" si="80"/>
        <v>-3.0746597529268324E-2</v>
      </c>
    </row>
    <row r="2648" spans="6:7" x14ac:dyDescent="0.3">
      <c r="F2648" s="64">
        <v>2645</v>
      </c>
      <c r="G2648" s="64">
        <f t="shared" ca="1" si="80"/>
        <v>2.3212903827398833E-3</v>
      </c>
    </row>
    <row r="2649" spans="6:7" x14ac:dyDescent="0.3">
      <c r="F2649" s="64">
        <v>2646</v>
      </c>
      <c r="G2649" s="64">
        <f t="shared" ca="1" si="80"/>
        <v>-6.2121813972752741E-3</v>
      </c>
    </row>
    <row r="2650" spans="6:7" x14ac:dyDescent="0.3">
      <c r="F2650" s="64">
        <v>2647</v>
      </c>
      <c r="G2650" s="64">
        <f t="shared" ca="1" si="80"/>
        <v>-1.1155384650070091E-2</v>
      </c>
    </row>
    <row r="2651" spans="6:7" x14ac:dyDescent="0.3">
      <c r="F2651" s="64">
        <v>2648</v>
      </c>
      <c r="G2651" s="64">
        <f t="shared" ca="1" si="80"/>
        <v>9.9705630362892719E-3</v>
      </c>
    </row>
    <row r="2652" spans="6:7" x14ac:dyDescent="0.3">
      <c r="F2652" s="64">
        <v>2649</v>
      </c>
      <c r="G2652" s="64">
        <f t="shared" ca="1" si="80"/>
        <v>1.9153913920085086E-2</v>
      </c>
    </row>
    <row r="2653" spans="6:7" x14ac:dyDescent="0.3">
      <c r="F2653" s="64">
        <v>2650</v>
      </c>
      <c r="G2653" s="64">
        <f t="shared" ca="1" si="80"/>
        <v>-2.4979628503857203E-2</v>
      </c>
    </row>
    <row r="2654" spans="6:7" x14ac:dyDescent="0.3">
      <c r="F2654" s="64">
        <v>2651</v>
      </c>
      <c r="G2654" s="64">
        <f t="shared" ca="1" si="80"/>
        <v>-3.6867507528235664E-3</v>
      </c>
    </row>
    <row r="2655" spans="6:7" x14ac:dyDescent="0.3">
      <c r="F2655" s="64">
        <v>2652</v>
      </c>
      <c r="G2655" s="64">
        <f t="shared" ca="1" si="80"/>
        <v>2.7045172232042357E-2</v>
      </c>
    </row>
    <row r="2656" spans="6:7" x14ac:dyDescent="0.3">
      <c r="F2656" s="64">
        <v>2653</v>
      </c>
      <c r="G2656" s="64">
        <f t="shared" ca="1" si="80"/>
        <v>-1.9106614990548158E-2</v>
      </c>
    </row>
    <row r="2657" spans="6:7" x14ac:dyDescent="0.3">
      <c r="F2657" s="64">
        <v>2654</v>
      </c>
      <c r="G2657" s="64">
        <f t="shared" ca="1" si="80"/>
        <v>-6.0349470686495979E-3</v>
      </c>
    </row>
    <row r="2658" spans="6:7" x14ac:dyDescent="0.3">
      <c r="F2658" s="64">
        <v>2655</v>
      </c>
      <c r="G2658" s="64">
        <f t="shared" ca="1" si="80"/>
        <v>-2.3650776390578619E-3</v>
      </c>
    </row>
    <row r="2659" spans="6:7" x14ac:dyDescent="0.3">
      <c r="F2659" s="64">
        <v>2656</v>
      </c>
      <c r="G2659" s="64">
        <f t="shared" ca="1" si="80"/>
        <v>1.3190146904509226E-2</v>
      </c>
    </row>
    <row r="2660" spans="6:7" x14ac:dyDescent="0.3">
      <c r="F2660" s="64">
        <v>2657</v>
      </c>
      <c r="G2660" s="64">
        <f t="shared" ca="1" si="80"/>
        <v>2.7112239644676392E-2</v>
      </c>
    </row>
    <row r="2661" spans="6:7" x14ac:dyDescent="0.3">
      <c r="F2661" s="64">
        <v>2658</v>
      </c>
      <c r="G2661" s="64">
        <f t="shared" ca="1" si="80"/>
        <v>-6.5660293032056925E-3</v>
      </c>
    </row>
    <row r="2662" spans="6:7" x14ac:dyDescent="0.3">
      <c r="F2662" s="64">
        <v>2659</v>
      </c>
      <c r="G2662" s="64">
        <f t="shared" ca="1" si="80"/>
        <v>-1.9887785712260548E-3</v>
      </c>
    </row>
    <row r="2663" spans="6:7" x14ac:dyDescent="0.3">
      <c r="F2663" s="64">
        <v>2660</v>
      </c>
      <c r="G2663" s="64">
        <f t="shared" ca="1" si="80"/>
        <v>7.7755345772389508E-3</v>
      </c>
    </row>
    <row r="2664" spans="6:7" x14ac:dyDescent="0.3">
      <c r="F2664" s="64">
        <v>2661</v>
      </c>
      <c r="G2664" s="64">
        <f t="shared" ca="1" si="80"/>
        <v>1.0168985084113629E-2</v>
      </c>
    </row>
    <row r="2665" spans="6:7" x14ac:dyDescent="0.3">
      <c r="F2665" s="64">
        <v>2662</v>
      </c>
      <c r="G2665" s="64">
        <f t="shared" ca="1" si="80"/>
        <v>-1.1633185045719538E-2</v>
      </c>
    </row>
    <row r="2666" spans="6:7" x14ac:dyDescent="0.3">
      <c r="F2666" s="64">
        <v>2663</v>
      </c>
      <c r="G2666" s="64">
        <f t="shared" ca="1" si="80"/>
        <v>1.6330155918122865E-2</v>
      </c>
    </row>
    <row r="2667" spans="6:7" x14ac:dyDescent="0.3">
      <c r="F2667" s="64">
        <v>2664</v>
      </c>
      <c r="G2667" s="64">
        <f t="shared" ca="1" si="80"/>
        <v>-7.7071300891289971E-3</v>
      </c>
    </row>
    <row r="2668" spans="6:7" x14ac:dyDescent="0.3">
      <c r="F2668" s="64">
        <v>2665</v>
      </c>
      <c r="G2668" s="64">
        <f t="shared" ca="1" si="80"/>
        <v>-2.7943300776666772E-3</v>
      </c>
    </row>
    <row r="2669" spans="6:7" x14ac:dyDescent="0.3">
      <c r="F2669" s="64">
        <v>2666</v>
      </c>
      <c r="G2669" s="64">
        <f t="shared" ca="1" si="80"/>
        <v>6.8370432457100956E-3</v>
      </c>
    </row>
    <row r="2670" spans="6:7" x14ac:dyDescent="0.3">
      <c r="F2670" s="64">
        <v>2667</v>
      </c>
      <c r="G2670" s="64">
        <f t="shared" ca="1" si="80"/>
        <v>7.2635010368818659E-3</v>
      </c>
    </row>
    <row r="2671" spans="6:7" x14ac:dyDescent="0.3">
      <c r="F2671" s="64">
        <v>2668</v>
      </c>
      <c r="G2671" s="64">
        <f t="shared" ca="1" si="80"/>
        <v>6.7814171465618769E-4</v>
      </c>
    </row>
    <row r="2672" spans="6:7" x14ac:dyDescent="0.3">
      <c r="F2672" s="64">
        <v>2669</v>
      </c>
      <c r="G2672" s="64">
        <f t="shared" ca="1" si="80"/>
        <v>-1.376753813293405E-2</v>
      </c>
    </row>
    <row r="2673" spans="6:7" x14ac:dyDescent="0.3">
      <c r="F2673" s="64">
        <v>2670</v>
      </c>
      <c r="G2673" s="64">
        <f t="shared" ca="1" si="80"/>
        <v>6.8806486523103781E-3</v>
      </c>
    </row>
    <row r="2674" spans="6:7" x14ac:dyDescent="0.3">
      <c r="F2674" s="64">
        <v>2671</v>
      </c>
      <c r="G2674" s="64">
        <f t="shared" ca="1" si="80"/>
        <v>-2.237437009879268E-2</v>
      </c>
    </row>
    <row r="2675" spans="6:7" x14ac:dyDescent="0.3">
      <c r="F2675" s="64">
        <v>2672</v>
      </c>
      <c r="G2675" s="64">
        <f t="shared" ca="1" si="80"/>
        <v>1.2047787823633258E-2</v>
      </c>
    </row>
    <row r="2676" spans="6:7" x14ac:dyDescent="0.3">
      <c r="F2676" s="64">
        <v>2673</v>
      </c>
      <c r="G2676" s="64">
        <f t="shared" ca="1" si="80"/>
        <v>1.1127424876060249E-2</v>
      </c>
    </row>
    <row r="2677" spans="6:7" x14ac:dyDescent="0.3">
      <c r="F2677" s="64">
        <v>2674</v>
      </c>
      <c r="G2677" s="64">
        <f t="shared" ca="1" si="80"/>
        <v>2.3233858250473534E-2</v>
      </c>
    </row>
    <row r="2678" spans="6:7" x14ac:dyDescent="0.3">
      <c r="F2678" s="64">
        <v>2675</v>
      </c>
      <c r="G2678" s="64">
        <f t="shared" ca="1" si="80"/>
        <v>-3.6157718326595645E-2</v>
      </c>
    </row>
    <row r="2679" spans="6:7" x14ac:dyDescent="0.3">
      <c r="F2679" s="64">
        <v>2676</v>
      </c>
      <c r="G2679" s="64">
        <f t="shared" ca="1" si="80"/>
        <v>1.6101637330814753E-2</v>
      </c>
    </row>
    <row r="2680" spans="6:7" x14ac:dyDescent="0.3">
      <c r="F2680" s="64">
        <v>2677</v>
      </c>
      <c r="G2680" s="64">
        <f t="shared" ca="1" si="80"/>
        <v>6.3540988361791935E-3</v>
      </c>
    </row>
    <row r="2681" spans="6:7" x14ac:dyDescent="0.3">
      <c r="F2681" s="64">
        <v>2678</v>
      </c>
      <c r="G2681" s="64">
        <f t="shared" ca="1" si="80"/>
        <v>-5.2049446006314073E-2</v>
      </c>
    </row>
    <row r="2682" spans="6:7" x14ac:dyDescent="0.3">
      <c r="F2682" s="64">
        <v>2679</v>
      </c>
      <c r="G2682" s="64">
        <f t="shared" ca="1" si="80"/>
        <v>2.8323621030439568E-2</v>
      </c>
    </row>
    <row r="2683" spans="6:7" x14ac:dyDescent="0.3">
      <c r="F2683" s="64">
        <v>2680</v>
      </c>
      <c r="G2683" s="64">
        <f t="shared" ca="1" si="80"/>
        <v>-2.8580941792923451E-3</v>
      </c>
    </row>
    <row r="2684" spans="6:7" x14ac:dyDescent="0.3">
      <c r="F2684" s="64">
        <v>2681</v>
      </c>
      <c r="G2684" s="64">
        <f t="shared" ca="1" si="80"/>
        <v>-2.1775724918212065E-2</v>
      </c>
    </row>
    <row r="2685" spans="6:7" x14ac:dyDescent="0.3">
      <c r="F2685" s="64">
        <v>2682</v>
      </c>
      <c r="G2685" s="64">
        <f t="shared" ca="1" si="80"/>
        <v>2.2198141012776548E-2</v>
      </c>
    </row>
    <row r="2686" spans="6:7" x14ac:dyDescent="0.3">
      <c r="F2686" s="64">
        <v>2683</v>
      </c>
      <c r="G2686" s="64">
        <f t="shared" ca="1" si="80"/>
        <v>-3.5356523397621437E-2</v>
      </c>
    </row>
    <row r="2687" spans="6:7" x14ac:dyDescent="0.3">
      <c r="F2687" s="64">
        <v>2684</v>
      </c>
      <c r="G2687" s="64">
        <f t="shared" ca="1" si="80"/>
        <v>-5.1468693129546978E-3</v>
      </c>
    </row>
    <row r="2688" spans="6:7" x14ac:dyDescent="0.3">
      <c r="F2688" s="64">
        <v>2685</v>
      </c>
      <c r="G2688" s="64">
        <f t="shared" ca="1" si="80"/>
        <v>-9.3612139181992512E-3</v>
      </c>
    </row>
    <row r="2689" spans="6:7" x14ac:dyDescent="0.3">
      <c r="F2689" s="64">
        <v>2686</v>
      </c>
      <c r="G2689" s="64">
        <f t="shared" ca="1" si="80"/>
        <v>2.2092574386158831E-2</v>
      </c>
    </row>
    <row r="2690" spans="6:7" x14ac:dyDescent="0.3">
      <c r="F2690" s="64">
        <v>2687</v>
      </c>
      <c r="G2690" s="64">
        <f t="shared" ca="1" si="80"/>
        <v>5.9233940926383547E-3</v>
      </c>
    </row>
    <row r="2691" spans="6:7" x14ac:dyDescent="0.3">
      <c r="F2691" s="64">
        <v>2688</v>
      </c>
      <c r="G2691" s="64">
        <f t="shared" ca="1" si="80"/>
        <v>3.3515788529042121E-3</v>
      </c>
    </row>
    <row r="2692" spans="6:7" x14ac:dyDescent="0.3">
      <c r="F2692" s="64">
        <v>2689</v>
      </c>
      <c r="G2692" s="64">
        <f t="shared" ca="1" si="80"/>
        <v>1.1018754232946031E-2</v>
      </c>
    </row>
    <row r="2693" spans="6:7" x14ac:dyDescent="0.3">
      <c r="F2693" s="64">
        <v>2690</v>
      </c>
      <c r="G2693" s="64">
        <f t="shared" ref="G2693:G2756" ca="1" si="81">_xlfn.NORM.INV(RAND(),K$6,K$7)</f>
        <v>-1.0480414677871549E-3</v>
      </c>
    </row>
    <row r="2694" spans="6:7" x14ac:dyDescent="0.3">
      <c r="F2694" s="64">
        <v>2691</v>
      </c>
      <c r="G2694" s="64">
        <f t="shared" ca="1" si="81"/>
        <v>6.2690367168629626E-3</v>
      </c>
    </row>
    <row r="2695" spans="6:7" x14ac:dyDescent="0.3">
      <c r="F2695" s="64">
        <v>2692</v>
      </c>
      <c r="G2695" s="64">
        <f t="shared" ca="1" si="81"/>
        <v>2.8963079095374482E-2</v>
      </c>
    </row>
    <row r="2696" spans="6:7" x14ac:dyDescent="0.3">
      <c r="F2696" s="64">
        <v>2693</v>
      </c>
      <c r="G2696" s="64">
        <f t="shared" ca="1" si="81"/>
        <v>-3.7521752490984633E-2</v>
      </c>
    </row>
    <row r="2697" spans="6:7" x14ac:dyDescent="0.3">
      <c r="F2697" s="64">
        <v>2694</v>
      </c>
      <c r="G2697" s="64">
        <f t="shared" ca="1" si="81"/>
        <v>3.8967540297077392E-2</v>
      </c>
    </row>
    <row r="2698" spans="6:7" x14ac:dyDescent="0.3">
      <c r="F2698" s="64">
        <v>2695</v>
      </c>
      <c r="G2698" s="64">
        <f t="shared" ca="1" si="81"/>
        <v>-2.3825038417874436E-2</v>
      </c>
    </row>
    <row r="2699" spans="6:7" x14ac:dyDescent="0.3">
      <c r="F2699" s="64">
        <v>2696</v>
      </c>
      <c r="G2699" s="64">
        <f t="shared" ca="1" si="81"/>
        <v>-1.7769807916990198E-2</v>
      </c>
    </row>
    <row r="2700" spans="6:7" x14ac:dyDescent="0.3">
      <c r="F2700" s="64">
        <v>2697</v>
      </c>
      <c r="G2700" s="64">
        <f t="shared" ca="1" si="81"/>
        <v>1.3783890361571457E-3</v>
      </c>
    </row>
    <row r="2701" spans="6:7" x14ac:dyDescent="0.3">
      <c r="F2701" s="64">
        <v>2698</v>
      </c>
      <c r="G2701" s="64">
        <f t="shared" ca="1" si="81"/>
        <v>-2.4487723160642502E-2</v>
      </c>
    </row>
    <row r="2702" spans="6:7" x14ac:dyDescent="0.3">
      <c r="F2702" s="64">
        <v>2699</v>
      </c>
      <c r="G2702" s="64">
        <f t="shared" ca="1" si="81"/>
        <v>2.5983474529004853E-2</v>
      </c>
    </row>
    <row r="2703" spans="6:7" x14ac:dyDescent="0.3">
      <c r="F2703" s="64">
        <v>2700</v>
      </c>
      <c r="G2703" s="64">
        <f t="shared" ca="1" si="81"/>
        <v>-3.1497411534566901E-2</v>
      </c>
    </row>
    <row r="2704" spans="6:7" x14ac:dyDescent="0.3">
      <c r="F2704" s="64">
        <v>2701</v>
      </c>
      <c r="G2704" s="64">
        <f t="shared" ca="1" si="81"/>
        <v>-1.9120178658905453E-2</v>
      </c>
    </row>
    <row r="2705" spans="6:7" x14ac:dyDescent="0.3">
      <c r="F2705" s="64">
        <v>2702</v>
      </c>
      <c r="G2705" s="64">
        <f t="shared" ca="1" si="81"/>
        <v>6.2653171803113607E-3</v>
      </c>
    </row>
    <row r="2706" spans="6:7" x14ac:dyDescent="0.3">
      <c r="F2706" s="64">
        <v>2703</v>
      </c>
      <c r="G2706" s="64">
        <f t="shared" ca="1" si="81"/>
        <v>4.7686020013763854E-3</v>
      </c>
    </row>
    <row r="2707" spans="6:7" x14ac:dyDescent="0.3">
      <c r="F2707" s="64">
        <v>2704</v>
      </c>
      <c r="G2707" s="64">
        <f t="shared" ca="1" si="81"/>
        <v>-1.4102160038949036E-2</v>
      </c>
    </row>
    <row r="2708" spans="6:7" x14ac:dyDescent="0.3">
      <c r="F2708" s="64">
        <v>2705</v>
      </c>
      <c r="G2708" s="64">
        <f t="shared" ca="1" si="81"/>
        <v>-1.9889859444341754E-2</v>
      </c>
    </row>
    <row r="2709" spans="6:7" x14ac:dyDescent="0.3">
      <c r="F2709" s="64">
        <v>2706</v>
      </c>
      <c r="G2709" s="64">
        <f t="shared" ca="1" si="81"/>
        <v>-1.1267481611444989E-2</v>
      </c>
    </row>
    <row r="2710" spans="6:7" x14ac:dyDescent="0.3">
      <c r="F2710" s="64">
        <v>2707</v>
      </c>
      <c r="G2710" s="64">
        <f t="shared" ca="1" si="81"/>
        <v>3.2413121190670124E-3</v>
      </c>
    </row>
    <row r="2711" spans="6:7" x14ac:dyDescent="0.3">
      <c r="F2711" s="64">
        <v>2708</v>
      </c>
      <c r="G2711" s="64">
        <f t="shared" ca="1" si="81"/>
        <v>-1.7435583758348035E-2</v>
      </c>
    </row>
    <row r="2712" spans="6:7" x14ac:dyDescent="0.3">
      <c r="F2712" s="64">
        <v>2709</v>
      </c>
      <c r="G2712" s="64">
        <f t="shared" ca="1" si="81"/>
        <v>2.1331884610295657E-2</v>
      </c>
    </row>
    <row r="2713" spans="6:7" x14ac:dyDescent="0.3">
      <c r="F2713" s="64">
        <v>2710</v>
      </c>
      <c r="G2713" s="64">
        <f t="shared" ca="1" si="81"/>
        <v>-1.6022193331027661E-2</v>
      </c>
    </row>
    <row r="2714" spans="6:7" x14ac:dyDescent="0.3">
      <c r="F2714" s="64">
        <v>2711</v>
      </c>
      <c r="G2714" s="64">
        <f t="shared" ca="1" si="81"/>
        <v>-1.9332127264482746E-2</v>
      </c>
    </row>
    <row r="2715" spans="6:7" x14ac:dyDescent="0.3">
      <c r="F2715" s="64">
        <v>2712</v>
      </c>
      <c r="G2715" s="64">
        <f t="shared" ca="1" si="81"/>
        <v>-3.3973985986606031E-3</v>
      </c>
    </row>
    <row r="2716" spans="6:7" x14ac:dyDescent="0.3">
      <c r="F2716" s="64">
        <v>2713</v>
      </c>
      <c r="G2716" s="64">
        <f t="shared" ca="1" si="81"/>
        <v>-2.7635350874978264E-3</v>
      </c>
    </row>
    <row r="2717" spans="6:7" x14ac:dyDescent="0.3">
      <c r="F2717" s="64">
        <v>2714</v>
      </c>
      <c r="G2717" s="64">
        <f t="shared" ca="1" si="81"/>
        <v>7.0371172553109059E-4</v>
      </c>
    </row>
    <row r="2718" spans="6:7" x14ac:dyDescent="0.3">
      <c r="F2718" s="64">
        <v>2715</v>
      </c>
      <c r="G2718" s="64">
        <f t="shared" ca="1" si="81"/>
        <v>-1.6703526999269178E-2</v>
      </c>
    </row>
    <row r="2719" spans="6:7" x14ac:dyDescent="0.3">
      <c r="F2719" s="64">
        <v>2716</v>
      </c>
      <c r="G2719" s="64">
        <f t="shared" ca="1" si="81"/>
        <v>2.4103581653417853E-2</v>
      </c>
    </row>
    <row r="2720" spans="6:7" x14ac:dyDescent="0.3">
      <c r="F2720" s="64">
        <v>2717</v>
      </c>
      <c r="G2720" s="64">
        <f t="shared" ca="1" si="81"/>
        <v>-7.2010546492745284E-3</v>
      </c>
    </row>
    <row r="2721" spans="6:7" x14ac:dyDescent="0.3">
      <c r="F2721" s="64">
        <v>2718</v>
      </c>
      <c r="G2721" s="64">
        <f t="shared" ca="1" si="81"/>
        <v>8.7939254687218055E-3</v>
      </c>
    </row>
    <row r="2722" spans="6:7" x14ac:dyDescent="0.3">
      <c r="F2722" s="64">
        <v>2719</v>
      </c>
      <c r="G2722" s="64">
        <f t="shared" ca="1" si="81"/>
        <v>-1.03278665867789E-2</v>
      </c>
    </row>
    <row r="2723" spans="6:7" x14ac:dyDescent="0.3">
      <c r="F2723" s="64">
        <v>2720</v>
      </c>
      <c r="G2723" s="64">
        <f t="shared" ca="1" si="81"/>
        <v>2.3572539116441152E-2</v>
      </c>
    </row>
    <row r="2724" spans="6:7" x14ac:dyDescent="0.3">
      <c r="F2724" s="64">
        <v>2721</v>
      </c>
      <c r="G2724" s="64">
        <f t="shared" ca="1" si="81"/>
        <v>9.5092315289590102E-3</v>
      </c>
    </row>
    <row r="2725" spans="6:7" x14ac:dyDescent="0.3">
      <c r="F2725" s="64">
        <v>2722</v>
      </c>
      <c r="G2725" s="64">
        <f t="shared" ca="1" si="81"/>
        <v>-1.2228655168152082E-2</v>
      </c>
    </row>
    <row r="2726" spans="6:7" x14ac:dyDescent="0.3">
      <c r="F2726" s="64">
        <v>2723</v>
      </c>
      <c r="G2726" s="64">
        <f t="shared" ca="1" si="81"/>
        <v>-3.0731628936078101E-2</v>
      </c>
    </row>
    <row r="2727" spans="6:7" x14ac:dyDescent="0.3">
      <c r="F2727" s="64">
        <v>2724</v>
      </c>
      <c r="G2727" s="64">
        <f t="shared" ca="1" si="81"/>
        <v>-9.754804577335829E-3</v>
      </c>
    </row>
    <row r="2728" spans="6:7" x14ac:dyDescent="0.3">
      <c r="F2728" s="64">
        <v>2725</v>
      </c>
      <c r="G2728" s="64">
        <f t="shared" ca="1" si="81"/>
        <v>-7.4177044084154965E-3</v>
      </c>
    </row>
    <row r="2729" spans="6:7" x14ac:dyDescent="0.3">
      <c r="F2729" s="64">
        <v>2726</v>
      </c>
      <c r="G2729" s="64">
        <f t="shared" ca="1" si="81"/>
        <v>-2.2674268089922234E-2</v>
      </c>
    </row>
    <row r="2730" spans="6:7" x14ac:dyDescent="0.3">
      <c r="F2730" s="64">
        <v>2727</v>
      </c>
      <c r="G2730" s="64">
        <f t="shared" ca="1" si="81"/>
        <v>4.6740613825845732E-2</v>
      </c>
    </row>
    <row r="2731" spans="6:7" x14ac:dyDescent="0.3">
      <c r="F2731" s="64">
        <v>2728</v>
      </c>
      <c r="G2731" s="64">
        <f t="shared" ca="1" si="81"/>
        <v>8.2547885059337106E-3</v>
      </c>
    </row>
    <row r="2732" spans="6:7" x14ac:dyDescent="0.3">
      <c r="F2732" s="64">
        <v>2729</v>
      </c>
      <c r="G2732" s="64">
        <f t="shared" ca="1" si="81"/>
        <v>-2.3649300123190962E-2</v>
      </c>
    </row>
    <row r="2733" spans="6:7" x14ac:dyDescent="0.3">
      <c r="F2733" s="64">
        <v>2730</v>
      </c>
      <c r="G2733" s="64">
        <f t="shared" ca="1" si="81"/>
        <v>-1.7332770795668619E-2</v>
      </c>
    </row>
    <row r="2734" spans="6:7" x14ac:dyDescent="0.3">
      <c r="F2734" s="64">
        <v>2731</v>
      </c>
      <c r="G2734" s="64">
        <f t="shared" ca="1" si="81"/>
        <v>-9.5154228061343684E-3</v>
      </c>
    </row>
    <row r="2735" spans="6:7" x14ac:dyDescent="0.3">
      <c r="F2735" s="64">
        <v>2732</v>
      </c>
      <c r="G2735" s="64">
        <f t="shared" ca="1" si="81"/>
        <v>1.6696576910852703E-2</v>
      </c>
    </row>
    <row r="2736" spans="6:7" x14ac:dyDescent="0.3">
      <c r="F2736" s="64">
        <v>2733</v>
      </c>
      <c r="G2736" s="64">
        <f t="shared" ca="1" si="81"/>
        <v>-1.3142991514032917E-2</v>
      </c>
    </row>
    <row r="2737" spans="6:7" x14ac:dyDescent="0.3">
      <c r="F2737" s="64">
        <v>2734</v>
      </c>
      <c r="G2737" s="64">
        <f t="shared" ca="1" si="81"/>
        <v>2.7305433643033047E-2</v>
      </c>
    </row>
    <row r="2738" spans="6:7" x14ac:dyDescent="0.3">
      <c r="F2738" s="64">
        <v>2735</v>
      </c>
      <c r="G2738" s="64">
        <f t="shared" ca="1" si="81"/>
        <v>2.2429625630479434E-2</v>
      </c>
    </row>
    <row r="2739" spans="6:7" x14ac:dyDescent="0.3">
      <c r="F2739" s="64">
        <v>2736</v>
      </c>
      <c r="G2739" s="64">
        <f t="shared" ca="1" si="81"/>
        <v>5.215341287110431E-3</v>
      </c>
    </row>
    <row r="2740" spans="6:7" x14ac:dyDescent="0.3">
      <c r="F2740" s="64">
        <v>2737</v>
      </c>
      <c r="G2740" s="64">
        <f t="shared" ca="1" si="81"/>
        <v>1.9457887673398386E-2</v>
      </c>
    </row>
    <row r="2741" spans="6:7" x14ac:dyDescent="0.3">
      <c r="F2741" s="64">
        <v>2738</v>
      </c>
      <c r="G2741" s="64">
        <f t="shared" ca="1" si="81"/>
        <v>4.09341028677415E-3</v>
      </c>
    </row>
    <row r="2742" spans="6:7" x14ac:dyDescent="0.3">
      <c r="F2742" s="64">
        <v>2739</v>
      </c>
      <c r="G2742" s="64">
        <f t="shared" ca="1" si="81"/>
        <v>-2.2440807734327321E-2</v>
      </c>
    </row>
    <row r="2743" spans="6:7" x14ac:dyDescent="0.3">
      <c r="F2743" s="64">
        <v>2740</v>
      </c>
      <c r="G2743" s="64">
        <f t="shared" ca="1" si="81"/>
        <v>1.9062470730096322E-2</v>
      </c>
    </row>
    <row r="2744" spans="6:7" x14ac:dyDescent="0.3">
      <c r="F2744" s="64">
        <v>2741</v>
      </c>
      <c r="G2744" s="64">
        <f t="shared" ca="1" si="81"/>
        <v>-8.4105414804728201E-3</v>
      </c>
    </row>
    <row r="2745" spans="6:7" x14ac:dyDescent="0.3">
      <c r="F2745" s="64">
        <v>2742</v>
      </c>
      <c r="G2745" s="64">
        <f t="shared" ca="1" si="81"/>
        <v>-1.6328496645399447E-2</v>
      </c>
    </row>
    <row r="2746" spans="6:7" x14ac:dyDescent="0.3">
      <c r="F2746" s="64">
        <v>2743</v>
      </c>
      <c r="G2746" s="64">
        <f t="shared" ca="1" si="81"/>
        <v>-7.6586055561177722E-3</v>
      </c>
    </row>
    <row r="2747" spans="6:7" x14ac:dyDescent="0.3">
      <c r="F2747" s="64">
        <v>2744</v>
      </c>
      <c r="G2747" s="64">
        <f t="shared" ca="1" si="81"/>
        <v>-1.0941984680691784E-2</v>
      </c>
    </row>
    <row r="2748" spans="6:7" x14ac:dyDescent="0.3">
      <c r="F2748" s="64">
        <v>2745</v>
      </c>
      <c r="G2748" s="64">
        <f t="shared" ca="1" si="81"/>
        <v>-1.3509874162647106E-2</v>
      </c>
    </row>
    <row r="2749" spans="6:7" x14ac:dyDescent="0.3">
      <c r="F2749" s="64">
        <v>2746</v>
      </c>
      <c r="G2749" s="64">
        <f t="shared" ca="1" si="81"/>
        <v>-8.9798592868729574E-3</v>
      </c>
    </row>
    <row r="2750" spans="6:7" x14ac:dyDescent="0.3">
      <c r="F2750" s="64">
        <v>2747</v>
      </c>
      <c r="G2750" s="64">
        <f t="shared" ca="1" si="81"/>
        <v>-1.8191483173102659E-2</v>
      </c>
    </row>
    <row r="2751" spans="6:7" x14ac:dyDescent="0.3">
      <c r="F2751" s="64">
        <v>2748</v>
      </c>
      <c r="G2751" s="64">
        <f t="shared" ca="1" si="81"/>
        <v>1.4984213451287453E-2</v>
      </c>
    </row>
    <row r="2752" spans="6:7" x14ac:dyDescent="0.3">
      <c r="F2752" s="64">
        <v>2749</v>
      </c>
      <c r="G2752" s="64">
        <f t="shared" ca="1" si="81"/>
        <v>4.8835251155861029E-3</v>
      </c>
    </row>
    <row r="2753" spans="6:7" x14ac:dyDescent="0.3">
      <c r="F2753" s="64">
        <v>2750</v>
      </c>
      <c r="G2753" s="64">
        <f t="shared" ca="1" si="81"/>
        <v>4.6275743050523711E-3</v>
      </c>
    </row>
    <row r="2754" spans="6:7" x14ac:dyDescent="0.3">
      <c r="F2754" s="64">
        <v>2751</v>
      </c>
      <c r="G2754" s="64">
        <f t="shared" ca="1" si="81"/>
        <v>-2.2981624802210468E-3</v>
      </c>
    </row>
    <row r="2755" spans="6:7" x14ac:dyDescent="0.3">
      <c r="F2755" s="64">
        <v>2752</v>
      </c>
      <c r="G2755" s="64">
        <f t="shared" ca="1" si="81"/>
        <v>-1.785742439973808E-2</v>
      </c>
    </row>
    <row r="2756" spans="6:7" x14ac:dyDescent="0.3">
      <c r="F2756" s="64">
        <v>2753</v>
      </c>
      <c r="G2756" s="64">
        <f t="shared" ca="1" si="81"/>
        <v>1.4358948707655561E-2</v>
      </c>
    </row>
    <row r="2757" spans="6:7" x14ac:dyDescent="0.3">
      <c r="F2757" s="64">
        <v>2754</v>
      </c>
      <c r="G2757" s="64">
        <f t="shared" ref="G2757:G2820" ca="1" si="82">_xlfn.NORM.INV(RAND(),K$6,K$7)</f>
        <v>4.2436971331664249E-2</v>
      </c>
    </row>
    <row r="2758" spans="6:7" x14ac:dyDescent="0.3">
      <c r="F2758" s="64">
        <v>2755</v>
      </c>
      <c r="G2758" s="64">
        <f t="shared" ca="1" si="82"/>
        <v>-3.9202932732097087E-2</v>
      </c>
    </row>
    <row r="2759" spans="6:7" x14ac:dyDescent="0.3">
      <c r="F2759" s="64">
        <v>2756</v>
      </c>
      <c r="G2759" s="64">
        <f t="shared" ca="1" si="82"/>
        <v>-2.9126874395651071E-2</v>
      </c>
    </row>
    <row r="2760" spans="6:7" x14ac:dyDescent="0.3">
      <c r="F2760" s="64">
        <v>2757</v>
      </c>
      <c r="G2760" s="64">
        <f t="shared" ca="1" si="82"/>
        <v>3.7545234893680978E-3</v>
      </c>
    </row>
    <row r="2761" spans="6:7" x14ac:dyDescent="0.3">
      <c r="F2761" s="64">
        <v>2758</v>
      </c>
      <c r="G2761" s="64">
        <f t="shared" ca="1" si="82"/>
        <v>1.4906732187750642E-2</v>
      </c>
    </row>
    <row r="2762" spans="6:7" x14ac:dyDescent="0.3">
      <c r="F2762" s="64">
        <v>2759</v>
      </c>
      <c r="G2762" s="64">
        <f t="shared" ca="1" si="82"/>
        <v>1.5564178703914055E-2</v>
      </c>
    </row>
    <row r="2763" spans="6:7" x14ac:dyDescent="0.3">
      <c r="F2763" s="64">
        <v>2760</v>
      </c>
      <c r="G2763" s="64">
        <f t="shared" ca="1" si="82"/>
        <v>-6.5040097685380525E-3</v>
      </c>
    </row>
    <row r="2764" spans="6:7" x14ac:dyDescent="0.3">
      <c r="F2764" s="64">
        <v>2761</v>
      </c>
      <c r="G2764" s="64">
        <f t="shared" ca="1" si="82"/>
        <v>-5.0727143763139105E-3</v>
      </c>
    </row>
    <row r="2765" spans="6:7" x14ac:dyDescent="0.3">
      <c r="F2765" s="64">
        <v>2762</v>
      </c>
      <c r="G2765" s="64">
        <f t="shared" ca="1" si="82"/>
        <v>1.4406894223507048E-2</v>
      </c>
    </row>
    <row r="2766" spans="6:7" x14ac:dyDescent="0.3">
      <c r="F2766" s="64">
        <v>2763</v>
      </c>
      <c r="G2766" s="64">
        <f t="shared" ca="1" si="82"/>
        <v>1.6527939935090254E-2</v>
      </c>
    </row>
    <row r="2767" spans="6:7" x14ac:dyDescent="0.3">
      <c r="F2767" s="64">
        <v>2764</v>
      </c>
      <c r="G2767" s="64">
        <f t="shared" ca="1" si="82"/>
        <v>-2.4924181667332811E-2</v>
      </c>
    </row>
    <row r="2768" spans="6:7" x14ac:dyDescent="0.3">
      <c r="F2768" s="64">
        <v>2765</v>
      </c>
      <c r="G2768" s="64">
        <f t="shared" ca="1" si="82"/>
        <v>8.7132625071592758E-3</v>
      </c>
    </row>
    <row r="2769" spans="6:7" x14ac:dyDescent="0.3">
      <c r="F2769" s="64">
        <v>2766</v>
      </c>
      <c r="G2769" s="64">
        <f t="shared" ca="1" si="82"/>
        <v>1.6995500560495619E-2</v>
      </c>
    </row>
    <row r="2770" spans="6:7" x14ac:dyDescent="0.3">
      <c r="F2770" s="64">
        <v>2767</v>
      </c>
      <c r="G2770" s="64">
        <f t="shared" ca="1" si="82"/>
        <v>1.9049324409384304E-2</v>
      </c>
    </row>
    <row r="2771" spans="6:7" x14ac:dyDescent="0.3">
      <c r="F2771" s="64">
        <v>2768</v>
      </c>
      <c r="G2771" s="64">
        <f t="shared" ca="1" si="82"/>
        <v>2.5507157341295141E-2</v>
      </c>
    </row>
    <row r="2772" spans="6:7" x14ac:dyDescent="0.3">
      <c r="F2772" s="64">
        <v>2769</v>
      </c>
      <c r="G2772" s="64">
        <f t="shared" ca="1" si="82"/>
        <v>3.2868520456802558E-3</v>
      </c>
    </row>
    <row r="2773" spans="6:7" x14ac:dyDescent="0.3">
      <c r="F2773" s="64">
        <v>2770</v>
      </c>
      <c r="G2773" s="64">
        <f t="shared" ca="1" si="82"/>
        <v>1.3436129712032442E-3</v>
      </c>
    </row>
    <row r="2774" spans="6:7" x14ac:dyDescent="0.3">
      <c r="F2774" s="64">
        <v>2771</v>
      </c>
      <c r="G2774" s="64">
        <f t="shared" ca="1" si="82"/>
        <v>5.416437375784771E-4</v>
      </c>
    </row>
    <row r="2775" spans="6:7" x14ac:dyDescent="0.3">
      <c r="F2775" s="64">
        <v>2772</v>
      </c>
      <c r="G2775" s="64">
        <f t="shared" ca="1" si="82"/>
        <v>2.2704949892728366E-2</v>
      </c>
    </row>
    <row r="2776" spans="6:7" x14ac:dyDescent="0.3">
      <c r="F2776" s="64">
        <v>2773</v>
      </c>
      <c r="G2776" s="64">
        <f t="shared" ca="1" si="82"/>
        <v>2.1789706988885223E-2</v>
      </c>
    </row>
    <row r="2777" spans="6:7" x14ac:dyDescent="0.3">
      <c r="F2777" s="64">
        <v>2774</v>
      </c>
      <c r="G2777" s="64">
        <f t="shared" ca="1" si="82"/>
        <v>6.3399853048683981E-3</v>
      </c>
    </row>
    <row r="2778" spans="6:7" x14ac:dyDescent="0.3">
      <c r="F2778" s="64">
        <v>2775</v>
      </c>
      <c r="G2778" s="64">
        <f t="shared" ca="1" si="82"/>
        <v>-1.0750599005719268E-2</v>
      </c>
    </row>
    <row r="2779" spans="6:7" x14ac:dyDescent="0.3">
      <c r="F2779" s="64">
        <v>2776</v>
      </c>
      <c r="G2779" s="64">
        <f t="shared" ca="1" si="82"/>
        <v>2.8719848473859012E-3</v>
      </c>
    </row>
    <row r="2780" spans="6:7" x14ac:dyDescent="0.3">
      <c r="F2780" s="64">
        <v>2777</v>
      </c>
      <c r="G2780" s="64">
        <f t="shared" ca="1" si="82"/>
        <v>5.0505628361041241E-3</v>
      </c>
    </row>
    <row r="2781" spans="6:7" x14ac:dyDescent="0.3">
      <c r="F2781" s="64">
        <v>2778</v>
      </c>
      <c r="G2781" s="64">
        <f t="shared" ca="1" si="82"/>
        <v>-3.1948359963401216E-2</v>
      </c>
    </row>
    <row r="2782" spans="6:7" x14ac:dyDescent="0.3">
      <c r="F2782" s="64">
        <v>2779</v>
      </c>
      <c r="G2782" s="64">
        <f t="shared" ca="1" si="82"/>
        <v>3.5261782547247308E-2</v>
      </c>
    </row>
    <row r="2783" spans="6:7" x14ac:dyDescent="0.3">
      <c r="F2783" s="64">
        <v>2780</v>
      </c>
      <c r="G2783" s="64">
        <f t="shared" ca="1" si="82"/>
        <v>2.945841487736648E-2</v>
      </c>
    </row>
    <row r="2784" spans="6:7" x14ac:dyDescent="0.3">
      <c r="F2784" s="64">
        <v>2781</v>
      </c>
      <c r="G2784" s="64">
        <f t="shared" ca="1" si="82"/>
        <v>1.4947659971245171E-2</v>
      </c>
    </row>
    <row r="2785" spans="6:7" x14ac:dyDescent="0.3">
      <c r="F2785" s="64">
        <v>2782</v>
      </c>
      <c r="G2785" s="64">
        <f t="shared" ca="1" si="82"/>
        <v>-3.6232136605866709E-2</v>
      </c>
    </row>
    <row r="2786" spans="6:7" x14ac:dyDescent="0.3">
      <c r="F2786" s="64">
        <v>2783</v>
      </c>
      <c r="G2786" s="64">
        <f t="shared" ca="1" si="82"/>
        <v>-1.2309233099520625E-2</v>
      </c>
    </row>
    <row r="2787" spans="6:7" x14ac:dyDescent="0.3">
      <c r="F2787" s="64">
        <v>2784</v>
      </c>
      <c r="G2787" s="64">
        <f t="shared" ca="1" si="82"/>
        <v>-2.4513318461708983E-2</v>
      </c>
    </row>
    <row r="2788" spans="6:7" x14ac:dyDescent="0.3">
      <c r="F2788" s="64">
        <v>2785</v>
      </c>
      <c r="G2788" s="64">
        <f t="shared" ca="1" si="82"/>
        <v>1.4824643032319236E-2</v>
      </c>
    </row>
    <row r="2789" spans="6:7" x14ac:dyDescent="0.3">
      <c r="F2789" s="64">
        <v>2786</v>
      </c>
      <c r="G2789" s="64">
        <f t="shared" ca="1" si="82"/>
        <v>1.2458791443995441E-2</v>
      </c>
    </row>
    <row r="2790" spans="6:7" x14ac:dyDescent="0.3">
      <c r="F2790" s="64">
        <v>2787</v>
      </c>
      <c r="G2790" s="64">
        <f t="shared" ca="1" si="82"/>
        <v>-1.9298387681161738E-2</v>
      </c>
    </row>
    <row r="2791" spans="6:7" x14ac:dyDescent="0.3">
      <c r="F2791" s="64">
        <v>2788</v>
      </c>
      <c r="G2791" s="64">
        <f t="shared" ca="1" si="82"/>
        <v>4.5926758189954748E-3</v>
      </c>
    </row>
    <row r="2792" spans="6:7" x14ac:dyDescent="0.3">
      <c r="F2792" s="64">
        <v>2789</v>
      </c>
      <c r="G2792" s="64">
        <f t="shared" ca="1" si="82"/>
        <v>-1.7534327930358411E-2</v>
      </c>
    </row>
    <row r="2793" spans="6:7" x14ac:dyDescent="0.3">
      <c r="F2793" s="64">
        <v>2790</v>
      </c>
      <c r="G2793" s="64">
        <f t="shared" ca="1" si="82"/>
        <v>-2.6293527979474443E-2</v>
      </c>
    </row>
    <row r="2794" spans="6:7" x14ac:dyDescent="0.3">
      <c r="F2794" s="64">
        <v>2791</v>
      </c>
      <c r="G2794" s="64">
        <f t="shared" ca="1" si="82"/>
        <v>3.0773354957393334E-2</v>
      </c>
    </row>
    <row r="2795" spans="6:7" x14ac:dyDescent="0.3">
      <c r="F2795" s="64">
        <v>2792</v>
      </c>
      <c r="G2795" s="64">
        <f t="shared" ca="1" si="82"/>
        <v>2.475664400959162E-2</v>
      </c>
    </row>
    <row r="2796" spans="6:7" x14ac:dyDescent="0.3">
      <c r="F2796" s="64">
        <v>2793</v>
      </c>
      <c r="G2796" s="64">
        <f t="shared" ca="1" si="82"/>
        <v>2.7957270608115474E-2</v>
      </c>
    </row>
    <row r="2797" spans="6:7" x14ac:dyDescent="0.3">
      <c r="F2797" s="64">
        <v>2794</v>
      </c>
      <c r="G2797" s="64">
        <f t="shared" ca="1" si="82"/>
        <v>-3.0210266147545212E-2</v>
      </c>
    </row>
    <row r="2798" spans="6:7" x14ac:dyDescent="0.3">
      <c r="F2798" s="64">
        <v>2795</v>
      </c>
      <c r="G2798" s="64">
        <f t="shared" ca="1" si="82"/>
        <v>2.3682706649828848E-2</v>
      </c>
    </row>
    <row r="2799" spans="6:7" x14ac:dyDescent="0.3">
      <c r="F2799" s="64">
        <v>2796</v>
      </c>
      <c r="G2799" s="64">
        <f t="shared" ca="1" si="82"/>
        <v>3.6425997850075734E-2</v>
      </c>
    </row>
    <row r="2800" spans="6:7" x14ac:dyDescent="0.3">
      <c r="F2800" s="64">
        <v>2797</v>
      </c>
      <c r="G2800" s="64">
        <f t="shared" ca="1" si="82"/>
        <v>-2.3198686386575462E-2</v>
      </c>
    </row>
    <row r="2801" spans="6:7" x14ac:dyDescent="0.3">
      <c r="F2801" s="64">
        <v>2798</v>
      </c>
      <c r="G2801" s="64">
        <f t="shared" ca="1" si="82"/>
        <v>-3.5733018807267071E-2</v>
      </c>
    </row>
    <row r="2802" spans="6:7" x14ac:dyDescent="0.3">
      <c r="F2802" s="64">
        <v>2799</v>
      </c>
      <c r="G2802" s="64">
        <f t="shared" ca="1" si="82"/>
        <v>-1.1192172212698697E-2</v>
      </c>
    </row>
    <row r="2803" spans="6:7" x14ac:dyDescent="0.3">
      <c r="F2803" s="64">
        <v>2800</v>
      </c>
      <c r="G2803" s="64">
        <f t="shared" ca="1" si="82"/>
        <v>1.50451313833724E-2</v>
      </c>
    </row>
    <row r="2804" spans="6:7" x14ac:dyDescent="0.3">
      <c r="F2804" s="64">
        <v>2801</v>
      </c>
      <c r="G2804" s="64">
        <f t="shared" ca="1" si="82"/>
        <v>-1.3086712539822173E-2</v>
      </c>
    </row>
    <row r="2805" spans="6:7" x14ac:dyDescent="0.3">
      <c r="F2805" s="64">
        <v>2802</v>
      </c>
      <c r="G2805" s="64">
        <f t="shared" ca="1" si="82"/>
        <v>3.4016852476058297E-3</v>
      </c>
    </row>
    <row r="2806" spans="6:7" x14ac:dyDescent="0.3">
      <c r="F2806" s="64">
        <v>2803</v>
      </c>
      <c r="G2806" s="64">
        <f t="shared" ca="1" si="82"/>
        <v>2.1569953896519959E-4</v>
      </c>
    </row>
    <row r="2807" spans="6:7" x14ac:dyDescent="0.3">
      <c r="F2807" s="64">
        <v>2804</v>
      </c>
      <c r="G2807" s="64">
        <f t="shared" ca="1" si="82"/>
        <v>5.8564675127763021E-3</v>
      </c>
    </row>
    <row r="2808" spans="6:7" x14ac:dyDescent="0.3">
      <c r="F2808" s="64">
        <v>2805</v>
      </c>
      <c r="G2808" s="64">
        <f t="shared" ca="1" si="82"/>
        <v>1.1724559431828447E-2</v>
      </c>
    </row>
    <row r="2809" spans="6:7" x14ac:dyDescent="0.3">
      <c r="F2809" s="64">
        <v>2806</v>
      </c>
      <c r="G2809" s="64">
        <f t="shared" ca="1" si="82"/>
        <v>2.3860087593174838E-2</v>
      </c>
    </row>
    <row r="2810" spans="6:7" x14ac:dyDescent="0.3">
      <c r="F2810" s="64">
        <v>2807</v>
      </c>
      <c r="G2810" s="64">
        <f t="shared" ca="1" si="82"/>
        <v>1.3522953585260894E-2</v>
      </c>
    </row>
    <row r="2811" spans="6:7" x14ac:dyDescent="0.3">
      <c r="F2811" s="64">
        <v>2808</v>
      </c>
      <c r="G2811" s="64">
        <f t="shared" ca="1" si="82"/>
        <v>3.6823316913430611E-2</v>
      </c>
    </row>
    <row r="2812" spans="6:7" x14ac:dyDescent="0.3">
      <c r="F2812" s="64">
        <v>2809</v>
      </c>
      <c r="G2812" s="64">
        <f t="shared" ca="1" si="82"/>
        <v>-2.2276274140222482E-3</v>
      </c>
    </row>
    <row r="2813" spans="6:7" x14ac:dyDescent="0.3">
      <c r="F2813" s="64">
        <v>2810</v>
      </c>
      <c r="G2813" s="64">
        <f t="shared" ca="1" si="82"/>
        <v>1.31782336690706E-2</v>
      </c>
    </row>
    <row r="2814" spans="6:7" x14ac:dyDescent="0.3">
      <c r="F2814" s="64">
        <v>2811</v>
      </c>
      <c r="G2814" s="64">
        <f t="shared" ca="1" si="82"/>
        <v>7.1493520565075524E-3</v>
      </c>
    </row>
    <row r="2815" spans="6:7" x14ac:dyDescent="0.3">
      <c r="F2815" s="64">
        <v>2812</v>
      </c>
      <c r="G2815" s="64">
        <f t="shared" ca="1" si="82"/>
        <v>-1.631353993252152E-2</v>
      </c>
    </row>
    <row r="2816" spans="6:7" x14ac:dyDescent="0.3">
      <c r="F2816" s="64">
        <v>2813</v>
      </c>
      <c r="G2816" s="64">
        <f t="shared" ca="1" si="82"/>
        <v>-2.0281142969768649E-2</v>
      </c>
    </row>
    <row r="2817" spans="6:7" x14ac:dyDescent="0.3">
      <c r="F2817" s="64">
        <v>2814</v>
      </c>
      <c r="G2817" s="64">
        <f t="shared" ca="1" si="82"/>
        <v>-1.3470820489216309E-2</v>
      </c>
    </row>
    <row r="2818" spans="6:7" x14ac:dyDescent="0.3">
      <c r="F2818" s="64">
        <v>2815</v>
      </c>
      <c r="G2818" s="64">
        <f t="shared" ca="1" si="82"/>
        <v>-5.3978788502228453E-3</v>
      </c>
    </row>
    <row r="2819" spans="6:7" x14ac:dyDescent="0.3">
      <c r="F2819" s="64">
        <v>2816</v>
      </c>
      <c r="G2819" s="64">
        <f t="shared" ca="1" si="82"/>
        <v>-2.5501080920191994E-2</v>
      </c>
    </row>
    <row r="2820" spans="6:7" x14ac:dyDescent="0.3">
      <c r="F2820" s="64">
        <v>2817</v>
      </c>
      <c r="G2820" s="64">
        <f t="shared" ca="1" si="82"/>
        <v>1.7542942812215391E-2</v>
      </c>
    </row>
    <row r="2821" spans="6:7" x14ac:dyDescent="0.3">
      <c r="F2821" s="64">
        <v>2818</v>
      </c>
      <c r="G2821" s="64">
        <f t="shared" ref="G2821:G2884" ca="1" si="83">_xlfn.NORM.INV(RAND(),K$6,K$7)</f>
        <v>-7.0487760424020829E-2</v>
      </c>
    </row>
    <row r="2822" spans="6:7" x14ac:dyDescent="0.3">
      <c r="F2822" s="64">
        <v>2819</v>
      </c>
      <c r="G2822" s="64">
        <f t="shared" ca="1" si="83"/>
        <v>3.4785364417752418E-3</v>
      </c>
    </row>
    <row r="2823" spans="6:7" x14ac:dyDescent="0.3">
      <c r="F2823" s="64">
        <v>2820</v>
      </c>
      <c r="G2823" s="64">
        <f t="shared" ca="1" si="83"/>
        <v>4.8078815233610593E-2</v>
      </c>
    </row>
    <row r="2824" spans="6:7" x14ac:dyDescent="0.3">
      <c r="F2824" s="64">
        <v>2821</v>
      </c>
      <c r="G2824" s="64">
        <f t="shared" ca="1" si="83"/>
        <v>-3.7075034431430275E-3</v>
      </c>
    </row>
    <row r="2825" spans="6:7" x14ac:dyDescent="0.3">
      <c r="F2825" s="64">
        <v>2822</v>
      </c>
      <c r="G2825" s="64">
        <f t="shared" ca="1" si="83"/>
        <v>-2.4264916425647154E-2</v>
      </c>
    </row>
    <row r="2826" spans="6:7" x14ac:dyDescent="0.3">
      <c r="F2826" s="64">
        <v>2823</v>
      </c>
      <c r="G2826" s="64">
        <f t="shared" ca="1" si="83"/>
        <v>-6.375742063129867E-3</v>
      </c>
    </row>
    <row r="2827" spans="6:7" x14ac:dyDescent="0.3">
      <c r="F2827" s="64">
        <v>2824</v>
      </c>
      <c r="G2827" s="64">
        <f t="shared" ca="1" si="83"/>
        <v>2.40320753395869E-2</v>
      </c>
    </row>
    <row r="2828" spans="6:7" x14ac:dyDescent="0.3">
      <c r="F2828" s="64">
        <v>2825</v>
      </c>
      <c r="G2828" s="64">
        <f t="shared" ca="1" si="83"/>
        <v>2.1701112210691452E-2</v>
      </c>
    </row>
    <row r="2829" spans="6:7" x14ac:dyDescent="0.3">
      <c r="F2829" s="64">
        <v>2826</v>
      </c>
      <c r="G2829" s="64">
        <f t="shared" ca="1" si="83"/>
        <v>-1.7557748988465037E-2</v>
      </c>
    </row>
    <row r="2830" spans="6:7" x14ac:dyDescent="0.3">
      <c r="F2830" s="64">
        <v>2827</v>
      </c>
      <c r="G2830" s="64">
        <f t="shared" ca="1" si="83"/>
        <v>4.520294229477151E-3</v>
      </c>
    </row>
    <row r="2831" spans="6:7" x14ac:dyDescent="0.3">
      <c r="F2831" s="64">
        <v>2828</v>
      </c>
      <c r="G2831" s="64">
        <f t="shared" ca="1" si="83"/>
        <v>2.5590831630869643E-2</v>
      </c>
    </row>
    <row r="2832" spans="6:7" x14ac:dyDescent="0.3">
      <c r="F2832" s="64">
        <v>2829</v>
      </c>
      <c r="G2832" s="64">
        <f t="shared" ca="1" si="83"/>
        <v>-2.2034739600572097E-2</v>
      </c>
    </row>
    <row r="2833" spans="6:7" x14ac:dyDescent="0.3">
      <c r="F2833" s="64">
        <v>2830</v>
      </c>
      <c r="G2833" s="64">
        <f t="shared" ca="1" si="83"/>
        <v>1.0527921195901553E-2</v>
      </c>
    </row>
    <row r="2834" spans="6:7" x14ac:dyDescent="0.3">
      <c r="F2834" s="64">
        <v>2831</v>
      </c>
      <c r="G2834" s="64">
        <f t="shared" ca="1" si="83"/>
        <v>2.4057686146789679E-2</v>
      </c>
    </row>
    <row r="2835" spans="6:7" x14ac:dyDescent="0.3">
      <c r="F2835" s="64">
        <v>2832</v>
      </c>
      <c r="G2835" s="64">
        <f t="shared" ca="1" si="83"/>
        <v>-3.620792781617202E-2</v>
      </c>
    </row>
    <row r="2836" spans="6:7" x14ac:dyDescent="0.3">
      <c r="F2836" s="64">
        <v>2833</v>
      </c>
      <c r="G2836" s="64">
        <f t="shared" ca="1" si="83"/>
        <v>-1.9250518132505237E-2</v>
      </c>
    </row>
    <row r="2837" spans="6:7" x14ac:dyDescent="0.3">
      <c r="F2837" s="64">
        <v>2834</v>
      </c>
      <c r="G2837" s="64">
        <f t="shared" ca="1" si="83"/>
        <v>3.898714569016215E-3</v>
      </c>
    </row>
    <row r="2838" spans="6:7" x14ac:dyDescent="0.3">
      <c r="F2838" s="64">
        <v>2835</v>
      </c>
      <c r="G2838" s="64">
        <f t="shared" ca="1" si="83"/>
        <v>-3.8114298290779877E-2</v>
      </c>
    </row>
    <row r="2839" spans="6:7" x14ac:dyDescent="0.3">
      <c r="F2839" s="64">
        <v>2836</v>
      </c>
      <c r="G2839" s="64">
        <f t="shared" ca="1" si="83"/>
        <v>-2.8352651377602553E-2</v>
      </c>
    </row>
    <row r="2840" spans="6:7" x14ac:dyDescent="0.3">
      <c r="F2840" s="64">
        <v>2837</v>
      </c>
      <c r="G2840" s="64">
        <f t="shared" ca="1" si="83"/>
        <v>-5.2336204708480676E-3</v>
      </c>
    </row>
    <row r="2841" spans="6:7" x14ac:dyDescent="0.3">
      <c r="F2841" s="64">
        <v>2838</v>
      </c>
      <c r="G2841" s="64">
        <f t="shared" ca="1" si="83"/>
        <v>-2.0129164195493506E-3</v>
      </c>
    </row>
    <row r="2842" spans="6:7" x14ac:dyDescent="0.3">
      <c r="F2842" s="64">
        <v>2839</v>
      </c>
      <c r="G2842" s="64">
        <f t="shared" ca="1" si="83"/>
        <v>2.0430940589969991E-2</v>
      </c>
    </row>
    <row r="2843" spans="6:7" x14ac:dyDescent="0.3">
      <c r="F2843" s="64">
        <v>2840</v>
      </c>
      <c r="G2843" s="64">
        <f t="shared" ca="1" si="83"/>
        <v>1.8885610524057538E-3</v>
      </c>
    </row>
    <row r="2844" spans="6:7" x14ac:dyDescent="0.3">
      <c r="F2844" s="64">
        <v>2841</v>
      </c>
      <c r="G2844" s="64">
        <f t="shared" ca="1" si="83"/>
        <v>1.3048531937454467E-2</v>
      </c>
    </row>
    <row r="2845" spans="6:7" x14ac:dyDescent="0.3">
      <c r="F2845" s="64">
        <v>2842</v>
      </c>
      <c r="G2845" s="64">
        <f t="shared" ca="1" si="83"/>
        <v>2.8443461897467194E-3</v>
      </c>
    </row>
    <row r="2846" spans="6:7" x14ac:dyDescent="0.3">
      <c r="F2846" s="64">
        <v>2843</v>
      </c>
      <c r="G2846" s="64">
        <f t="shared" ca="1" si="83"/>
        <v>-1.7894684534448146E-2</v>
      </c>
    </row>
    <row r="2847" spans="6:7" x14ac:dyDescent="0.3">
      <c r="F2847" s="64">
        <v>2844</v>
      </c>
      <c r="G2847" s="64">
        <f t="shared" ca="1" si="83"/>
        <v>1.5425425550018261E-2</v>
      </c>
    </row>
    <row r="2848" spans="6:7" x14ac:dyDescent="0.3">
      <c r="F2848" s="64">
        <v>2845</v>
      </c>
      <c r="G2848" s="64">
        <f t="shared" ca="1" si="83"/>
        <v>7.9241718979891386E-3</v>
      </c>
    </row>
    <row r="2849" spans="6:7" x14ac:dyDescent="0.3">
      <c r="F2849" s="64">
        <v>2846</v>
      </c>
      <c r="G2849" s="64">
        <f t="shared" ca="1" si="83"/>
        <v>1.1855767913584159E-3</v>
      </c>
    </row>
    <row r="2850" spans="6:7" x14ac:dyDescent="0.3">
      <c r="F2850" s="64">
        <v>2847</v>
      </c>
      <c r="G2850" s="64">
        <f t="shared" ca="1" si="83"/>
        <v>-1.0682851511308404E-2</v>
      </c>
    </row>
    <row r="2851" spans="6:7" x14ac:dyDescent="0.3">
      <c r="F2851" s="64">
        <v>2848</v>
      </c>
      <c r="G2851" s="64">
        <f t="shared" ca="1" si="83"/>
        <v>5.3503347768469262E-3</v>
      </c>
    </row>
    <row r="2852" spans="6:7" x14ac:dyDescent="0.3">
      <c r="F2852" s="64">
        <v>2849</v>
      </c>
      <c r="G2852" s="64">
        <f t="shared" ca="1" si="83"/>
        <v>1.2212476725241739E-3</v>
      </c>
    </row>
    <row r="2853" spans="6:7" x14ac:dyDescent="0.3">
      <c r="F2853" s="64">
        <v>2850</v>
      </c>
      <c r="G2853" s="64">
        <f t="shared" ca="1" si="83"/>
        <v>-3.891599682743796E-2</v>
      </c>
    </row>
    <row r="2854" spans="6:7" x14ac:dyDescent="0.3">
      <c r="F2854" s="64">
        <v>2851</v>
      </c>
      <c r="G2854" s="64">
        <f t="shared" ca="1" si="83"/>
        <v>-8.8759673049756006E-3</v>
      </c>
    </row>
    <row r="2855" spans="6:7" x14ac:dyDescent="0.3">
      <c r="F2855" s="64">
        <v>2852</v>
      </c>
      <c r="G2855" s="64">
        <f t="shared" ca="1" si="83"/>
        <v>-1.9507204237443634E-2</v>
      </c>
    </row>
    <row r="2856" spans="6:7" x14ac:dyDescent="0.3">
      <c r="F2856" s="64">
        <v>2853</v>
      </c>
      <c r="G2856" s="64">
        <f t="shared" ca="1" si="83"/>
        <v>-3.1915623013461625E-2</v>
      </c>
    </row>
    <row r="2857" spans="6:7" x14ac:dyDescent="0.3">
      <c r="F2857" s="64">
        <v>2854</v>
      </c>
      <c r="G2857" s="64">
        <f t="shared" ca="1" si="83"/>
        <v>9.9448151316391745E-3</v>
      </c>
    </row>
    <row r="2858" spans="6:7" x14ac:dyDescent="0.3">
      <c r="F2858" s="64">
        <v>2855</v>
      </c>
      <c r="G2858" s="64">
        <f t="shared" ca="1" si="83"/>
        <v>-3.9999339810253814E-3</v>
      </c>
    </row>
    <row r="2859" spans="6:7" x14ac:dyDescent="0.3">
      <c r="F2859" s="64">
        <v>2856</v>
      </c>
      <c r="G2859" s="64">
        <f t="shared" ca="1" si="83"/>
        <v>2.1041333791671245E-2</v>
      </c>
    </row>
    <row r="2860" spans="6:7" x14ac:dyDescent="0.3">
      <c r="F2860" s="64">
        <v>2857</v>
      </c>
      <c r="G2860" s="64">
        <f t="shared" ca="1" si="83"/>
        <v>-1.8215184021991683E-5</v>
      </c>
    </row>
    <row r="2861" spans="6:7" x14ac:dyDescent="0.3">
      <c r="F2861" s="64">
        <v>2858</v>
      </c>
      <c r="G2861" s="64">
        <f t="shared" ca="1" si="83"/>
        <v>-1.9938156222000557E-3</v>
      </c>
    </row>
    <row r="2862" spans="6:7" x14ac:dyDescent="0.3">
      <c r="F2862" s="64">
        <v>2859</v>
      </c>
      <c r="G2862" s="64">
        <f t="shared" ca="1" si="83"/>
        <v>-2.0672936043302094E-2</v>
      </c>
    </row>
    <row r="2863" spans="6:7" x14ac:dyDescent="0.3">
      <c r="F2863" s="64">
        <v>2860</v>
      </c>
      <c r="G2863" s="64">
        <f t="shared" ca="1" si="83"/>
        <v>1.1156645862172668E-2</v>
      </c>
    </row>
    <row r="2864" spans="6:7" x14ac:dyDescent="0.3">
      <c r="F2864" s="64">
        <v>2861</v>
      </c>
      <c r="G2864" s="64">
        <f t="shared" ca="1" si="83"/>
        <v>5.6954488173811242E-3</v>
      </c>
    </row>
    <row r="2865" spans="6:7" x14ac:dyDescent="0.3">
      <c r="F2865" s="64">
        <v>2862</v>
      </c>
      <c r="G2865" s="64">
        <f t="shared" ca="1" si="83"/>
        <v>3.8723687304191611E-3</v>
      </c>
    </row>
    <row r="2866" spans="6:7" x14ac:dyDescent="0.3">
      <c r="F2866" s="64">
        <v>2863</v>
      </c>
      <c r="G2866" s="64">
        <f t="shared" ca="1" si="83"/>
        <v>1.882624066063826E-2</v>
      </c>
    </row>
    <row r="2867" spans="6:7" x14ac:dyDescent="0.3">
      <c r="F2867" s="64">
        <v>2864</v>
      </c>
      <c r="G2867" s="64">
        <f t="shared" ca="1" si="83"/>
        <v>-4.4346894952691479E-2</v>
      </c>
    </row>
    <row r="2868" spans="6:7" x14ac:dyDescent="0.3">
      <c r="F2868" s="64">
        <v>2865</v>
      </c>
      <c r="G2868" s="64">
        <f t="shared" ca="1" si="83"/>
        <v>3.7326251427187485E-3</v>
      </c>
    </row>
    <row r="2869" spans="6:7" x14ac:dyDescent="0.3">
      <c r="F2869" s="64">
        <v>2866</v>
      </c>
      <c r="G2869" s="64">
        <f t="shared" ca="1" si="83"/>
        <v>-2.6789087018613462E-3</v>
      </c>
    </row>
    <row r="2870" spans="6:7" x14ac:dyDescent="0.3">
      <c r="F2870" s="64">
        <v>2867</v>
      </c>
      <c r="G2870" s="64">
        <f t="shared" ca="1" si="83"/>
        <v>2.6198204000847436E-2</v>
      </c>
    </row>
    <row r="2871" spans="6:7" x14ac:dyDescent="0.3">
      <c r="F2871" s="64">
        <v>2868</v>
      </c>
      <c r="G2871" s="64">
        <f t="shared" ca="1" si="83"/>
        <v>-1.1506508330416089E-2</v>
      </c>
    </row>
    <row r="2872" spans="6:7" x14ac:dyDescent="0.3">
      <c r="F2872" s="64">
        <v>2869</v>
      </c>
      <c r="G2872" s="64">
        <f t="shared" ca="1" si="83"/>
        <v>-3.8988074331164045E-2</v>
      </c>
    </row>
    <row r="2873" spans="6:7" x14ac:dyDescent="0.3">
      <c r="F2873" s="64">
        <v>2870</v>
      </c>
      <c r="G2873" s="64">
        <f t="shared" ca="1" si="83"/>
        <v>-4.1264603312776314E-3</v>
      </c>
    </row>
    <row r="2874" spans="6:7" x14ac:dyDescent="0.3">
      <c r="F2874" s="64">
        <v>2871</v>
      </c>
      <c r="G2874" s="64">
        <f t="shared" ca="1" si="83"/>
        <v>1.5725878260125167E-2</v>
      </c>
    </row>
    <row r="2875" spans="6:7" x14ac:dyDescent="0.3">
      <c r="F2875" s="64">
        <v>2872</v>
      </c>
      <c r="G2875" s="64">
        <f t="shared" ca="1" si="83"/>
        <v>3.544027669402071E-3</v>
      </c>
    </row>
    <row r="2876" spans="6:7" x14ac:dyDescent="0.3">
      <c r="F2876" s="64">
        <v>2873</v>
      </c>
      <c r="G2876" s="64">
        <f t="shared" ca="1" si="83"/>
        <v>-4.0670726377031547E-3</v>
      </c>
    </row>
    <row r="2877" spans="6:7" x14ac:dyDescent="0.3">
      <c r="F2877" s="64">
        <v>2874</v>
      </c>
      <c r="G2877" s="64">
        <f t="shared" ca="1" si="83"/>
        <v>5.0116335945416451E-2</v>
      </c>
    </row>
    <row r="2878" spans="6:7" x14ac:dyDescent="0.3">
      <c r="F2878" s="64">
        <v>2875</v>
      </c>
      <c r="G2878" s="64">
        <f t="shared" ca="1" si="83"/>
        <v>1.105766140508267E-2</v>
      </c>
    </row>
    <row r="2879" spans="6:7" x14ac:dyDescent="0.3">
      <c r="F2879" s="64">
        <v>2876</v>
      </c>
      <c r="G2879" s="64">
        <f t="shared" ca="1" si="83"/>
        <v>1.7422328386409202E-3</v>
      </c>
    </row>
    <row r="2880" spans="6:7" x14ac:dyDescent="0.3">
      <c r="F2880" s="64">
        <v>2877</v>
      </c>
      <c r="G2880" s="64">
        <f t="shared" ca="1" si="83"/>
        <v>6.7264493895247456E-3</v>
      </c>
    </row>
    <row r="2881" spans="6:7" x14ac:dyDescent="0.3">
      <c r="F2881" s="64">
        <v>2878</v>
      </c>
      <c r="G2881" s="64">
        <f t="shared" ca="1" si="83"/>
        <v>-1.170023732041869E-2</v>
      </c>
    </row>
    <row r="2882" spans="6:7" x14ac:dyDescent="0.3">
      <c r="F2882" s="64">
        <v>2879</v>
      </c>
      <c r="G2882" s="64">
        <f t="shared" ca="1" si="83"/>
        <v>-8.8060330667310074E-3</v>
      </c>
    </row>
    <row r="2883" spans="6:7" x14ac:dyDescent="0.3">
      <c r="F2883" s="64">
        <v>2880</v>
      </c>
      <c r="G2883" s="64">
        <f t="shared" ca="1" si="83"/>
        <v>1.4582341815242072E-2</v>
      </c>
    </row>
    <row r="2884" spans="6:7" x14ac:dyDescent="0.3">
      <c r="F2884" s="64">
        <v>2881</v>
      </c>
      <c r="G2884" s="64">
        <f t="shared" ca="1" si="83"/>
        <v>-1.0733247626100029E-2</v>
      </c>
    </row>
    <row r="2885" spans="6:7" x14ac:dyDescent="0.3">
      <c r="F2885" s="64">
        <v>2882</v>
      </c>
      <c r="G2885" s="64">
        <f t="shared" ref="G2885:G2948" ca="1" si="84">_xlfn.NORM.INV(RAND(),K$6,K$7)</f>
        <v>-1.9294544278098701E-2</v>
      </c>
    </row>
    <row r="2886" spans="6:7" x14ac:dyDescent="0.3">
      <c r="F2886" s="64">
        <v>2883</v>
      </c>
      <c r="G2886" s="64">
        <f t="shared" ca="1" si="84"/>
        <v>-2.2213521980173762E-2</v>
      </c>
    </row>
    <row r="2887" spans="6:7" x14ac:dyDescent="0.3">
      <c r="F2887" s="64">
        <v>2884</v>
      </c>
      <c r="G2887" s="64">
        <f t="shared" ca="1" si="84"/>
        <v>2.4669957023478869E-3</v>
      </c>
    </row>
    <row r="2888" spans="6:7" x14ac:dyDescent="0.3">
      <c r="F2888" s="64">
        <v>2885</v>
      </c>
      <c r="G2888" s="64">
        <f t="shared" ca="1" si="84"/>
        <v>-2.7484330469030094E-2</v>
      </c>
    </row>
    <row r="2889" spans="6:7" x14ac:dyDescent="0.3">
      <c r="F2889" s="64">
        <v>2886</v>
      </c>
      <c r="G2889" s="64">
        <f t="shared" ca="1" si="84"/>
        <v>4.9576549213289106E-2</v>
      </c>
    </row>
    <row r="2890" spans="6:7" x14ac:dyDescent="0.3">
      <c r="F2890" s="64">
        <v>2887</v>
      </c>
      <c r="G2890" s="64">
        <f t="shared" ca="1" si="84"/>
        <v>5.1417668687340809E-2</v>
      </c>
    </row>
    <row r="2891" spans="6:7" x14ac:dyDescent="0.3">
      <c r="F2891" s="64">
        <v>2888</v>
      </c>
      <c r="G2891" s="64">
        <f t="shared" ca="1" si="84"/>
        <v>-4.9122369423179402E-3</v>
      </c>
    </row>
    <row r="2892" spans="6:7" x14ac:dyDescent="0.3">
      <c r="F2892" s="64">
        <v>2889</v>
      </c>
      <c r="G2892" s="64">
        <f t="shared" ca="1" si="84"/>
        <v>-3.9191691595486439E-2</v>
      </c>
    </row>
    <row r="2893" spans="6:7" x14ac:dyDescent="0.3">
      <c r="F2893" s="64">
        <v>2890</v>
      </c>
      <c r="G2893" s="64">
        <f t="shared" ca="1" si="84"/>
        <v>-2.1106089213969809E-2</v>
      </c>
    </row>
    <row r="2894" spans="6:7" x14ac:dyDescent="0.3">
      <c r="F2894" s="64">
        <v>2891</v>
      </c>
      <c r="G2894" s="64">
        <f t="shared" ca="1" si="84"/>
        <v>1.2650087519060051E-2</v>
      </c>
    </row>
    <row r="2895" spans="6:7" x14ac:dyDescent="0.3">
      <c r="F2895" s="64">
        <v>2892</v>
      </c>
      <c r="G2895" s="64">
        <f t="shared" ca="1" si="84"/>
        <v>3.5043567415159058E-2</v>
      </c>
    </row>
    <row r="2896" spans="6:7" x14ac:dyDescent="0.3">
      <c r="F2896" s="64">
        <v>2893</v>
      </c>
      <c r="G2896" s="64">
        <f t="shared" ca="1" si="84"/>
        <v>2.7301298589195742E-2</v>
      </c>
    </row>
    <row r="2897" spans="6:7" x14ac:dyDescent="0.3">
      <c r="F2897" s="64">
        <v>2894</v>
      </c>
      <c r="G2897" s="64">
        <f t="shared" ca="1" si="84"/>
        <v>9.8338227823212207E-3</v>
      </c>
    </row>
    <row r="2898" spans="6:7" x14ac:dyDescent="0.3">
      <c r="F2898" s="64">
        <v>2895</v>
      </c>
      <c r="G2898" s="64">
        <f t="shared" ca="1" si="84"/>
        <v>-1.9894540118360407E-2</v>
      </c>
    </row>
    <row r="2899" spans="6:7" x14ac:dyDescent="0.3">
      <c r="F2899" s="64">
        <v>2896</v>
      </c>
      <c r="G2899" s="64">
        <f t="shared" ca="1" si="84"/>
        <v>4.5595828976609538E-3</v>
      </c>
    </row>
    <row r="2900" spans="6:7" x14ac:dyDescent="0.3">
      <c r="F2900" s="64">
        <v>2897</v>
      </c>
      <c r="G2900" s="64">
        <f t="shared" ca="1" si="84"/>
        <v>3.1111015195463353E-2</v>
      </c>
    </row>
    <row r="2901" spans="6:7" x14ac:dyDescent="0.3">
      <c r="F2901" s="64">
        <v>2898</v>
      </c>
      <c r="G2901" s="64">
        <f t="shared" ca="1" si="84"/>
        <v>-1.3364174956038909E-2</v>
      </c>
    </row>
    <row r="2902" spans="6:7" x14ac:dyDescent="0.3">
      <c r="F2902" s="64">
        <v>2899</v>
      </c>
      <c r="G2902" s="64">
        <f t="shared" ca="1" si="84"/>
        <v>7.9814585762152529E-3</v>
      </c>
    </row>
    <row r="2903" spans="6:7" x14ac:dyDescent="0.3">
      <c r="F2903" s="64">
        <v>2900</v>
      </c>
      <c r="G2903" s="64">
        <f t="shared" ca="1" si="84"/>
        <v>-1.0484332750604206E-2</v>
      </c>
    </row>
    <row r="2904" spans="6:7" x14ac:dyDescent="0.3">
      <c r="F2904" s="64">
        <v>2901</v>
      </c>
      <c r="G2904" s="64">
        <f t="shared" ca="1" si="84"/>
        <v>4.44755427581187E-2</v>
      </c>
    </row>
    <row r="2905" spans="6:7" x14ac:dyDescent="0.3">
      <c r="F2905" s="64">
        <v>2902</v>
      </c>
      <c r="G2905" s="64">
        <f t="shared" ca="1" si="84"/>
        <v>2.3872147205342441E-2</v>
      </c>
    </row>
    <row r="2906" spans="6:7" x14ac:dyDescent="0.3">
      <c r="F2906" s="64">
        <v>2903</v>
      </c>
      <c r="G2906" s="64">
        <f t="shared" ca="1" si="84"/>
        <v>-2.9172457525737457E-3</v>
      </c>
    </row>
    <row r="2907" spans="6:7" x14ac:dyDescent="0.3">
      <c r="F2907" s="64">
        <v>2904</v>
      </c>
      <c r="G2907" s="64">
        <f t="shared" ca="1" si="84"/>
        <v>1.6925164114678655E-2</v>
      </c>
    </row>
    <row r="2908" spans="6:7" x14ac:dyDescent="0.3">
      <c r="F2908" s="64">
        <v>2905</v>
      </c>
      <c r="G2908" s="64">
        <f t="shared" ca="1" si="84"/>
        <v>-8.2878390628749066E-3</v>
      </c>
    </row>
    <row r="2909" spans="6:7" x14ac:dyDescent="0.3">
      <c r="F2909" s="64">
        <v>2906</v>
      </c>
      <c r="G2909" s="64">
        <f t="shared" ca="1" si="84"/>
        <v>-2.6350647871026922E-2</v>
      </c>
    </row>
    <row r="2910" spans="6:7" x14ac:dyDescent="0.3">
      <c r="F2910" s="64">
        <v>2907</v>
      </c>
      <c r="G2910" s="64">
        <f t="shared" ca="1" si="84"/>
        <v>1.229151679534732E-2</v>
      </c>
    </row>
    <row r="2911" spans="6:7" x14ac:dyDescent="0.3">
      <c r="F2911" s="64">
        <v>2908</v>
      </c>
      <c r="G2911" s="64">
        <f t="shared" ca="1" si="84"/>
        <v>3.5048116082829709E-3</v>
      </c>
    </row>
    <row r="2912" spans="6:7" x14ac:dyDescent="0.3">
      <c r="F2912" s="64">
        <v>2909</v>
      </c>
      <c r="G2912" s="64">
        <f t="shared" ca="1" si="84"/>
        <v>1.8316917296348129E-2</v>
      </c>
    </row>
    <row r="2913" spans="6:7" x14ac:dyDescent="0.3">
      <c r="F2913" s="64">
        <v>2910</v>
      </c>
      <c r="G2913" s="64">
        <f t="shared" ca="1" si="84"/>
        <v>-1.2027702265684477E-3</v>
      </c>
    </row>
    <row r="2914" spans="6:7" x14ac:dyDescent="0.3">
      <c r="F2914" s="64">
        <v>2911</v>
      </c>
      <c r="G2914" s="64">
        <f t="shared" ca="1" si="84"/>
        <v>4.3831548339143111E-3</v>
      </c>
    </row>
    <row r="2915" spans="6:7" x14ac:dyDescent="0.3">
      <c r="F2915" s="64">
        <v>2912</v>
      </c>
      <c r="G2915" s="64">
        <f t="shared" ca="1" si="84"/>
        <v>1.7620879097925972E-2</v>
      </c>
    </row>
    <row r="2916" spans="6:7" x14ac:dyDescent="0.3">
      <c r="F2916" s="64">
        <v>2913</v>
      </c>
      <c r="G2916" s="64">
        <f t="shared" ca="1" si="84"/>
        <v>-5.5698204633109353E-3</v>
      </c>
    </row>
    <row r="2917" spans="6:7" x14ac:dyDescent="0.3">
      <c r="F2917" s="64">
        <v>2914</v>
      </c>
      <c r="G2917" s="64">
        <f t="shared" ca="1" si="84"/>
        <v>-1.7068390964791132E-2</v>
      </c>
    </row>
    <row r="2918" spans="6:7" x14ac:dyDescent="0.3">
      <c r="F2918" s="64">
        <v>2915</v>
      </c>
      <c r="G2918" s="64">
        <f t="shared" ca="1" si="84"/>
        <v>1.8764877214530268E-2</v>
      </c>
    </row>
    <row r="2919" spans="6:7" x14ac:dyDescent="0.3">
      <c r="F2919" s="64">
        <v>2916</v>
      </c>
      <c r="G2919" s="64">
        <f t="shared" ca="1" si="84"/>
        <v>-3.2769566887655682E-3</v>
      </c>
    </row>
    <row r="2920" spans="6:7" x14ac:dyDescent="0.3">
      <c r="F2920" s="64">
        <v>2917</v>
      </c>
      <c r="G2920" s="64">
        <f t="shared" ca="1" si="84"/>
        <v>3.1379309388115485E-2</v>
      </c>
    </row>
    <row r="2921" spans="6:7" x14ac:dyDescent="0.3">
      <c r="F2921" s="64">
        <v>2918</v>
      </c>
      <c r="G2921" s="64">
        <f t="shared" ca="1" si="84"/>
        <v>-1.2307268232975089E-3</v>
      </c>
    </row>
    <row r="2922" spans="6:7" x14ac:dyDescent="0.3">
      <c r="F2922" s="64">
        <v>2919</v>
      </c>
      <c r="G2922" s="64">
        <f t="shared" ca="1" si="84"/>
        <v>-1.7727701237931219E-3</v>
      </c>
    </row>
    <row r="2923" spans="6:7" x14ac:dyDescent="0.3">
      <c r="F2923" s="64">
        <v>2920</v>
      </c>
      <c r="G2923" s="64">
        <f t="shared" ca="1" si="84"/>
        <v>-2.1624313852119464E-2</v>
      </c>
    </row>
    <row r="2924" spans="6:7" x14ac:dyDescent="0.3">
      <c r="F2924" s="64">
        <v>2921</v>
      </c>
      <c r="G2924" s="64">
        <f t="shared" ca="1" si="84"/>
        <v>-2.6563672487833243E-2</v>
      </c>
    </row>
    <row r="2925" spans="6:7" x14ac:dyDescent="0.3">
      <c r="F2925" s="64">
        <v>2922</v>
      </c>
      <c r="G2925" s="64">
        <f t="shared" ca="1" si="84"/>
        <v>-1.3423221527062094E-2</v>
      </c>
    </row>
    <row r="2926" spans="6:7" x14ac:dyDescent="0.3">
      <c r="F2926" s="64">
        <v>2923</v>
      </c>
      <c r="G2926" s="64">
        <f t="shared" ca="1" si="84"/>
        <v>-1.8778441216114973E-2</v>
      </c>
    </row>
    <row r="2927" spans="6:7" x14ac:dyDescent="0.3">
      <c r="F2927" s="64">
        <v>2924</v>
      </c>
      <c r="G2927" s="64">
        <f t="shared" ca="1" si="84"/>
        <v>3.3782140412626002E-3</v>
      </c>
    </row>
    <row r="2928" spans="6:7" x14ac:dyDescent="0.3">
      <c r="F2928" s="64">
        <v>2925</v>
      </c>
      <c r="G2928" s="64">
        <f t="shared" ca="1" si="84"/>
        <v>1.5505137083066381E-2</v>
      </c>
    </row>
    <row r="2929" spans="6:7" x14ac:dyDescent="0.3">
      <c r="F2929" s="64">
        <v>2926</v>
      </c>
      <c r="G2929" s="64">
        <f t="shared" ca="1" si="84"/>
        <v>-3.288799127566854E-3</v>
      </c>
    </row>
    <row r="2930" spans="6:7" x14ac:dyDescent="0.3">
      <c r="F2930" s="64">
        <v>2927</v>
      </c>
      <c r="G2930" s="64">
        <f t="shared" ca="1" si="84"/>
        <v>1.8330283372010148E-2</v>
      </c>
    </row>
    <row r="2931" spans="6:7" x14ac:dyDescent="0.3">
      <c r="F2931" s="64">
        <v>2928</v>
      </c>
      <c r="G2931" s="64">
        <f t="shared" ca="1" si="84"/>
        <v>-3.6891654348067049E-3</v>
      </c>
    </row>
    <row r="2932" spans="6:7" x14ac:dyDescent="0.3">
      <c r="F2932" s="64">
        <v>2929</v>
      </c>
      <c r="G2932" s="64">
        <f t="shared" ca="1" si="84"/>
        <v>-3.6840742990487459E-2</v>
      </c>
    </row>
    <row r="2933" spans="6:7" x14ac:dyDescent="0.3">
      <c r="F2933" s="64">
        <v>2930</v>
      </c>
      <c r="G2933" s="64">
        <f t="shared" ca="1" si="84"/>
        <v>-3.1088249419787412E-2</v>
      </c>
    </row>
    <row r="2934" spans="6:7" x14ac:dyDescent="0.3">
      <c r="F2934" s="64">
        <v>2931</v>
      </c>
      <c r="G2934" s="64">
        <f t="shared" ca="1" si="84"/>
        <v>-2.2711921039952565E-2</v>
      </c>
    </row>
    <row r="2935" spans="6:7" x14ac:dyDescent="0.3">
      <c r="F2935" s="64">
        <v>2932</v>
      </c>
      <c r="G2935" s="64">
        <f t="shared" ca="1" si="84"/>
        <v>8.2671932966583029E-4</v>
      </c>
    </row>
    <row r="2936" spans="6:7" x14ac:dyDescent="0.3">
      <c r="F2936" s="64">
        <v>2933</v>
      </c>
      <c r="G2936" s="64">
        <f t="shared" ca="1" si="84"/>
        <v>-1.7519039169037784E-2</v>
      </c>
    </row>
    <row r="2937" spans="6:7" x14ac:dyDescent="0.3">
      <c r="F2937" s="64">
        <v>2934</v>
      </c>
      <c r="G2937" s="64">
        <f t="shared" ca="1" si="84"/>
        <v>-2.7073157501832791E-2</v>
      </c>
    </row>
    <row r="2938" spans="6:7" x14ac:dyDescent="0.3">
      <c r="F2938" s="64">
        <v>2935</v>
      </c>
      <c r="G2938" s="64">
        <f t="shared" ca="1" si="84"/>
        <v>-4.8326017826976642E-3</v>
      </c>
    </row>
    <row r="2939" spans="6:7" x14ac:dyDescent="0.3">
      <c r="F2939" s="64">
        <v>2936</v>
      </c>
      <c r="G2939" s="64">
        <f t="shared" ca="1" si="84"/>
        <v>7.0713930307233159E-3</v>
      </c>
    </row>
    <row r="2940" spans="6:7" x14ac:dyDescent="0.3">
      <c r="F2940" s="64">
        <v>2937</v>
      </c>
      <c r="G2940" s="64">
        <f t="shared" ca="1" si="84"/>
        <v>1.974667147379551E-2</v>
      </c>
    </row>
    <row r="2941" spans="6:7" x14ac:dyDescent="0.3">
      <c r="F2941" s="64">
        <v>2938</v>
      </c>
      <c r="G2941" s="64">
        <f t="shared" ca="1" si="84"/>
        <v>-6.3950719091844877E-3</v>
      </c>
    </row>
    <row r="2942" spans="6:7" x14ac:dyDescent="0.3">
      <c r="F2942" s="64">
        <v>2939</v>
      </c>
      <c r="G2942" s="64">
        <f t="shared" ca="1" si="84"/>
        <v>-3.250929917356582E-2</v>
      </c>
    </row>
    <row r="2943" spans="6:7" x14ac:dyDescent="0.3">
      <c r="F2943" s="64">
        <v>2940</v>
      </c>
      <c r="G2943" s="64">
        <f t="shared" ca="1" si="84"/>
        <v>1.7033457594827786E-2</v>
      </c>
    </row>
    <row r="2944" spans="6:7" x14ac:dyDescent="0.3">
      <c r="F2944" s="64">
        <v>2941</v>
      </c>
      <c r="G2944" s="64">
        <f t="shared" ca="1" si="84"/>
        <v>-4.2594854356126699E-2</v>
      </c>
    </row>
    <row r="2945" spans="6:7" x14ac:dyDescent="0.3">
      <c r="F2945" s="64">
        <v>2942</v>
      </c>
      <c r="G2945" s="64">
        <f t="shared" ca="1" si="84"/>
        <v>-2.3245839671727296E-2</v>
      </c>
    </row>
    <row r="2946" spans="6:7" x14ac:dyDescent="0.3">
      <c r="F2946" s="64">
        <v>2943</v>
      </c>
      <c r="G2946" s="64">
        <f t="shared" ca="1" si="84"/>
        <v>-5.5578911308222208E-3</v>
      </c>
    </row>
    <row r="2947" spans="6:7" x14ac:dyDescent="0.3">
      <c r="F2947" s="64">
        <v>2944</v>
      </c>
      <c r="G2947" s="64">
        <f t="shared" ca="1" si="84"/>
        <v>-1.8010530571392354E-2</v>
      </c>
    </row>
    <row r="2948" spans="6:7" x14ac:dyDescent="0.3">
      <c r="F2948" s="64">
        <v>2945</v>
      </c>
      <c r="G2948" s="64">
        <f t="shared" ca="1" si="84"/>
        <v>2.4274452141217748E-2</v>
      </c>
    </row>
    <row r="2949" spans="6:7" x14ac:dyDescent="0.3">
      <c r="F2949" s="64">
        <v>2946</v>
      </c>
      <c r="G2949" s="64">
        <f t="shared" ref="G2949:G3012" ca="1" si="85">_xlfn.NORM.INV(RAND(),K$6,K$7)</f>
        <v>-3.7065158624670885E-2</v>
      </c>
    </row>
    <row r="2950" spans="6:7" x14ac:dyDescent="0.3">
      <c r="F2950" s="64">
        <v>2947</v>
      </c>
      <c r="G2950" s="64">
        <f t="shared" ca="1" si="85"/>
        <v>-1.5520971562281475E-2</v>
      </c>
    </row>
    <row r="2951" spans="6:7" x14ac:dyDescent="0.3">
      <c r="F2951" s="64">
        <v>2948</v>
      </c>
      <c r="G2951" s="64">
        <f t="shared" ca="1" si="85"/>
        <v>1.7492424013219966E-2</v>
      </c>
    </row>
    <row r="2952" spans="6:7" x14ac:dyDescent="0.3">
      <c r="F2952" s="64">
        <v>2949</v>
      </c>
      <c r="G2952" s="64">
        <f t="shared" ca="1" si="85"/>
        <v>4.5521635794685891E-3</v>
      </c>
    </row>
    <row r="2953" spans="6:7" x14ac:dyDescent="0.3">
      <c r="F2953" s="64">
        <v>2950</v>
      </c>
      <c r="G2953" s="64">
        <f t="shared" ca="1" si="85"/>
        <v>1.6580148278511918E-2</v>
      </c>
    </row>
    <row r="2954" spans="6:7" x14ac:dyDescent="0.3">
      <c r="F2954" s="64">
        <v>2951</v>
      </c>
      <c r="G2954" s="64">
        <f t="shared" ca="1" si="85"/>
        <v>-7.2041524045669842E-3</v>
      </c>
    </row>
    <row r="2955" spans="6:7" x14ac:dyDescent="0.3">
      <c r="F2955" s="64">
        <v>2952</v>
      </c>
      <c r="G2955" s="64">
        <f t="shared" ca="1" si="85"/>
        <v>1.2119563396557136E-2</v>
      </c>
    </row>
    <row r="2956" spans="6:7" x14ac:dyDescent="0.3">
      <c r="F2956" s="64">
        <v>2953</v>
      </c>
      <c r="G2956" s="64">
        <f t="shared" ca="1" si="85"/>
        <v>2.7949533523287805E-3</v>
      </c>
    </row>
    <row r="2957" spans="6:7" x14ac:dyDescent="0.3">
      <c r="F2957" s="64">
        <v>2954</v>
      </c>
      <c r="G2957" s="64">
        <f t="shared" ca="1" si="85"/>
        <v>-2.0392650689096624E-3</v>
      </c>
    </row>
    <row r="2958" spans="6:7" x14ac:dyDescent="0.3">
      <c r="F2958" s="64">
        <v>2955</v>
      </c>
      <c r="G2958" s="64">
        <f t="shared" ca="1" si="85"/>
        <v>2.5053228470902092E-2</v>
      </c>
    </row>
    <row r="2959" spans="6:7" x14ac:dyDescent="0.3">
      <c r="F2959" s="64">
        <v>2956</v>
      </c>
      <c r="G2959" s="64">
        <f t="shared" ca="1" si="85"/>
        <v>6.6194382823654284E-4</v>
      </c>
    </row>
    <row r="2960" spans="6:7" x14ac:dyDescent="0.3">
      <c r="F2960" s="64">
        <v>2957</v>
      </c>
      <c r="G2960" s="64">
        <f t="shared" ca="1" si="85"/>
        <v>3.7463522086990169E-3</v>
      </c>
    </row>
    <row r="2961" spans="6:7" x14ac:dyDescent="0.3">
      <c r="F2961" s="64">
        <v>2958</v>
      </c>
      <c r="G2961" s="64">
        <f t="shared" ca="1" si="85"/>
        <v>3.3889462177853581E-2</v>
      </c>
    </row>
    <row r="2962" spans="6:7" x14ac:dyDescent="0.3">
      <c r="F2962" s="64">
        <v>2959</v>
      </c>
      <c r="G2962" s="64">
        <f t="shared" ca="1" si="85"/>
        <v>2.3899705758233192E-2</v>
      </c>
    </row>
    <row r="2963" spans="6:7" x14ac:dyDescent="0.3">
      <c r="F2963" s="64">
        <v>2960</v>
      </c>
      <c r="G2963" s="64">
        <f t="shared" ca="1" si="85"/>
        <v>-4.8783480354802466E-3</v>
      </c>
    </row>
    <row r="2964" spans="6:7" x14ac:dyDescent="0.3">
      <c r="F2964" s="64">
        <v>2961</v>
      </c>
      <c r="G2964" s="64">
        <f t="shared" ca="1" si="85"/>
        <v>-3.6754039846530924E-3</v>
      </c>
    </row>
    <row r="2965" spans="6:7" x14ac:dyDescent="0.3">
      <c r="F2965" s="64">
        <v>2962</v>
      </c>
      <c r="G2965" s="64">
        <f t="shared" ca="1" si="85"/>
        <v>-4.5552472125382311E-3</v>
      </c>
    </row>
    <row r="2966" spans="6:7" x14ac:dyDescent="0.3">
      <c r="F2966" s="64">
        <v>2963</v>
      </c>
      <c r="G2966" s="64">
        <f t="shared" ca="1" si="85"/>
        <v>-1.8943812608143804E-2</v>
      </c>
    </row>
    <row r="2967" spans="6:7" x14ac:dyDescent="0.3">
      <c r="F2967" s="64">
        <v>2964</v>
      </c>
      <c r="G2967" s="64">
        <f t="shared" ca="1" si="85"/>
        <v>4.9620349572059453E-4</v>
      </c>
    </row>
    <row r="2968" spans="6:7" x14ac:dyDescent="0.3">
      <c r="F2968" s="64">
        <v>2965</v>
      </c>
      <c r="G2968" s="64">
        <f t="shared" ca="1" si="85"/>
        <v>2.4818841430874733E-2</v>
      </c>
    </row>
    <row r="2969" spans="6:7" x14ac:dyDescent="0.3">
      <c r="F2969" s="64">
        <v>2966</v>
      </c>
      <c r="G2969" s="64">
        <f t="shared" ca="1" si="85"/>
        <v>-2.8699772600387696E-2</v>
      </c>
    </row>
    <row r="2970" spans="6:7" x14ac:dyDescent="0.3">
      <c r="F2970" s="64">
        <v>2967</v>
      </c>
      <c r="G2970" s="64">
        <f t="shared" ca="1" si="85"/>
        <v>-4.383794819278191E-2</v>
      </c>
    </row>
    <row r="2971" spans="6:7" x14ac:dyDescent="0.3">
      <c r="F2971" s="64">
        <v>2968</v>
      </c>
      <c r="G2971" s="64">
        <f t="shared" ca="1" si="85"/>
        <v>3.1484584169735909E-2</v>
      </c>
    </row>
    <row r="2972" spans="6:7" x14ac:dyDescent="0.3">
      <c r="F2972" s="64">
        <v>2969</v>
      </c>
      <c r="G2972" s="64">
        <f t="shared" ca="1" si="85"/>
        <v>-1.4323500974649277E-2</v>
      </c>
    </row>
    <row r="2973" spans="6:7" x14ac:dyDescent="0.3">
      <c r="F2973" s="64">
        <v>2970</v>
      </c>
      <c r="G2973" s="64">
        <f t="shared" ca="1" si="85"/>
        <v>-2.3678989198201578E-2</v>
      </c>
    </row>
    <row r="2974" spans="6:7" x14ac:dyDescent="0.3">
      <c r="F2974" s="64">
        <v>2971</v>
      </c>
      <c r="G2974" s="64">
        <f t="shared" ca="1" si="85"/>
        <v>7.8170284993150712E-4</v>
      </c>
    </row>
    <row r="2975" spans="6:7" x14ac:dyDescent="0.3">
      <c r="F2975" s="64">
        <v>2972</v>
      </c>
      <c r="G2975" s="64">
        <f t="shared" ca="1" si="85"/>
        <v>5.4914507821149205E-2</v>
      </c>
    </row>
    <row r="2976" spans="6:7" x14ac:dyDescent="0.3">
      <c r="F2976" s="64">
        <v>2973</v>
      </c>
      <c r="G2976" s="64">
        <f t="shared" ca="1" si="85"/>
        <v>-1.7440735612486408E-2</v>
      </c>
    </row>
    <row r="2977" spans="6:7" x14ac:dyDescent="0.3">
      <c r="F2977" s="64">
        <v>2974</v>
      </c>
      <c r="G2977" s="64">
        <f t="shared" ca="1" si="85"/>
        <v>1.2432887055818754E-2</v>
      </c>
    </row>
    <row r="2978" spans="6:7" x14ac:dyDescent="0.3">
      <c r="F2978" s="64">
        <v>2975</v>
      </c>
      <c r="G2978" s="64">
        <f t="shared" ca="1" si="85"/>
        <v>4.9434366205126515E-3</v>
      </c>
    </row>
    <row r="2979" spans="6:7" x14ac:dyDescent="0.3">
      <c r="F2979" s="64">
        <v>2976</v>
      </c>
      <c r="G2979" s="64">
        <f t="shared" ca="1" si="85"/>
        <v>-2.1908739306021309E-2</v>
      </c>
    </row>
    <row r="2980" spans="6:7" x14ac:dyDescent="0.3">
      <c r="F2980" s="64">
        <v>2977</v>
      </c>
      <c r="G2980" s="64">
        <f t="shared" ca="1" si="85"/>
        <v>-3.8487451665943612E-2</v>
      </c>
    </row>
    <row r="2981" spans="6:7" x14ac:dyDescent="0.3">
      <c r="F2981" s="64">
        <v>2978</v>
      </c>
      <c r="G2981" s="64">
        <f t="shared" ca="1" si="85"/>
        <v>2.3123268867461057E-2</v>
      </c>
    </row>
    <row r="2982" spans="6:7" x14ac:dyDescent="0.3">
      <c r="F2982" s="64">
        <v>2979</v>
      </c>
      <c r="G2982" s="64">
        <f t="shared" ca="1" si="85"/>
        <v>-3.3946416720159626E-2</v>
      </c>
    </row>
    <row r="2983" spans="6:7" x14ac:dyDescent="0.3">
      <c r="F2983" s="64">
        <v>2980</v>
      </c>
      <c r="G2983" s="64">
        <f t="shared" ca="1" si="85"/>
        <v>-1.0194319930343632E-2</v>
      </c>
    </row>
    <row r="2984" spans="6:7" x14ac:dyDescent="0.3">
      <c r="F2984" s="64">
        <v>2981</v>
      </c>
      <c r="G2984" s="64">
        <f t="shared" ca="1" si="85"/>
        <v>-6.5872744883572355E-3</v>
      </c>
    </row>
    <row r="2985" spans="6:7" x14ac:dyDescent="0.3">
      <c r="F2985" s="64">
        <v>2982</v>
      </c>
      <c r="G2985" s="64">
        <f t="shared" ca="1" si="85"/>
        <v>-1.2566156906651076E-2</v>
      </c>
    </row>
    <row r="2986" spans="6:7" x14ac:dyDescent="0.3">
      <c r="F2986" s="64">
        <v>2983</v>
      </c>
      <c r="G2986" s="64">
        <f t="shared" ca="1" si="85"/>
        <v>2.8650160191815384E-2</v>
      </c>
    </row>
    <row r="2987" spans="6:7" x14ac:dyDescent="0.3">
      <c r="F2987" s="64">
        <v>2984</v>
      </c>
      <c r="G2987" s="64">
        <f t="shared" ca="1" si="85"/>
        <v>-1.6941599176582819E-2</v>
      </c>
    </row>
    <row r="2988" spans="6:7" x14ac:dyDescent="0.3">
      <c r="F2988" s="64">
        <v>2985</v>
      </c>
      <c r="G2988" s="64">
        <f t="shared" ca="1" si="85"/>
        <v>6.6548408899226967E-3</v>
      </c>
    </row>
    <row r="2989" spans="6:7" x14ac:dyDescent="0.3">
      <c r="F2989" s="64">
        <v>2986</v>
      </c>
      <c r="G2989" s="64">
        <f t="shared" ca="1" si="85"/>
        <v>1.3178073759410401E-3</v>
      </c>
    </row>
    <row r="2990" spans="6:7" x14ac:dyDescent="0.3">
      <c r="F2990" s="64">
        <v>2987</v>
      </c>
      <c r="G2990" s="64">
        <f t="shared" ca="1" si="85"/>
        <v>-2.6186280408730406E-3</v>
      </c>
    </row>
    <row r="2991" spans="6:7" x14ac:dyDescent="0.3">
      <c r="F2991" s="64">
        <v>2988</v>
      </c>
      <c r="G2991" s="64">
        <f t="shared" ca="1" si="85"/>
        <v>-1.5569577277027473E-2</v>
      </c>
    </row>
    <row r="2992" spans="6:7" x14ac:dyDescent="0.3">
      <c r="F2992" s="64">
        <v>2989</v>
      </c>
      <c r="G2992" s="64">
        <f t="shared" ca="1" si="85"/>
        <v>2.9698589991467811E-3</v>
      </c>
    </row>
    <row r="2993" spans="6:7" x14ac:dyDescent="0.3">
      <c r="F2993" s="64">
        <v>2990</v>
      </c>
      <c r="G2993" s="64">
        <f t="shared" ca="1" si="85"/>
        <v>-1.0387975305260689E-2</v>
      </c>
    </row>
    <row r="2994" spans="6:7" x14ac:dyDescent="0.3">
      <c r="F2994" s="64">
        <v>2991</v>
      </c>
      <c r="G2994" s="64">
        <f t="shared" ca="1" si="85"/>
        <v>2.5266396500091666E-2</v>
      </c>
    </row>
    <row r="2995" spans="6:7" x14ac:dyDescent="0.3">
      <c r="F2995" s="64">
        <v>2992</v>
      </c>
      <c r="G2995" s="64">
        <f t="shared" ca="1" si="85"/>
        <v>2.2546543267537994E-2</v>
      </c>
    </row>
    <row r="2996" spans="6:7" x14ac:dyDescent="0.3">
      <c r="F2996" s="64">
        <v>2993</v>
      </c>
      <c r="G2996" s="64">
        <f t="shared" ca="1" si="85"/>
        <v>2.1154869840006696E-2</v>
      </c>
    </row>
    <row r="2997" spans="6:7" x14ac:dyDescent="0.3">
      <c r="F2997" s="64">
        <v>2994</v>
      </c>
      <c r="G2997" s="64">
        <f t="shared" ca="1" si="85"/>
        <v>5.535640523097532E-2</v>
      </c>
    </row>
    <row r="2998" spans="6:7" x14ac:dyDescent="0.3">
      <c r="F2998" s="64">
        <v>2995</v>
      </c>
      <c r="G2998" s="64">
        <f t="shared" ca="1" si="85"/>
        <v>-4.8704833094050078E-3</v>
      </c>
    </row>
    <row r="2999" spans="6:7" x14ac:dyDescent="0.3">
      <c r="F2999" s="64">
        <v>2996</v>
      </c>
      <c r="G2999" s="64">
        <f t="shared" ca="1" si="85"/>
        <v>3.4993368502675946E-4</v>
      </c>
    </row>
    <row r="3000" spans="6:7" x14ac:dyDescent="0.3">
      <c r="F3000" s="64">
        <v>2997</v>
      </c>
      <c r="G3000" s="64">
        <f t="shared" ca="1" si="85"/>
        <v>-5.6140605643216412E-3</v>
      </c>
    </row>
    <row r="3001" spans="6:7" x14ac:dyDescent="0.3">
      <c r="F3001" s="64">
        <v>2998</v>
      </c>
      <c r="G3001" s="64">
        <f t="shared" ca="1" si="85"/>
        <v>1.771423863127837E-2</v>
      </c>
    </row>
    <row r="3002" spans="6:7" x14ac:dyDescent="0.3">
      <c r="F3002" s="64">
        <v>2999</v>
      </c>
      <c r="G3002" s="64">
        <f t="shared" ca="1" si="85"/>
        <v>-8.0349028085349872E-3</v>
      </c>
    </row>
    <row r="3003" spans="6:7" x14ac:dyDescent="0.3">
      <c r="F3003" s="64">
        <v>3000</v>
      </c>
      <c r="G3003" s="64">
        <f t="shared" ca="1" si="85"/>
        <v>-2.3528239937152177E-3</v>
      </c>
    </row>
    <row r="3004" spans="6:7" x14ac:dyDescent="0.3">
      <c r="F3004" s="64">
        <v>3001</v>
      </c>
      <c r="G3004" s="64">
        <f t="shared" ca="1" si="85"/>
        <v>1.7568741568916142E-2</v>
      </c>
    </row>
    <row r="3005" spans="6:7" x14ac:dyDescent="0.3">
      <c r="F3005" s="64">
        <v>3002</v>
      </c>
      <c r="G3005" s="64">
        <f t="shared" ca="1" si="85"/>
        <v>1.5023437356186236E-2</v>
      </c>
    </row>
    <row r="3006" spans="6:7" x14ac:dyDescent="0.3">
      <c r="F3006" s="64">
        <v>3003</v>
      </c>
      <c r="G3006" s="64">
        <f t="shared" ca="1" si="85"/>
        <v>7.6546545310505415E-3</v>
      </c>
    </row>
    <row r="3007" spans="6:7" x14ac:dyDescent="0.3">
      <c r="F3007" s="64">
        <v>3004</v>
      </c>
      <c r="G3007" s="64">
        <f t="shared" ca="1" si="85"/>
        <v>1.5137448563109135E-2</v>
      </c>
    </row>
    <row r="3008" spans="6:7" x14ac:dyDescent="0.3">
      <c r="F3008" s="64">
        <v>3005</v>
      </c>
      <c r="G3008" s="64">
        <f t="shared" ca="1" si="85"/>
        <v>3.5404258375827558E-2</v>
      </c>
    </row>
    <row r="3009" spans="6:7" x14ac:dyDescent="0.3">
      <c r="F3009" s="64">
        <v>3006</v>
      </c>
      <c r="G3009" s="64">
        <f t="shared" ca="1" si="85"/>
        <v>-8.640674630048062E-4</v>
      </c>
    </row>
    <row r="3010" spans="6:7" x14ac:dyDescent="0.3">
      <c r="F3010" s="64">
        <v>3007</v>
      </c>
      <c r="G3010" s="64">
        <f t="shared" ca="1" si="85"/>
        <v>-1.1403567060446413E-2</v>
      </c>
    </row>
    <row r="3011" spans="6:7" x14ac:dyDescent="0.3">
      <c r="F3011" s="64">
        <v>3008</v>
      </c>
      <c r="G3011" s="64">
        <f t="shared" ca="1" si="85"/>
        <v>6.7791596854132495E-3</v>
      </c>
    </row>
    <row r="3012" spans="6:7" x14ac:dyDescent="0.3">
      <c r="F3012" s="64">
        <v>3009</v>
      </c>
      <c r="G3012" s="64">
        <f t="shared" ca="1" si="85"/>
        <v>-1.9391769620917335E-2</v>
      </c>
    </row>
    <row r="3013" spans="6:7" x14ac:dyDescent="0.3">
      <c r="F3013" s="64">
        <v>3010</v>
      </c>
      <c r="G3013" s="64">
        <f t="shared" ref="G3013:G3076" ca="1" si="86">_xlfn.NORM.INV(RAND(),K$6,K$7)</f>
        <v>2.0519798921327111E-2</v>
      </c>
    </row>
    <row r="3014" spans="6:7" x14ac:dyDescent="0.3">
      <c r="F3014" s="64">
        <v>3011</v>
      </c>
      <c r="G3014" s="64">
        <f t="shared" ca="1" si="86"/>
        <v>3.0235142613356678E-2</v>
      </c>
    </row>
    <row r="3015" spans="6:7" x14ac:dyDescent="0.3">
      <c r="F3015" s="64">
        <v>3012</v>
      </c>
      <c r="G3015" s="64">
        <f t="shared" ca="1" si="86"/>
        <v>-4.028818926844429E-2</v>
      </c>
    </row>
    <row r="3016" spans="6:7" x14ac:dyDescent="0.3">
      <c r="F3016" s="64">
        <v>3013</v>
      </c>
      <c r="G3016" s="64">
        <f t="shared" ca="1" si="86"/>
        <v>3.581939572141641E-2</v>
      </c>
    </row>
    <row r="3017" spans="6:7" x14ac:dyDescent="0.3">
      <c r="F3017" s="64">
        <v>3014</v>
      </c>
      <c r="G3017" s="64">
        <f t="shared" ca="1" si="86"/>
        <v>1.3220236482977619E-3</v>
      </c>
    </row>
    <row r="3018" spans="6:7" x14ac:dyDescent="0.3">
      <c r="F3018" s="64">
        <v>3015</v>
      </c>
      <c r="G3018" s="64">
        <f t="shared" ca="1" si="86"/>
        <v>6.4746808740907325E-4</v>
      </c>
    </row>
    <row r="3019" spans="6:7" x14ac:dyDescent="0.3">
      <c r="F3019" s="64">
        <v>3016</v>
      </c>
      <c r="G3019" s="64">
        <f t="shared" ca="1" si="86"/>
        <v>1.8735857328160024E-3</v>
      </c>
    </row>
    <row r="3020" spans="6:7" x14ac:dyDescent="0.3">
      <c r="F3020" s="64">
        <v>3017</v>
      </c>
      <c r="G3020" s="64">
        <f t="shared" ca="1" si="86"/>
        <v>2.4684501189321431E-2</v>
      </c>
    </row>
    <row r="3021" spans="6:7" x14ac:dyDescent="0.3">
      <c r="F3021" s="64">
        <v>3018</v>
      </c>
      <c r="G3021" s="64">
        <f t="shared" ca="1" si="86"/>
        <v>-1.9098193107018401E-2</v>
      </c>
    </row>
    <row r="3022" spans="6:7" x14ac:dyDescent="0.3">
      <c r="F3022" s="64">
        <v>3019</v>
      </c>
      <c r="G3022" s="64">
        <f t="shared" ca="1" si="86"/>
        <v>-1.036071061056538E-2</v>
      </c>
    </row>
    <row r="3023" spans="6:7" x14ac:dyDescent="0.3">
      <c r="F3023" s="64">
        <v>3020</v>
      </c>
      <c r="G3023" s="64">
        <f t="shared" ca="1" si="86"/>
        <v>4.9454729153967612E-2</v>
      </c>
    </row>
    <row r="3024" spans="6:7" x14ac:dyDescent="0.3">
      <c r="F3024" s="64">
        <v>3021</v>
      </c>
      <c r="G3024" s="64">
        <f t="shared" ca="1" si="86"/>
        <v>-2.7423765134306978E-2</v>
      </c>
    </row>
    <row r="3025" spans="6:7" x14ac:dyDescent="0.3">
      <c r="F3025" s="64">
        <v>3022</v>
      </c>
      <c r="G3025" s="64">
        <f t="shared" ca="1" si="86"/>
        <v>1.1848853567167483E-2</v>
      </c>
    </row>
    <row r="3026" spans="6:7" x14ac:dyDescent="0.3">
      <c r="F3026" s="64">
        <v>3023</v>
      </c>
      <c r="G3026" s="64">
        <f t="shared" ca="1" si="86"/>
        <v>-1.3465616798718732E-3</v>
      </c>
    </row>
    <row r="3027" spans="6:7" x14ac:dyDescent="0.3">
      <c r="F3027" s="64">
        <v>3024</v>
      </c>
      <c r="G3027" s="64">
        <f t="shared" ca="1" si="86"/>
        <v>-1.7391813651169173E-2</v>
      </c>
    </row>
    <row r="3028" spans="6:7" x14ac:dyDescent="0.3">
      <c r="F3028" s="64">
        <v>3025</v>
      </c>
      <c r="G3028" s="64">
        <f t="shared" ca="1" si="86"/>
        <v>1.6091064000863235E-2</v>
      </c>
    </row>
    <row r="3029" spans="6:7" x14ac:dyDescent="0.3">
      <c r="F3029" s="64">
        <v>3026</v>
      </c>
      <c r="G3029" s="64">
        <f t="shared" ca="1" si="86"/>
        <v>6.0767600241742499E-3</v>
      </c>
    </row>
    <row r="3030" spans="6:7" x14ac:dyDescent="0.3">
      <c r="F3030" s="64">
        <v>3027</v>
      </c>
      <c r="G3030" s="64">
        <f t="shared" ca="1" si="86"/>
        <v>-2.5991949924112329E-2</v>
      </c>
    </row>
    <row r="3031" spans="6:7" x14ac:dyDescent="0.3">
      <c r="F3031" s="64">
        <v>3028</v>
      </c>
      <c r="G3031" s="64">
        <f t="shared" ca="1" si="86"/>
        <v>2.4024687868496007E-2</v>
      </c>
    </row>
    <row r="3032" spans="6:7" x14ac:dyDescent="0.3">
      <c r="F3032" s="64">
        <v>3029</v>
      </c>
      <c r="G3032" s="64">
        <f t="shared" ca="1" si="86"/>
        <v>-1.4428090688385556E-2</v>
      </c>
    </row>
    <row r="3033" spans="6:7" x14ac:dyDescent="0.3">
      <c r="F3033" s="64">
        <v>3030</v>
      </c>
      <c r="G3033" s="64">
        <f t="shared" ca="1" si="86"/>
        <v>1.037322158131704E-2</v>
      </c>
    </row>
    <row r="3034" spans="6:7" x14ac:dyDescent="0.3">
      <c r="F3034" s="64">
        <v>3031</v>
      </c>
      <c r="G3034" s="64">
        <f t="shared" ca="1" si="86"/>
        <v>-2.6067341049212343E-2</v>
      </c>
    </row>
    <row r="3035" spans="6:7" x14ac:dyDescent="0.3">
      <c r="F3035" s="64">
        <v>3032</v>
      </c>
      <c r="G3035" s="64">
        <f t="shared" ca="1" si="86"/>
        <v>1.3008543654670012E-2</v>
      </c>
    </row>
    <row r="3036" spans="6:7" x14ac:dyDescent="0.3">
      <c r="F3036" s="64">
        <v>3033</v>
      </c>
      <c r="G3036" s="64">
        <f t="shared" ca="1" si="86"/>
        <v>3.2849920382566684E-2</v>
      </c>
    </row>
    <row r="3037" spans="6:7" x14ac:dyDescent="0.3">
      <c r="F3037" s="64">
        <v>3034</v>
      </c>
      <c r="G3037" s="64">
        <f t="shared" ca="1" si="86"/>
        <v>-1.7179262269168195E-2</v>
      </c>
    </row>
    <row r="3038" spans="6:7" x14ac:dyDescent="0.3">
      <c r="F3038" s="64">
        <v>3035</v>
      </c>
      <c r="G3038" s="64">
        <f t="shared" ca="1" si="86"/>
        <v>3.1372946760981693E-2</v>
      </c>
    </row>
    <row r="3039" spans="6:7" x14ac:dyDescent="0.3">
      <c r="F3039" s="64">
        <v>3036</v>
      </c>
      <c r="G3039" s="64">
        <f t="shared" ca="1" si="86"/>
        <v>-3.1779205669080421E-2</v>
      </c>
    </row>
    <row r="3040" spans="6:7" x14ac:dyDescent="0.3">
      <c r="F3040" s="64">
        <v>3037</v>
      </c>
      <c r="G3040" s="64">
        <f t="shared" ca="1" si="86"/>
        <v>-2.0224716181017809E-2</v>
      </c>
    </row>
    <row r="3041" spans="6:7" x14ac:dyDescent="0.3">
      <c r="F3041" s="64">
        <v>3038</v>
      </c>
      <c r="G3041" s="64">
        <f t="shared" ca="1" si="86"/>
        <v>-1.2077014637976193E-2</v>
      </c>
    </row>
    <row r="3042" spans="6:7" x14ac:dyDescent="0.3">
      <c r="F3042" s="64">
        <v>3039</v>
      </c>
      <c r="G3042" s="64">
        <f t="shared" ca="1" si="86"/>
        <v>1.5822959290455112E-2</v>
      </c>
    </row>
    <row r="3043" spans="6:7" x14ac:dyDescent="0.3">
      <c r="F3043" s="64">
        <v>3040</v>
      </c>
      <c r="G3043" s="64">
        <f t="shared" ca="1" si="86"/>
        <v>4.0796303449573794E-2</v>
      </c>
    </row>
    <row r="3044" spans="6:7" x14ac:dyDescent="0.3">
      <c r="F3044" s="64">
        <v>3041</v>
      </c>
      <c r="G3044" s="64">
        <f t="shared" ca="1" si="86"/>
        <v>-2.9656686485742587E-2</v>
      </c>
    </row>
    <row r="3045" spans="6:7" x14ac:dyDescent="0.3">
      <c r="F3045" s="64">
        <v>3042</v>
      </c>
      <c r="G3045" s="64">
        <f t="shared" ca="1" si="86"/>
        <v>3.7523115891612821E-2</v>
      </c>
    </row>
    <row r="3046" spans="6:7" x14ac:dyDescent="0.3">
      <c r="F3046" s="64">
        <v>3043</v>
      </c>
      <c r="G3046" s="64">
        <f t="shared" ca="1" si="86"/>
        <v>-1.9181328401658614E-2</v>
      </c>
    </row>
    <row r="3047" spans="6:7" x14ac:dyDescent="0.3">
      <c r="F3047" s="64">
        <v>3044</v>
      </c>
      <c r="G3047" s="64">
        <f t="shared" ca="1" si="86"/>
        <v>-9.6663238315283957E-4</v>
      </c>
    </row>
    <row r="3048" spans="6:7" x14ac:dyDescent="0.3">
      <c r="F3048" s="64">
        <v>3045</v>
      </c>
      <c r="G3048" s="64">
        <f t="shared" ca="1" si="86"/>
        <v>1.627415385787968E-2</v>
      </c>
    </row>
    <row r="3049" spans="6:7" x14ac:dyDescent="0.3">
      <c r="F3049" s="64">
        <v>3046</v>
      </c>
      <c r="G3049" s="64">
        <f t="shared" ca="1" si="86"/>
        <v>-3.8620277347576658E-3</v>
      </c>
    </row>
    <row r="3050" spans="6:7" x14ac:dyDescent="0.3">
      <c r="F3050" s="64">
        <v>3047</v>
      </c>
      <c r="G3050" s="64">
        <f t="shared" ca="1" si="86"/>
        <v>2.3702599992260834E-2</v>
      </c>
    </row>
    <row r="3051" spans="6:7" x14ac:dyDescent="0.3">
      <c r="F3051" s="64">
        <v>3048</v>
      </c>
      <c r="G3051" s="64">
        <f t="shared" ca="1" si="86"/>
        <v>-5.8599347990830036E-3</v>
      </c>
    </row>
    <row r="3052" spans="6:7" x14ac:dyDescent="0.3">
      <c r="F3052" s="64">
        <v>3049</v>
      </c>
      <c r="G3052" s="64">
        <f t="shared" ca="1" si="86"/>
        <v>-1.1826427028709422E-2</v>
      </c>
    </row>
    <row r="3053" spans="6:7" x14ac:dyDescent="0.3">
      <c r="F3053" s="64">
        <v>3050</v>
      </c>
      <c r="G3053" s="64">
        <f t="shared" ca="1" si="86"/>
        <v>-2.774181266339816E-2</v>
      </c>
    </row>
    <row r="3054" spans="6:7" x14ac:dyDescent="0.3">
      <c r="F3054" s="64">
        <v>3051</v>
      </c>
      <c r="G3054" s="64">
        <f t="shared" ca="1" si="86"/>
        <v>3.9392146086173585E-2</v>
      </c>
    </row>
    <row r="3055" spans="6:7" x14ac:dyDescent="0.3">
      <c r="F3055" s="64">
        <v>3052</v>
      </c>
      <c r="G3055" s="64">
        <f t="shared" ca="1" si="86"/>
        <v>-5.3498340781310001E-2</v>
      </c>
    </row>
    <row r="3056" spans="6:7" x14ac:dyDescent="0.3">
      <c r="F3056" s="64">
        <v>3053</v>
      </c>
      <c r="G3056" s="64">
        <f t="shared" ca="1" si="86"/>
        <v>-2.487789639788246E-2</v>
      </c>
    </row>
    <row r="3057" spans="6:7" x14ac:dyDescent="0.3">
      <c r="F3057" s="64">
        <v>3054</v>
      </c>
      <c r="G3057" s="64">
        <f t="shared" ca="1" si="86"/>
        <v>2.4021960029160086E-2</v>
      </c>
    </row>
    <row r="3058" spans="6:7" x14ac:dyDescent="0.3">
      <c r="F3058" s="64">
        <v>3055</v>
      </c>
      <c r="G3058" s="64">
        <f t="shared" ca="1" si="86"/>
        <v>-6.5516300396218537E-3</v>
      </c>
    </row>
    <row r="3059" spans="6:7" x14ac:dyDescent="0.3">
      <c r="F3059" s="64">
        <v>3056</v>
      </c>
      <c r="G3059" s="64">
        <f t="shared" ca="1" si="86"/>
        <v>2.411818591120767E-3</v>
      </c>
    </row>
    <row r="3060" spans="6:7" x14ac:dyDescent="0.3">
      <c r="F3060" s="64">
        <v>3057</v>
      </c>
      <c r="G3060" s="64">
        <f t="shared" ca="1" si="86"/>
        <v>-5.1942105794631458E-4</v>
      </c>
    </row>
    <row r="3061" spans="6:7" x14ac:dyDescent="0.3">
      <c r="F3061" s="64">
        <v>3058</v>
      </c>
      <c r="G3061" s="64">
        <f t="shared" ca="1" si="86"/>
        <v>8.1326157607951588E-3</v>
      </c>
    </row>
    <row r="3062" spans="6:7" x14ac:dyDescent="0.3">
      <c r="F3062" s="64">
        <v>3059</v>
      </c>
      <c r="G3062" s="64">
        <f t="shared" ca="1" si="86"/>
        <v>3.7606490996742285E-2</v>
      </c>
    </row>
    <row r="3063" spans="6:7" x14ac:dyDescent="0.3">
      <c r="F3063" s="64">
        <v>3060</v>
      </c>
      <c r="G3063" s="64">
        <f t="shared" ca="1" si="86"/>
        <v>-3.4105387785354616E-2</v>
      </c>
    </row>
    <row r="3064" spans="6:7" x14ac:dyDescent="0.3">
      <c r="F3064" s="64">
        <v>3061</v>
      </c>
      <c r="G3064" s="64">
        <f t="shared" ca="1" si="86"/>
        <v>4.9286310334200178E-3</v>
      </c>
    </row>
    <row r="3065" spans="6:7" x14ac:dyDescent="0.3">
      <c r="F3065" s="64">
        <v>3062</v>
      </c>
      <c r="G3065" s="64">
        <f t="shared" ca="1" si="86"/>
        <v>3.2024663306493887E-3</v>
      </c>
    </row>
    <row r="3066" spans="6:7" x14ac:dyDescent="0.3">
      <c r="F3066" s="64">
        <v>3063</v>
      </c>
      <c r="G3066" s="64">
        <f t="shared" ca="1" si="86"/>
        <v>3.0070369684770018E-2</v>
      </c>
    </row>
    <row r="3067" spans="6:7" x14ac:dyDescent="0.3">
      <c r="F3067" s="64">
        <v>3064</v>
      </c>
      <c r="G3067" s="64">
        <f t="shared" ca="1" si="86"/>
        <v>-2.0867214218266532E-2</v>
      </c>
    </row>
    <row r="3068" spans="6:7" x14ac:dyDescent="0.3">
      <c r="F3068" s="64">
        <v>3065</v>
      </c>
      <c r="G3068" s="64">
        <f t="shared" ca="1" si="86"/>
        <v>-1.2680145655756031E-2</v>
      </c>
    </row>
    <row r="3069" spans="6:7" x14ac:dyDescent="0.3">
      <c r="F3069" s="64">
        <v>3066</v>
      </c>
      <c r="G3069" s="64">
        <f t="shared" ca="1" si="86"/>
        <v>1.3259810814691967E-2</v>
      </c>
    </row>
    <row r="3070" spans="6:7" x14ac:dyDescent="0.3">
      <c r="F3070" s="64">
        <v>3067</v>
      </c>
      <c r="G3070" s="64">
        <f t="shared" ca="1" si="86"/>
        <v>1.9953960502672966E-2</v>
      </c>
    </row>
    <row r="3071" spans="6:7" x14ac:dyDescent="0.3">
      <c r="F3071" s="64">
        <v>3068</v>
      </c>
      <c r="G3071" s="64">
        <f t="shared" ca="1" si="86"/>
        <v>1.5461394541729505E-2</v>
      </c>
    </row>
    <row r="3072" spans="6:7" x14ac:dyDescent="0.3">
      <c r="F3072" s="64">
        <v>3069</v>
      </c>
      <c r="G3072" s="64">
        <f t="shared" ca="1" si="86"/>
        <v>-5.5144042362689667E-3</v>
      </c>
    </row>
    <row r="3073" spans="6:7" x14ac:dyDescent="0.3">
      <c r="F3073" s="64">
        <v>3070</v>
      </c>
      <c r="G3073" s="64">
        <f t="shared" ca="1" si="86"/>
        <v>-7.5080337511981626E-4</v>
      </c>
    </row>
    <row r="3074" spans="6:7" x14ac:dyDescent="0.3">
      <c r="F3074" s="64">
        <v>3071</v>
      </c>
      <c r="G3074" s="64">
        <f t="shared" ca="1" si="86"/>
        <v>3.0913983392639038E-2</v>
      </c>
    </row>
    <row r="3075" spans="6:7" x14ac:dyDescent="0.3">
      <c r="F3075" s="64">
        <v>3072</v>
      </c>
      <c r="G3075" s="64">
        <f t="shared" ca="1" si="86"/>
        <v>-4.3820468940510525E-5</v>
      </c>
    </row>
    <row r="3076" spans="6:7" x14ac:dyDescent="0.3">
      <c r="F3076" s="64">
        <v>3073</v>
      </c>
      <c r="G3076" s="64">
        <f t="shared" ca="1" si="86"/>
        <v>-2.5243193910231831E-2</v>
      </c>
    </row>
    <row r="3077" spans="6:7" x14ac:dyDescent="0.3">
      <c r="F3077" s="64">
        <v>3074</v>
      </c>
      <c r="G3077" s="64">
        <f t="shared" ref="G3077:G3140" ca="1" si="87">_xlfn.NORM.INV(RAND(),K$6,K$7)</f>
        <v>2.3911219604527127E-2</v>
      </c>
    </row>
    <row r="3078" spans="6:7" x14ac:dyDescent="0.3">
      <c r="F3078" s="64">
        <v>3075</v>
      </c>
      <c r="G3078" s="64">
        <f t="shared" ca="1" si="87"/>
        <v>-6.4173783544453564E-3</v>
      </c>
    </row>
    <row r="3079" spans="6:7" x14ac:dyDescent="0.3">
      <c r="F3079" s="64">
        <v>3076</v>
      </c>
      <c r="G3079" s="64">
        <f t="shared" ca="1" si="87"/>
        <v>1.2611426937332472E-2</v>
      </c>
    </row>
    <row r="3080" spans="6:7" x14ac:dyDescent="0.3">
      <c r="F3080" s="64">
        <v>3077</v>
      </c>
      <c r="G3080" s="64">
        <f t="shared" ca="1" si="87"/>
        <v>7.0474300393126121E-5</v>
      </c>
    </row>
    <row r="3081" spans="6:7" x14ac:dyDescent="0.3">
      <c r="F3081" s="64">
        <v>3078</v>
      </c>
      <c r="G3081" s="64">
        <f t="shared" ca="1" si="87"/>
        <v>2.1704289896213376E-4</v>
      </c>
    </row>
    <row r="3082" spans="6:7" x14ac:dyDescent="0.3">
      <c r="F3082" s="64">
        <v>3079</v>
      </c>
      <c r="G3082" s="64">
        <f t="shared" ca="1" si="87"/>
        <v>-1.0504386074203704E-3</v>
      </c>
    </row>
    <row r="3083" spans="6:7" x14ac:dyDescent="0.3">
      <c r="F3083" s="64">
        <v>3080</v>
      </c>
      <c r="G3083" s="64">
        <f t="shared" ca="1" si="87"/>
        <v>2.4281898991046567E-2</v>
      </c>
    </row>
    <row r="3084" spans="6:7" x14ac:dyDescent="0.3">
      <c r="F3084" s="64">
        <v>3081</v>
      </c>
      <c r="G3084" s="64">
        <f t="shared" ca="1" si="87"/>
        <v>3.869757479164565E-2</v>
      </c>
    </row>
    <row r="3085" spans="6:7" x14ac:dyDescent="0.3">
      <c r="F3085" s="64">
        <v>3082</v>
      </c>
      <c r="G3085" s="64">
        <f t="shared" ca="1" si="87"/>
        <v>-1.1354773826798266E-2</v>
      </c>
    </row>
    <row r="3086" spans="6:7" x14ac:dyDescent="0.3">
      <c r="F3086" s="64">
        <v>3083</v>
      </c>
      <c r="G3086" s="64">
        <f t="shared" ca="1" si="87"/>
        <v>-1.1591487010394873E-2</v>
      </c>
    </row>
    <row r="3087" spans="6:7" x14ac:dyDescent="0.3">
      <c r="F3087" s="64">
        <v>3084</v>
      </c>
      <c r="G3087" s="64">
        <f t="shared" ca="1" si="87"/>
        <v>2.5509439079226509E-2</v>
      </c>
    </row>
    <row r="3088" spans="6:7" x14ac:dyDescent="0.3">
      <c r="F3088" s="64">
        <v>3085</v>
      </c>
      <c r="G3088" s="64">
        <f t="shared" ca="1" si="87"/>
        <v>-3.8431317253169096E-2</v>
      </c>
    </row>
    <row r="3089" spans="6:7" x14ac:dyDescent="0.3">
      <c r="F3089" s="64">
        <v>3086</v>
      </c>
      <c r="G3089" s="64">
        <f t="shared" ca="1" si="87"/>
        <v>2.2207332827498981E-3</v>
      </c>
    </row>
    <row r="3090" spans="6:7" x14ac:dyDescent="0.3">
      <c r="F3090" s="64">
        <v>3087</v>
      </c>
      <c r="G3090" s="64">
        <f t="shared" ca="1" si="87"/>
        <v>1.8323687266481217E-2</v>
      </c>
    </row>
    <row r="3091" spans="6:7" x14ac:dyDescent="0.3">
      <c r="F3091" s="64">
        <v>3088</v>
      </c>
      <c r="G3091" s="64">
        <f t="shared" ca="1" si="87"/>
        <v>-9.3372040434962032E-3</v>
      </c>
    </row>
    <row r="3092" spans="6:7" x14ac:dyDescent="0.3">
      <c r="F3092" s="64">
        <v>3089</v>
      </c>
      <c r="G3092" s="64">
        <f t="shared" ca="1" si="87"/>
        <v>1.2345350293256519E-2</v>
      </c>
    </row>
    <row r="3093" spans="6:7" x14ac:dyDescent="0.3">
      <c r="F3093" s="64">
        <v>3090</v>
      </c>
      <c r="G3093" s="64">
        <f t="shared" ca="1" si="87"/>
        <v>1.2371683125783281E-3</v>
      </c>
    </row>
    <row r="3094" spans="6:7" x14ac:dyDescent="0.3">
      <c r="F3094" s="64">
        <v>3091</v>
      </c>
      <c r="G3094" s="64">
        <f t="shared" ca="1" si="87"/>
        <v>1.2595828085309531E-3</v>
      </c>
    </row>
    <row r="3095" spans="6:7" x14ac:dyDescent="0.3">
      <c r="F3095" s="64">
        <v>3092</v>
      </c>
      <c r="G3095" s="64">
        <f t="shared" ca="1" si="87"/>
        <v>-2.5491989047908843E-2</v>
      </c>
    </row>
    <row r="3096" spans="6:7" x14ac:dyDescent="0.3">
      <c r="F3096" s="64">
        <v>3093</v>
      </c>
      <c r="G3096" s="64">
        <f t="shared" ca="1" si="87"/>
        <v>2.5585026973446147E-2</v>
      </c>
    </row>
    <row r="3097" spans="6:7" x14ac:dyDescent="0.3">
      <c r="F3097" s="64">
        <v>3094</v>
      </c>
      <c r="G3097" s="64">
        <f t="shared" ca="1" si="87"/>
        <v>-1.6163332302808205E-2</v>
      </c>
    </row>
    <row r="3098" spans="6:7" x14ac:dyDescent="0.3">
      <c r="F3098" s="64">
        <v>3095</v>
      </c>
      <c r="G3098" s="64">
        <f t="shared" ca="1" si="87"/>
        <v>-1.1282028925450898E-2</v>
      </c>
    </row>
    <row r="3099" spans="6:7" x14ac:dyDescent="0.3">
      <c r="F3099" s="64">
        <v>3096</v>
      </c>
      <c r="G3099" s="64">
        <f t="shared" ca="1" si="87"/>
        <v>2.3962332738583163E-2</v>
      </c>
    </row>
    <row r="3100" spans="6:7" x14ac:dyDescent="0.3">
      <c r="F3100" s="64">
        <v>3097</v>
      </c>
      <c r="G3100" s="64">
        <f t="shared" ca="1" si="87"/>
        <v>7.2102763641148163E-3</v>
      </c>
    </row>
    <row r="3101" spans="6:7" x14ac:dyDescent="0.3">
      <c r="F3101" s="64">
        <v>3098</v>
      </c>
      <c r="G3101" s="64">
        <f t="shared" ca="1" si="87"/>
        <v>3.3907977061759381E-3</v>
      </c>
    </row>
    <row r="3102" spans="6:7" x14ac:dyDescent="0.3">
      <c r="F3102" s="64">
        <v>3099</v>
      </c>
      <c r="G3102" s="64">
        <f t="shared" ca="1" si="87"/>
        <v>8.2632055074417943E-3</v>
      </c>
    </row>
    <row r="3103" spans="6:7" x14ac:dyDescent="0.3">
      <c r="F3103" s="64">
        <v>3100</v>
      </c>
      <c r="G3103" s="64">
        <f t="shared" ca="1" si="87"/>
        <v>-1.9313191789280446E-3</v>
      </c>
    </row>
    <row r="3104" spans="6:7" x14ac:dyDescent="0.3">
      <c r="F3104" s="64">
        <v>3101</v>
      </c>
      <c r="G3104" s="64">
        <f t="shared" ca="1" si="87"/>
        <v>1.8912436962237211E-2</v>
      </c>
    </row>
    <row r="3105" spans="6:7" x14ac:dyDescent="0.3">
      <c r="F3105" s="64">
        <v>3102</v>
      </c>
      <c r="G3105" s="64">
        <f t="shared" ca="1" si="87"/>
        <v>4.1973695728348892E-3</v>
      </c>
    </row>
    <row r="3106" spans="6:7" x14ac:dyDescent="0.3">
      <c r="F3106" s="64">
        <v>3103</v>
      </c>
      <c r="G3106" s="64">
        <f t="shared" ca="1" si="87"/>
        <v>1.2927997743522978E-2</v>
      </c>
    </row>
    <row r="3107" spans="6:7" x14ac:dyDescent="0.3">
      <c r="F3107" s="64">
        <v>3104</v>
      </c>
      <c r="G3107" s="64">
        <f t="shared" ca="1" si="87"/>
        <v>8.1568678672621644E-5</v>
      </c>
    </row>
    <row r="3108" spans="6:7" x14ac:dyDescent="0.3">
      <c r="F3108" s="64">
        <v>3105</v>
      </c>
      <c r="G3108" s="64">
        <f t="shared" ca="1" si="87"/>
        <v>-1.1544109006686742E-2</v>
      </c>
    </row>
    <row r="3109" spans="6:7" x14ac:dyDescent="0.3">
      <c r="F3109" s="64">
        <v>3106</v>
      </c>
      <c r="G3109" s="64">
        <f t="shared" ca="1" si="87"/>
        <v>-7.6903353593116702E-3</v>
      </c>
    </row>
    <row r="3110" spans="6:7" x14ac:dyDescent="0.3">
      <c r="F3110" s="64">
        <v>3107</v>
      </c>
      <c r="G3110" s="64">
        <f t="shared" ca="1" si="87"/>
        <v>1.669379306267145E-2</v>
      </c>
    </row>
    <row r="3111" spans="6:7" x14ac:dyDescent="0.3">
      <c r="F3111" s="64">
        <v>3108</v>
      </c>
      <c r="G3111" s="64">
        <f t="shared" ca="1" si="87"/>
        <v>5.889422557977678E-3</v>
      </c>
    </row>
    <row r="3112" spans="6:7" x14ac:dyDescent="0.3">
      <c r="F3112" s="64">
        <v>3109</v>
      </c>
      <c r="G3112" s="64">
        <f t="shared" ca="1" si="87"/>
        <v>1.3229887494562696E-2</v>
      </c>
    </row>
    <row r="3113" spans="6:7" x14ac:dyDescent="0.3">
      <c r="F3113" s="64">
        <v>3110</v>
      </c>
      <c r="G3113" s="64">
        <f t="shared" ca="1" si="87"/>
        <v>4.2543646663028935E-2</v>
      </c>
    </row>
    <row r="3114" spans="6:7" x14ac:dyDescent="0.3">
      <c r="F3114" s="64">
        <v>3111</v>
      </c>
      <c r="G3114" s="64">
        <f t="shared" ca="1" si="87"/>
        <v>1.251603510094579E-2</v>
      </c>
    </row>
    <row r="3115" spans="6:7" x14ac:dyDescent="0.3">
      <c r="F3115" s="64">
        <v>3112</v>
      </c>
      <c r="G3115" s="64">
        <f t="shared" ca="1" si="87"/>
        <v>1.0523693816698466E-2</v>
      </c>
    </row>
    <row r="3116" spans="6:7" x14ac:dyDescent="0.3">
      <c r="F3116" s="64">
        <v>3113</v>
      </c>
      <c r="G3116" s="64">
        <f t="shared" ca="1" si="87"/>
        <v>-1.4243224681685287E-2</v>
      </c>
    </row>
    <row r="3117" spans="6:7" x14ac:dyDescent="0.3">
      <c r="F3117" s="64">
        <v>3114</v>
      </c>
      <c r="G3117" s="64">
        <f t="shared" ca="1" si="87"/>
        <v>2.7000124236895972E-3</v>
      </c>
    </row>
    <row r="3118" spans="6:7" x14ac:dyDescent="0.3">
      <c r="F3118" s="64">
        <v>3115</v>
      </c>
      <c r="G3118" s="64">
        <f t="shared" ca="1" si="87"/>
        <v>-1.2663225194091255E-2</v>
      </c>
    </row>
    <row r="3119" spans="6:7" x14ac:dyDescent="0.3">
      <c r="F3119" s="64">
        <v>3116</v>
      </c>
      <c r="G3119" s="64">
        <f t="shared" ca="1" si="87"/>
        <v>-2.3048663866198513E-2</v>
      </c>
    </row>
    <row r="3120" spans="6:7" x14ac:dyDescent="0.3">
      <c r="F3120" s="64">
        <v>3117</v>
      </c>
      <c r="G3120" s="64">
        <f t="shared" ca="1" si="87"/>
        <v>-2.5699479811061243E-2</v>
      </c>
    </row>
    <row r="3121" spans="6:7" x14ac:dyDescent="0.3">
      <c r="F3121" s="64">
        <v>3118</v>
      </c>
      <c r="G3121" s="64">
        <f t="shared" ca="1" si="87"/>
        <v>-3.4059265303200192E-2</v>
      </c>
    </row>
    <row r="3122" spans="6:7" x14ac:dyDescent="0.3">
      <c r="F3122" s="64">
        <v>3119</v>
      </c>
      <c r="G3122" s="64">
        <f t="shared" ca="1" si="87"/>
        <v>-1.0977178362386169E-2</v>
      </c>
    </row>
    <row r="3123" spans="6:7" x14ac:dyDescent="0.3">
      <c r="F3123" s="64">
        <v>3120</v>
      </c>
      <c r="G3123" s="64">
        <f t="shared" ca="1" si="87"/>
        <v>-3.2475413207087564E-2</v>
      </c>
    </row>
    <row r="3124" spans="6:7" x14ac:dyDescent="0.3">
      <c r="F3124" s="64">
        <v>3121</v>
      </c>
      <c r="G3124" s="64">
        <f t="shared" ca="1" si="87"/>
        <v>-4.7692925511724346E-3</v>
      </c>
    </row>
    <row r="3125" spans="6:7" x14ac:dyDescent="0.3">
      <c r="F3125" s="64">
        <v>3122</v>
      </c>
      <c r="G3125" s="64">
        <f t="shared" ca="1" si="87"/>
        <v>3.4482699115656219E-2</v>
      </c>
    </row>
    <row r="3126" spans="6:7" x14ac:dyDescent="0.3">
      <c r="F3126" s="64">
        <v>3123</v>
      </c>
      <c r="G3126" s="64">
        <f t="shared" ca="1" si="87"/>
        <v>-1.9241950827248592E-3</v>
      </c>
    </row>
    <row r="3127" spans="6:7" x14ac:dyDescent="0.3">
      <c r="F3127" s="64">
        <v>3124</v>
      </c>
      <c r="G3127" s="64">
        <f t="shared" ca="1" si="87"/>
        <v>-2.1255782221904305E-3</v>
      </c>
    </row>
    <row r="3128" spans="6:7" x14ac:dyDescent="0.3">
      <c r="F3128" s="64">
        <v>3125</v>
      </c>
      <c r="G3128" s="64">
        <f t="shared" ca="1" si="87"/>
        <v>6.3144668626302306E-3</v>
      </c>
    </row>
    <row r="3129" spans="6:7" x14ac:dyDescent="0.3">
      <c r="F3129" s="64">
        <v>3126</v>
      </c>
      <c r="G3129" s="64">
        <f t="shared" ca="1" si="87"/>
        <v>-1.2519362280063992E-2</v>
      </c>
    </row>
    <row r="3130" spans="6:7" x14ac:dyDescent="0.3">
      <c r="F3130" s="64">
        <v>3127</v>
      </c>
      <c r="G3130" s="64">
        <f t="shared" ca="1" si="87"/>
        <v>5.0538801091327704E-2</v>
      </c>
    </row>
    <row r="3131" spans="6:7" x14ac:dyDescent="0.3">
      <c r="F3131" s="64">
        <v>3128</v>
      </c>
      <c r="G3131" s="64">
        <f t="shared" ca="1" si="87"/>
        <v>-1.7871614130882563E-2</v>
      </c>
    </row>
    <row r="3132" spans="6:7" x14ac:dyDescent="0.3">
      <c r="F3132" s="64">
        <v>3129</v>
      </c>
      <c r="G3132" s="64">
        <f t="shared" ca="1" si="87"/>
        <v>6.7978011705890004E-3</v>
      </c>
    </row>
    <row r="3133" spans="6:7" x14ac:dyDescent="0.3">
      <c r="F3133" s="64">
        <v>3130</v>
      </c>
      <c r="G3133" s="64">
        <f t="shared" ca="1" si="87"/>
        <v>-9.076090768441054E-3</v>
      </c>
    </row>
    <row r="3134" spans="6:7" x14ac:dyDescent="0.3">
      <c r="F3134" s="64">
        <v>3131</v>
      </c>
      <c r="G3134" s="64">
        <f t="shared" ca="1" si="87"/>
        <v>-1.2478571811372382E-2</v>
      </c>
    </row>
    <row r="3135" spans="6:7" x14ac:dyDescent="0.3">
      <c r="F3135" s="64">
        <v>3132</v>
      </c>
      <c r="G3135" s="64">
        <f t="shared" ca="1" si="87"/>
        <v>-7.2825699503474787E-3</v>
      </c>
    </row>
    <row r="3136" spans="6:7" x14ac:dyDescent="0.3">
      <c r="F3136" s="64">
        <v>3133</v>
      </c>
      <c r="G3136" s="64">
        <f t="shared" ca="1" si="87"/>
        <v>-1.0817884754257736E-2</v>
      </c>
    </row>
    <row r="3137" spans="6:7" x14ac:dyDescent="0.3">
      <c r="F3137" s="64">
        <v>3134</v>
      </c>
      <c r="G3137" s="64">
        <f t="shared" ca="1" si="87"/>
        <v>8.0175321974076362E-3</v>
      </c>
    </row>
    <row r="3138" spans="6:7" x14ac:dyDescent="0.3">
      <c r="F3138" s="64">
        <v>3135</v>
      </c>
      <c r="G3138" s="64">
        <f t="shared" ca="1" si="87"/>
        <v>2.8940556062998238E-2</v>
      </c>
    </row>
    <row r="3139" spans="6:7" x14ac:dyDescent="0.3">
      <c r="F3139" s="64">
        <v>3136</v>
      </c>
      <c r="G3139" s="64">
        <f t="shared" ca="1" si="87"/>
        <v>7.722167301804213E-3</v>
      </c>
    </row>
    <row r="3140" spans="6:7" x14ac:dyDescent="0.3">
      <c r="F3140" s="64">
        <v>3137</v>
      </c>
      <c r="G3140" s="64">
        <f t="shared" ca="1" si="87"/>
        <v>1.1640993320022155E-2</v>
      </c>
    </row>
    <row r="3141" spans="6:7" x14ac:dyDescent="0.3">
      <c r="F3141" s="64">
        <v>3138</v>
      </c>
      <c r="G3141" s="64">
        <f t="shared" ref="G3141:G3204" ca="1" si="88">_xlfn.NORM.INV(RAND(),K$6,K$7)</f>
        <v>1.7641440867543464E-3</v>
      </c>
    </row>
    <row r="3142" spans="6:7" x14ac:dyDescent="0.3">
      <c r="F3142" s="64">
        <v>3139</v>
      </c>
      <c r="G3142" s="64">
        <f t="shared" ca="1" si="88"/>
        <v>-2.9232058053361314E-2</v>
      </c>
    </row>
    <row r="3143" spans="6:7" x14ac:dyDescent="0.3">
      <c r="F3143" s="64">
        <v>3140</v>
      </c>
      <c r="G3143" s="64">
        <f t="shared" ca="1" si="88"/>
        <v>3.2639151819655529E-2</v>
      </c>
    </row>
    <row r="3144" spans="6:7" x14ac:dyDescent="0.3">
      <c r="F3144" s="64">
        <v>3141</v>
      </c>
      <c r="G3144" s="64">
        <f t="shared" ca="1" si="88"/>
        <v>-3.0936419358295539E-3</v>
      </c>
    </row>
    <row r="3145" spans="6:7" x14ac:dyDescent="0.3">
      <c r="F3145" s="64">
        <v>3142</v>
      </c>
      <c r="G3145" s="64">
        <f t="shared" ca="1" si="88"/>
        <v>-1.7885851809287256E-2</v>
      </c>
    </row>
    <row r="3146" spans="6:7" x14ac:dyDescent="0.3">
      <c r="F3146" s="64">
        <v>3143</v>
      </c>
      <c r="G3146" s="64">
        <f t="shared" ca="1" si="88"/>
        <v>9.7748445583042028E-3</v>
      </c>
    </row>
    <row r="3147" spans="6:7" x14ac:dyDescent="0.3">
      <c r="F3147" s="64">
        <v>3144</v>
      </c>
      <c r="G3147" s="64">
        <f t="shared" ca="1" si="88"/>
        <v>2.4485730727857626E-2</v>
      </c>
    </row>
    <row r="3148" spans="6:7" x14ac:dyDescent="0.3">
      <c r="F3148" s="64">
        <v>3145</v>
      </c>
      <c r="G3148" s="64">
        <f t="shared" ca="1" si="88"/>
        <v>-2.2019698627825775E-2</v>
      </c>
    </row>
    <row r="3149" spans="6:7" x14ac:dyDescent="0.3">
      <c r="F3149" s="64">
        <v>3146</v>
      </c>
      <c r="G3149" s="64">
        <f t="shared" ca="1" si="88"/>
        <v>2.6423458083729276E-3</v>
      </c>
    </row>
    <row r="3150" spans="6:7" x14ac:dyDescent="0.3">
      <c r="F3150" s="64">
        <v>3147</v>
      </c>
      <c r="G3150" s="64">
        <f t="shared" ca="1" si="88"/>
        <v>-1.2836329371831415E-2</v>
      </c>
    </row>
    <row r="3151" spans="6:7" x14ac:dyDescent="0.3">
      <c r="F3151" s="64">
        <v>3148</v>
      </c>
      <c r="G3151" s="64">
        <f t="shared" ca="1" si="88"/>
        <v>5.6074885368407087E-2</v>
      </c>
    </row>
    <row r="3152" spans="6:7" x14ac:dyDescent="0.3">
      <c r="F3152" s="64">
        <v>3149</v>
      </c>
      <c r="G3152" s="64">
        <f t="shared" ca="1" si="88"/>
        <v>-4.3356428615740246E-2</v>
      </c>
    </row>
    <row r="3153" spans="6:7" x14ac:dyDescent="0.3">
      <c r="F3153" s="64">
        <v>3150</v>
      </c>
      <c r="G3153" s="64">
        <f t="shared" ca="1" si="88"/>
        <v>-6.6811478461633999E-3</v>
      </c>
    </row>
    <row r="3154" spans="6:7" x14ac:dyDescent="0.3">
      <c r="F3154" s="64">
        <v>3151</v>
      </c>
      <c r="G3154" s="64">
        <f t="shared" ca="1" si="88"/>
        <v>-2.6698034160489728E-2</v>
      </c>
    </row>
    <row r="3155" spans="6:7" x14ac:dyDescent="0.3">
      <c r="F3155" s="64">
        <v>3152</v>
      </c>
      <c r="G3155" s="64">
        <f t="shared" ca="1" si="88"/>
        <v>-2.8822215052525149E-2</v>
      </c>
    </row>
    <row r="3156" spans="6:7" x14ac:dyDescent="0.3">
      <c r="F3156" s="64">
        <v>3153</v>
      </c>
      <c r="G3156" s="64">
        <f t="shared" ca="1" si="88"/>
        <v>-2.8768242352167774E-2</v>
      </c>
    </row>
    <row r="3157" spans="6:7" x14ac:dyDescent="0.3">
      <c r="F3157" s="64">
        <v>3154</v>
      </c>
      <c r="G3157" s="64">
        <f t="shared" ca="1" si="88"/>
        <v>2.8102291464095701E-2</v>
      </c>
    </row>
    <row r="3158" spans="6:7" x14ac:dyDescent="0.3">
      <c r="F3158" s="64">
        <v>3155</v>
      </c>
      <c r="G3158" s="64">
        <f t="shared" ca="1" si="88"/>
        <v>-2.4094085922087713E-2</v>
      </c>
    </row>
    <row r="3159" spans="6:7" x14ac:dyDescent="0.3">
      <c r="F3159" s="64">
        <v>3156</v>
      </c>
      <c r="G3159" s="64">
        <f t="shared" ca="1" si="88"/>
        <v>-1.2417997067029795E-2</v>
      </c>
    </row>
    <row r="3160" spans="6:7" x14ac:dyDescent="0.3">
      <c r="F3160" s="64">
        <v>3157</v>
      </c>
      <c r="G3160" s="64">
        <f t="shared" ca="1" si="88"/>
        <v>1.1347463570761161E-2</v>
      </c>
    </row>
    <row r="3161" spans="6:7" x14ac:dyDescent="0.3">
      <c r="F3161" s="64">
        <v>3158</v>
      </c>
      <c r="G3161" s="64">
        <f t="shared" ca="1" si="88"/>
        <v>8.9561006391028486E-3</v>
      </c>
    </row>
    <row r="3162" spans="6:7" x14ac:dyDescent="0.3">
      <c r="F3162" s="64">
        <v>3159</v>
      </c>
      <c r="G3162" s="64">
        <f t="shared" ca="1" si="88"/>
        <v>4.6902530846265776E-3</v>
      </c>
    </row>
    <row r="3163" spans="6:7" x14ac:dyDescent="0.3">
      <c r="F3163" s="64">
        <v>3160</v>
      </c>
      <c r="G3163" s="64">
        <f t="shared" ca="1" si="88"/>
        <v>-4.1344617339548794E-3</v>
      </c>
    </row>
    <row r="3164" spans="6:7" x14ac:dyDescent="0.3">
      <c r="F3164" s="64">
        <v>3161</v>
      </c>
      <c r="G3164" s="64">
        <f t="shared" ca="1" si="88"/>
        <v>5.9145174288424652E-3</v>
      </c>
    </row>
    <row r="3165" spans="6:7" x14ac:dyDescent="0.3">
      <c r="F3165" s="64">
        <v>3162</v>
      </c>
      <c r="G3165" s="64">
        <f t="shared" ca="1" si="88"/>
        <v>5.976005350073226E-3</v>
      </c>
    </row>
    <row r="3166" spans="6:7" x14ac:dyDescent="0.3">
      <c r="F3166" s="64">
        <v>3163</v>
      </c>
      <c r="G3166" s="64">
        <f t="shared" ca="1" si="88"/>
        <v>-1.5500285070491745E-2</v>
      </c>
    </row>
    <row r="3167" spans="6:7" x14ac:dyDescent="0.3">
      <c r="F3167" s="64">
        <v>3164</v>
      </c>
      <c r="G3167" s="64">
        <f t="shared" ca="1" si="88"/>
        <v>6.6689122748420926E-3</v>
      </c>
    </row>
    <row r="3168" spans="6:7" x14ac:dyDescent="0.3">
      <c r="F3168" s="64">
        <v>3165</v>
      </c>
      <c r="G3168" s="64">
        <f t="shared" ca="1" si="88"/>
        <v>4.4599603421817246E-3</v>
      </c>
    </row>
    <row r="3169" spans="6:7" x14ac:dyDescent="0.3">
      <c r="F3169" s="64">
        <v>3166</v>
      </c>
      <c r="G3169" s="64">
        <f t="shared" ca="1" si="88"/>
        <v>4.6661734331562926E-2</v>
      </c>
    </row>
    <row r="3170" spans="6:7" x14ac:dyDescent="0.3">
      <c r="F3170" s="64">
        <v>3167</v>
      </c>
      <c r="G3170" s="64">
        <f t="shared" ca="1" si="88"/>
        <v>-3.4066926993797882E-2</v>
      </c>
    </row>
    <row r="3171" spans="6:7" x14ac:dyDescent="0.3">
      <c r="F3171" s="64">
        <v>3168</v>
      </c>
      <c r="G3171" s="64">
        <f t="shared" ca="1" si="88"/>
        <v>9.685140048504506E-3</v>
      </c>
    </row>
    <row r="3172" spans="6:7" x14ac:dyDescent="0.3">
      <c r="F3172" s="64">
        <v>3169</v>
      </c>
      <c r="G3172" s="64">
        <f t="shared" ca="1" si="88"/>
        <v>-1.9705378047620931E-2</v>
      </c>
    </row>
    <row r="3173" spans="6:7" x14ac:dyDescent="0.3">
      <c r="F3173" s="64">
        <v>3170</v>
      </c>
      <c r="G3173" s="64">
        <f t="shared" ca="1" si="88"/>
        <v>2.4919342582544614E-2</v>
      </c>
    </row>
    <row r="3174" spans="6:7" x14ac:dyDescent="0.3">
      <c r="F3174" s="64">
        <v>3171</v>
      </c>
      <c r="G3174" s="64">
        <f t="shared" ca="1" si="88"/>
        <v>-5.8750745422305718E-2</v>
      </c>
    </row>
    <row r="3175" spans="6:7" x14ac:dyDescent="0.3">
      <c r="F3175" s="64">
        <v>3172</v>
      </c>
      <c r="G3175" s="64">
        <f t="shared" ca="1" si="88"/>
        <v>1.7146141687555301E-2</v>
      </c>
    </row>
    <row r="3176" spans="6:7" x14ac:dyDescent="0.3">
      <c r="F3176" s="64">
        <v>3173</v>
      </c>
      <c r="G3176" s="64">
        <f t="shared" ca="1" si="88"/>
        <v>1.2997378342702072E-2</v>
      </c>
    </row>
    <row r="3177" spans="6:7" x14ac:dyDescent="0.3">
      <c r="F3177" s="64">
        <v>3174</v>
      </c>
      <c r="G3177" s="64">
        <f t="shared" ca="1" si="88"/>
        <v>-4.4159064322189636E-3</v>
      </c>
    </row>
    <row r="3178" spans="6:7" x14ac:dyDescent="0.3">
      <c r="F3178" s="64">
        <v>3175</v>
      </c>
      <c r="G3178" s="64">
        <f t="shared" ca="1" si="88"/>
        <v>2.7778361200970818E-2</v>
      </c>
    </row>
    <row r="3179" spans="6:7" x14ac:dyDescent="0.3">
      <c r="F3179" s="64">
        <v>3176</v>
      </c>
      <c r="G3179" s="64">
        <f t="shared" ca="1" si="88"/>
        <v>2.5838710232936615E-2</v>
      </c>
    </row>
    <row r="3180" spans="6:7" x14ac:dyDescent="0.3">
      <c r="F3180" s="64">
        <v>3177</v>
      </c>
      <c r="G3180" s="64">
        <f t="shared" ca="1" si="88"/>
        <v>-8.8616899231449015E-3</v>
      </c>
    </row>
    <row r="3181" spans="6:7" x14ac:dyDescent="0.3">
      <c r="F3181" s="64">
        <v>3178</v>
      </c>
      <c r="G3181" s="64">
        <f t="shared" ca="1" si="88"/>
        <v>1.6233873661717036E-3</v>
      </c>
    </row>
    <row r="3182" spans="6:7" x14ac:dyDescent="0.3">
      <c r="F3182" s="64">
        <v>3179</v>
      </c>
      <c r="G3182" s="64">
        <f t="shared" ca="1" si="88"/>
        <v>3.1383247858139306E-2</v>
      </c>
    </row>
    <row r="3183" spans="6:7" x14ac:dyDescent="0.3">
      <c r="F3183" s="64">
        <v>3180</v>
      </c>
      <c r="G3183" s="64">
        <f t="shared" ca="1" si="88"/>
        <v>-2.6389883648875921E-2</v>
      </c>
    </row>
    <row r="3184" spans="6:7" x14ac:dyDescent="0.3">
      <c r="F3184" s="64">
        <v>3181</v>
      </c>
      <c r="G3184" s="64">
        <f t="shared" ca="1" si="88"/>
        <v>-2.5514590222240299E-2</v>
      </c>
    </row>
    <row r="3185" spans="6:7" x14ac:dyDescent="0.3">
      <c r="F3185" s="64">
        <v>3182</v>
      </c>
      <c r="G3185" s="64">
        <f t="shared" ca="1" si="88"/>
        <v>-3.2766825635786702E-3</v>
      </c>
    </row>
    <row r="3186" spans="6:7" x14ac:dyDescent="0.3">
      <c r="F3186" s="64">
        <v>3183</v>
      </c>
      <c r="G3186" s="64">
        <f t="shared" ca="1" si="88"/>
        <v>1.4795476038129807E-2</v>
      </c>
    </row>
    <row r="3187" spans="6:7" x14ac:dyDescent="0.3">
      <c r="F3187" s="64">
        <v>3184</v>
      </c>
      <c r="G3187" s="64">
        <f t="shared" ca="1" si="88"/>
        <v>-3.9347952141994873E-2</v>
      </c>
    </row>
    <row r="3188" spans="6:7" x14ac:dyDescent="0.3">
      <c r="F3188" s="64">
        <v>3185</v>
      </c>
      <c r="G3188" s="64">
        <f t="shared" ca="1" si="88"/>
        <v>-2.0857881991736361E-2</v>
      </c>
    </row>
    <row r="3189" spans="6:7" x14ac:dyDescent="0.3">
      <c r="F3189" s="64">
        <v>3186</v>
      </c>
      <c r="G3189" s="64">
        <f t="shared" ca="1" si="88"/>
        <v>2.0036051777177896E-3</v>
      </c>
    </row>
    <row r="3190" spans="6:7" x14ac:dyDescent="0.3">
      <c r="F3190" s="64">
        <v>3187</v>
      </c>
      <c r="G3190" s="64">
        <f t="shared" ca="1" si="88"/>
        <v>2.8934505436001276E-2</v>
      </c>
    </row>
    <row r="3191" spans="6:7" x14ac:dyDescent="0.3">
      <c r="F3191" s="64">
        <v>3188</v>
      </c>
      <c r="G3191" s="64">
        <f t="shared" ca="1" si="88"/>
        <v>-5.8482779059588113E-3</v>
      </c>
    </row>
    <row r="3192" spans="6:7" x14ac:dyDescent="0.3">
      <c r="F3192" s="64">
        <v>3189</v>
      </c>
      <c r="G3192" s="64">
        <f t="shared" ca="1" si="88"/>
        <v>-5.6111553304083158E-3</v>
      </c>
    </row>
    <row r="3193" spans="6:7" x14ac:dyDescent="0.3">
      <c r="F3193" s="64">
        <v>3190</v>
      </c>
      <c r="G3193" s="64">
        <f t="shared" ca="1" si="88"/>
        <v>1.8159620207218882E-2</v>
      </c>
    </row>
    <row r="3194" spans="6:7" x14ac:dyDescent="0.3">
      <c r="F3194" s="64">
        <v>3191</v>
      </c>
      <c r="G3194" s="64">
        <f t="shared" ca="1" si="88"/>
        <v>2.4290661441116607E-3</v>
      </c>
    </row>
    <row r="3195" spans="6:7" x14ac:dyDescent="0.3">
      <c r="F3195" s="64">
        <v>3192</v>
      </c>
      <c r="G3195" s="64">
        <f t="shared" ca="1" si="88"/>
        <v>-2.4089135791319784E-3</v>
      </c>
    </row>
    <row r="3196" spans="6:7" x14ac:dyDescent="0.3">
      <c r="F3196" s="64">
        <v>3193</v>
      </c>
      <c r="G3196" s="64">
        <f t="shared" ca="1" si="88"/>
        <v>-2.1565809476746807E-2</v>
      </c>
    </row>
    <row r="3197" spans="6:7" x14ac:dyDescent="0.3">
      <c r="F3197" s="64">
        <v>3194</v>
      </c>
      <c r="G3197" s="64">
        <f t="shared" ca="1" si="88"/>
        <v>-1.4743456502806786E-2</v>
      </c>
    </row>
    <row r="3198" spans="6:7" x14ac:dyDescent="0.3">
      <c r="F3198" s="64">
        <v>3195</v>
      </c>
      <c r="G3198" s="64">
        <f t="shared" ca="1" si="88"/>
        <v>-6.6439745280427046E-3</v>
      </c>
    </row>
    <row r="3199" spans="6:7" x14ac:dyDescent="0.3">
      <c r="F3199" s="64">
        <v>3196</v>
      </c>
      <c r="G3199" s="64">
        <f t="shared" ca="1" si="88"/>
        <v>2.4651449766980867E-2</v>
      </c>
    </row>
    <row r="3200" spans="6:7" x14ac:dyDescent="0.3">
      <c r="F3200" s="64">
        <v>3197</v>
      </c>
      <c r="G3200" s="64">
        <f t="shared" ca="1" si="88"/>
        <v>-1.3182123412621871E-2</v>
      </c>
    </row>
    <row r="3201" spans="6:7" x14ac:dyDescent="0.3">
      <c r="F3201" s="64">
        <v>3198</v>
      </c>
      <c r="G3201" s="64">
        <f t="shared" ca="1" si="88"/>
        <v>3.4690499197166727E-3</v>
      </c>
    </row>
    <row r="3202" spans="6:7" x14ac:dyDescent="0.3">
      <c r="F3202" s="64">
        <v>3199</v>
      </c>
      <c r="G3202" s="64">
        <f t="shared" ca="1" si="88"/>
        <v>1.7585899700630778E-2</v>
      </c>
    </row>
    <row r="3203" spans="6:7" x14ac:dyDescent="0.3">
      <c r="F3203" s="64">
        <v>3200</v>
      </c>
      <c r="G3203" s="64">
        <f t="shared" ca="1" si="88"/>
        <v>-1.148677161481363E-2</v>
      </c>
    </row>
    <row r="3204" spans="6:7" x14ac:dyDescent="0.3">
      <c r="F3204" s="64">
        <v>3201</v>
      </c>
      <c r="G3204" s="64">
        <f t="shared" ca="1" si="88"/>
        <v>6.1073560734131423E-3</v>
      </c>
    </row>
    <row r="3205" spans="6:7" x14ac:dyDescent="0.3">
      <c r="F3205" s="64">
        <v>3202</v>
      </c>
      <c r="G3205" s="64">
        <f t="shared" ref="G3205:G3268" ca="1" si="89">_xlfn.NORM.INV(RAND(),K$6,K$7)</f>
        <v>-6.6361897541411686E-3</v>
      </c>
    </row>
    <row r="3206" spans="6:7" x14ac:dyDescent="0.3">
      <c r="F3206" s="64">
        <v>3203</v>
      </c>
      <c r="G3206" s="64">
        <f t="shared" ca="1" si="89"/>
        <v>-3.1799730843300985E-3</v>
      </c>
    </row>
    <row r="3207" spans="6:7" x14ac:dyDescent="0.3">
      <c r="F3207" s="64">
        <v>3204</v>
      </c>
      <c r="G3207" s="64">
        <f t="shared" ca="1" si="89"/>
        <v>-1.6555086221006841E-2</v>
      </c>
    </row>
    <row r="3208" spans="6:7" x14ac:dyDescent="0.3">
      <c r="F3208" s="64">
        <v>3205</v>
      </c>
      <c r="G3208" s="64">
        <f t="shared" ca="1" si="89"/>
        <v>-9.1755139565206402E-3</v>
      </c>
    </row>
    <row r="3209" spans="6:7" x14ac:dyDescent="0.3">
      <c r="F3209" s="64">
        <v>3206</v>
      </c>
      <c r="G3209" s="64">
        <f t="shared" ca="1" si="89"/>
        <v>3.8257290528984256E-3</v>
      </c>
    </row>
    <row r="3210" spans="6:7" x14ac:dyDescent="0.3">
      <c r="F3210" s="64">
        <v>3207</v>
      </c>
      <c r="G3210" s="64">
        <f t="shared" ca="1" si="89"/>
        <v>2.2874790174203519E-2</v>
      </c>
    </row>
    <row r="3211" spans="6:7" x14ac:dyDescent="0.3">
      <c r="F3211" s="64">
        <v>3208</v>
      </c>
      <c r="G3211" s="64">
        <f t="shared" ca="1" si="89"/>
        <v>2.0443135761254859E-2</v>
      </c>
    </row>
    <row r="3212" spans="6:7" x14ac:dyDescent="0.3">
      <c r="F3212" s="64">
        <v>3209</v>
      </c>
      <c r="G3212" s="64">
        <f t="shared" ca="1" si="89"/>
        <v>3.0634881137965122E-3</v>
      </c>
    </row>
    <row r="3213" spans="6:7" x14ac:dyDescent="0.3">
      <c r="F3213" s="64">
        <v>3210</v>
      </c>
      <c r="G3213" s="64">
        <f t="shared" ca="1" si="89"/>
        <v>1.1711910913772905E-2</v>
      </c>
    </row>
    <row r="3214" spans="6:7" x14ac:dyDescent="0.3">
      <c r="F3214" s="64">
        <v>3211</v>
      </c>
      <c r="G3214" s="64">
        <f t="shared" ca="1" si="89"/>
        <v>1.6222925183883394E-2</v>
      </c>
    </row>
    <row r="3215" spans="6:7" x14ac:dyDescent="0.3">
      <c r="F3215" s="64">
        <v>3212</v>
      </c>
      <c r="G3215" s="64">
        <f t="shared" ca="1" si="89"/>
        <v>-1.1362162431742755E-2</v>
      </c>
    </row>
    <row r="3216" spans="6:7" x14ac:dyDescent="0.3">
      <c r="F3216" s="64">
        <v>3213</v>
      </c>
      <c r="G3216" s="64">
        <f t="shared" ca="1" si="89"/>
        <v>-3.1405750342958089E-2</v>
      </c>
    </row>
    <row r="3217" spans="6:7" x14ac:dyDescent="0.3">
      <c r="F3217" s="64">
        <v>3214</v>
      </c>
      <c r="G3217" s="64">
        <f t="shared" ca="1" si="89"/>
        <v>-1.7078987014326474E-2</v>
      </c>
    </row>
    <row r="3218" spans="6:7" x14ac:dyDescent="0.3">
      <c r="F3218" s="64">
        <v>3215</v>
      </c>
      <c r="G3218" s="64">
        <f t="shared" ca="1" si="89"/>
        <v>2.6042367995873582E-2</v>
      </c>
    </row>
    <row r="3219" spans="6:7" x14ac:dyDescent="0.3">
      <c r="F3219" s="64">
        <v>3216</v>
      </c>
      <c r="G3219" s="64">
        <f t="shared" ca="1" si="89"/>
        <v>3.118440471216341E-2</v>
      </c>
    </row>
    <row r="3220" spans="6:7" x14ac:dyDescent="0.3">
      <c r="F3220" s="64">
        <v>3217</v>
      </c>
      <c r="G3220" s="64">
        <f t="shared" ca="1" si="89"/>
        <v>9.5484262922471835E-3</v>
      </c>
    </row>
    <row r="3221" spans="6:7" x14ac:dyDescent="0.3">
      <c r="F3221" s="64">
        <v>3218</v>
      </c>
      <c r="G3221" s="64">
        <f t="shared" ca="1" si="89"/>
        <v>-6.7140706664615014E-3</v>
      </c>
    </row>
    <row r="3222" spans="6:7" x14ac:dyDescent="0.3">
      <c r="F3222" s="64">
        <v>3219</v>
      </c>
      <c r="G3222" s="64">
        <f t="shared" ca="1" si="89"/>
        <v>-4.5835369111051898E-2</v>
      </c>
    </row>
    <row r="3223" spans="6:7" x14ac:dyDescent="0.3">
      <c r="F3223" s="64">
        <v>3220</v>
      </c>
      <c r="G3223" s="64">
        <f t="shared" ca="1" si="89"/>
        <v>4.4248043913526231E-3</v>
      </c>
    </row>
    <row r="3224" spans="6:7" x14ac:dyDescent="0.3">
      <c r="F3224" s="64">
        <v>3221</v>
      </c>
      <c r="G3224" s="64">
        <f t="shared" ca="1" si="89"/>
        <v>2.8213251432199618E-2</v>
      </c>
    </row>
    <row r="3225" spans="6:7" x14ac:dyDescent="0.3">
      <c r="F3225" s="64">
        <v>3222</v>
      </c>
      <c r="G3225" s="64">
        <f t="shared" ca="1" si="89"/>
        <v>3.4764792588608056E-4</v>
      </c>
    </row>
    <row r="3226" spans="6:7" x14ac:dyDescent="0.3">
      <c r="F3226" s="64">
        <v>3223</v>
      </c>
      <c r="G3226" s="64">
        <f t="shared" ca="1" si="89"/>
        <v>-1.5137612983349926E-2</v>
      </c>
    </row>
    <row r="3227" spans="6:7" x14ac:dyDescent="0.3">
      <c r="F3227" s="64">
        <v>3224</v>
      </c>
      <c r="G3227" s="64">
        <f t="shared" ca="1" si="89"/>
        <v>1.751603834748304E-2</v>
      </c>
    </row>
    <row r="3228" spans="6:7" x14ac:dyDescent="0.3">
      <c r="F3228" s="64">
        <v>3225</v>
      </c>
      <c r="G3228" s="64">
        <f t="shared" ca="1" si="89"/>
        <v>4.1345712155836087E-2</v>
      </c>
    </row>
    <row r="3229" spans="6:7" x14ac:dyDescent="0.3">
      <c r="F3229" s="64">
        <v>3226</v>
      </c>
      <c r="G3229" s="64">
        <f t="shared" ca="1" si="89"/>
        <v>1.785134522739585E-2</v>
      </c>
    </row>
    <row r="3230" spans="6:7" x14ac:dyDescent="0.3">
      <c r="F3230" s="64">
        <v>3227</v>
      </c>
      <c r="G3230" s="64">
        <f t="shared" ca="1" si="89"/>
        <v>-7.4821704268798594E-3</v>
      </c>
    </row>
    <row r="3231" spans="6:7" x14ac:dyDescent="0.3">
      <c r="F3231" s="64">
        <v>3228</v>
      </c>
      <c r="G3231" s="64">
        <f t="shared" ca="1" si="89"/>
        <v>7.7723998883804397E-3</v>
      </c>
    </row>
    <row r="3232" spans="6:7" x14ac:dyDescent="0.3">
      <c r="F3232" s="64">
        <v>3229</v>
      </c>
      <c r="G3232" s="64">
        <f t="shared" ca="1" si="89"/>
        <v>2.16495898344881E-2</v>
      </c>
    </row>
    <row r="3233" spans="6:7" x14ac:dyDescent="0.3">
      <c r="F3233" s="64">
        <v>3230</v>
      </c>
      <c r="G3233" s="64">
        <f t="shared" ca="1" si="89"/>
        <v>1.2875116191055908E-2</v>
      </c>
    </row>
    <row r="3234" spans="6:7" x14ac:dyDescent="0.3">
      <c r="F3234" s="64">
        <v>3231</v>
      </c>
      <c r="G3234" s="64">
        <f t="shared" ca="1" si="89"/>
        <v>-1.2525419993355149E-2</v>
      </c>
    </row>
    <row r="3235" spans="6:7" x14ac:dyDescent="0.3">
      <c r="F3235" s="64">
        <v>3232</v>
      </c>
      <c r="G3235" s="64">
        <f t="shared" ca="1" si="89"/>
        <v>2.2265016407643279E-2</v>
      </c>
    </row>
    <row r="3236" spans="6:7" x14ac:dyDescent="0.3">
      <c r="F3236" s="64">
        <v>3233</v>
      </c>
      <c r="G3236" s="64">
        <f t="shared" ca="1" si="89"/>
        <v>2.1107441831966597E-2</v>
      </c>
    </row>
    <row r="3237" spans="6:7" x14ac:dyDescent="0.3">
      <c r="F3237" s="64">
        <v>3234</v>
      </c>
      <c r="G3237" s="64">
        <f t="shared" ca="1" si="89"/>
        <v>8.9054466709958622E-3</v>
      </c>
    </row>
    <row r="3238" spans="6:7" x14ac:dyDescent="0.3">
      <c r="F3238" s="64">
        <v>3235</v>
      </c>
      <c r="G3238" s="64">
        <f t="shared" ca="1" si="89"/>
        <v>1.7899706733931847E-2</v>
      </c>
    </row>
    <row r="3239" spans="6:7" x14ac:dyDescent="0.3">
      <c r="F3239" s="64">
        <v>3236</v>
      </c>
      <c r="G3239" s="64">
        <f t="shared" ca="1" si="89"/>
        <v>-3.3839949635921184E-4</v>
      </c>
    </row>
    <row r="3240" spans="6:7" x14ac:dyDescent="0.3">
      <c r="F3240" s="64">
        <v>3237</v>
      </c>
      <c r="G3240" s="64">
        <f t="shared" ca="1" si="89"/>
        <v>-1.7746251364627125E-2</v>
      </c>
    </row>
    <row r="3241" spans="6:7" x14ac:dyDescent="0.3">
      <c r="F3241" s="64">
        <v>3238</v>
      </c>
      <c r="G3241" s="64">
        <f t="shared" ca="1" si="89"/>
        <v>5.9970660715137061E-4</v>
      </c>
    </row>
    <row r="3242" spans="6:7" x14ac:dyDescent="0.3">
      <c r="F3242" s="64">
        <v>3239</v>
      </c>
      <c r="G3242" s="64">
        <f t="shared" ca="1" si="89"/>
        <v>-1.3584902469763231E-2</v>
      </c>
    </row>
    <row r="3243" spans="6:7" x14ac:dyDescent="0.3">
      <c r="F3243" s="64">
        <v>3240</v>
      </c>
      <c r="G3243" s="64">
        <f t="shared" ca="1" si="89"/>
        <v>-6.2678407630333286E-3</v>
      </c>
    </row>
    <row r="3244" spans="6:7" x14ac:dyDescent="0.3">
      <c r="F3244" s="64">
        <v>3241</v>
      </c>
      <c r="G3244" s="64">
        <f t="shared" ca="1" si="89"/>
        <v>1.791549054201319E-2</v>
      </c>
    </row>
    <row r="3245" spans="6:7" x14ac:dyDescent="0.3">
      <c r="F3245" s="64">
        <v>3242</v>
      </c>
      <c r="G3245" s="64">
        <f t="shared" ca="1" si="89"/>
        <v>-7.1434764132336241E-4</v>
      </c>
    </row>
    <row r="3246" spans="6:7" x14ac:dyDescent="0.3">
      <c r="F3246" s="64">
        <v>3243</v>
      </c>
      <c r="G3246" s="64">
        <f t="shared" ca="1" si="89"/>
        <v>-1.8003531117253557E-2</v>
      </c>
    </row>
    <row r="3247" spans="6:7" x14ac:dyDescent="0.3">
      <c r="F3247" s="64">
        <v>3244</v>
      </c>
      <c r="G3247" s="64">
        <f t="shared" ca="1" si="89"/>
        <v>1.2241560482340642E-2</v>
      </c>
    </row>
    <row r="3248" spans="6:7" x14ac:dyDescent="0.3">
      <c r="F3248" s="64">
        <v>3245</v>
      </c>
      <c r="G3248" s="64">
        <f t="shared" ca="1" si="89"/>
        <v>3.9148016080148382E-2</v>
      </c>
    </row>
    <row r="3249" spans="6:7" x14ac:dyDescent="0.3">
      <c r="F3249" s="64">
        <v>3246</v>
      </c>
      <c r="G3249" s="64">
        <f t="shared" ca="1" si="89"/>
        <v>7.2205682290974026E-3</v>
      </c>
    </row>
    <row r="3250" spans="6:7" x14ac:dyDescent="0.3">
      <c r="F3250" s="64">
        <v>3247</v>
      </c>
      <c r="G3250" s="64">
        <f t="shared" ca="1" si="89"/>
        <v>1.2614775425567304E-3</v>
      </c>
    </row>
    <row r="3251" spans="6:7" x14ac:dyDescent="0.3">
      <c r="F3251" s="64">
        <v>3248</v>
      </c>
      <c r="G3251" s="64">
        <f t="shared" ca="1" si="89"/>
        <v>1.8885746441902433E-2</v>
      </c>
    </row>
    <row r="3252" spans="6:7" x14ac:dyDescent="0.3">
      <c r="F3252" s="64">
        <v>3249</v>
      </c>
      <c r="G3252" s="64">
        <f t="shared" ca="1" si="89"/>
        <v>5.5724837634747483E-3</v>
      </c>
    </row>
    <row r="3253" spans="6:7" x14ac:dyDescent="0.3">
      <c r="F3253" s="64">
        <v>3250</v>
      </c>
      <c r="G3253" s="64">
        <f t="shared" ca="1" si="89"/>
        <v>-5.5994778944551769E-3</v>
      </c>
    </row>
    <row r="3254" spans="6:7" x14ac:dyDescent="0.3">
      <c r="F3254" s="64">
        <v>3251</v>
      </c>
      <c r="G3254" s="64">
        <f t="shared" ca="1" si="89"/>
        <v>-3.2252052617446077E-2</v>
      </c>
    </row>
    <row r="3255" spans="6:7" x14ac:dyDescent="0.3">
      <c r="F3255" s="64">
        <v>3252</v>
      </c>
      <c r="G3255" s="64">
        <f t="shared" ca="1" si="89"/>
        <v>1.0370103239133175E-2</v>
      </c>
    </row>
    <row r="3256" spans="6:7" x14ac:dyDescent="0.3">
      <c r="F3256" s="64">
        <v>3253</v>
      </c>
      <c r="G3256" s="64">
        <f t="shared" ca="1" si="89"/>
        <v>2.5624151257512016E-2</v>
      </c>
    </row>
    <row r="3257" spans="6:7" x14ac:dyDescent="0.3">
      <c r="F3257" s="64">
        <v>3254</v>
      </c>
      <c r="G3257" s="64">
        <f t="shared" ca="1" si="89"/>
        <v>6.2879710647376673E-3</v>
      </c>
    </row>
    <row r="3258" spans="6:7" x14ac:dyDescent="0.3">
      <c r="F3258" s="64">
        <v>3255</v>
      </c>
      <c r="G3258" s="64">
        <f t="shared" ca="1" si="89"/>
        <v>1.0514480770861903E-2</v>
      </c>
    </row>
    <row r="3259" spans="6:7" x14ac:dyDescent="0.3">
      <c r="F3259" s="64">
        <v>3256</v>
      </c>
      <c r="G3259" s="64">
        <f t="shared" ca="1" si="89"/>
        <v>-1.7616040488443258E-2</v>
      </c>
    </row>
    <row r="3260" spans="6:7" x14ac:dyDescent="0.3">
      <c r="F3260" s="64">
        <v>3257</v>
      </c>
      <c r="G3260" s="64">
        <f t="shared" ca="1" si="89"/>
        <v>2.1459020338513768E-2</v>
      </c>
    </row>
    <row r="3261" spans="6:7" x14ac:dyDescent="0.3">
      <c r="F3261" s="64">
        <v>3258</v>
      </c>
      <c r="G3261" s="64">
        <f t="shared" ca="1" si="89"/>
        <v>2.9365786336902084E-3</v>
      </c>
    </row>
    <row r="3262" spans="6:7" x14ac:dyDescent="0.3">
      <c r="F3262" s="64">
        <v>3259</v>
      </c>
      <c r="G3262" s="64">
        <f t="shared" ca="1" si="89"/>
        <v>-1.3922481425213573E-2</v>
      </c>
    </row>
    <row r="3263" spans="6:7" x14ac:dyDescent="0.3">
      <c r="F3263" s="64">
        <v>3260</v>
      </c>
      <c r="G3263" s="64">
        <f t="shared" ca="1" si="89"/>
        <v>-2.8484974264315642E-2</v>
      </c>
    </row>
    <row r="3264" spans="6:7" x14ac:dyDescent="0.3">
      <c r="F3264" s="64">
        <v>3261</v>
      </c>
      <c r="G3264" s="64">
        <f t="shared" ca="1" si="89"/>
        <v>5.3266896775351433E-3</v>
      </c>
    </row>
    <row r="3265" spans="6:7" x14ac:dyDescent="0.3">
      <c r="F3265" s="64">
        <v>3262</v>
      </c>
      <c r="G3265" s="64">
        <f t="shared" ca="1" si="89"/>
        <v>-1.0779650423639749E-4</v>
      </c>
    </row>
    <row r="3266" spans="6:7" x14ac:dyDescent="0.3">
      <c r="F3266" s="64">
        <v>3263</v>
      </c>
      <c r="G3266" s="64">
        <f t="shared" ca="1" si="89"/>
        <v>5.9170094570041758E-3</v>
      </c>
    </row>
    <row r="3267" spans="6:7" x14ac:dyDescent="0.3">
      <c r="F3267" s="64">
        <v>3264</v>
      </c>
      <c r="G3267" s="64">
        <f t="shared" ca="1" si="89"/>
        <v>-3.38553631939425E-2</v>
      </c>
    </row>
    <row r="3268" spans="6:7" x14ac:dyDescent="0.3">
      <c r="F3268" s="64">
        <v>3265</v>
      </c>
      <c r="G3268" s="64">
        <f t="shared" ca="1" si="89"/>
        <v>1.0855047177424934E-2</v>
      </c>
    </row>
    <row r="3269" spans="6:7" x14ac:dyDescent="0.3">
      <c r="F3269" s="64">
        <v>3266</v>
      </c>
      <c r="G3269" s="64">
        <f t="shared" ref="G3269:G3332" ca="1" si="90">_xlfn.NORM.INV(RAND(),K$6,K$7)</f>
        <v>-1.8823472669015698E-2</v>
      </c>
    </row>
    <row r="3270" spans="6:7" x14ac:dyDescent="0.3">
      <c r="F3270" s="64">
        <v>3267</v>
      </c>
      <c r="G3270" s="64">
        <f t="shared" ca="1" si="90"/>
        <v>-1.4262339604597823E-3</v>
      </c>
    </row>
    <row r="3271" spans="6:7" x14ac:dyDescent="0.3">
      <c r="F3271" s="64">
        <v>3268</v>
      </c>
      <c r="G3271" s="64">
        <f t="shared" ca="1" si="90"/>
        <v>2.5725998901990191E-2</v>
      </c>
    </row>
    <row r="3272" spans="6:7" x14ac:dyDescent="0.3">
      <c r="F3272" s="64">
        <v>3269</v>
      </c>
      <c r="G3272" s="64">
        <f t="shared" ca="1" si="90"/>
        <v>-2.3786258762009328E-2</v>
      </c>
    </row>
    <row r="3273" spans="6:7" x14ac:dyDescent="0.3">
      <c r="F3273" s="64">
        <v>3270</v>
      </c>
      <c r="G3273" s="64">
        <f t="shared" ca="1" si="90"/>
        <v>-2.5230480106583544E-3</v>
      </c>
    </row>
    <row r="3274" spans="6:7" x14ac:dyDescent="0.3">
      <c r="F3274" s="64">
        <v>3271</v>
      </c>
      <c r="G3274" s="64">
        <f t="shared" ca="1" si="90"/>
        <v>1.0289943682584323E-2</v>
      </c>
    </row>
    <row r="3275" spans="6:7" x14ac:dyDescent="0.3">
      <c r="F3275" s="64">
        <v>3272</v>
      </c>
      <c r="G3275" s="64">
        <f t="shared" ca="1" si="90"/>
        <v>-1.8666196231445845E-2</v>
      </c>
    </row>
    <row r="3276" spans="6:7" x14ac:dyDescent="0.3">
      <c r="F3276" s="64">
        <v>3273</v>
      </c>
      <c r="G3276" s="64">
        <f t="shared" ca="1" si="90"/>
        <v>-1.6310630225808413E-2</v>
      </c>
    </row>
    <row r="3277" spans="6:7" x14ac:dyDescent="0.3">
      <c r="F3277" s="64">
        <v>3274</v>
      </c>
      <c r="G3277" s="64">
        <f t="shared" ca="1" si="90"/>
        <v>-1.2438540512686532E-2</v>
      </c>
    </row>
    <row r="3278" spans="6:7" x14ac:dyDescent="0.3">
      <c r="F3278" s="64">
        <v>3275</v>
      </c>
      <c r="G3278" s="64">
        <f t="shared" ca="1" si="90"/>
        <v>7.2501468837147852E-3</v>
      </c>
    </row>
    <row r="3279" spans="6:7" x14ac:dyDescent="0.3">
      <c r="F3279" s="64">
        <v>3276</v>
      </c>
      <c r="G3279" s="64">
        <f t="shared" ca="1" si="90"/>
        <v>-2.2518187511685869E-2</v>
      </c>
    </row>
    <row r="3280" spans="6:7" x14ac:dyDescent="0.3">
      <c r="F3280" s="64">
        <v>3277</v>
      </c>
      <c r="G3280" s="64">
        <f t="shared" ca="1" si="90"/>
        <v>-1.1559671550784424E-2</v>
      </c>
    </row>
    <row r="3281" spans="6:7" x14ac:dyDescent="0.3">
      <c r="F3281" s="64">
        <v>3278</v>
      </c>
      <c r="G3281" s="64">
        <f t="shared" ca="1" si="90"/>
        <v>-5.9798467483718467E-3</v>
      </c>
    </row>
    <row r="3282" spans="6:7" x14ac:dyDescent="0.3">
      <c r="F3282" s="64">
        <v>3279</v>
      </c>
      <c r="G3282" s="64">
        <f t="shared" ca="1" si="90"/>
        <v>-5.4892801693453295E-3</v>
      </c>
    </row>
    <row r="3283" spans="6:7" x14ac:dyDescent="0.3">
      <c r="F3283" s="64">
        <v>3280</v>
      </c>
      <c r="G3283" s="64">
        <f t="shared" ca="1" si="90"/>
        <v>1.8410797705859287E-2</v>
      </c>
    </row>
    <row r="3284" spans="6:7" x14ac:dyDescent="0.3">
      <c r="F3284" s="64">
        <v>3281</v>
      </c>
      <c r="G3284" s="64">
        <f t="shared" ca="1" si="90"/>
        <v>3.4060437789514425E-2</v>
      </c>
    </row>
    <row r="3285" spans="6:7" x14ac:dyDescent="0.3">
      <c r="F3285" s="64">
        <v>3282</v>
      </c>
      <c r="G3285" s="64">
        <f t="shared" ca="1" si="90"/>
        <v>2.6197380286679575E-2</v>
      </c>
    </row>
    <row r="3286" spans="6:7" x14ac:dyDescent="0.3">
      <c r="F3286" s="64">
        <v>3283</v>
      </c>
      <c r="G3286" s="64">
        <f t="shared" ca="1" si="90"/>
        <v>5.1791687007000315E-3</v>
      </c>
    </row>
    <row r="3287" spans="6:7" x14ac:dyDescent="0.3">
      <c r="F3287" s="64">
        <v>3284</v>
      </c>
      <c r="G3287" s="64">
        <f t="shared" ca="1" si="90"/>
        <v>1.7833406802006692E-3</v>
      </c>
    </row>
    <row r="3288" spans="6:7" x14ac:dyDescent="0.3">
      <c r="F3288" s="64">
        <v>3285</v>
      </c>
      <c r="G3288" s="64">
        <f t="shared" ca="1" si="90"/>
        <v>7.314215625438554E-3</v>
      </c>
    </row>
    <row r="3289" spans="6:7" x14ac:dyDescent="0.3">
      <c r="F3289" s="64">
        <v>3286</v>
      </c>
      <c r="G3289" s="64">
        <f t="shared" ca="1" si="90"/>
        <v>-2.5315197733340858E-2</v>
      </c>
    </row>
    <row r="3290" spans="6:7" x14ac:dyDescent="0.3">
      <c r="F3290" s="64">
        <v>3287</v>
      </c>
      <c r="G3290" s="64">
        <f t="shared" ca="1" si="90"/>
        <v>-1.1843483520034536E-2</v>
      </c>
    </row>
    <row r="3291" spans="6:7" x14ac:dyDescent="0.3">
      <c r="F3291" s="64">
        <v>3288</v>
      </c>
      <c r="G3291" s="64">
        <f t="shared" ca="1" si="90"/>
        <v>1.102099813262789E-2</v>
      </c>
    </row>
    <row r="3292" spans="6:7" x14ac:dyDescent="0.3">
      <c r="F3292" s="64">
        <v>3289</v>
      </c>
      <c r="G3292" s="64">
        <f t="shared" ca="1" si="90"/>
        <v>9.3513194298762512E-3</v>
      </c>
    </row>
    <row r="3293" spans="6:7" x14ac:dyDescent="0.3">
      <c r="F3293" s="64">
        <v>3290</v>
      </c>
      <c r="G3293" s="64">
        <f t="shared" ca="1" si="90"/>
        <v>1.5337167734371628E-2</v>
      </c>
    </row>
    <row r="3294" spans="6:7" x14ac:dyDescent="0.3">
      <c r="F3294" s="64">
        <v>3291</v>
      </c>
      <c r="G3294" s="64">
        <f t="shared" ca="1" si="90"/>
        <v>-5.4829105388149004E-3</v>
      </c>
    </row>
    <row r="3295" spans="6:7" x14ac:dyDescent="0.3">
      <c r="F3295" s="64">
        <v>3292</v>
      </c>
      <c r="G3295" s="64">
        <f t="shared" ca="1" si="90"/>
        <v>-4.2044432715402386E-3</v>
      </c>
    </row>
    <row r="3296" spans="6:7" x14ac:dyDescent="0.3">
      <c r="F3296" s="64">
        <v>3293</v>
      </c>
      <c r="G3296" s="64">
        <f t="shared" ca="1" si="90"/>
        <v>-6.2836090804773946E-3</v>
      </c>
    </row>
    <row r="3297" spans="6:7" x14ac:dyDescent="0.3">
      <c r="F3297" s="64">
        <v>3294</v>
      </c>
      <c r="G3297" s="64">
        <f t="shared" ca="1" si="90"/>
        <v>4.6043393522976976E-2</v>
      </c>
    </row>
    <row r="3298" spans="6:7" x14ac:dyDescent="0.3">
      <c r="F3298" s="64">
        <v>3295</v>
      </c>
      <c r="G3298" s="64">
        <f t="shared" ca="1" si="90"/>
        <v>1.6696823774001071E-2</v>
      </c>
    </row>
    <row r="3299" spans="6:7" x14ac:dyDescent="0.3">
      <c r="F3299" s="64">
        <v>3296</v>
      </c>
      <c r="G3299" s="64">
        <f t="shared" ca="1" si="90"/>
        <v>1.280689687175731E-2</v>
      </c>
    </row>
    <row r="3300" spans="6:7" x14ac:dyDescent="0.3">
      <c r="F3300" s="64">
        <v>3297</v>
      </c>
      <c r="G3300" s="64">
        <f t="shared" ca="1" si="90"/>
        <v>1.7270761133571906E-2</v>
      </c>
    </row>
    <row r="3301" spans="6:7" x14ac:dyDescent="0.3">
      <c r="F3301" s="64">
        <v>3298</v>
      </c>
      <c r="G3301" s="64">
        <f t="shared" ca="1" si="90"/>
        <v>-2.9284317245384626E-3</v>
      </c>
    </row>
    <row r="3302" spans="6:7" x14ac:dyDescent="0.3">
      <c r="F3302" s="64">
        <v>3299</v>
      </c>
      <c r="G3302" s="64">
        <f t="shared" ca="1" si="90"/>
        <v>-1.4333996958244754E-2</v>
      </c>
    </row>
    <row r="3303" spans="6:7" x14ac:dyDescent="0.3">
      <c r="F3303" s="64">
        <v>3300</v>
      </c>
      <c r="G3303" s="64">
        <f t="shared" ca="1" si="90"/>
        <v>3.4868003951669405E-2</v>
      </c>
    </row>
    <row r="3304" spans="6:7" x14ac:dyDescent="0.3">
      <c r="F3304" s="64">
        <v>3301</v>
      </c>
      <c r="G3304" s="64">
        <f t="shared" ca="1" si="90"/>
        <v>-1.7476905161814046E-3</v>
      </c>
    </row>
    <row r="3305" spans="6:7" x14ac:dyDescent="0.3">
      <c r="F3305" s="64">
        <v>3302</v>
      </c>
      <c r="G3305" s="64">
        <f t="shared" ca="1" si="90"/>
        <v>-1.1772869177970151E-3</v>
      </c>
    </row>
    <row r="3306" spans="6:7" x14ac:dyDescent="0.3">
      <c r="F3306" s="64">
        <v>3303</v>
      </c>
      <c r="G3306" s="64">
        <f t="shared" ca="1" si="90"/>
        <v>2.4680775857007488E-2</v>
      </c>
    </row>
    <row r="3307" spans="6:7" x14ac:dyDescent="0.3">
      <c r="F3307" s="64">
        <v>3304</v>
      </c>
      <c r="G3307" s="64">
        <f t="shared" ca="1" si="90"/>
        <v>-1.3360991946376926E-2</v>
      </c>
    </row>
    <row r="3308" spans="6:7" x14ac:dyDescent="0.3">
      <c r="F3308" s="64">
        <v>3305</v>
      </c>
      <c r="G3308" s="64">
        <f t="shared" ca="1" si="90"/>
        <v>-6.7791789834565283E-3</v>
      </c>
    </row>
    <row r="3309" spans="6:7" x14ac:dyDescent="0.3">
      <c r="F3309" s="64">
        <v>3306</v>
      </c>
      <c r="G3309" s="64">
        <f t="shared" ca="1" si="90"/>
        <v>1.7021953392153372E-2</v>
      </c>
    </row>
    <row r="3310" spans="6:7" x14ac:dyDescent="0.3">
      <c r="F3310" s="64">
        <v>3307</v>
      </c>
      <c r="G3310" s="64">
        <f t="shared" ca="1" si="90"/>
        <v>2.6698058596068448E-2</v>
      </c>
    </row>
    <row r="3311" spans="6:7" x14ac:dyDescent="0.3">
      <c r="F3311" s="64">
        <v>3308</v>
      </c>
      <c r="G3311" s="64">
        <f t="shared" ca="1" si="90"/>
        <v>-1.8218282380897174E-3</v>
      </c>
    </row>
    <row r="3312" spans="6:7" x14ac:dyDescent="0.3">
      <c r="F3312" s="64">
        <v>3309</v>
      </c>
      <c r="G3312" s="64">
        <f t="shared" ca="1" si="90"/>
        <v>6.2361513587305007E-3</v>
      </c>
    </row>
    <row r="3313" spans="6:7" x14ac:dyDescent="0.3">
      <c r="F3313" s="64">
        <v>3310</v>
      </c>
      <c r="G3313" s="64">
        <f t="shared" ca="1" si="90"/>
        <v>5.2888898288995902E-3</v>
      </c>
    </row>
    <row r="3314" spans="6:7" x14ac:dyDescent="0.3">
      <c r="F3314" s="64">
        <v>3311</v>
      </c>
      <c r="G3314" s="64">
        <f t="shared" ca="1" si="90"/>
        <v>1.0410535210556102E-4</v>
      </c>
    </row>
    <row r="3315" spans="6:7" x14ac:dyDescent="0.3">
      <c r="F3315" s="64">
        <v>3312</v>
      </c>
      <c r="G3315" s="64">
        <f t="shared" ca="1" si="90"/>
        <v>-1.5680511115389283E-2</v>
      </c>
    </row>
    <row r="3316" spans="6:7" x14ac:dyDescent="0.3">
      <c r="F3316" s="64">
        <v>3313</v>
      </c>
      <c r="G3316" s="64">
        <f t="shared" ca="1" si="90"/>
        <v>1.657428675746098E-2</v>
      </c>
    </row>
    <row r="3317" spans="6:7" x14ac:dyDescent="0.3">
      <c r="F3317" s="64">
        <v>3314</v>
      </c>
      <c r="G3317" s="64">
        <f t="shared" ca="1" si="90"/>
        <v>6.0993992066073243E-3</v>
      </c>
    </row>
    <row r="3318" spans="6:7" x14ac:dyDescent="0.3">
      <c r="F3318" s="64">
        <v>3315</v>
      </c>
      <c r="G3318" s="64">
        <f t="shared" ca="1" si="90"/>
        <v>2.1124412491500419E-2</v>
      </c>
    </row>
    <row r="3319" spans="6:7" x14ac:dyDescent="0.3">
      <c r="F3319" s="64">
        <v>3316</v>
      </c>
      <c r="G3319" s="64">
        <f t="shared" ca="1" si="90"/>
        <v>2.4638879309066643E-2</v>
      </c>
    </row>
    <row r="3320" spans="6:7" x14ac:dyDescent="0.3">
      <c r="F3320" s="64">
        <v>3317</v>
      </c>
      <c r="G3320" s="64">
        <f t="shared" ca="1" si="90"/>
        <v>1.2778377331227506E-2</v>
      </c>
    </row>
    <row r="3321" spans="6:7" x14ac:dyDescent="0.3">
      <c r="F3321" s="64">
        <v>3318</v>
      </c>
      <c r="G3321" s="64">
        <f t="shared" ca="1" si="90"/>
        <v>-9.5313117550834114E-3</v>
      </c>
    </row>
    <row r="3322" spans="6:7" x14ac:dyDescent="0.3">
      <c r="F3322" s="64">
        <v>3319</v>
      </c>
      <c r="G3322" s="64">
        <f t="shared" ca="1" si="90"/>
        <v>1.3203178848276145E-2</v>
      </c>
    </row>
    <row r="3323" spans="6:7" x14ac:dyDescent="0.3">
      <c r="F3323" s="64">
        <v>3320</v>
      </c>
      <c r="G3323" s="64">
        <f t="shared" ca="1" si="90"/>
        <v>2.7141345706260311E-2</v>
      </c>
    </row>
    <row r="3324" spans="6:7" x14ac:dyDescent="0.3">
      <c r="F3324" s="64">
        <v>3321</v>
      </c>
      <c r="G3324" s="64">
        <f t="shared" ca="1" si="90"/>
        <v>8.7024362823269162E-3</v>
      </c>
    </row>
    <row r="3325" spans="6:7" x14ac:dyDescent="0.3">
      <c r="F3325" s="64">
        <v>3322</v>
      </c>
      <c r="G3325" s="64">
        <f t="shared" ca="1" si="90"/>
        <v>1.0135210296841609E-2</v>
      </c>
    </row>
    <row r="3326" spans="6:7" x14ac:dyDescent="0.3">
      <c r="F3326" s="64">
        <v>3323</v>
      </c>
      <c r="G3326" s="64">
        <f t="shared" ca="1" si="90"/>
        <v>-3.8506583714168457E-2</v>
      </c>
    </row>
    <row r="3327" spans="6:7" x14ac:dyDescent="0.3">
      <c r="F3327" s="64">
        <v>3324</v>
      </c>
      <c r="G3327" s="64">
        <f t="shared" ca="1" si="90"/>
        <v>-2.3177638295436169E-2</v>
      </c>
    </row>
    <row r="3328" spans="6:7" x14ac:dyDescent="0.3">
      <c r="F3328" s="64">
        <v>3325</v>
      </c>
      <c r="G3328" s="64">
        <f t="shared" ca="1" si="90"/>
        <v>-2.2091150349852692E-2</v>
      </c>
    </row>
    <row r="3329" spans="6:7" x14ac:dyDescent="0.3">
      <c r="F3329" s="64">
        <v>3326</v>
      </c>
      <c r="G3329" s="64">
        <f t="shared" ca="1" si="90"/>
        <v>-2.2041700734704538E-3</v>
      </c>
    </row>
    <row r="3330" spans="6:7" x14ac:dyDescent="0.3">
      <c r="F3330" s="64">
        <v>3327</v>
      </c>
      <c r="G3330" s="64">
        <f t="shared" ca="1" si="90"/>
        <v>1.9911689849161161E-2</v>
      </c>
    </row>
    <row r="3331" spans="6:7" x14ac:dyDescent="0.3">
      <c r="F3331" s="64">
        <v>3328</v>
      </c>
      <c r="G3331" s="64">
        <f t="shared" ca="1" si="90"/>
        <v>2.9292966986797085E-2</v>
      </c>
    </row>
    <row r="3332" spans="6:7" x14ac:dyDescent="0.3">
      <c r="F3332" s="64">
        <v>3329</v>
      </c>
      <c r="G3332" s="64">
        <f t="shared" ca="1" si="90"/>
        <v>-5.5276391108634079E-3</v>
      </c>
    </row>
    <row r="3333" spans="6:7" x14ac:dyDescent="0.3">
      <c r="F3333" s="64">
        <v>3330</v>
      </c>
      <c r="G3333" s="64">
        <f t="shared" ref="G3333:G3396" ca="1" si="91">_xlfn.NORM.INV(RAND(),K$6,K$7)</f>
        <v>-1.9691500107709918E-2</v>
      </c>
    </row>
    <row r="3334" spans="6:7" x14ac:dyDescent="0.3">
      <c r="F3334" s="64">
        <v>3331</v>
      </c>
      <c r="G3334" s="64">
        <f t="shared" ca="1" si="91"/>
        <v>-1.4803347620335141E-2</v>
      </c>
    </row>
    <row r="3335" spans="6:7" x14ac:dyDescent="0.3">
      <c r="F3335" s="64">
        <v>3332</v>
      </c>
      <c r="G3335" s="64">
        <f t="shared" ca="1" si="91"/>
        <v>-1.2890542138217609E-2</v>
      </c>
    </row>
    <row r="3336" spans="6:7" x14ac:dyDescent="0.3">
      <c r="F3336" s="64">
        <v>3333</v>
      </c>
      <c r="G3336" s="64">
        <f t="shared" ca="1" si="91"/>
        <v>9.90444488433187E-3</v>
      </c>
    </row>
    <row r="3337" spans="6:7" x14ac:dyDescent="0.3">
      <c r="F3337" s="64">
        <v>3334</v>
      </c>
      <c r="G3337" s="64">
        <f t="shared" ca="1" si="91"/>
        <v>2.6095574263411956E-5</v>
      </c>
    </row>
    <row r="3338" spans="6:7" x14ac:dyDescent="0.3">
      <c r="F3338" s="64">
        <v>3335</v>
      </c>
      <c r="G3338" s="64">
        <f t="shared" ca="1" si="91"/>
        <v>2.1553995324055004E-2</v>
      </c>
    </row>
    <row r="3339" spans="6:7" x14ac:dyDescent="0.3">
      <c r="F3339" s="64">
        <v>3336</v>
      </c>
      <c r="G3339" s="64">
        <f t="shared" ca="1" si="91"/>
        <v>1.7318579186111203E-2</v>
      </c>
    </row>
    <row r="3340" spans="6:7" x14ac:dyDescent="0.3">
      <c r="F3340" s="64">
        <v>3337</v>
      </c>
      <c r="G3340" s="64">
        <f t="shared" ca="1" si="91"/>
        <v>6.1479010540763879E-2</v>
      </c>
    </row>
    <row r="3341" spans="6:7" x14ac:dyDescent="0.3">
      <c r="F3341" s="64">
        <v>3338</v>
      </c>
      <c r="G3341" s="64">
        <f t="shared" ca="1" si="91"/>
        <v>9.782672556626109E-3</v>
      </c>
    </row>
    <row r="3342" spans="6:7" x14ac:dyDescent="0.3">
      <c r="F3342" s="64">
        <v>3339</v>
      </c>
      <c r="G3342" s="64">
        <f t="shared" ca="1" si="91"/>
        <v>-1.6731539232181444E-2</v>
      </c>
    </row>
    <row r="3343" spans="6:7" x14ac:dyDescent="0.3">
      <c r="F3343" s="64">
        <v>3340</v>
      </c>
      <c r="G3343" s="64">
        <f t="shared" ca="1" si="91"/>
        <v>2.6594446704268977E-2</v>
      </c>
    </row>
    <row r="3344" spans="6:7" x14ac:dyDescent="0.3">
      <c r="F3344" s="64">
        <v>3341</v>
      </c>
      <c r="G3344" s="64">
        <f t="shared" ca="1" si="91"/>
        <v>2.6423128779327058E-2</v>
      </c>
    </row>
    <row r="3345" spans="6:7" x14ac:dyDescent="0.3">
      <c r="F3345" s="64">
        <v>3342</v>
      </c>
      <c r="G3345" s="64">
        <f t="shared" ca="1" si="91"/>
        <v>1.2985064939125155E-3</v>
      </c>
    </row>
    <row r="3346" spans="6:7" x14ac:dyDescent="0.3">
      <c r="F3346" s="64">
        <v>3343</v>
      </c>
      <c r="G3346" s="64">
        <f t="shared" ca="1" si="91"/>
        <v>1.0445064032094029E-3</v>
      </c>
    </row>
    <row r="3347" spans="6:7" x14ac:dyDescent="0.3">
      <c r="F3347" s="64">
        <v>3344</v>
      </c>
      <c r="G3347" s="64">
        <f t="shared" ca="1" si="91"/>
        <v>9.2182538753211793E-3</v>
      </c>
    </row>
    <row r="3348" spans="6:7" x14ac:dyDescent="0.3">
      <c r="F3348" s="64">
        <v>3345</v>
      </c>
      <c r="G3348" s="64">
        <f t="shared" ca="1" si="91"/>
        <v>2.3558271760544761E-3</v>
      </c>
    </row>
    <row r="3349" spans="6:7" x14ac:dyDescent="0.3">
      <c r="F3349" s="64">
        <v>3346</v>
      </c>
      <c r="G3349" s="64">
        <f t="shared" ca="1" si="91"/>
        <v>1.9950993637918345E-3</v>
      </c>
    </row>
    <row r="3350" spans="6:7" x14ac:dyDescent="0.3">
      <c r="F3350" s="64">
        <v>3347</v>
      </c>
      <c r="G3350" s="64">
        <f t="shared" ca="1" si="91"/>
        <v>-3.9170040948817472E-2</v>
      </c>
    </row>
    <row r="3351" spans="6:7" x14ac:dyDescent="0.3">
      <c r="F3351" s="64">
        <v>3348</v>
      </c>
      <c r="G3351" s="64">
        <f t="shared" ca="1" si="91"/>
        <v>-2.4650890806695316E-2</v>
      </c>
    </row>
    <row r="3352" spans="6:7" x14ac:dyDescent="0.3">
      <c r="F3352" s="64">
        <v>3349</v>
      </c>
      <c r="G3352" s="64">
        <f t="shared" ca="1" si="91"/>
        <v>1.2967636826346792E-2</v>
      </c>
    </row>
    <row r="3353" spans="6:7" x14ac:dyDescent="0.3">
      <c r="F3353" s="64">
        <v>3350</v>
      </c>
      <c r="G3353" s="64">
        <f t="shared" ca="1" si="91"/>
        <v>3.1592492160252492E-2</v>
      </c>
    </row>
    <row r="3354" spans="6:7" x14ac:dyDescent="0.3">
      <c r="F3354" s="64">
        <v>3351</v>
      </c>
      <c r="G3354" s="64">
        <f t="shared" ca="1" si="91"/>
        <v>9.4980401710592372E-3</v>
      </c>
    </row>
    <row r="3355" spans="6:7" x14ac:dyDescent="0.3">
      <c r="F3355" s="64">
        <v>3352</v>
      </c>
      <c r="G3355" s="64">
        <f t="shared" ca="1" si="91"/>
        <v>-3.5484334375215552E-2</v>
      </c>
    </row>
    <row r="3356" spans="6:7" x14ac:dyDescent="0.3">
      <c r="F3356" s="64">
        <v>3353</v>
      </c>
      <c r="G3356" s="64">
        <f t="shared" ca="1" si="91"/>
        <v>5.530773931317283E-3</v>
      </c>
    </row>
    <row r="3357" spans="6:7" x14ac:dyDescent="0.3">
      <c r="F3357" s="64">
        <v>3354</v>
      </c>
      <c r="G3357" s="64">
        <f t="shared" ca="1" si="91"/>
        <v>1.9866871340996663E-2</v>
      </c>
    </row>
    <row r="3358" spans="6:7" x14ac:dyDescent="0.3">
      <c r="F3358" s="64">
        <v>3355</v>
      </c>
      <c r="G3358" s="64">
        <f t="shared" ca="1" si="91"/>
        <v>-1.2573490692774504E-2</v>
      </c>
    </row>
    <row r="3359" spans="6:7" x14ac:dyDescent="0.3">
      <c r="F3359" s="64">
        <v>3356</v>
      </c>
      <c r="G3359" s="64">
        <f t="shared" ca="1" si="91"/>
        <v>5.7981672369766353E-3</v>
      </c>
    </row>
    <row r="3360" spans="6:7" x14ac:dyDescent="0.3">
      <c r="F3360" s="64">
        <v>3357</v>
      </c>
      <c r="G3360" s="64">
        <f t="shared" ca="1" si="91"/>
        <v>3.8173414325988011E-3</v>
      </c>
    </row>
    <row r="3361" spans="6:7" x14ac:dyDescent="0.3">
      <c r="F3361" s="64">
        <v>3358</v>
      </c>
      <c r="G3361" s="64">
        <f t="shared" ca="1" si="91"/>
        <v>-2.0605979711514087E-2</v>
      </c>
    </row>
    <row r="3362" spans="6:7" x14ac:dyDescent="0.3">
      <c r="F3362" s="64">
        <v>3359</v>
      </c>
      <c r="G3362" s="64">
        <f t="shared" ca="1" si="91"/>
        <v>7.7640217285964057E-3</v>
      </c>
    </row>
    <row r="3363" spans="6:7" x14ac:dyDescent="0.3">
      <c r="F3363" s="64">
        <v>3360</v>
      </c>
      <c r="G3363" s="64">
        <f t="shared" ca="1" si="91"/>
        <v>6.2847796454826377E-3</v>
      </c>
    </row>
    <row r="3364" spans="6:7" x14ac:dyDescent="0.3">
      <c r="F3364" s="64">
        <v>3361</v>
      </c>
      <c r="G3364" s="64">
        <f t="shared" ca="1" si="91"/>
        <v>5.8879848858828633E-3</v>
      </c>
    </row>
    <row r="3365" spans="6:7" x14ac:dyDescent="0.3">
      <c r="F3365" s="64">
        <v>3362</v>
      </c>
      <c r="G3365" s="64">
        <f t="shared" ca="1" si="91"/>
        <v>1.5461303836016391E-2</v>
      </c>
    </row>
    <row r="3366" spans="6:7" x14ac:dyDescent="0.3">
      <c r="F3366" s="64">
        <v>3363</v>
      </c>
      <c r="G3366" s="64">
        <f t="shared" ca="1" si="91"/>
        <v>2.1581201827902123E-2</v>
      </c>
    </row>
    <row r="3367" spans="6:7" x14ac:dyDescent="0.3">
      <c r="F3367" s="64">
        <v>3364</v>
      </c>
      <c r="G3367" s="64">
        <f t="shared" ca="1" si="91"/>
        <v>-2.6975965156056603E-2</v>
      </c>
    </row>
    <row r="3368" spans="6:7" x14ac:dyDescent="0.3">
      <c r="F3368" s="64">
        <v>3365</v>
      </c>
      <c r="G3368" s="64">
        <f t="shared" ca="1" si="91"/>
        <v>2.7091874747337638E-2</v>
      </c>
    </row>
    <row r="3369" spans="6:7" x14ac:dyDescent="0.3">
      <c r="F3369" s="64">
        <v>3366</v>
      </c>
      <c r="G3369" s="64">
        <f t="shared" ca="1" si="91"/>
        <v>9.7402164316459598E-3</v>
      </c>
    </row>
    <row r="3370" spans="6:7" x14ac:dyDescent="0.3">
      <c r="F3370" s="64">
        <v>3367</v>
      </c>
      <c r="G3370" s="64">
        <f t="shared" ca="1" si="91"/>
        <v>1.3579648285735735E-2</v>
      </c>
    </row>
    <row r="3371" spans="6:7" x14ac:dyDescent="0.3">
      <c r="F3371" s="64">
        <v>3368</v>
      </c>
      <c r="G3371" s="64">
        <f t="shared" ca="1" si="91"/>
        <v>1.5043563356611271E-2</v>
      </c>
    </row>
    <row r="3372" spans="6:7" x14ac:dyDescent="0.3">
      <c r="F3372" s="64">
        <v>3369</v>
      </c>
      <c r="G3372" s="64">
        <f t="shared" ca="1" si="91"/>
        <v>-1.9553981373750896E-2</v>
      </c>
    </row>
    <row r="3373" spans="6:7" x14ac:dyDescent="0.3">
      <c r="F3373" s="64">
        <v>3370</v>
      </c>
      <c r="G3373" s="64">
        <f t="shared" ca="1" si="91"/>
        <v>1.2099936690414918E-2</v>
      </c>
    </row>
    <row r="3374" spans="6:7" x14ac:dyDescent="0.3">
      <c r="F3374" s="64">
        <v>3371</v>
      </c>
      <c r="G3374" s="64">
        <f t="shared" ca="1" si="91"/>
        <v>-5.0520475342613093E-4</v>
      </c>
    </row>
    <row r="3375" spans="6:7" x14ac:dyDescent="0.3">
      <c r="F3375" s="64">
        <v>3372</v>
      </c>
      <c r="G3375" s="64">
        <f t="shared" ca="1" si="91"/>
        <v>-1.9177600319921606E-2</v>
      </c>
    </row>
    <row r="3376" spans="6:7" x14ac:dyDescent="0.3">
      <c r="F3376" s="64">
        <v>3373</v>
      </c>
      <c r="G3376" s="64">
        <f t="shared" ca="1" si="91"/>
        <v>-2.6836145019758541E-3</v>
      </c>
    </row>
    <row r="3377" spans="6:7" x14ac:dyDescent="0.3">
      <c r="F3377" s="64">
        <v>3374</v>
      </c>
      <c r="G3377" s="64">
        <f t="shared" ca="1" si="91"/>
        <v>-3.1187308654301339E-2</v>
      </c>
    </row>
    <row r="3378" spans="6:7" x14ac:dyDescent="0.3">
      <c r="F3378" s="64">
        <v>3375</v>
      </c>
      <c r="G3378" s="64">
        <f t="shared" ca="1" si="91"/>
        <v>1.7129470535361201E-2</v>
      </c>
    </row>
    <row r="3379" spans="6:7" x14ac:dyDescent="0.3">
      <c r="F3379" s="64">
        <v>3376</v>
      </c>
      <c r="G3379" s="64">
        <f t="shared" ca="1" si="91"/>
        <v>2.2845757326514712E-2</v>
      </c>
    </row>
    <row r="3380" spans="6:7" x14ac:dyDescent="0.3">
      <c r="F3380" s="64">
        <v>3377</v>
      </c>
      <c r="G3380" s="64">
        <f t="shared" ca="1" si="91"/>
        <v>-2.0374325692190838E-2</v>
      </c>
    </row>
    <row r="3381" spans="6:7" x14ac:dyDescent="0.3">
      <c r="F3381" s="64">
        <v>3378</v>
      </c>
      <c r="G3381" s="64">
        <f t="shared" ca="1" si="91"/>
        <v>1.9104352280058516E-2</v>
      </c>
    </row>
    <row r="3382" spans="6:7" x14ac:dyDescent="0.3">
      <c r="F3382" s="64">
        <v>3379</v>
      </c>
      <c r="G3382" s="64">
        <f t="shared" ca="1" si="91"/>
        <v>-1.4599715588324907E-2</v>
      </c>
    </row>
    <row r="3383" spans="6:7" x14ac:dyDescent="0.3">
      <c r="F3383" s="64">
        <v>3380</v>
      </c>
      <c r="G3383" s="64">
        <f t="shared" ca="1" si="91"/>
        <v>-2.589582243569432E-2</v>
      </c>
    </row>
    <row r="3384" spans="6:7" x14ac:dyDescent="0.3">
      <c r="F3384" s="64">
        <v>3381</v>
      </c>
      <c r="G3384" s="64">
        <f t="shared" ca="1" si="91"/>
        <v>-7.9488413698078821E-3</v>
      </c>
    </row>
    <row r="3385" spans="6:7" x14ac:dyDescent="0.3">
      <c r="F3385" s="64">
        <v>3382</v>
      </c>
      <c r="G3385" s="64">
        <f t="shared" ca="1" si="91"/>
        <v>-1.2730884043449204E-2</v>
      </c>
    </row>
    <row r="3386" spans="6:7" x14ac:dyDescent="0.3">
      <c r="F3386" s="64">
        <v>3383</v>
      </c>
      <c r="G3386" s="64">
        <f t="shared" ca="1" si="91"/>
        <v>-1.4185848581559335E-2</v>
      </c>
    </row>
    <row r="3387" spans="6:7" x14ac:dyDescent="0.3">
      <c r="F3387" s="64">
        <v>3384</v>
      </c>
      <c r="G3387" s="64">
        <f t="shared" ca="1" si="91"/>
        <v>-1.000928580838242E-2</v>
      </c>
    </row>
    <row r="3388" spans="6:7" x14ac:dyDescent="0.3">
      <c r="F3388" s="64">
        <v>3385</v>
      </c>
      <c r="G3388" s="64">
        <f t="shared" ca="1" si="91"/>
        <v>1.3852844973313424E-2</v>
      </c>
    </row>
    <row r="3389" spans="6:7" x14ac:dyDescent="0.3">
      <c r="F3389" s="64">
        <v>3386</v>
      </c>
      <c r="G3389" s="64">
        <f t="shared" ca="1" si="91"/>
        <v>3.1003979570400826E-3</v>
      </c>
    </row>
    <row r="3390" spans="6:7" x14ac:dyDescent="0.3">
      <c r="F3390" s="64">
        <v>3387</v>
      </c>
      <c r="G3390" s="64">
        <f t="shared" ca="1" si="91"/>
        <v>-4.9822443342783531E-4</v>
      </c>
    </row>
    <row r="3391" spans="6:7" x14ac:dyDescent="0.3">
      <c r="F3391" s="64">
        <v>3388</v>
      </c>
      <c r="G3391" s="64">
        <f t="shared" ca="1" si="91"/>
        <v>1.4657528006926658E-2</v>
      </c>
    </row>
    <row r="3392" spans="6:7" x14ac:dyDescent="0.3">
      <c r="F3392" s="64">
        <v>3389</v>
      </c>
      <c r="G3392" s="64">
        <f t="shared" ca="1" si="91"/>
        <v>1.426954872564443E-2</v>
      </c>
    </row>
    <row r="3393" spans="6:7" x14ac:dyDescent="0.3">
      <c r="F3393" s="64">
        <v>3390</v>
      </c>
      <c r="G3393" s="64">
        <f t="shared" ca="1" si="91"/>
        <v>3.6716944798045562E-2</v>
      </c>
    </row>
    <row r="3394" spans="6:7" x14ac:dyDescent="0.3">
      <c r="F3394" s="64">
        <v>3391</v>
      </c>
      <c r="G3394" s="64">
        <f t="shared" ca="1" si="91"/>
        <v>-9.6041490384364131E-3</v>
      </c>
    </row>
    <row r="3395" spans="6:7" x14ac:dyDescent="0.3">
      <c r="F3395" s="64">
        <v>3392</v>
      </c>
      <c r="G3395" s="64">
        <f t="shared" ca="1" si="91"/>
        <v>1.9497895610446354E-2</v>
      </c>
    </row>
    <row r="3396" spans="6:7" x14ac:dyDescent="0.3">
      <c r="F3396" s="64">
        <v>3393</v>
      </c>
      <c r="G3396" s="64">
        <f t="shared" ca="1" si="91"/>
        <v>4.7595544298539336E-2</v>
      </c>
    </row>
    <row r="3397" spans="6:7" x14ac:dyDescent="0.3">
      <c r="F3397" s="64">
        <v>3394</v>
      </c>
      <c r="G3397" s="64">
        <f t="shared" ref="G3397:G3460" ca="1" si="92">_xlfn.NORM.INV(RAND(),K$6,K$7)</f>
        <v>1.8324543351231758E-2</v>
      </c>
    </row>
    <row r="3398" spans="6:7" x14ac:dyDescent="0.3">
      <c r="F3398" s="64">
        <v>3395</v>
      </c>
      <c r="G3398" s="64">
        <f t="shared" ca="1" si="92"/>
        <v>1.343915654039137E-2</v>
      </c>
    </row>
    <row r="3399" spans="6:7" x14ac:dyDescent="0.3">
      <c r="F3399" s="64">
        <v>3396</v>
      </c>
      <c r="G3399" s="64">
        <f t="shared" ca="1" si="92"/>
        <v>-1.5477185598553956E-2</v>
      </c>
    </row>
    <row r="3400" spans="6:7" x14ac:dyDescent="0.3">
      <c r="F3400" s="64">
        <v>3397</v>
      </c>
      <c r="G3400" s="64">
        <f t="shared" ca="1" si="92"/>
        <v>-5.4720156518363642E-4</v>
      </c>
    </row>
    <row r="3401" spans="6:7" x14ac:dyDescent="0.3">
      <c r="F3401" s="64">
        <v>3398</v>
      </c>
      <c r="G3401" s="64">
        <f t="shared" ca="1" si="92"/>
        <v>-1.4661363692477601E-2</v>
      </c>
    </row>
    <row r="3402" spans="6:7" x14ac:dyDescent="0.3">
      <c r="F3402" s="64">
        <v>3399</v>
      </c>
      <c r="G3402" s="64">
        <f t="shared" ca="1" si="92"/>
        <v>-3.7595832869353085E-2</v>
      </c>
    </row>
    <row r="3403" spans="6:7" x14ac:dyDescent="0.3">
      <c r="F3403" s="64">
        <v>3400</v>
      </c>
      <c r="G3403" s="64">
        <f t="shared" ca="1" si="92"/>
        <v>-8.8747495788351234E-3</v>
      </c>
    </row>
    <row r="3404" spans="6:7" x14ac:dyDescent="0.3">
      <c r="F3404" s="64">
        <v>3401</v>
      </c>
      <c r="G3404" s="64">
        <f t="shared" ca="1" si="92"/>
        <v>1.7086087372341477E-2</v>
      </c>
    </row>
    <row r="3405" spans="6:7" x14ac:dyDescent="0.3">
      <c r="F3405" s="64">
        <v>3402</v>
      </c>
      <c r="G3405" s="64">
        <f t="shared" ca="1" si="92"/>
        <v>4.1157552616134449E-3</v>
      </c>
    </row>
    <row r="3406" spans="6:7" x14ac:dyDescent="0.3">
      <c r="F3406" s="64">
        <v>3403</v>
      </c>
      <c r="G3406" s="64">
        <f t="shared" ca="1" si="92"/>
        <v>-5.6874142378376444E-2</v>
      </c>
    </row>
    <row r="3407" spans="6:7" x14ac:dyDescent="0.3">
      <c r="F3407" s="64">
        <v>3404</v>
      </c>
      <c r="G3407" s="64">
        <f t="shared" ca="1" si="92"/>
        <v>-2.3782486526348697E-3</v>
      </c>
    </row>
    <row r="3408" spans="6:7" x14ac:dyDescent="0.3">
      <c r="F3408" s="64">
        <v>3405</v>
      </c>
      <c r="G3408" s="64">
        <f t="shared" ca="1" si="92"/>
        <v>-5.1760754821567204E-3</v>
      </c>
    </row>
    <row r="3409" spans="6:7" x14ac:dyDescent="0.3">
      <c r="F3409" s="64">
        <v>3406</v>
      </c>
      <c r="G3409" s="64">
        <f t="shared" ca="1" si="92"/>
        <v>-8.975252132138711E-3</v>
      </c>
    </row>
    <row r="3410" spans="6:7" x14ac:dyDescent="0.3">
      <c r="F3410" s="64">
        <v>3407</v>
      </c>
      <c r="G3410" s="64">
        <f t="shared" ca="1" si="92"/>
        <v>-7.5536838503317458E-4</v>
      </c>
    </row>
    <row r="3411" spans="6:7" x14ac:dyDescent="0.3">
      <c r="F3411" s="64">
        <v>3408</v>
      </c>
      <c r="G3411" s="64">
        <f t="shared" ca="1" si="92"/>
        <v>6.832097362558247E-3</v>
      </c>
    </row>
    <row r="3412" spans="6:7" x14ac:dyDescent="0.3">
      <c r="F3412" s="64">
        <v>3409</v>
      </c>
      <c r="G3412" s="64">
        <f t="shared" ca="1" si="92"/>
        <v>-2.5563405771843975E-2</v>
      </c>
    </row>
    <row r="3413" spans="6:7" x14ac:dyDescent="0.3">
      <c r="F3413" s="64">
        <v>3410</v>
      </c>
      <c r="G3413" s="64">
        <f t="shared" ca="1" si="92"/>
        <v>2.317745930716706E-2</v>
      </c>
    </row>
    <row r="3414" spans="6:7" x14ac:dyDescent="0.3">
      <c r="F3414" s="64">
        <v>3411</v>
      </c>
      <c r="G3414" s="64">
        <f t="shared" ca="1" si="92"/>
        <v>-1.8825711450284201E-2</v>
      </c>
    </row>
    <row r="3415" spans="6:7" x14ac:dyDescent="0.3">
      <c r="F3415" s="64">
        <v>3412</v>
      </c>
      <c r="G3415" s="64">
        <f t="shared" ca="1" si="92"/>
        <v>-3.0030252686786954E-2</v>
      </c>
    </row>
    <row r="3416" spans="6:7" x14ac:dyDescent="0.3">
      <c r="F3416" s="64">
        <v>3413</v>
      </c>
      <c r="G3416" s="64">
        <f t="shared" ca="1" si="92"/>
        <v>3.1024232954687349E-2</v>
      </c>
    </row>
    <row r="3417" spans="6:7" x14ac:dyDescent="0.3">
      <c r="F3417" s="64">
        <v>3414</v>
      </c>
      <c r="G3417" s="64">
        <f t="shared" ca="1" si="92"/>
        <v>-2.4077760908750761E-3</v>
      </c>
    </row>
    <row r="3418" spans="6:7" x14ac:dyDescent="0.3">
      <c r="F3418" s="64">
        <v>3415</v>
      </c>
      <c r="G3418" s="64">
        <f t="shared" ca="1" si="92"/>
        <v>2.1028592876957727E-2</v>
      </c>
    </row>
    <row r="3419" spans="6:7" x14ac:dyDescent="0.3">
      <c r="F3419" s="64">
        <v>3416</v>
      </c>
      <c r="G3419" s="64">
        <f t="shared" ca="1" si="92"/>
        <v>-2.2670017116275559E-2</v>
      </c>
    </row>
    <row r="3420" spans="6:7" x14ac:dyDescent="0.3">
      <c r="F3420" s="64">
        <v>3417</v>
      </c>
      <c r="G3420" s="64">
        <f t="shared" ca="1" si="92"/>
        <v>-2.1606935631344991E-2</v>
      </c>
    </row>
    <row r="3421" spans="6:7" x14ac:dyDescent="0.3">
      <c r="F3421" s="64">
        <v>3418</v>
      </c>
      <c r="G3421" s="64">
        <f t="shared" ca="1" si="92"/>
        <v>-2.8263564624839768E-2</v>
      </c>
    </row>
    <row r="3422" spans="6:7" x14ac:dyDescent="0.3">
      <c r="F3422" s="64">
        <v>3419</v>
      </c>
      <c r="G3422" s="64">
        <f t="shared" ca="1" si="92"/>
        <v>-7.1655882351972372E-3</v>
      </c>
    </row>
    <row r="3423" spans="6:7" x14ac:dyDescent="0.3">
      <c r="F3423" s="64">
        <v>3420</v>
      </c>
      <c r="G3423" s="64">
        <f t="shared" ca="1" si="92"/>
        <v>3.5961225261505088E-2</v>
      </c>
    </row>
    <row r="3424" spans="6:7" x14ac:dyDescent="0.3">
      <c r="F3424" s="64">
        <v>3421</v>
      </c>
      <c r="G3424" s="64">
        <f t="shared" ca="1" si="92"/>
        <v>-9.1690880037724048E-3</v>
      </c>
    </row>
    <row r="3425" spans="6:7" x14ac:dyDescent="0.3">
      <c r="F3425" s="64">
        <v>3422</v>
      </c>
      <c r="G3425" s="64">
        <f t="shared" ca="1" si="92"/>
        <v>-2.5798534919557095E-2</v>
      </c>
    </row>
    <row r="3426" spans="6:7" x14ac:dyDescent="0.3">
      <c r="F3426" s="64">
        <v>3423</v>
      </c>
      <c r="G3426" s="64">
        <f t="shared" ca="1" si="92"/>
        <v>-2.0069725324877732E-2</v>
      </c>
    </row>
    <row r="3427" spans="6:7" x14ac:dyDescent="0.3">
      <c r="F3427" s="64">
        <v>3424</v>
      </c>
      <c r="G3427" s="64">
        <f t="shared" ca="1" si="92"/>
        <v>1.7965339178546876E-2</v>
      </c>
    </row>
    <row r="3428" spans="6:7" x14ac:dyDescent="0.3">
      <c r="F3428" s="64">
        <v>3425</v>
      </c>
      <c r="G3428" s="64">
        <f t="shared" ca="1" si="92"/>
        <v>-3.4972614634175891E-2</v>
      </c>
    </row>
    <row r="3429" spans="6:7" x14ac:dyDescent="0.3">
      <c r="F3429" s="64">
        <v>3426</v>
      </c>
      <c r="G3429" s="64">
        <f t="shared" ca="1" si="92"/>
        <v>-6.4380618186055966E-3</v>
      </c>
    </row>
    <row r="3430" spans="6:7" x14ac:dyDescent="0.3">
      <c r="F3430" s="64">
        <v>3427</v>
      </c>
      <c r="G3430" s="64">
        <f t="shared" ca="1" si="92"/>
        <v>-2.234403180952587E-2</v>
      </c>
    </row>
    <row r="3431" spans="6:7" x14ac:dyDescent="0.3">
      <c r="F3431" s="64">
        <v>3428</v>
      </c>
      <c r="G3431" s="64">
        <f t="shared" ca="1" si="92"/>
        <v>-4.2898590496134687E-3</v>
      </c>
    </row>
    <row r="3432" spans="6:7" x14ac:dyDescent="0.3">
      <c r="F3432" s="64">
        <v>3429</v>
      </c>
      <c r="G3432" s="64">
        <f t="shared" ca="1" si="92"/>
        <v>2.9686276963861113E-2</v>
      </c>
    </row>
    <row r="3433" spans="6:7" x14ac:dyDescent="0.3">
      <c r="F3433" s="64">
        <v>3430</v>
      </c>
      <c r="G3433" s="64">
        <f t="shared" ca="1" si="92"/>
        <v>-6.844166918848732E-3</v>
      </c>
    </row>
    <row r="3434" spans="6:7" x14ac:dyDescent="0.3">
      <c r="F3434" s="64">
        <v>3431</v>
      </c>
      <c r="G3434" s="64">
        <f t="shared" ca="1" si="92"/>
        <v>-3.0466617247751487E-2</v>
      </c>
    </row>
    <row r="3435" spans="6:7" x14ac:dyDescent="0.3">
      <c r="F3435" s="64">
        <v>3432</v>
      </c>
      <c r="G3435" s="64">
        <f t="shared" ca="1" si="92"/>
        <v>1.5831569269207958E-2</v>
      </c>
    </row>
    <row r="3436" spans="6:7" x14ac:dyDescent="0.3">
      <c r="F3436" s="64">
        <v>3433</v>
      </c>
      <c r="G3436" s="64">
        <f t="shared" ca="1" si="92"/>
        <v>1.8885195187123414E-2</v>
      </c>
    </row>
    <row r="3437" spans="6:7" x14ac:dyDescent="0.3">
      <c r="F3437" s="64">
        <v>3434</v>
      </c>
      <c r="G3437" s="64">
        <f t="shared" ca="1" si="92"/>
        <v>-7.8949683642059072E-3</v>
      </c>
    </row>
    <row r="3438" spans="6:7" x14ac:dyDescent="0.3">
      <c r="F3438" s="64">
        <v>3435</v>
      </c>
      <c r="G3438" s="64">
        <f t="shared" ca="1" si="92"/>
        <v>-1.187830446519759E-2</v>
      </c>
    </row>
    <row r="3439" spans="6:7" x14ac:dyDescent="0.3">
      <c r="F3439" s="64">
        <v>3436</v>
      </c>
      <c r="G3439" s="64">
        <f t="shared" ca="1" si="92"/>
        <v>-1.074527071816906E-2</v>
      </c>
    </row>
    <row r="3440" spans="6:7" x14ac:dyDescent="0.3">
      <c r="F3440" s="64">
        <v>3437</v>
      </c>
      <c r="G3440" s="64">
        <f t="shared" ca="1" si="92"/>
        <v>-1.1182415273949557E-3</v>
      </c>
    </row>
    <row r="3441" spans="6:7" x14ac:dyDescent="0.3">
      <c r="F3441" s="64">
        <v>3438</v>
      </c>
      <c r="G3441" s="64">
        <f t="shared" ca="1" si="92"/>
        <v>5.804767865279537E-3</v>
      </c>
    </row>
    <row r="3442" spans="6:7" x14ac:dyDescent="0.3">
      <c r="F3442" s="64">
        <v>3439</v>
      </c>
      <c r="G3442" s="64">
        <f t="shared" ca="1" si="92"/>
        <v>1.8928621389004162E-2</v>
      </c>
    </row>
    <row r="3443" spans="6:7" x14ac:dyDescent="0.3">
      <c r="F3443" s="64">
        <v>3440</v>
      </c>
      <c r="G3443" s="64">
        <f t="shared" ca="1" si="92"/>
        <v>8.5247465029832381E-3</v>
      </c>
    </row>
    <row r="3444" spans="6:7" x14ac:dyDescent="0.3">
      <c r="F3444" s="64">
        <v>3441</v>
      </c>
      <c r="G3444" s="64">
        <f t="shared" ca="1" si="92"/>
        <v>-9.1951930758363762E-3</v>
      </c>
    </row>
    <row r="3445" spans="6:7" x14ac:dyDescent="0.3">
      <c r="F3445" s="64">
        <v>3442</v>
      </c>
      <c r="G3445" s="64">
        <f t="shared" ca="1" si="92"/>
        <v>1.2643415539203484E-3</v>
      </c>
    </row>
    <row r="3446" spans="6:7" x14ac:dyDescent="0.3">
      <c r="F3446" s="64">
        <v>3443</v>
      </c>
      <c r="G3446" s="64">
        <f t="shared" ca="1" si="92"/>
        <v>-3.4689008384378175E-2</v>
      </c>
    </row>
    <row r="3447" spans="6:7" x14ac:dyDescent="0.3">
      <c r="F3447" s="64">
        <v>3444</v>
      </c>
      <c r="G3447" s="64">
        <f t="shared" ca="1" si="92"/>
        <v>1.8621741477225931E-4</v>
      </c>
    </row>
    <row r="3448" spans="6:7" x14ac:dyDescent="0.3">
      <c r="F3448" s="64">
        <v>3445</v>
      </c>
      <c r="G3448" s="64">
        <f t="shared" ca="1" si="92"/>
        <v>3.1629817530858029E-2</v>
      </c>
    </row>
    <row r="3449" spans="6:7" x14ac:dyDescent="0.3">
      <c r="F3449" s="64">
        <v>3446</v>
      </c>
      <c r="G3449" s="64">
        <f t="shared" ca="1" si="92"/>
        <v>-2.0770360471601959E-3</v>
      </c>
    </row>
    <row r="3450" spans="6:7" x14ac:dyDescent="0.3">
      <c r="F3450" s="64">
        <v>3447</v>
      </c>
      <c r="G3450" s="64">
        <f t="shared" ca="1" si="92"/>
        <v>3.1199607221601804E-2</v>
      </c>
    </row>
    <row r="3451" spans="6:7" x14ac:dyDescent="0.3">
      <c r="F3451" s="64">
        <v>3448</v>
      </c>
      <c r="G3451" s="64">
        <f t="shared" ca="1" si="92"/>
        <v>-2.817650057456125E-3</v>
      </c>
    </row>
    <row r="3452" spans="6:7" x14ac:dyDescent="0.3">
      <c r="F3452" s="64">
        <v>3449</v>
      </c>
      <c r="G3452" s="64">
        <f t="shared" ca="1" si="92"/>
        <v>2.3305914046329257E-2</v>
      </c>
    </row>
    <row r="3453" spans="6:7" x14ac:dyDescent="0.3">
      <c r="F3453" s="64">
        <v>3450</v>
      </c>
      <c r="G3453" s="64">
        <f t="shared" ca="1" si="92"/>
        <v>2.6322766219328046E-2</v>
      </c>
    </row>
    <row r="3454" spans="6:7" x14ac:dyDescent="0.3">
      <c r="F3454" s="64">
        <v>3451</v>
      </c>
      <c r="G3454" s="64">
        <f t="shared" ca="1" si="92"/>
        <v>-1.6001841201513942E-3</v>
      </c>
    </row>
    <row r="3455" spans="6:7" x14ac:dyDescent="0.3">
      <c r="F3455" s="64">
        <v>3452</v>
      </c>
      <c r="G3455" s="64">
        <f t="shared" ca="1" si="92"/>
        <v>3.0591413659473689E-2</v>
      </c>
    </row>
    <row r="3456" spans="6:7" x14ac:dyDescent="0.3">
      <c r="F3456" s="64">
        <v>3453</v>
      </c>
      <c r="G3456" s="64">
        <f t="shared" ca="1" si="92"/>
        <v>-9.9805664206397918E-3</v>
      </c>
    </row>
    <row r="3457" spans="6:7" x14ac:dyDescent="0.3">
      <c r="F3457" s="64">
        <v>3454</v>
      </c>
      <c r="G3457" s="64">
        <f t="shared" ca="1" si="92"/>
        <v>2.2128435445356301E-3</v>
      </c>
    </row>
    <row r="3458" spans="6:7" x14ac:dyDescent="0.3">
      <c r="F3458" s="64">
        <v>3455</v>
      </c>
      <c r="G3458" s="64">
        <f t="shared" ca="1" si="92"/>
        <v>1.5008149483506839E-2</v>
      </c>
    </row>
    <row r="3459" spans="6:7" x14ac:dyDescent="0.3">
      <c r="F3459" s="64">
        <v>3456</v>
      </c>
      <c r="G3459" s="64">
        <f t="shared" ca="1" si="92"/>
        <v>2.3113314778601471E-2</v>
      </c>
    </row>
    <row r="3460" spans="6:7" x14ac:dyDescent="0.3">
      <c r="F3460" s="64">
        <v>3457</v>
      </c>
      <c r="G3460" s="64">
        <f t="shared" ca="1" si="92"/>
        <v>5.8325651062533851E-3</v>
      </c>
    </row>
    <row r="3461" spans="6:7" x14ac:dyDescent="0.3">
      <c r="F3461" s="64">
        <v>3458</v>
      </c>
      <c r="G3461" s="64">
        <f t="shared" ref="G3461:G3524" ca="1" si="93">_xlfn.NORM.INV(RAND(),K$6,K$7)</f>
        <v>-4.1229405147298906E-2</v>
      </c>
    </row>
    <row r="3462" spans="6:7" x14ac:dyDescent="0.3">
      <c r="F3462" s="64">
        <v>3459</v>
      </c>
      <c r="G3462" s="64">
        <f t="shared" ca="1" si="93"/>
        <v>9.1029664321293797E-3</v>
      </c>
    </row>
    <row r="3463" spans="6:7" x14ac:dyDescent="0.3">
      <c r="F3463" s="64">
        <v>3460</v>
      </c>
      <c r="G3463" s="64">
        <f t="shared" ca="1" si="93"/>
        <v>4.4275255182422788E-3</v>
      </c>
    </row>
    <row r="3464" spans="6:7" x14ac:dyDescent="0.3">
      <c r="F3464" s="64">
        <v>3461</v>
      </c>
      <c r="G3464" s="64">
        <f t="shared" ca="1" si="93"/>
        <v>1.846978309095039E-2</v>
      </c>
    </row>
    <row r="3465" spans="6:7" x14ac:dyDescent="0.3">
      <c r="F3465" s="64">
        <v>3462</v>
      </c>
      <c r="G3465" s="64">
        <f t="shared" ca="1" si="93"/>
        <v>1.1164650151408743E-2</v>
      </c>
    </row>
    <row r="3466" spans="6:7" x14ac:dyDescent="0.3">
      <c r="F3466" s="64">
        <v>3463</v>
      </c>
      <c r="G3466" s="64">
        <f t="shared" ca="1" si="93"/>
        <v>1.4545582598921365E-2</v>
      </c>
    </row>
    <row r="3467" spans="6:7" x14ac:dyDescent="0.3">
      <c r="F3467" s="64">
        <v>3464</v>
      </c>
      <c r="G3467" s="64">
        <f t="shared" ca="1" si="93"/>
        <v>3.7067677881961977E-3</v>
      </c>
    </row>
    <row r="3468" spans="6:7" x14ac:dyDescent="0.3">
      <c r="F3468" s="64">
        <v>3465</v>
      </c>
      <c r="G3468" s="64">
        <f t="shared" ca="1" si="93"/>
        <v>4.5860871295261918E-3</v>
      </c>
    </row>
    <row r="3469" spans="6:7" x14ac:dyDescent="0.3">
      <c r="F3469" s="64">
        <v>3466</v>
      </c>
      <c r="G3469" s="64">
        <f t="shared" ca="1" si="93"/>
        <v>-1.0932155853524933E-3</v>
      </c>
    </row>
    <row r="3470" spans="6:7" x14ac:dyDescent="0.3">
      <c r="F3470" s="64">
        <v>3467</v>
      </c>
      <c r="G3470" s="64">
        <f t="shared" ca="1" si="93"/>
        <v>-2.5477957513797764E-2</v>
      </c>
    </row>
    <row r="3471" spans="6:7" x14ac:dyDescent="0.3">
      <c r="F3471" s="64">
        <v>3468</v>
      </c>
      <c r="G3471" s="64">
        <f t="shared" ca="1" si="93"/>
        <v>-1.4147763445181248E-2</v>
      </c>
    </row>
    <row r="3472" spans="6:7" x14ac:dyDescent="0.3">
      <c r="F3472" s="64">
        <v>3469</v>
      </c>
      <c r="G3472" s="64">
        <f t="shared" ca="1" si="93"/>
        <v>2.1557236029986618E-2</v>
      </c>
    </row>
    <row r="3473" spans="6:7" x14ac:dyDescent="0.3">
      <c r="F3473" s="64">
        <v>3470</v>
      </c>
      <c r="G3473" s="64">
        <f t="shared" ca="1" si="93"/>
        <v>-5.8064474740581488E-3</v>
      </c>
    </row>
    <row r="3474" spans="6:7" x14ac:dyDescent="0.3">
      <c r="F3474" s="64">
        <v>3471</v>
      </c>
      <c r="G3474" s="64">
        <f t="shared" ca="1" si="93"/>
        <v>-1.9153899052707867E-3</v>
      </c>
    </row>
    <row r="3475" spans="6:7" x14ac:dyDescent="0.3">
      <c r="F3475" s="64">
        <v>3472</v>
      </c>
      <c r="G3475" s="64">
        <f t="shared" ca="1" si="93"/>
        <v>-1.0791916834572871E-2</v>
      </c>
    </row>
    <row r="3476" spans="6:7" x14ac:dyDescent="0.3">
      <c r="F3476" s="64">
        <v>3473</v>
      </c>
      <c r="G3476" s="64">
        <f t="shared" ca="1" si="93"/>
        <v>4.7205420087081826E-2</v>
      </c>
    </row>
    <row r="3477" spans="6:7" x14ac:dyDescent="0.3">
      <c r="F3477" s="64">
        <v>3474</v>
      </c>
      <c r="G3477" s="64">
        <f t="shared" ca="1" si="93"/>
        <v>1.1633437203535015E-2</v>
      </c>
    </row>
    <row r="3478" spans="6:7" x14ac:dyDescent="0.3">
      <c r="F3478" s="64">
        <v>3475</v>
      </c>
      <c r="G3478" s="64">
        <f t="shared" ca="1" si="93"/>
        <v>-2.8799534915366243E-2</v>
      </c>
    </row>
    <row r="3479" spans="6:7" x14ac:dyDescent="0.3">
      <c r="F3479" s="64">
        <v>3476</v>
      </c>
      <c r="G3479" s="64">
        <f t="shared" ca="1" si="93"/>
        <v>-1.2580325477440609E-2</v>
      </c>
    </row>
    <row r="3480" spans="6:7" x14ac:dyDescent="0.3">
      <c r="F3480" s="64">
        <v>3477</v>
      </c>
      <c r="G3480" s="64">
        <f t="shared" ca="1" si="93"/>
        <v>4.1196166150485342E-3</v>
      </c>
    </row>
    <row r="3481" spans="6:7" x14ac:dyDescent="0.3">
      <c r="F3481" s="64">
        <v>3478</v>
      </c>
      <c r="G3481" s="64">
        <f t="shared" ca="1" si="93"/>
        <v>7.9484436084920652E-3</v>
      </c>
    </row>
    <row r="3482" spans="6:7" x14ac:dyDescent="0.3">
      <c r="F3482" s="64">
        <v>3479</v>
      </c>
      <c r="G3482" s="64">
        <f t="shared" ca="1" si="93"/>
        <v>1.8878220226656271E-2</v>
      </c>
    </row>
    <row r="3483" spans="6:7" x14ac:dyDescent="0.3">
      <c r="F3483" s="64">
        <v>3480</v>
      </c>
      <c r="G3483" s="64">
        <f t="shared" ca="1" si="93"/>
        <v>1.8980254333677393E-2</v>
      </c>
    </row>
    <row r="3484" spans="6:7" x14ac:dyDescent="0.3">
      <c r="F3484" s="64">
        <v>3481</v>
      </c>
      <c r="G3484" s="64">
        <f t="shared" ca="1" si="93"/>
        <v>-1.0486122019768864E-2</v>
      </c>
    </row>
    <row r="3485" spans="6:7" x14ac:dyDescent="0.3">
      <c r="F3485" s="64">
        <v>3482</v>
      </c>
      <c r="G3485" s="64">
        <f t="shared" ca="1" si="93"/>
        <v>5.0507638725143487E-2</v>
      </c>
    </row>
    <row r="3486" spans="6:7" x14ac:dyDescent="0.3">
      <c r="F3486" s="64">
        <v>3483</v>
      </c>
      <c r="G3486" s="64">
        <f t="shared" ca="1" si="93"/>
        <v>-5.7533421136175674E-3</v>
      </c>
    </row>
    <row r="3487" spans="6:7" x14ac:dyDescent="0.3">
      <c r="F3487" s="64">
        <v>3484</v>
      </c>
      <c r="G3487" s="64">
        <f t="shared" ca="1" si="93"/>
        <v>4.2716117644933514E-2</v>
      </c>
    </row>
    <row r="3488" spans="6:7" x14ac:dyDescent="0.3">
      <c r="F3488" s="64">
        <v>3485</v>
      </c>
      <c r="G3488" s="64">
        <f t="shared" ca="1" si="93"/>
        <v>2.6583581452696008E-2</v>
      </c>
    </row>
    <row r="3489" spans="6:7" x14ac:dyDescent="0.3">
      <c r="F3489" s="64">
        <v>3486</v>
      </c>
      <c r="G3489" s="64">
        <f t="shared" ca="1" si="93"/>
        <v>2.0508153682022141E-2</v>
      </c>
    </row>
    <row r="3490" spans="6:7" x14ac:dyDescent="0.3">
      <c r="F3490" s="64">
        <v>3487</v>
      </c>
      <c r="G3490" s="64">
        <f t="shared" ca="1" si="93"/>
        <v>-9.7666738480349556E-4</v>
      </c>
    </row>
    <row r="3491" spans="6:7" x14ac:dyDescent="0.3">
      <c r="F3491" s="64">
        <v>3488</v>
      </c>
      <c r="G3491" s="64">
        <f t="shared" ca="1" si="93"/>
        <v>8.9278187380849028E-3</v>
      </c>
    </row>
    <row r="3492" spans="6:7" x14ac:dyDescent="0.3">
      <c r="F3492" s="64">
        <v>3489</v>
      </c>
      <c r="G3492" s="64">
        <f t="shared" ca="1" si="93"/>
        <v>2.1874044873893356E-2</v>
      </c>
    </row>
    <row r="3493" spans="6:7" x14ac:dyDescent="0.3">
      <c r="F3493" s="64">
        <v>3490</v>
      </c>
      <c r="G3493" s="64">
        <f t="shared" ca="1" si="93"/>
        <v>3.6856589941487439E-2</v>
      </c>
    </row>
    <row r="3494" spans="6:7" x14ac:dyDescent="0.3">
      <c r="F3494" s="64">
        <v>3491</v>
      </c>
      <c r="G3494" s="64">
        <f t="shared" ca="1" si="93"/>
        <v>3.5324882158948995E-2</v>
      </c>
    </row>
    <row r="3495" spans="6:7" x14ac:dyDescent="0.3">
      <c r="F3495" s="64">
        <v>3492</v>
      </c>
      <c r="G3495" s="64">
        <f t="shared" ca="1" si="93"/>
        <v>-2.0197871376012685E-2</v>
      </c>
    </row>
    <row r="3496" spans="6:7" x14ac:dyDescent="0.3">
      <c r="F3496" s="64">
        <v>3493</v>
      </c>
      <c r="G3496" s="64">
        <f t="shared" ca="1" si="93"/>
        <v>1.8084006933785095E-3</v>
      </c>
    </row>
    <row r="3497" spans="6:7" x14ac:dyDescent="0.3">
      <c r="F3497" s="64">
        <v>3494</v>
      </c>
      <c r="G3497" s="64">
        <f t="shared" ca="1" si="93"/>
        <v>-3.1792604741505345E-3</v>
      </c>
    </row>
    <row r="3498" spans="6:7" x14ac:dyDescent="0.3">
      <c r="F3498" s="64">
        <v>3495</v>
      </c>
      <c r="G3498" s="64">
        <f t="shared" ca="1" si="93"/>
        <v>1.1427144693491757E-2</v>
      </c>
    </row>
    <row r="3499" spans="6:7" x14ac:dyDescent="0.3">
      <c r="F3499" s="64">
        <v>3496</v>
      </c>
      <c r="G3499" s="64">
        <f t="shared" ca="1" si="93"/>
        <v>2.615673736168983E-2</v>
      </c>
    </row>
    <row r="3500" spans="6:7" x14ac:dyDescent="0.3">
      <c r="F3500" s="64">
        <v>3497</v>
      </c>
      <c r="G3500" s="64">
        <f t="shared" ca="1" si="93"/>
        <v>-1.8218588945011515E-3</v>
      </c>
    </row>
    <row r="3501" spans="6:7" x14ac:dyDescent="0.3">
      <c r="F3501" s="64">
        <v>3498</v>
      </c>
      <c r="G3501" s="64">
        <f t="shared" ca="1" si="93"/>
        <v>4.3382697834714733E-2</v>
      </c>
    </row>
    <row r="3502" spans="6:7" x14ac:dyDescent="0.3">
      <c r="F3502" s="64">
        <v>3499</v>
      </c>
      <c r="G3502" s="64">
        <f t="shared" ca="1" si="93"/>
        <v>7.7320453085276625E-4</v>
      </c>
    </row>
    <row r="3503" spans="6:7" x14ac:dyDescent="0.3">
      <c r="F3503" s="64">
        <v>3500</v>
      </c>
      <c r="G3503" s="64">
        <f t="shared" ca="1" si="93"/>
        <v>-1.9765362492414874E-2</v>
      </c>
    </row>
    <row r="3504" spans="6:7" x14ac:dyDescent="0.3">
      <c r="F3504" s="64">
        <v>3501</v>
      </c>
      <c r="G3504" s="64">
        <f t="shared" ca="1" si="93"/>
        <v>-1.5209115993681794E-2</v>
      </c>
    </row>
    <row r="3505" spans="6:7" x14ac:dyDescent="0.3">
      <c r="F3505" s="64">
        <v>3502</v>
      </c>
      <c r="G3505" s="64">
        <f t="shared" ca="1" si="93"/>
        <v>9.8839486769029296E-3</v>
      </c>
    </row>
    <row r="3506" spans="6:7" x14ac:dyDescent="0.3">
      <c r="F3506" s="64">
        <v>3503</v>
      </c>
      <c r="G3506" s="64">
        <f t="shared" ca="1" si="93"/>
        <v>2.8622230607518923E-2</v>
      </c>
    </row>
    <row r="3507" spans="6:7" x14ac:dyDescent="0.3">
      <c r="F3507" s="64">
        <v>3504</v>
      </c>
      <c r="G3507" s="64">
        <f t="shared" ca="1" si="93"/>
        <v>2.8066176470639977E-2</v>
      </c>
    </row>
    <row r="3508" spans="6:7" x14ac:dyDescent="0.3">
      <c r="F3508" s="64">
        <v>3505</v>
      </c>
      <c r="G3508" s="64">
        <f t="shared" ca="1" si="93"/>
        <v>4.1528284225607667E-3</v>
      </c>
    </row>
    <row r="3509" spans="6:7" x14ac:dyDescent="0.3">
      <c r="F3509" s="64">
        <v>3506</v>
      </c>
      <c r="G3509" s="64">
        <f t="shared" ca="1" si="93"/>
        <v>4.9780687691468775E-2</v>
      </c>
    </row>
    <row r="3510" spans="6:7" x14ac:dyDescent="0.3">
      <c r="F3510" s="64">
        <v>3507</v>
      </c>
      <c r="G3510" s="64">
        <f t="shared" ca="1" si="93"/>
        <v>-5.883224022000086E-3</v>
      </c>
    </row>
    <row r="3511" spans="6:7" x14ac:dyDescent="0.3">
      <c r="F3511" s="64">
        <v>3508</v>
      </c>
      <c r="G3511" s="64">
        <f t="shared" ca="1" si="93"/>
        <v>2.9183869225249473E-2</v>
      </c>
    </row>
    <row r="3512" spans="6:7" x14ac:dyDescent="0.3">
      <c r="F3512" s="64">
        <v>3509</v>
      </c>
      <c r="G3512" s="64">
        <f t="shared" ca="1" si="93"/>
        <v>1.0212411859734545E-2</v>
      </c>
    </row>
    <row r="3513" spans="6:7" x14ac:dyDescent="0.3">
      <c r="F3513" s="64">
        <v>3510</v>
      </c>
      <c r="G3513" s="64">
        <f t="shared" ca="1" si="93"/>
        <v>9.2474734726947071E-3</v>
      </c>
    </row>
    <row r="3514" spans="6:7" x14ac:dyDescent="0.3">
      <c r="F3514" s="64">
        <v>3511</v>
      </c>
      <c r="G3514" s="64">
        <f t="shared" ca="1" si="93"/>
        <v>3.4436156177025043E-3</v>
      </c>
    </row>
    <row r="3515" spans="6:7" x14ac:dyDescent="0.3">
      <c r="F3515" s="64">
        <v>3512</v>
      </c>
      <c r="G3515" s="64">
        <f t="shared" ca="1" si="93"/>
        <v>1.2625507329553122E-3</v>
      </c>
    </row>
    <row r="3516" spans="6:7" x14ac:dyDescent="0.3">
      <c r="F3516" s="64">
        <v>3513</v>
      </c>
      <c r="G3516" s="64">
        <f t="shared" ca="1" si="93"/>
        <v>2.0545998531645508E-2</v>
      </c>
    </row>
    <row r="3517" spans="6:7" x14ac:dyDescent="0.3">
      <c r="F3517" s="64">
        <v>3514</v>
      </c>
      <c r="G3517" s="64">
        <f t="shared" ca="1" si="93"/>
        <v>-4.3937921672315586E-4</v>
      </c>
    </row>
    <row r="3518" spans="6:7" x14ac:dyDescent="0.3">
      <c r="F3518" s="64">
        <v>3515</v>
      </c>
      <c r="G3518" s="64">
        <f t="shared" ca="1" si="93"/>
        <v>-9.4029854849870548E-3</v>
      </c>
    </row>
    <row r="3519" spans="6:7" x14ac:dyDescent="0.3">
      <c r="F3519" s="64">
        <v>3516</v>
      </c>
      <c r="G3519" s="64">
        <f t="shared" ca="1" si="93"/>
        <v>-1.2116331588213264E-2</v>
      </c>
    </row>
    <row r="3520" spans="6:7" x14ac:dyDescent="0.3">
      <c r="F3520" s="64">
        <v>3517</v>
      </c>
      <c r="G3520" s="64">
        <f t="shared" ca="1" si="93"/>
        <v>2.3480731866608276E-2</v>
      </c>
    </row>
    <row r="3521" spans="6:7" x14ac:dyDescent="0.3">
      <c r="F3521" s="64">
        <v>3518</v>
      </c>
      <c r="G3521" s="64">
        <f t="shared" ca="1" si="93"/>
        <v>-2.5989388948734558E-2</v>
      </c>
    </row>
    <row r="3522" spans="6:7" x14ac:dyDescent="0.3">
      <c r="F3522" s="64">
        <v>3519</v>
      </c>
      <c r="G3522" s="64">
        <f t="shared" ca="1" si="93"/>
        <v>1.3343180996685541E-2</v>
      </c>
    </row>
    <row r="3523" spans="6:7" x14ac:dyDescent="0.3">
      <c r="F3523" s="64">
        <v>3520</v>
      </c>
      <c r="G3523" s="64">
        <f t="shared" ca="1" si="93"/>
        <v>5.3904649642638747E-3</v>
      </c>
    </row>
    <row r="3524" spans="6:7" x14ac:dyDescent="0.3">
      <c r="F3524" s="64">
        <v>3521</v>
      </c>
      <c r="G3524" s="64">
        <f t="shared" ca="1" si="93"/>
        <v>-2.558006538123863E-2</v>
      </c>
    </row>
    <row r="3525" spans="6:7" x14ac:dyDescent="0.3">
      <c r="F3525" s="64">
        <v>3522</v>
      </c>
      <c r="G3525" s="64">
        <f t="shared" ref="G3525:G3588" ca="1" si="94">_xlfn.NORM.INV(RAND(),K$6,K$7)</f>
        <v>-1.5342930361120227E-2</v>
      </c>
    </row>
    <row r="3526" spans="6:7" x14ac:dyDescent="0.3">
      <c r="F3526" s="64">
        <v>3523</v>
      </c>
      <c r="G3526" s="64">
        <f t="shared" ca="1" si="94"/>
        <v>9.3253167042096439E-3</v>
      </c>
    </row>
    <row r="3527" spans="6:7" x14ac:dyDescent="0.3">
      <c r="F3527" s="64">
        <v>3524</v>
      </c>
      <c r="G3527" s="64">
        <f t="shared" ca="1" si="94"/>
        <v>-1.4600947300514793E-2</v>
      </c>
    </row>
    <row r="3528" spans="6:7" x14ac:dyDescent="0.3">
      <c r="F3528" s="64">
        <v>3525</v>
      </c>
      <c r="G3528" s="64">
        <f t="shared" ca="1" si="94"/>
        <v>3.3095258396632593E-3</v>
      </c>
    </row>
    <row r="3529" spans="6:7" x14ac:dyDescent="0.3">
      <c r="F3529" s="64">
        <v>3526</v>
      </c>
      <c r="G3529" s="64">
        <f t="shared" ca="1" si="94"/>
        <v>-1.7696221471260286E-2</v>
      </c>
    </row>
    <row r="3530" spans="6:7" x14ac:dyDescent="0.3">
      <c r="F3530" s="64">
        <v>3527</v>
      </c>
      <c r="G3530" s="64">
        <f t="shared" ca="1" si="94"/>
        <v>-4.7683255106810533E-3</v>
      </c>
    </row>
    <row r="3531" spans="6:7" x14ac:dyDescent="0.3">
      <c r="F3531" s="64">
        <v>3528</v>
      </c>
      <c r="G3531" s="64">
        <f t="shared" ca="1" si="94"/>
        <v>2.2567111096556985E-2</v>
      </c>
    </row>
    <row r="3532" spans="6:7" x14ac:dyDescent="0.3">
      <c r="F3532" s="64">
        <v>3529</v>
      </c>
      <c r="G3532" s="64">
        <f t="shared" ca="1" si="94"/>
        <v>-3.8893818937053961E-3</v>
      </c>
    </row>
    <row r="3533" spans="6:7" x14ac:dyDescent="0.3">
      <c r="F3533" s="64">
        <v>3530</v>
      </c>
      <c r="G3533" s="64">
        <f t="shared" ca="1" si="94"/>
        <v>-1.2597542727752565E-2</v>
      </c>
    </row>
    <row r="3534" spans="6:7" x14ac:dyDescent="0.3">
      <c r="F3534" s="64">
        <v>3531</v>
      </c>
      <c r="G3534" s="64">
        <f t="shared" ca="1" si="94"/>
        <v>1.0227498256684371E-2</v>
      </c>
    </row>
    <row r="3535" spans="6:7" x14ac:dyDescent="0.3">
      <c r="F3535" s="64">
        <v>3532</v>
      </c>
      <c r="G3535" s="64">
        <f t="shared" ca="1" si="94"/>
        <v>2.1617015810130057E-2</v>
      </c>
    </row>
    <row r="3536" spans="6:7" x14ac:dyDescent="0.3">
      <c r="F3536" s="64">
        <v>3533</v>
      </c>
      <c r="G3536" s="64">
        <f t="shared" ca="1" si="94"/>
        <v>8.4141761816858701E-3</v>
      </c>
    </row>
    <row r="3537" spans="6:7" x14ac:dyDescent="0.3">
      <c r="F3537" s="64">
        <v>3534</v>
      </c>
      <c r="G3537" s="64">
        <f t="shared" ca="1" si="94"/>
        <v>-8.3390620995527926E-3</v>
      </c>
    </row>
    <row r="3538" spans="6:7" x14ac:dyDescent="0.3">
      <c r="F3538" s="64">
        <v>3535</v>
      </c>
      <c r="G3538" s="64">
        <f t="shared" ca="1" si="94"/>
        <v>-1.3831649781571493E-2</v>
      </c>
    </row>
    <row r="3539" spans="6:7" x14ac:dyDescent="0.3">
      <c r="F3539" s="64">
        <v>3536</v>
      </c>
      <c r="G3539" s="64">
        <f t="shared" ca="1" si="94"/>
        <v>-1.3023245583816119E-3</v>
      </c>
    </row>
    <row r="3540" spans="6:7" x14ac:dyDescent="0.3">
      <c r="F3540" s="64">
        <v>3537</v>
      </c>
      <c r="G3540" s="64">
        <f t="shared" ca="1" si="94"/>
        <v>1.0878707120431578E-3</v>
      </c>
    </row>
    <row r="3541" spans="6:7" x14ac:dyDescent="0.3">
      <c r="F3541" s="64">
        <v>3538</v>
      </c>
      <c r="G3541" s="64">
        <f t="shared" ca="1" si="94"/>
        <v>2.2166822163587584E-2</v>
      </c>
    </row>
    <row r="3542" spans="6:7" x14ac:dyDescent="0.3">
      <c r="F3542" s="64">
        <v>3539</v>
      </c>
      <c r="G3542" s="64">
        <f t="shared" ca="1" si="94"/>
        <v>-1.9687312504149429E-2</v>
      </c>
    </row>
    <row r="3543" spans="6:7" x14ac:dyDescent="0.3">
      <c r="F3543" s="64">
        <v>3540</v>
      </c>
      <c r="G3543" s="64">
        <f t="shared" ca="1" si="94"/>
        <v>1.5136748536119324E-2</v>
      </c>
    </row>
    <row r="3544" spans="6:7" x14ac:dyDescent="0.3">
      <c r="F3544" s="64">
        <v>3541</v>
      </c>
      <c r="G3544" s="64">
        <f t="shared" ca="1" si="94"/>
        <v>1.3081139670501125E-2</v>
      </c>
    </row>
    <row r="3545" spans="6:7" x14ac:dyDescent="0.3">
      <c r="F3545" s="64">
        <v>3542</v>
      </c>
      <c r="G3545" s="64">
        <f t="shared" ca="1" si="94"/>
        <v>1.3208347495956592E-2</v>
      </c>
    </row>
    <row r="3546" spans="6:7" x14ac:dyDescent="0.3">
      <c r="F3546" s="64">
        <v>3543</v>
      </c>
      <c r="G3546" s="64">
        <f t="shared" ca="1" si="94"/>
        <v>-2.8218445529413633E-3</v>
      </c>
    </row>
    <row r="3547" spans="6:7" x14ac:dyDescent="0.3">
      <c r="F3547" s="64">
        <v>3544</v>
      </c>
      <c r="G3547" s="64">
        <f t="shared" ca="1" si="94"/>
        <v>-7.117940583447533E-3</v>
      </c>
    </row>
    <row r="3548" spans="6:7" x14ac:dyDescent="0.3">
      <c r="F3548" s="64">
        <v>3545</v>
      </c>
      <c r="G3548" s="64">
        <f t="shared" ca="1" si="94"/>
        <v>3.3523358354090303E-3</v>
      </c>
    </row>
    <row r="3549" spans="6:7" x14ac:dyDescent="0.3">
      <c r="F3549" s="64">
        <v>3546</v>
      </c>
      <c r="G3549" s="64">
        <f t="shared" ca="1" si="94"/>
        <v>1.688253900231082E-2</v>
      </c>
    </row>
    <row r="3550" spans="6:7" x14ac:dyDescent="0.3">
      <c r="F3550" s="64">
        <v>3547</v>
      </c>
      <c r="G3550" s="64">
        <f t="shared" ca="1" si="94"/>
        <v>-4.8291868517098572E-3</v>
      </c>
    </row>
    <row r="3551" spans="6:7" x14ac:dyDescent="0.3">
      <c r="F3551" s="64">
        <v>3548</v>
      </c>
      <c r="G3551" s="64">
        <f t="shared" ca="1" si="94"/>
        <v>-2.013140036580606E-2</v>
      </c>
    </row>
    <row r="3552" spans="6:7" x14ac:dyDescent="0.3">
      <c r="F3552" s="64">
        <v>3549</v>
      </c>
      <c r="G3552" s="64">
        <f t="shared" ca="1" si="94"/>
        <v>-5.0390655195372957E-3</v>
      </c>
    </row>
    <row r="3553" spans="6:7" x14ac:dyDescent="0.3">
      <c r="F3553" s="64">
        <v>3550</v>
      </c>
      <c r="G3553" s="64">
        <f t="shared" ca="1" si="94"/>
        <v>4.2179201044589026E-2</v>
      </c>
    </row>
    <row r="3554" spans="6:7" x14ac:dyDescent="0.3">
      <c r="F3554" s="64">
        <v>3551</v>
      </c>
      <c r="G3554" s="64">
        <f t="shared" ca="1" si="94"/>
        <v>7.5529446752412898E-3</v>
      </c>
    </row>
    <row r="3555" spans="6:7" x14ac:dyDescent="0.3">
      <c r="F3555" s="64">
        <v>3552</v>
      </c>
      <c r="G3555" s="64">
        <f t="shared" ca="1" si="94"/>
        <v>-7.6216023388903289E-3</v>
      </c>
    </row>
    <row r="3556" spans="6:7" x14ac:dyDescent="0.3">
      <c r="F3556" s="64">
        <v>3553</v>
      </c>
      <c r="G3556" s="64">
        <f t="shared" ca="1" si="94"/>
        <v>4.9642604386234516E-3</v>
      </c>
    </row>
    <row r="3557" spans="6:7" x14ac:dyDescent="0.3">
      <c r="F3557" s="64">
        <v>3554</v>
      </c>
      <c r="G3557" s="64">
        <f t="shared" ca="1" si="94"/>
        <v>-4.6272209335328121E-2</v>
      </c>
    </row>
    <row r="3558" spans="6:7" x14ac:dyDescent="0.3">
      <c r="F3558" s="64">
        <v>3555</v>
      </c>
      <c r="G3558" s="64">
        <f t="shared" ca="1" si="94"/>
        <v>2.9680414608424924E-2</v>
      </c>
    </row>
    <row r="3559" spans="6:7" x14ac:dyDescent="0.3">
      <c r="F3559" s="64">
        <v>3556</v>
      </c>
      <c r="G3559" s="64">
        <f t="shared" ca="1" si="94"/>
        <v>1.5184118308917296E-2</v>
      </c>
    </row>
    <row r="3560" spans="6:7" x14ac:dyDescent="0.3">
      <c r="F3560" s="64">
        <v>3557</v>
      </c>
      <c r="G3560" s="64">
        <f t="shared" ca="1" si="94"/>
        <v>-1.6731946437541043E-2</v>
      </c>
    </row>
    <row r="3561" spans="6:7" x14ac:dyDescent="0.3">
      <c r="F3561" s="64">
        <v>3558</v>
      </c>
      <c r="G3561" s="64">
        <f t="shared" ca="1" si="94"/>
        <v>3.9761688562680454E-2</v>
      </c>
    </row>
    <row r="3562" spans="6:7" x14ac:dyDescent="0.3">
      <c r="F3562" s="64">
        <v>3559</v>
      </c>
      <c r="G3562" s="64">
        <f t="shared" ca="1" si="94"/>
        <v>2.1424449939285113E-2</v>
      </c>
    </row>
    <row r="3563" spans="6:7" x14ac:dyDescent="0.3">
      <c r="F3563" s="64">
        <v>3560</v>
      </c>
      <c r="G3563" s="64">
        <f t="shared" ca="1" si="94"/>
        <v>1.3778526499614705E-2</v>
      </c>
    </row>
    <row r="3564" spans="6:7" x14ac:dyDescent="0.3">
      <c r="F3564" s="64">
        <v>3561</v>
      </c>
      <c r="G3564" s="64">
        <f t="shared" ca="1" si="94"/>
        <v>1.2770074665963542E-2</v>
      </c>
    </row>
    <row r="3565" spans="6:7" x14ac:dyDescent="0.3">
      <c r="F3565" s="64">
        <v>3562</v>
      </c>
      <c r="G3565" s="64">
        <f t="shared" ca="1" si="94"/>
        <v>8.1168536956395629E-4</v>
      </c>
    </row>
    <row r="3566" spans="6:7" x14ac:dyDescent="0.3">
      <c r="F3566" s="64">
        <v>3563</v>
      </c>
      <c r="G3566" s="64">
        <f t="shared" ca="1" si="94"/>
        <v>-2.4987325206128667E-2</v>
      </c>
    </row>
    <row r="3567" spans="6:7" x14ac:dyDescent="0.3">
      <c r="F3567" s="64">
        <v>3564</v>
      </c>
      <c r="G3567" s="64">
        <f t="shared" ca="1" si="94"/>
        <v>-1.3060187084167735E-4</v>
      </c>
    </row>
    <row r="3568" spans="6:7" x14ac:dyDescent="0.3">
      <c r="F3568" s="64">
        <v>3565</v>
      </c>
      <c r="G3568" s="64">
        <f t="shared" ca="1" si="94"/>
        <v>-3.0158149520640415E-2</v>
      </c>
    </row>
    <row r="3569" spans="6:7" x14ac:dyDescent="0.3">
      <c r="F3569" s="64">
        <v>3566</v>
      </c>
      <c r="G3569" s="64">
        <f t="shared" ca="1" si="94"/>
        <v>-2.7291643446727049E-2</v>
      </c>
    </row>
    <row r="3570" spans="6:7" x14ac:dyDescent="0.3">
      <c r="F3570" s="64">
        <v>3567</v>
      </c>
      <c r="G3570" s="64">
        <f t="shared" ca="1" si="94"/>
        <v>4.1836488333983873E-4</v>
      </c>
    </row>
    <row r="3571" spans="6:7" x14ac:dyDescent="0.3">
      <c r="F3571" s="64">
        <v>3568</v>
      </c>
      <c r="G3571" s="64">
        <f t="shared" ca="1" si="94"/>
        <v>7.3778362933644122E-3</v>
      </c>
    </row>
    <row r="3572" spans="6:7" x14ac:dyDescent="0.3">
      <c r="F3572" s="64">
        <v>3569</v>
      </c>
      <c r="G3572" s="64">
        <f t="shared" ca="1" si="94"/>
        <v>7.8733805593422246E-3</v>
      </c>
    </row>
    <row r="3573" spans="6:7" x14ac:dyDescent="0.3">
      <c r="F3573" s="64">
        <v>3570</v>
      </c>
      <c r="G3573" s="64">
        <f t="shared" ca="1" si="94"/>
        <v>2.7426117927107042E-3</v>
      </c>
    </row>
    <row r="3574" spans="6:7" x14ac:dyDescent="0.3">
      <c r="F3574" s="64">
        <v>3571</v>
      </c>
      <c r="G3574" s="64">
        <f t="shared" ca="1" si="94"/>
        <v>2.1116997359211423E-2</v>
      </c>
    </row>
    <row r="3575" spans="6:7" x14ac:dyDescent="0.3">
      <c r="F3575" s="64">
        <v>3572</v>
      </c>
      <c r="G3575" s="64">
        <f t="shared" ca="1" si="94"/>
        <v>8.7220455158277602E-3</v>
      </c>
    </row>
    <row r="3576" spans="6:7" x14ac:dyDescent="0.3">
      <c r="F3576" s="64">
        <v>3573</v>
      </c>
      <c r="G3576" s="64">
        <f t="shared" ca="1" si="94"/>
        <v>-3.1114993835498213E-2</v>
      </c>
    </row>
    <row r="3577" spans="6:7" x14ac:dyDescent="0.3">
      <c r="F3577" s="64">
        <v>3574</v>
      </c>
      <c r="G3577" s="64">
        <f t="shared" ca="1" si="94"/>
        <v>-1.6001337883654911E-2</v>
      </c>
    </row>
    <row r="3578" spans="6:7" x14ac:dyDescent="0.3">
      <c r="F3578" s="64">
        <v>3575</v>
      </c>
      <c r="G3578" s="64">
        <f t="shared" ca="1" si="94"/>
        <v>2.5036190978394712E-2</v>
      </c>
    </row>
    <row r="3579" spans="6:7" x14ac:dyDescent="0.3">
      <c r="F3579" s="64">
        <v>3576</v>
      </c>
      <c r="G3579" s="64">
        <f t="shared" ca="1" si="94"/>
        <v>-2.6054146858551321E-2</v>
      </c>
    </row>
    <row r="3580" spans="6:7" x14ac:dyDescent="0.3">
      <c r="F3580" s="64">
        <v>3577</v>
      </c>
      <c r="G3580" s="64">
        <f t="shared" ca="1" si="94"/>
        <v>-5.3161733916958593E-5</v>
      </c>
    </row>
    <row r="3581" spans="6:7" x14ac:dyDescent="0.3">
      <c r="F3581" s="64">
        <v>3578</v>
      </c>
      <c r="G3581" s="64">
        <f t="shared" ca="1" si="94"/>
        <v>4.2584911212161569E-2</v>
      </c>
    </row>
    <row r="3582" spans="6:7" x14ac:dyDescent="0.3">
      <c r="F3582" s="64">
        <v>3579</v>
      </c>
      <c r="G3582" s="64">
        <f t="shared" ca="1" si="94"/>
        <v>-3.1470513492035E-3</v>
      </c>
    </row>
    <row r="3583" spans="6:7" x14ac:dyDescent="0.3">
      <c r="F3583" s="64">
        <v>3580</v>
      </c>
      <c r="G3583" s="64">
        <f t="shared" ca="1" si="94"/>
        <v>8.384214104959882E-3</v>
      </c>
    </row>
    <row r="3584" spans="6:7" x14ac:dyDescent="0.3">
      <c r="F3584" s="64">
        <v>3581</v>
      </c>
      <c r="G3584" s="64">
        <f t="shared" ca="1" si="94"/>
        <v>-1.471444878959694E-2</v>
      </c>
    </row>
    <row r="3585" spans="6:7" x14ac:dyDescent="0.3">
      <c r="F3585" s="64">
        <v>3582</v>
      </c>
      <c r="G3585" s="64">
        <f t="shared" ca="1" si="94"/>
        <v>-1.5547718201681536E-2</v>
      </c>
    </row>
    <row r="3586" spans="6:7" x14ac:dyDescent="0.3">
      <c r="F3586" s="64">
        <v>3583</v>
      </c>
      <c r="G3586" s="64">
        <f t="shared" ca="1" si="94"/>
        <v>2.9740396975747443E-2</v>
      </c>
    </row>
    <row r="3587" spans="6:7" x14ac:dyDescent="0.3">
      <c r="F3587" s="64">
        <v>3584</v>
      </c>
      <c r="G3587" s="64">
        <f t="shared" ca="1" si="94"/>
        <v>1.0307961495743614E-2</v>
      </c>
    </row>
    <row r="3588" spans="6:7" x14ac:dyDescent="0.3">
      <c r="F3588" s="64">
        <v>3585</v>
      </c>
      <c r="G3588" s="64">
        <f t="shared" ca="1" si="94"/>
        <v>2.7516095256998968E-2</v>
      </c>
    </row>
    <row r="3589" spans="6:7" x14ac:dyDescent="0.3">
      <c r="F3589" s="64">
        <v>3586</v>
      </c>
      <c r="G3589" s="64">
        <f t="shared" ref="G3589:G3652" ca="1" si="95">_xlfn.NORM.INV(RAND(),K$6,K$7)</f>
        <v>1.4436639768762284E-2</v>
      </c>
    </row>
    <row r="3590" spans="6:7" x14ac:dyDescent="0.3">
      <c r="F3590" s="64">
        <v>3587</v>
      </c>
      <c r="G3590" s="64">
        <f t="shared" ca="1" si="95"/>
        <v>-5.7764605040810456E-2</v>
      </c>
    </row>
    <row r="3591" spans="6:7" x14ac:dyDescent="0.3">
      <c r="F3591" s="64">
        <v>3588</v>
      </c>
      <c r="G3591" s="64">
        <f t="shared" ca="1" si="95"/>
        <v>3.3052447876626987E-3</v>
      </c>
    </row>
    <row r="3592" spans="6:7" x14ac:dyDescent="0.3">
      <c r="F3592" s="64">
        <v>3589</v>
      </c>
      <c r="G3592" s="64">
        <f t="shared" ca="1" si="95"/>
        <v>-1.0336421901557931E-2</v>
      </c>
    </row>
    <row r="3593" spans="6:7" x14ac:dyDescent="0.3">
      <c r="F3593" s="64">
        <v>3590</v>
      </c>
      <c r="G3593" s="64">
        <f t="shared" ca="1" si="95"/>
        <v>3.3803171996897342E-2</v>
      </c>
    </row>
    <row r="3594" spans="6:7" x14ac:dyDescent="0.3">
      <c r="F3594" s="64">
        <v>3591</v>
      </c>
      <c r="G3594" s="64">
        <f t="shared" ca="1" si="95"/>
        <v>-9.7366560688816866E-3</v>
      </c>
    </row>
    <row r="3595" spans="6:7" x14ac:dyDescent="0.3">
      <c r="F3595" s="64">
        <v>3592</v>
      </c>
      <c r="G3595" s="64">
        <f t="shared" ca="1" si="95"/>
        <v>-4.646551356688464E-3</v>
      </c>
    </row>
    <row r="3596" spans="6:7" x14ac:dyDescent="0.3">
      <c r="F3596" s="64">
        <v>3593</v>
      </c>
      <c r="G3596" s="64">
        <f t="shared" ca="1" si="95"/>
        <v>-2.7578387909519067E-5</v>
      </c>
    </row>
    <row r="3597" spans="6:7" x14ac:dyDescent="0.3">
      <c r="F3597" s="64">
        <v>3594</v>
      </c>
      <c r="G3597" s="64">
        <f t="shared" ca="1" si="95"/>
        <v>-2.5962148871991546E-2</v>
      </c>
    </row>
    <row r="3598" spans="6:7" x14ac:dyDescent="0.3">
      <c r="F3598" s="64">
        <v>3595</v>
      </c>
      <c r="G3598" s="64">
        <f t="shared" ca="1" si="95"/>
        <v>1.628987933409845E-2</v>
      </c>
    </row>
    <row r="3599" spans="6:7" x14ac:dyDescent="0.3">
      <c r="F3599" s="64">
        <v>3596</v>
      </c>
      <c r="G3599" s="64">
        <f t="shared" ca="1" si="95"/>
        <v>1.4313402669188019E-2</v>
      </c>
    </row>
    <row r="3600" spans="6:7" x14ac:dyDescent="0.3">
      <c r="F3600" s="64">
        <v>3597</v>
      </c>
      <c r="G3600" s="64">
        <f t="shared" ca="1" si="95"/>
        <v>7.498277300625781E-4</v>
      </c>
    </row>
    <row r="3601" spans="6:7" x14ac:dyDescent="0.3">
      <c r="F3601" s="64">
        <v>3598</v>
      </c>
      <c r="G3601" s="64">
        <f t="shared" ca="1" si="95"/>
        <v>2.6915349395426344E-3</v>
      </c>
    </row>
    <row r="3602" spans="6:7" x14ac:dyDescent="0.3">
      <c r="F3602" s="64">
        <v>3599</v>
      </c>
      <c r="G3602" s="64">
        <f t="shared" ca="1" si="95"/>
        <v>8.8560967309646108E-3</v>
      </c>
    </row>
    <row r="3603" spans="6:7" x14ac:dyDescent="0.3">
      <c r="F3603" s="64">
        <v>3600</v>
      </c>
      <c r="G3603" s="64">
        <f t="shared" ca="1" si="95"/>
        <v>2.3341995999395107E-3</v>
      </c>
    </row>
    <row r="3604" spans="6:7" x14ac:dyDescent="0.3">
      <c r="F3604" s="64">
        <v>3601</v>
      </c>
      <c r="G3604" s="64">
        <f t="shared" ca="1" si="95"/>
        <v>2.8200308551525562E-2</v>
      </c>
    </row>
    <row r="3605" spans="6:7" x14ac:dyDescent="0.3">
      <c r="F3605" s="64">
        <v>3602</v>
      </c>
      <c r="G3605" s="64">
        <f t="shared" ca="1" si="95"/>
        <v>-1.037951841689303E-3</v>
      </c>
    </row>
    <row r="3606" spans="6:7" x14ac:dyDescent="0.3">
      <c r="F3606" s="64">
        <v>3603</v>
      </c>
      <c r="G3606" s="64">
        <f t="shared" ca="1" si="95"/>
        <v>-1.8969510129622731E-2</v>
      </c>
    </row>
    <row r="3607" spans="6:7" x14ac:dyDescent="0.3">
      <c r="F3607" s="64">
        <v>3604</v>
      </c>
      <c r="G3607" s="64">
        <f t="shared" ca="1" si="95"/>
        <v>3.3476421924218659E-2</v>
      </c>
    </row>
    <row r="3608" spans="6:7" x14ac:dyDescent="0.3">
      <c r="F3608" s="64">
        <v>3605</v>
      </c>
      <c r="G3608" s="64">
        <f t="shared" ca="1" si="95"/>
        <v>-3.2221701591028896E-3</v>
      </c>
    </row>
    <row r="3609" spans="6:7" x14ac:dyDescent="0.3">
      <c r="F3609" s="64">
        <v>3606</v>
      </c>
      <c r="G3609" s="64">
        <f t="shared" ca="1" si="95"/>
        <v>-3.7829726188442414E-3</v>
      </c>
    </row>
    <row r="3610" spans="6:7" x14ac:dyDescent="0.3">
      <c r="F3610" s="64">
        <v>3607</v>
      </c>
      <c r="G3610" s="64">
        <f t="shared" ca="1" si="95"/>
        <v>1.6068405347875424E-2</v>
      </c>
    </row>
    <row r="3611" spans="6:7" x14ac:dyDescent="0.3">
      <c r="F3611" s="64">
        <v>3608</v>
      </c>
      <c r="G3611" s="64">
        <f t="shared" ca="1" si="95"/>
        <v>-9.9298120725462343E-3</v>
      </c>
    </row>
    <row r="3612" spans="6:7" x14ac:dyDescent="0.3">
      <c r="F3612" s="64">
        <v>3609</v>
      </c>
      <c r="G3612" s="64">
        <f t="shared" ca="1" si="95"/>
        <v>1.0152614675772642E-2</v>
      </c>
    </row>
    <row r="3613" spans="6:7" x14ac:dyDescent="0.3">
      <c r="F3613" s="64">
        <v>3610</v>
      </c>
      <c r="G3613" s="64">
        <f t="shared" ca="1" si="95"/>
        <v>2.2159188955360218E-2</v>
      </c>
    </row>
    <row r="3614" spans="6:7" x14ac:dyDescent="0.3">
      <c r="F3614" s="64">
        <v>3611</v>
      </c>
      <c r="G3614" s="64">
        <f t="shared" ca="1" si="95"/>
        <v>9.9733369377238579E-3</v>
      </c>
    </row>
    <row r="3615" spans="6:7" x14ac:dyDescent="0.3">
      <c r="F3615" s="64">
        <v>3612</v>
      </c>
      <c r="G3615" s="64">
        <f t="shared" ca="1" si="95"/>
        <v>3.4891568650002071E-2</v>
      </c>
    </row>
    <row r="3616" spans="6:7" x14ac:dyDescent="0.3">
      <c r="F3616" s="64">
        <v>3613</v>
      </c>
      <c r="G3616" s="64">
        <f t="shared" ca="1" si="95"/>
        <v>1.5087913702670951E-2</v>
      </c>
    </row>
    <row r="3617" spans="6:7" x14ac:dyDescent="0.3">
      <c r="F3617" s="64">
        <v>3614</v>
      </c>
      <c r="G3617" s="64">
        <f t="shared" ca="1" si="95"/>
        <v>8.0081233549844956E-3</v>
      </c>
    </row>
    <row r="3618" spans="6:7" x14ac:dyDescent="0.3">
      <c r="F3618" s="64">
        <v>3615</v>
      </c>
      <c r="G3618" s="64">
        <f t="shared" ca="1" si="95"/>
        <v>7.2240101520150077E-3</v>
      </c>
    </row>
    <row r="3619" spans="6:7" x14ac:dyDescent="0.3">
      <c r="F3619" s="64">
        <v>3616</v>
      </c>
      <c r="G3619" s="64">
        <f t="shared" ca="1" si="95"/>
        <v>-2.3226418336465632E-2</v>
      </c>
    </row>
    <row r="3620" spans="6:7" x14ac:dyDescent="0.3">
      <c r="F3620" s="64">
        <v>3617</v>
      </c>
      <c r="G3620" s="64">
        <f t="shared" ca="1" si="95"/>
        <v>-1.1999116186780227E-2</v>
      </c>
    </row>
    <row r="3621" spans="6:7" x14ac:dyDescent="0.3">
      <c r="F3621" s="64">
        <v>3618</v>
      </c>
      <c r="G3621" s="64">
        <f t="shared" ca="1" si="95"/>
        <v>-1.0478762273843015E-2</v>
      </c>
    </row>
    <row r="3622" spans="6:7" x14ac:dyDescent="0.3">
      <c r="F3622" s="64">
        <v>3619</v>
      </c>
      <c r="G3622" s="64">
        <f t="shared" ca="1" si="95"/>
        <v>-5.1483301366292318E-2</v>
      </c>
    </row>
    <row r="3623" spans="6:7" x14ac:dyDescent="0.3">
      <c r="F3623" s="64">
        <v>3620</v>
      </c>
      <c r="G3623" s="64">
        <f t="shared" ca="1" si="95"/>
        <v>2.3770376066115741E-2</v>
      </c>
    </row>
    <row r="3624" spans="6:7" x14ac:dyDescent="0.3">
      <c r="F3624" s="64">
        <v>3621</v>
      </c>
      <c r="G3624" s="64">
        <f t="shared" ca="1" si="95"/>
        <v>4.9171508400395129E-2</v>
      </c>
    </row>
    <row r="3625" spans="6:7" x14ac:dyDescent="0.3">
      <c r="F3625" s="64">
        <v>3622</v>
      </c>
      <c r="G3625" s="64">
        <f t="shared" ca="1" si="95"/>
        <v>-1.8350985652402204E-3</v>
      </c>
    </row>
    <row r="3626" spans="6:7" x14ac:dyDescent="0.3">
      <c r="F3626" s="64">
        <v>3623</v>
      </c>
      <c r="G3626" s="64">
        <f t="shared" ca="1" si="95"/>
        <v>-2.6704502110818568E-2</v>
      </c>
    </row>
    <row r="3627" spans="6:7" x14ac:dyDescent="0.3">
      <c r="F3627" s="64">
        <v>3624</v>
      </c>
      <c r="G3627" s="64">
        <f t="shared" ca="1" si="95"/>
        <v>-3.6925238227157077E-3</v>
      </c>
    </row>
    <row r="3628" spans="6:7" x14ac:dyDescent="0.3">
      <c r="F3628" s="64">
        <v>3625</v>
      </c>
      <c r="G3628" s="64">
        <f t="shared" ca="1" si="95"/>
        <v>5.9577340199940257E-3</v>
      </c>
    </row>
    <row r="3629" spans="6:7" x14ac:dyDescent="0.3">
      <c r="F3629" s="64">
        <v>3626</v>
      </c>
      <c r="G3629" s="64">
        <f t="shared" ca="1" si="95"/>
        <v>4.0747642523459852E-2</v>
      </c>
    </row>
    <row r="3630" spans="6:7" x14ac:dyDescent="0.3">
      <c r="F3630" s="64">
        <v>3627</v>
      </c>
      <c r="G3630" s="64">
        <f t="shared" ca="1" si="95"/>
        <v>1.7481420369525928E-2</v>
      </c>
    </row>
    <row r="3631" spans="6:7" x14ac:dyDescent="0.3">
      <c r="F3631" s="64">
        <v>3628</v>
      </c>
      <c r="G3631" s="64">
        <f t="shared" ca="1" si="95"/>
        <v>5.4096598837322218E-3</v>
      </c>
    </row>
    <row r="3632" spans="6:7" x14ac:dyDescent="0.3">
      <c r="F3632" s="64">
        <v>3629</v>
      </c>
      <c r="G3632" s="64">
        <f t="shared" ca="1" si="95"/>
        <v>-3.0078869996197452E-2</v>
      </c>
    </row>
    <row r="3633" spans="6:7" x14ac:dyDescent="0.3">
      <c r="F3633" s="64">
        <v>3630</v>
      </c>
      <c r="G3633" s="64">
        <f t="shared" ca="1" si="95"/>
        <v>-8.7622685571364309E-3</v>
      </c>
    </row>
    <row r="3634" spans="6:7" x14ac:dyDescent="0.3">
      <c r="F3634" s="64">
        <v>3631</v>
      </c>
      <c r="G3634" s="64">
        <f t="shared" ca="1" si="95"/>
        <v>2.1344850585980769E-2</v>
      </c>
    </row>
    <row r="3635" spans="6:7" x14ac:dyDescent="0.3">
      <c r="F3635" s="64">
        <v>3632</v>
      </c>
      <c r="G3635" s="64">
        <f t="shared" ca="1" si="95"/>
        <v>-6.1145943009852976E-3</v>
      </c>
    </row>
    <row r="3636" spans="6:7" x14ac:dyDescent="0.3">
      <c r="F3636" s="64">
        <v>3633</v>
      </c>
      <c r="G3636" s="64">
        <f t="shared" ca="1" si="95"/>
        <v>-1.0452710356697566E-2</v>
      </c>
    </row>
    <row r="3637" spans="6:7" x14ac:dyDescent="0.3">
      <c r="F3637" s="64">
        <v>3634</v>
      </c>
      <c r="G3637" s="64">
        <f t="shared" ca="1" si="95"/>
        <v>3.0836359718097991E-2</v>
      </c>
    </row>
    <row r="3638" spans="6:7" x14ac:dyDescent="0.3">
      <c r="F3638" s="64">
        <v>3635</v>
      </c>
      <c r="G3638" s="64">
        <f t="shared" ca="1" si="95"/>
        <v>-8.8874648618192491E-3</v>
      </c>
    </row>
    <row r="3639" spans="6:7" x14ac:dyDescent="0.3">
      <c r="F3639" s="64">
        <v>3636</v>
      </c>
      <c r="G3639" s="64">
        <f t="shared" ca="1" si="95"/>
        <v>-7.8660407488926592E-3</v>
      </c>
    </row>
    <row r="3640" spans="6:7" x14ac:dyDescent="0.3">
      <c r="F3640" s="64">
        <v>3637</v>
      </c>
      <c r="G3640" s="64">
        <f t="shared" ca="1" si="95"/>
        <v>4.5594824684458725E-3</v>
      </c>
    </row>
    <row r="3641" spans="6:7" x14ac:dyDescent="0.3">
      <c r="F3641" s="64">
        <v>3638</v>
      </c>
      <c r="G3641" s="64">
        <f t="shared" ca="1" si="95"/>
        <v>-9.8983751645466281E-4</v>
      </c>
    </row>
    <row r="3642" spans="6:7" x14ac:dyDescent="0.3">
      <c r="F3642" s="64">
        <v>3639</v>
      </c>
      <c r="G3642" s="64">
        <f t="shared" ca="1" si="95"/>
        <v>1.8036791408902492E-2</v>
      </c>
    </row>
    <row r="3643" spans="6:7" x14ac:dyDescent="0.3">
      <c r="F3643" s="64">
        <v>3640</v>
      </c>
      <c r="G3643" s="64">
        <f t="shared" ca="1" si="95"/>
        <v>-3.2558162296892875E-3</v>
      </c>
    </row>
    <row r="3644" spans="6:7" x14ac:dyDescent="0.3">
      <c r="F3644" s="64">
        <v>3641</v>
      </c>
      <c r="G3644" s="64">
        <f t="shared" ca="1" si="95"/>
        <v>2.9211050330692691E-2</v>
      </c>
    </row>
    <row r="3645" spans="6:7" x14ac:dyDescent="0.3">
      <c r="F3645" s="64">
        <v>3642</v>
      </c>
      <c r="G3645" s="64">
        <f t="shared" ca="1" si="95"/>
        <v>-1.9215106856411417E-2</v>
      </c>
    </row>
    <row r="3646" spans="6:7" x14ac:dyDescent="0.3">
      <c r="F3646" s="64">
        <v>3643</v>
      </c>
      <c r="G3646" s="64">
        <f t="shared" ca="1" si="95"/>
        <v>-3.022701602553602E-2</v>
      </c>
    </row>
    <row r="3647" spans="6:7" x14ac:dyDescent="0.3">
      <c r="F3647" s="64">
        <v>3644</v>
      </c>
      <c r="G3647" s="64">
        <f t="shared" ca="1" si="95"/>
        <v>4.5714487424632987E-2</v>
      </c>
    </row>
    <row r="3648" spans="6:7" x14ac:dyDescent="0.3">
      <c r="F3648" s="64">
        <v>3645</v>
      </c>
      <c r="G3648" s="64">
        <f t="shared" ca="1" si="95"/>
        <v>9.8680674007623811E-3</v>
      </c>
    </row>
    <row r="3649" spans="6:7" x14ac:dyDescent="0.3">
      <c r="F3649" s="64">
        <v>3646</v>
      </c>
      <c r="G3649" s="64">
        <f t="shared" ca="1" si="95"/>
        <v>7.0733237765476719E-3</v>
      </c>
    </row>
    <row r="3650" spans="6:7" x14ac:dyDescent="0.3">
      <c r="F3650" s="64">
        <v>3647</v>
      </c>
      <c r="G3650" s="64">
        <f t="shared" ca="1" si="95"/>
        <v>1.4823864485511585E-2</v>
      </c>
    </row>
    <row r="3651" spans="6:7" x14ac:dyDescent="0.3">
      <c r="F3651" s="64">
        <v>3648</v>
      </c>
      <c r="G3651" s="64">
        <f t="shared" ca="1" si="95"/>
        <v>4.0187254388367802E-3</v>
      </c>
    </row>
    <row r="3652" spans="6:7" x14ac:dyDescent="0.3">
      <c r="F3652" s="64">
        <v>3649</v>
      </c>
      <c r="G3652" s="64">
        <f t="shared" ca="1" si="95"/>
        <v>-2.7705435086917786E-2</v>
      </c>
    </row>
    <row r="3653" spans="6:7" x14ac:dyDescent="0.3">
      <c r="F3653" s="64">
        <v>3650</v>
      </c>
      <c r="G3653" s="64">
        <f t="shared" ref="G3653:G3716" ca="1" si="96">_xlfn.NORM.INV(RAND(),K$6,K$7)</f>
        <v>1.2200817851108405E-2</v>
      </c>
    </row>
    <row r="3654" spans="6:7" x14ac:dyDescent="0.3">
      <c r="F3654" s="64">
        <v>3651</v>
      </c>
      <c r="G3654" s="64">
        <f t="shared" ca="1" si="96"/>
        <v>1.06739140705199E-2</v>
      </c>
    </row>
    <row r="3655" spans="6:7" x14ac:dyDescent="0.3">
      <c r="F3655" s="64">
        <v>3652</v>
      </c>
      <c r="G3655" s="64">
        <f t="shared" ca="1" si="96"/>
        <v>-2.2487769147229962E-2</v>
      </c>
    </row>
    <row r="3656" spans="6:7" x14ac:dyDescent="0.3">
      <c r="F3656" s="64">
        <v>3653</v>
      </c>
      <c r="G3656" s="64">
        <f t="shared" ca="1" si="96"/>
        <v>-7.1009808397691273E-3</v>
      </c>
    </row>
    <row r="3657" spans="6:7" x14ac:dyDescent="0.3">
      <c r="F3657" s="64">
        <v>3654</v>
      </c>
      <c r="G3657" s="64">
        <f t="shared" ca="1" si="96"/>
        <v>-6.9778232245385399E-3</v>
      </c>
    </row>
    <row r="3658" spans="6:7" x14ac:dyDescent="0.3">
      <c r="F3658" s="64">
        <v>3655</v>
      </c>
      <c r="G3658" s="64">
        <f t="shared" ca="1" si="96"/>
        <v>-2.4746793601280292E-2</v>
      </c>
    </row>
    <row r="3659" spans="6:7" x14ac:dyDescent="0.3">
      <c r="F3659" s="64">
        <v>3656</v>
      </c>
      <c r="G3659" s="64">
        <f t="shared" ca="1" si="96"/>
        <v>3.1205560967054971E-2</v>
      </c>
    </row>
    <row r="3660" spans="6:7" x14ac:dyDescent="0.3">
      <c r="F3660" s="64">
        <v>3657</v>
      </c>
      <c r="G3660" s="64">
        <f t="shared" ca="1" si="96"/>
        <v>-1.573070635059981E-2</v>
      </c>
    </row>
    <row r="3661" spans="6:7" x14ac:dyDescent="0.3">
      <c r="F3661" s="64">
        <v>3658</v>
      </c>
      <c r="G3661" s="64">
        <f t="shared" ca="1" si="96"/>
        <v>-1.0342665228712146E-2</v>
      </c>
    </row>
    <row r="3662" spans="6:7" x14ac:dyDescent="0.3">
      <c r="F3662" s="64">
        <v>3659</v>
      </c>
      <c r="G3662" s="64">
        <f t="shared" ca="1" si="96"/>
        <v>7.072136388150861E-3</v>
      </c>
    </row>
    <row r="3663" spans="6:7" x14ac:dyDescent="0.3">
      <c r="F3663" s="64">
        <v>3660</v>
      </c>
      <c r="G3663" s="64">
        <f t="shared" ca="1" si="96"/>
        <v>-3.1959923723557035E-2</v>
      </c>
    </row>
    <row r="3664" spans="6:7" x14ac:dyDescent="0.3">
      <c r="F3664" s="64">
        <v>3661</v>
      </c>
      <c r="G3664" s="64">
        <f t="shared" ca="1" si="96"/>
        <v>5.0055939169793937E-2</v>
      </c>
    </row>
    <row r="3665" spans="6:7" x14ac:dyDescent="0.3">
      <c r="F3665" s="64">
        <v>3662</v>
      </c>
      <c r="G3665" s="64">
        <f t="shared" ca="1" si="96"/>
        <v>-2.0307725379045266E-2</v>
      </c>
    </row>
    <row r="3666" spans="6:7" x14ac:dyDescent="0.3">
      <c r="F3666" s="64">
        <v>3663</v>
      </c>
      <c r="G3666" s="64">
        <f t="shared" ca="1" si="96"/>
        <v>-3.376189605283267E-3</v>
      </c>
    </row>
    <row r="3667" spans="6:7" x14ac:dyDescent="0.3">
      <c r="F3667" s="64">
        <v>3664</v>
      </c>
      <c r="G3667" s="64">
        <f t="shared" ca="1" si="96"/>
        <v>1.0107342896201433E-2</v>
      </c>
    </row>
    <row r="3668" spans="6:7" x14ac:dyDescent="0.3">
      <c r="F3668" s="64">
        <v>3665</v>
      </c>
      <c r="G3668" s="64">
        <f t="shared" ca="1" si="96"/>
        <v>-7.0050793550042447E-4</v>
      </c>
    </row>
    <row r="3669" spans="6:7" x14ac:dyDescent="0.3">
      <c r="F3669" s="64">
        <v>3666</v>
      </c>
      <c r="G3669" s="64">
        <f t="shared" ca="1" si="96"/>
        <v>1.0684082703962577E-2</v>
      </c>
    </row>
    <row r="3670" spans="6:7" x14ac:dyDescent="0.3">
      <c r="F3670" s="64">
        <v>3667</v>
      </c>
      <c r="G3670" s="64">
        <f t="shared" ca="1" si="96"/>
        <v>-9.2967562560805645E-3</v>
      </c>
    </row>
    <row r="3671" spans="6:7" x14ac:dyDescent="0.3">
      <c r="F3671" s="64">
        <v>3668</v>
      </c>
      <c r="G3671" s="64">
        <f t="shared" ca="1" si="96"/>
        <v>3.8491712766087427E-2</v>
      </c>
    </row>
    <row r="3672" spans="6:7" x14ac:dyDescent="0.3">
      <c r="F3672" s="64">
        <v>3669</v>
      </c>
      <c r="G3672" s="64">
        <f t="shared" ca="1" si="96"/>
        <v>1.1856914853597762E-2</v>
      </c>
    </row>
    <row r="3673" spans="6:7" x14ac:dyDescent="0.3">
      <c r="F3673" s="64">
        <v>3670</v>
      </c>
      <c r="G3673" s="64">
        <f t="shared" ca="1" si="96"/>
        <v>-2.2618879664613734E-2</v>
      </c>
    </row>
    <row r="3674" spans="6:7" x14ac:dyDescent="0.3">
      <c r="F3674" s="64">
        <v>3671</v>
      </c>
      <c r="G3674" s="64">
        <f t="shared" ca="1" si="96"/>
        <v>-8.7942451620446182E-3</v>
      </c>
    </row>
    <row r="3675" spans="6:7" x14ac:dyDescent="0.3">
      <c r="F3675" s="64">
        <v>3672</v>
      </c>
      <c r="G3675" s="64">
        <f t="shared" ca="1" si="96"/>
        <v>1.8325032214085359E-2</v>
      </c>
    </row>
    <row r="3676" spans="6:7" x14ac:dyDescent="0.3">
      <c r="F3676" s="64">
        <v>3673</v>
      </c>
      <c r="G3676" s="64">
        <f t="shared" ca="1" si="96"/>
        <v>1.9557837058490277E-2</v>
      </c>
    </row>
    <row r="3677" spans="6:7" x14ac:dyDescent="0.3">
      <c r="F3677" s="64">
        <v>3674</v>
      </c>
      <c r="G3677" s="64">
        <f t="shared" ca="1" si="96"/>
        <v>3.5104711161957985E-2</v>
      </c>
    </row>
    <row r="3678" spans="6:7" x14ac:dyDescent="0.3">
      <c r="F3678" s="64">
        <v>3675</v>
      </c>
      <c r="G3678" s="64">
        <f t="shared" ca="1" si="96"/>
        <v>-1.1782556111928147E-2</v>
      </c>
    </row>
    <row r="3679" spans="6:7" x14ac:dyDescent="0.3">
      <c r="F3679" s="64">
        <v>3676</v>
      </c>
      <c r="G3679" s="64">
        <f t="shared" ca="1" si="96"/>
        <v>-2.2439736986777793E-2</v>
      </c>
    </row>
    <row r="3680" spans="6:7" x14ac:dyDescent="0.3">
      <c r="F3680" s="64">
        <v>3677</v>
      </c>
      <c r="G3680" s="64">
        <f t="shared" ca="1" si="96"/>
        <v>-2.3026297588092673E-2</v>
      </c>
    </row>
    <row r="3681" spans="6:7" x14ac:dyDescent="0.3">
      <c r="F3681" s="64">
        <v>3678</v>
      </c>
      <c r="G3681" s="64">
        <f t="shared" ca="1" si="96"/>
        <v>9.8259842809168413E-3</v>
      </c>
    </row>
    <row r="3682" spans="6:7" x14ac:dyDescent="0.3">
      <c r="F3682" s="64">
        <v>3679</v>
      </c>
      <c r="G3682" s="64">
        <f t="shared" ca="1" si="96"/>
        <v>2.5122817569389673E-2</v>
      </c>
    </row>
    <row r="3683" spans="6:7" x14ac:dyDescent="0.3">
      <c r="F3683" s="64">
        <v>3680</v>
      </c>
      <c r="G3683" s="64">
        <f t="shared" ca="1" si="96"/>
        <v>3.1213310682198727E-3</v>
      </c>
    </row>
    <row r="3684" spans="6:7" x14ac:dyDescent="0.3">
      <c r="F3684" s="64">
        <v>3681</v>
      </c>
      <c r="G3684" s="64">
        <f t="shared" ca="1" si="96"/>
        <v>-6.9739690462056053E-3</v>
      </c>
    </row>
    <row r="3685" spans="6:7" x14ac:dyDescent="0.3">
      <c r="F3685" s="64">
        <v>3682</v>
      </c>
      <c r="G3685" s="64">
        <f t="shared" ca="1" si="96"/>
        <v>-3.5495412537250139E-3</v>
      </c>
    </row>
    <row r="3686" spans="6:7" x14ac:dyDescent="0.3">
      <c r="F3686" s="64">
        <v>3683</v>
      </c>
      <c r="G3686" s="64">
        <f t="shared" ca="1" si="96"/>
        <v>-3.0815010465043528E-2</v>
      </c>
    </row>
    <row r="3687" spans="6:7" x14ac:dyDescent="0.3">
      <c r="F3687" s="64">
        <v>3684</v>
      </c>
      <c r="G3687" s="64">
        <f t="shared" ca="1" si="96"/>
        <v>-6.4879090554622772E-3</v>
      </c>
    </row>
    <row r="3688" spans="6:7" x14ac:dyDescent="0.3">
      <c r="F3688" s="64">
        <v>3685</v>
      </c>
      <c r="G3688" s="64">
        <f t="shared" ca="1" si="96"/>
        <v>-4.678591052393391E-3</v>
      </c>
    </row>
    <row r="3689" spans="6:7" x14ac:dyDescent="0.3">
      <c r="F3689" s="64">
        <v>3686</v>
      </c>
      <c r="G3689" s="64">
        <f t="shared" ca="1" si="96"/>
        <v>-1.9452901354591164E-2</v>
      </c>
    </row>
    <row r="3690" spans="6:7" x14ac:dyDescent="0.3">
      <c r="F3690" s="64">
        <v>3687</v>
      </c>
      <c r="G3690" s="64">
        <f t="shared" ca="1" si="96"/>
        <v>-1.6414953417541706E-2</v>
      </c>
    </row>
    <row r="3691" spans="6:7" x14ac:dyDescent="0.3">
      <c r="F3691" s="64">
        <v>3688</v>
      </c>
      <c r="G3691" s="64">
        <f t="shared" ca="1" si="96"/>
        <v>1.5445542731777909E-2</v>
      </c>
    </row>
    <row r="3692" spans="6:7" x14ac:dyDescent="0.3">
      <c r="F3692" s="64">
        <v>3689</v>
      </c>
      <c r="G3692" s="64">
        <f t="shared" ca="1" si="96"/>
        <v>-1.5971064352654062E-3</v>
      </c>
    </row>
    <row r="3693" spans="6:7" x14ac:dyDescent="0.3">
      <c r="F3693" s="64">
        <v>3690</v>
      </c>
      <c r="G3693" s="64">
        <f t="shared" ca="1" si="96"/>
        <v>-2.2646325667275688E-2</v>
      </c>
    </row>
    <row r="3694" spans="6:7" x14ac:dyDescent="0.3">
      <c r="F3694" s="64">
        <v>3691</v>
      </c>
      <c r="G3694" s="64">
        <f t="shared" ca="1" si="96"/>
        <v>-4.4712898811398061E-2</v>
      </c>
    </row>
    <row r="3695" spans="6:7" x14ac:dyDescent="0.3">
      <c r="F3695" s="64">
        <v>3692</v>
      </c>
      <c r="G3695" s="64">
        <f t="shared" ca="1" si="96"/>
        <v>5.0694205044303921E-2</v>
      </c>
    </row>
    <row r="3696" spans="6:7" x14ac:dyDescent="0.3">
      <c r="F3696" s="64">
        <v>3693</v>
      </c>
      <c r="G3696" s="64">
        <f t="shared" ca="1" si="96"/>
        <v>-5.1002195139758736E-3</v>
      </c>
    </row>
    <row r="3697" spans="6:7" x14ac:dyDescent="0.3">
      <c r="F3697" s="64">
        <v>3694</v>
      </c>
      <c r="G3697" s="64">
        <f t="shared" ca="1" si="96"/>
        <v>1.3024364823119779E-2</v>
      </c>
    </row>
    <row r="3698" spans="6:7" x14ac:dyDescent="0.3">
      <c r="F3698" s="64">
        <v>3695</v>
      </c>
      <c r="G3698" s="64">
        <f t="shared" ca="1" si="96"/>
        <v>1.1681848188136286E-2</v>
      </c>
    </row>
    <row r="3699" spans="6:7" x14ac:dyDescent="0.3">
      <c r="F3699" s="64">
        <v>3696</v>
      </c>
      <c r="G3699" s="64">
        <f t="shared" ca="1" si="96"/>
        <v>6.8147209173012252E-3</v>
      </c>
    </row>
    <row r="3700" spans="6:7" x14ac:dyDescent="0.3">
      <c r="F3700" s="64">
        <v>3697</v>
      </c>
      <c r="G3700" s="64">
        <f t="shared" ca="1" si="96"/>
        <v>2.0996394561608907E-2</v>
      </c>
    </row>
    <row r="3701" spans="6:7" x14ac:dyDescent="0.3">
      <c r="F3701" s="64">
        <v>3698</v>
      </c>
      <c r="G3701" s="64">
        <f t="shared" ca="1" si="96"/>
        <v>-2.9370730320929421E-3</v>
      </c>
    </row>
    <row r="3702" spans="6:7" x14ac:dyDescent="0.3">
      <c r="F3702" s="64">
        <v>3699</v>
      </c>
      <c r="G3702" s="64">
        <f t="shared" ca="1" si="96"/>
        <v>2.7654182469467319E-2</v>
      </c>
    </row>
    <row r="3703" spans="6:7" x14ac:dyDescent="0.3">
      <c r="F3703" s="64">
        <v>3700</v>
      </c>
      <c r="G3703" s="64">
        <f t="shared" ca="1" si="96"/>
        <v>1.7880314573585444E-2</v>
      </c>
    </row>
    <row r="3704" spans="6:7" x14ac:dyDescent="0.3">
      <c r="F3704" s="64">
        <v>3701</v>
      </c>
      <c r="G3704" s="64">
        <f t="shared" ca="1" si="96"/>
        <v>3.5082855922463345E-2</v>
      </c>
    </row>
    <row r="3705" spans="6:7" x14ac:dyDescent="0.3">
      <c r="F3705" s="64">
        <v>3702</v>
      </c>
      <c r="G3705" s="64">
        <f t="shared" ca="1" si="96"/>
        <v>4.1527088411151214E-2</v>
      </c>
    </row>
    <row r="3706" spans="6:7" x14ac:dyDescent="0.3">
      <c r="F3706" s="64">
        <v>3703</v>
      </c>
      <c r="G3706" s="64">
        <f t="shared" ca="1" si="96"/>
        <v>2.1814046418361993E-3</v>
      </c>
    </row>
    <row r="3707" spans="6:7" x14ac:dyDescent="0.3">
      <c r="F3707" s="64">
        <v>3704</v>
      </c>
      <c r="G3707" s="64">
        <f t="shared" ca="1" si="96"/>
        <v>-1.8443584037879227E-2</v>
      </c>
    </row>
    <row r="3708" spans="6:7" x14ac:dyDescent="0.3">
      <c r="F3708" s="64">
        <v>3705</v>
      </c>
      <c r="G3708" s="64">
        <f t="shared" ca="1" si="96"/>
        <v>-8.8388834399620291E-3</v>
      </c>
    </row>
    <row r="3709" spans="6:7" x14ac:dyDescent="0.3">
      <c r="F3709" s="64">
        <v>3706</v>
      </c>
      <c r="G3709" s="64">
        <f t="shared" ca="1" si="96"/>
        <v>-3.3945750932888048E-2</v>
      </c>
    </row>
    <row r="3710" spans="6:7" x14ac:dyDescent="0.3">
      <c r="F3710" s="64">
        <v>3707</v>
      </c>
      <c r="G3710" s="64">
        <f t="shared" ca="1" si="96"/>
        <v>1.9284899539538082E-2</v>
      </c>
    </row>
    <row r="3711" spans="6:7" x14ac:dyDescent="0.3">
      <c r="F3711" s="64">
        <v>3708</v>
      </c>
      <c r="G3711" s="64">
        <f t="shared" ca="1" si="96"/>
        <v>-2.2685251865509556E-3</v>
      </c>
    </row>
    <row r="3712" spans="6:7" x14ac:dyDescent="0.3">
      <c r="F3712" s="64">
        <v>3709</v>
      </c>
      <c r="G3712" s="64">
        <f t="shared" ca="1" si="96"/>
        <v>9.2217061491434802E-3</v>
      </c>
    </row>
    <row r="3713" spans="6:7" x14ac:dyDescent="0.3">
      <c r="F3713" s="64">
        <v>3710</v>
      </c>
      <c r="G3713" s="64">
        <f t="shared" ca="1" si="96"/>
        <v>-8.2105278490555642E-3</v>
      </c>
    </row>
    <row r="3714" spans="6:7" x14ac:dyDescent="0.3">
      <c r="F3714" s="64">
        <v>3711</v>
      </c>
      <c r="G3714" s="64">
        <f t="shared" ca="1" si="96"/>
        <v>3.7379814043711074E-2</v>
      </c>
    </row>
    <row r="3715" spans="6:7" x14ac:dyDescent="0.3">
      <c r="F3715" s="64">
        <v>3712</v>
      </c>
      <c r="G3715" s="64">
        <f t="shared" ca="1" si="96"/>
        <v>-1.5911203625172239E-2</v>
      </c>
    </row>
    <row r="3716" spans="6:7" x14ac:dyDescent="0.3">
      <c r="F3716" s="64">
        <v>3713</v>
      </c>
      <c r="G3716" s="64">
        <f t="shared" ca="1" si="96"/>
        <v>2.0630935280737069E-2</v>
      </c>
    </row>
    <row r="3717" spans="6:7" x14ac:dyDescent="0.3">
      <c r="F3717" s="64">
        <v>3714</v>
      </c>
      <c r="G3717" s="64">
        <f t="shared" ref="G3717:G3780" ca="1" si="97">_xlfn.NORM.INV(RAND(),K$6,K$7)</f>
        <v>9.0820715952414418E-3</v>
      </c>
    </row>
    <row r="3718" spans="6:7" x14ac:dyDescent="0.3">
      <c r="F3718" s="64">
        <v>3715</v>
      </c>
      <c r="G3718" s="64">
        <f t="shared" ca="1" si="97"/>
        <v>1.4969084508584843E-2</v>
      </c>
    </row>
    <row r="3719" spans="6:7" x14ac:dyDescent="0.3">
      <c r="F3719" s="64">
        <v>3716</v>
      </c>
      <c r="G3719" s="64">
        <f t="shared" ca="1" si="97"/>
        <v>-2.5573435667837555E-3</v>
      </c>
    </row>
    <row r="3720" spans="6:7" x14ac:dyDescent="0.3">
      <c r="F3720" s="64">
        <v>3717</v>
      </c>
      <c r="G3720" s="64">
        <f t="shared" ca="1" si="97"/>
        <v>2.5550704439617468E-2</v>
      </c>
    </row>
    <row r="3721" spans="6:7" x14ac:dyDescent="0.3">
      <c r="F3721" s="64">
        <v>3718</v>
      </c>
      <c r="G3721" s="64">
        <f t="shared" ca="1" si="97"/>
        <v>1.5545406337600404E-2</v>
      </c>
    </row>
    <row r="3722" spans="6:7" x14ac:dyDescent="0.3">
      <c r="F3722" s="64">
        <v>3719</v>
      </c>
      <c r="G3722" s="64">
        <f t="shared" ca="1" si="97"/>
        <v>1.3496768300292806E-2</v>
      </c>
    </row>
    <row r="3723" spans="6:7" x14ac:dyDescent="0.3">
      <c r="F3723" s="64">
        <v>3720</v>
      </c>
      <c r="G3723" s="64">
        <f t="shared" ca="1" si="97"/>
        <v>-1.2951549860691716E-2</v>
      </c>
    </row>
    <row r="3724" spans="6:7" x14ac:dyDescent="0.3">
      <c r="F3724" s="64">
        <v>3721</v>
      </c>
      <c r="G3724" s="64">
        <f t="shared" ca="1" si="97"/>
        <v>-9.551081860600108E-4</v>
      </c>
    </row>
    <row r="3725" spans="6:7" x14ac:dyDescent="0.3">
      <c r="F3725" s="64">
        <v>3722</v>
      </c>
      <c r="G3725" s="64">
        <f t="shared" ca="1" si="97"/>
        <v>-1.7820420825106639E-2</v>
      </c>
    </row>
    <row r="3726" spans="6:7" x14ac:dyDescent="0.3">
      <c r="F3726" s="64">
        <v>3723</v>
      </c>
      <c r="G3726" s="64">
        <f t="shared" ca="1" si="97"/>
        <v>8.4474305884500618E-3</v>
      </c>
    </row>
    <row r="3727" spans="6:7" x14ac:dyDescent="0.3">
      <c r="F3727" s="64">
        <v>3724</v>
      </c>
      <c r="G3727" s="64">
        <f t="shared" ca="1" si="97"/>
        <v>1.3242959798963254E-2</v>
      </c>
    </row>
    <row r="3728" spans="6:7" x14ac:dyDescent="0.3">
      <c r="F3728" s="64">
        <v>3725</v>
      </c>
      <c r="G3728" s="64">
        <f t="shared" ca="1" si="97"/>
        <v>-1.4059888969987434E-2</v>
      </c>
    </row>
    <row r="3729" spans="6:7" x14ac:dyDescent="0.3">
      <c r="F3729" s="64">
        <v>3726</v>
      </c>
      <c r="G3729" s="64">
        <f t="shared" ca="1" si="97"/>
        <v>-2.6008586118060527E-2</v>
      </c>
    </row>
    <row r="3730" spans="6:7" x14ac:dyDescent="0.3">
      <c r="F3730" s="64">
        <v>3727</v>
      </c>
      <c r="G3730" s="64">
        <f t="shared" ca="1" si="97"/>
        <v>-1.4935158959078177E-2</v>
      </c>
    </row>
    <row r="3731" spans="6:7" x14ac:dyDescent="0.3">
      <c r="F3731" s="64">
        <v>3728</v>
      </c>
      <c r="G3731" s="64">
        <f t="shared" ca="1" si="97"/>
        <v>9.1437467668917041E-3</v>
      </c>
    </row>
    <row r="3732" spans="6:7" x14ac:dyDescent="0.3">
      <c r="F3732" s="64">
        <v>3729</v>
      </c>
      <c r="G3732" s="64">
        <f t="shared" ca="1" si="97"/>
        <v>7.7889019371731186E-3</v>
      </c>
    </row>
    <row r="3733" spans="6:7" x14ac:dyDescent="0.3">
      <c r="F3733" s="64">
        <v>3730</v>
      </c>
      <c r="G3733" s="64">
        <f t="shared" ca="1" si="97"/>
        <v>-2.4550355291050256E-2</v>
      </c>
    </row>
    <row r="3734" spans="6:7" x14ac:dyDescent="0.3">
      <c r="F3734" s="64">
        <v>3731</v>
      </c>
      <c r="G3734" s="64">
        <f t="shared" ca="1" si="97"/>
        <v>-6.3883998964243049E-4</v>
      </c>
    </row>
    <row r="3735" spans="6:7" x14ac:dyDescent="0.3">
      <c r="F3735" s="64">
        <v>3732</v>
      </c>
      <c r="G3735" s="64">
        <f t="shared" ca="1" si="97"/>
        <v>6.4823312751001718E-3</v>
      </c>
    </row>
    <row r="3736" spans="6:7" x14ac:dyDescent="0.3">
      <c r="F3736" s="64">
        <v>3733</v>
      </c>
      <c r="G3736" s="64">
        <f t="shared" ca="1" si="97"/>
        <v>2.7094824882421494E-2</v>
      </c>
    </row>
    <row r="3737" spans="6:7" x14ac:dyDescent="0.3">
      <c r="F3737" s="64">
        <v>3734</v>
      </c>
      <c r="G3737" s="64">
        <f t="shared" ca="1" si="97"/>
        <v>2.4803390951331945E-3</v>
      </c>
    </row>
    <row r="3738" spans="6:7" x14ac:dyDescent="0.3">
      <c r="F3738" s="64">
        <v>3735</v>
      </c>
      <c r="G3738" s="64">
        <f t="shared" ca="1" si="97"/>
        <v>1.3419191628718099E-2</v>
      </c>
    </row>
    <row r="3739" spans="6:7" x14ac:dyDescent="0.3">
      <c r="F3739" s="64">
        <v>3736</v>
      </c>
      <c r="G3739" s="64">
        <f t="shared" ca="1" si="97"/>
        <v>-1.0871053486602261E-2</v>
      </c>
    </row>
    <row r="3740" spans="6:7" x14ac:dyDescent="0.3">
      <c r="F3740" s="64">
        <v>3737</v>
      </c>
      <c r="G3740" s="64">
        <f t="shared" ca="1" si="97"/>
        <v>-7.3589578871602231E-3</v>
      </c>
    </row>
    <row r="3741" spans="6:7" x14ac:dyDescent="0.3">
      <c r="F3741" s="64">
        <v>3738</v>
      </c>
      <c r="G3741" s="64">
        <f t="shared" ca="1" si="97"/>
        <v>-1.5589196048721299E-2</v>
      </c>
    </row>
    <row r="3742" spans="6:7" x14ac:dyDescent="0.3">
      <c r="F3742" s="64">
        <v>3739</v>
      </c>
      <c r="G3742" s="64">
        <f t="shared" ca="1" si="97"/>
        <v>-5.5744754389870695E-3</v>
      </c>
    </row>
    <row r="3743" spans="6:7" x14ac:dyDescent="0.3">
      <c r="F3743" s="64">
        <v>3740</v>
      </c>
      <c r="G3743" s="64">
        <f t="shared" ca="1" si="97"/>
        <v>-1.3067002942133454E-2</v>
      </c>
    </row>
    <row r="3744" spans="6:7" x14ac:dyDescent="0.3">
      <c r="F3744" s="64">
        <v>3741</v>
      </c>
      <c r="G3744" s="64">
        <f t="shared" ca="1" si="97"/>
        <v>-4.114832951479813E-3</v>
      </c>
    </row>
    <row r="3745" spans="6:7" x14ac:dyDescent="0.3">
      <c r="F3745" s="64">
        <v>3742</v>
      </c>
      <c r="G3745" s="64">
        <f t="shared" ca="1" si="97"/>
        <v>5.5155707539949498E-3</v>
      </c>
    </row>
    <row r="3746" spans="6:7" x14ac:dyDescent="0.3">
      <c r="F3746" s="64">
        <v>3743</v>
      </c>
      <c r="G3746" s="64">
        <f t="shared" ca="1" si="97"/>
        <v>7.3095938125403498E-3</v>
      </c>
    </row>
    <row r="3747" spans="6:7" x14ac:dyDescent="0.3">
      <c r="F3747" s="64">
        <v>3744</v>
      </c>
      <c r="G3747" s="64">
        <f t="shared" ca="1" si="97"/>
        <v>1.3031172980126401E-2</v>
      </c>
    </row>
    <row r="3748" spans="6:7" x14ac:dyDescent="0.3">
      <c r="F3748" s="64">
        <v>3745</v>
      </c>
      <c r="G3748" s="64">
        <f t="shared" ca="1" si="97"/>
        <v>4.3222065856248916E-2</v>
      </c>
    </row>
    <row r="3749" spans="6:7" x14ac:dyDescent="0.3">
      <c r="F3749" s="64">
        <v>3746</v>
      </c>
      <c r="G3749" s="64">
        <f t="shared" ca="1" si="97"/>
        <v>-2.834961651562521E-2</v>
      </c>
    </row>
    <row r="3750" spans="6:7" x14ac:dyDescent="0.3">
      <c r="F3750" s="64">
        <v>3747</v>
      </c>
      <c r="G3750" s="64">
        <f t="shared" ca="1" si="97"/>
        <v>-2.7539543172207026E-2</v>
      </c>
    </row>
    <row r="3751" spans="6:7" x14ac:dyDescent="0.3">
      <c r="F3751" s="64">
        <v>3748</v>
      </c>
      <c r="G3751" s="64">
        <f t="shared" ca="1" si="97"/>
        <v>-1.3543480329961204E-2</v>
      </c>
    </row>
    <row r="3752" spans="6:7" x14ac:dyDescent="0.3">
      <c r="F3752" s="64">
        <v>3749</v>
      </c>
      <c r="G3752" s="64">
        <f t="shared" ca="1" si="97"/>
        <v>2.7527212325254756E-2</v>
      </c>
    </row>
    <row r="3753" spans="6:7" x14ac:dyDescent="0.3">
      <c r="F3753" s="64">
        <v>3750</v>
      </c>
      <c r="G3753" s="64">
        <f t="shared" ca="1" si="97"/>
        <v>4.3451994027648901E-3</v>
      </c>
    </row>
    <row r="3754" spans="6:7" x14ac:dyDescent="0.3">
      <c r="F3754" s="64">
        <v>3751</v>
      </c>
      <c r="G3754" s="64">
        <f t="shared" ca="1" si="97"/>
        <v>-3.0528095960477043E-3</v>
      </c>
    </row>
    <row r="3755" spans="6:7" x14ac:dyDescent="0.3">
      <c r="F3755" s="64">
        <v>3752</v>
      </c>
      <c r="G3755" s="64">
        <f t="shared" ca="1" si="97"/>
        <v>7.8959341558784459E-3</v>
      </c>
    </row>
    <row r="3756" spans="6:7" x14ac:dyDescent="0.3">
      <c r="F3756" s="64">
        <v>3753</v>
      </c>
      <c r="G3756" s="64">
        <f t="shared" ca="1" si="97"/>
        <v>5.0454759246224952E-2</v>
      </c>
    </row>
    <row r="3757" spans="6:7" x14ac:dyDescent="0.3">
      <c r="F3757" s="64">
        <v>3754</v>
      </c>
      <c r="G3757" s="64">
        <f t="shared" ca="1" si="97"/>
        <v>8.1470096482279888E-3</v>
      </c>
    </row>
    <row r="3758" spans="6:7" x14ac:dyDescent="0.3">
      <c r="F3758" s="64">
        <v>3755</v>
      </c>
      <c r="G3758" s="64">
        <f t="shared" ca="1" si="97"/>
        <v>-2.7161664460770354E-2</v>
      </c>
    </row>
    <row r="3759" spans="6:7" x14ac:dyDescent="0.3">
      <c r="F3759" s="64">
        <v>3756</v>
      </c>
      <c r="G3759" s="64">
        <f t="shared" ca="1" si="97"/>
        <v>1.1399440680735571E-2</v>
      </c>
    </row>
    <row r="3760" spans="6:7" x14ac:dyDescent="0.3">
      <c r="F3760" s="64">
        <v>3757</v>
      </c>
      <c r="G3760" s="64">
        <f t="shared" ca="1" si="97"/>
        <v>-5.2296520006701985E-2</v>
      </c>
    </row>
    <row r="3761" spans="6:7" x14ac:dyDescent="0.3">
      <c r="F3761" s="64">
        <v>3758</v>
      </c>
      <c r="G3761" s="64">
        <f t="shared" ca="1" si="97"/>
        <v>6.1725642287639325E-3</v>
      </c>
    </row>
    <row r="3762" spans="6:7" x14ac:dyDescent="0.3">
      <c r="F3762" s="64">
        <v>3759</v>
      </c>
      <c r="G3762" s="64">
        <f t="shared" ca="1" si="97"/>
        <v>3.2361749901003653E-4</v>
      </c>
    </row>
    <row r="3763" spans="6:7" x14ac:dyDescent="0.3">
      <c r="F3763" s="64">
        <v>3760</v>
      </c>
      <c r="G3763" s="64">
        <f t="shared" ca="1" si="97"/>
        <v>-8.2689569649696398E-3</v>
      </c>
    </row>
    <row r="3764" spans="6:7" x14ac:dyDescent="0.3">
      <c r="F3764" s="64">
        <v>3761</v>
      </c>
      <c r="G3764" s="64">
        <f t="shared" ca="1" si="97"/>
        <v>2.4062608770127829E-2</v>
      </c>
    </row>
    <row r="3765" spans="6:7" x14ac:dyDescent="0.3">
      <c r="F3765" s="64">
        <v>3762</v>
      </c>
      <c r="G3765" s="64">
        <f t="shared" ca="1" si="97"/>
        <v>3.1924423304121765E-3</v>
      </c>
    </row>
    <row r="3766" spans="6:7" x14ac:dyDescent="0.3">
      <c r="F3766" s="64">
        <v>3763</v>
      </c>
      <c r="G3766" s="64">
        <f t="shared" ca="1" si="97"/>
        <v>4.2989388823780172E-2</v>
      </c>
    </row>
    <row r="3767" spans="6:7" x14ac:dyDescent="0.3">
      <c r="F3767" s="64">
        <v>3764</v>
      </c>
      <c r="G3767" s="64">
        <f t="shared" ca="1" si="97"/>
        <v>1.4846352049773339E-3</v>
      </c>
    </row>
    <row r="3768" spans="6:7" x14ac:dyDescent="0.3">
      <c r="F3768" s="64">
        <v>3765</v>
      </c>
      <c r="G3768" s="64">
        <f t="shared" ca="1" si="97"/>
        <v>5.7136113041783166E-3</v>
      </c>
    </row>
    <row r="3769" spans="6:7" x14ac:dyDescent="0.3">
      <c r="F3769" s="64">
        <v>3766</v>
      </c>
      <c r="G3769" s="64">
        <f t="shared" ca="1" si="97"/>
        <v>-9.9462011796533304E-3</v>
      </c>
    </row>
    <row r="3770" spans="6:7" x14ac:dyDescent="0.3">
      <c r="F3770" s="64">
        <v>3767</v>
      </c>
      <c r="G3770" s="64">
        <f t="shared" ca="1" si="97"/>
        <v>5.4217691158443618E-3</v>
      </c>
    </row>
    <row r="3771" spans="6:7" x14ac:dyDescent="0.3">
      <c r="F3771" s="64">
        <v>3768</v>
      </c>
      <c r="G3771" s="64">
        <f t="shared" ca="1" si="97"/>
        <v>-1.5913153347737038E-3</v>
      </c>
    </row>
    <row r="3772" spans="6:7" x14ac:dyDescent="0.3">
      <c r="F3772" s="64">
        <v>3769</v>
      </c>
      <c r="G3772" s="64">
        <f t="shared" ca="1" si="97"/>
        <v>-2.323861791386448E-2</v>
      </c>
    </row>
    <row r="3773" spans="6:7" x14ac:dyDescent="0.3">
      <c r="F3773" s="64">
        <v>3770</v>
      </c>
      <c r="G3773" s="64">
        <f t="shared" ca="1" si="97"/>
        <v>-1.3349666340787374E-2</v>
      </c>
    </row>
    <row r="3774" spans="6:7" x14ac:dyDescent="0.3">
      <c r="F3774" s="64">
        <v>3771</v>
      </c>
      <c r="G3774" s="64">
        <f t="shared" ca="1" si="97"/>
        <v>2.0954774849872076E-3</v>
      </c>
    </row>
    <row r="3775" spans="6:7" x14ac:dyDescent="0.3">
      <c r="F3775" s="64">
        <v>3772</v>
      </c>
      <c r="G3775" s="64">
        <f t="shared" ca="1" si="97"/>
        <v>-1.3974395910641198E-2</v>
      </c>
    </row>
    <row r="3776" spans="6:7" x14ac:dyDescent="0.3">
      <c r="F3776" s="64">
        <v>3773</v>
      </c>
      <c r="G3776" s="64">
        <f t="shared" ca="1" si="97"/>
        <v>7.5863539356760242E-3</v>
      </c>
    </row>
    <row r="3777" spans="6:7" x14ac:dyDescent="0.3">
      <c r="F3777" s="64">
        <v>3774</v>
      </c>
      <c r="G3777" s="64">
        <f t="shared" ca="1" si="97"/>
        <v>4.939267679071639E-3</v>
      </c>
    </row>
    <row r="3778" spans="6:7" x14ac:dyDescent="0.3">
      <c r="F3778" s="64">
        <v>3775</v>
      </c>
      <c r="G3778" s="64">
        <f t="shared" ca="1" si="97"/>
        <v>-2.5535563748060822E-3</v>
      </c>
    </row>
    <row r="3779" spans="6:7" x14ac:dyDescent="0.3">
      <c r="F3779" s="64">
        <v>3776</v>
      </c>
      <c r="G3779" s="64">
        <f t="shared" ca="1" si="97"/>
        <v>-1.4823806974172687E-2</v>
      </c>
    </row>
    <row r="3780" spans="6:7" x14ac:dyDescent="0.3">
      <c r="F3780" s="64">
        <v>3777</v>
      </c>
      <c r="G3780" s="64">
        <f t="shared" ca="1" si="97"/>
        <v>-1.1701265839857809E-2</v>
      </c>
    </row>
    <row r="3781" spans="6:7" x14ac:dyDescent="0.3">
      <c r="F3781" s="64">
        <v>3778</v>
      </c>
      <c r="G3781" s="64">
        <f t="shared" ref="G3781:G3844" ca="1" si="98">_xlfn.NORM.INV(RAND(),K$6,K$7)</f>
        <v>-2.6615729552024714E-3</v>
      </c>
    </row>
    <row r="3782" spans="6:7" x14ac:dyDescent="0.3">
      <c r="F3782" s="64">
        <v>3779</v>
      </c>
      <c r="G3782" s="64">
        <f t="shared" ca="1" si="98"/>
        <v>4.9649791249921721E-2</v>
      </c>
    </row>
    <row r="3783" spans="6:7" x14ac:dyDescent="0.3">
      <c r="F3783" s="64">
        <v>3780</v>
      </c>
      <c r="G3783" s="64">
        <f t="shared" ca="1" si="98"/>
        <v>-4.8488778567657093E-3</v>
      </c>
    </row>
    <row r="3784" spans="6:7" x14ac:dyDescent="0.3">
      <c r="F3784" s="64">
        <v>3781</v>
      </c>
      <c r="G3784" s="64">
        <f t="shared" ca="1" si="98"/>
        <v>-9.9331417892647988E-3</v>
      </c>
    </row>
    <row r="3785" spans="6:7" x14ac:dyDescent="0.3">
      <c r="F3785" s="64">
        <v>3782</v>
      </c>
      <c r="G3785" s="64">
        <f t="shared" ca="1" si="98"/>
        <v>5.773301378316816E-3</v>
      </c>
    </row>
    <row r="3786" spans="6:7" x14ac:dyDescent="0.3">
      <c r="F3786" s="64">
        <v>3783</v>
      </c>
      <c r="G3786" s="64">
        <f t="shared" ca="1" si="98"/>
        <v>1.931375660908842E-2</v>
      </c>
    </row>
    <row r="3787" spans="6:7" x14ac:dyDescent="0.3">
      <c r="F3787" s="64">
        <v>3784</v>
      </c>
      <c r="G3787" s="64">
        <f t="shared" ca="1" si="98"/>
        <v>-9.7555156715047366E-3</v>
      </c>
    </row>
    <row r="3788" spans="6:7" x14ac:dyDescent="0.3">
      <c r="F3788" s="64">
        <v>3785</v>
      </c>
      <c r="G3788" s="64">
        <f t="shared" ca="1" si="98"/>
        <v>-2.7365139194393304E-2</v>
      </c>
    </row>
    <row r="3789" spans="6:7" x14ac:dyDescent="0.3">
      <c r="F3789" s="64">
        <v>3786</v>
      </c>
      <c r="G3789" s="64">
        <f t="shared" ca="1" si="98"/>
        <v>-1.415094742268745E-2</v>
      </c>
    </row>
    <row r="3790" spans="6:7" x14ac:dyDescent="0.3">
      <c r="F3790" s="64">
        <v>3787</v>
      </c>
      <c r="G3790" s="64">
        <f t="shared" ca="1" si="98"/>
        <v>9.7403806254518939E-4</v>
      </c>
    </row>
    <row r="3791" spans="6:7" x14ac:dyDescent="0.3">
      <c r="F3791" s="64">
        <v>3788</v>
      </c>
      <c r="G3791" s="64">
        <f t="shared" ca="1" si="98"/>
        <v>-1.0992466457397359E-3</v>
      </c>
    </row>
    <row r="3792" spans="6:7" x14ac:dyDescent="0.3">
      <c r="F3792" s="64">
        <v>3789</v>
      </c>
      <c r="G3792" s="64">
        <f t="shared" ca="1" si="98"/>
        <v>1.175167532985181E-2</v>
      </c>
    </row>
    <row r="3793" spans="6:7" x14ac:dyDescent="0.3">
      <c r="F3793" s="64">
        <v>3790</v>
      </c>
      <c r="G3793" s="64">
        <f t="shared" ca="1" si="98"/>
        <v>-1.6487968953679745E-2</v>
      </c>
    </row>
    <row r="3794" spans="6:7" x14ac:dyDescent="0.3">
      <c r="F3794" s="64">
        <v>3791</v>
      </c>
      <c r="G3794" s="64">
        <f t="shared" ca="1" si="98"/>
        <v>-1.9322347797651934E-2</v>
      </c>
    </row>
    <row r="3795" spans="6:7" x14ac:dyDescent="0.3">
      <c r="F3795" s="64">
        <v>3792</v>
      </c>
      <c r="G3795" s="64">
        <f t="shared" ca="1" si="98"/>
        <v>-4.331566504917431E-3</v>
      </c>
    </row>
    <row r="3796" spans="6:7" x14ac:dyDescent="0.3">
      <c r="F3796" s="64">
        <v>3793</v>
      </c>
      <c r="G3796" s="64">
        <f t="shared" ca="1" si="98"/>
        <v>-3.2073686391284828E-2</v>
      </c>
    </row>
    <row r="3797" spans="6:7" x14ac:dyDescent="0.3">
      <c r="F3797" s="64">
        <v>3794</v>
      </c>
      <c r="G3797" s="64">
        <f t="shared" ca="1" si="98"/>
        <v>-3.7571516480928678E-2</v>
      </c>
    </row>
    <row r="3798" spans="6:7" x14ac:dyDescent="0.3">
      <c r="F3798" s="64">
        <v>3795</v>
      </c>
      <c r="G3798" s="64">
        <f t="shared" ca="1" si="98"/>
        <v>2.6892188235288259E-2</v>
      </c>
    </row>
    <row r="3799" spans="6:7" x14ac:dyDescent="0.3">
      <c r="F3799" s="64">
        <v>3796</v>
      </c>
      <c r="G3799" s="64">
        <f t="shared" ca="1" si="98"/>
        <v>-1.2360720391764566E-2</v>
      </c>
    </row>
    <row r="3800" spans="6:7" x14ac:dyDescent="0.3">
      <c r="F3800" s="64">
        <v>3797</v>
      </c>
      <c r="G3800" s="64">
        <f t="shared" ca="1" si="98"/>
        <v>-2.2283575033773845E-2</v>
      </c>
    </row>
    <row r="3801" spans="6:7" x14ac:dyDescent="0.3">
      <c r="F3801" s="64">
        <v>3798</v>
      </c>
      <c r="G3801" s="64">
        <f t="shared" ca="1" si="98"/>
        <v>-1.6659714520457565E-2</v>
      </c>
    </row>
    <row r="3802" spans="6:7" x14ac:dyDescent="0.3">
      <c r="F3802" s="64">
        <v>3799</v>
      </c>
      <c r="G3802" s="64">
        <f t="shared" ca="1" si="98"/>
        <v>2.9624850969094084E-2</v>
      </c>
    </row>
    <row r="3803" spans="6:7" x14ac:dyDescent="0.3">
      <c r="F3803" s="64">
        <v>3800</v>
      </c>
      <c r="G3803" s="64">
        <f t="shared" ca="1" si="98"/>
        <v>2.2723471652700625E-2</v>
      </c>
    </row>
    <row r="3804" spans="6:7" x14ac:dyDescent="0.3">
      <c r="F3804" s="64">
        <v>3801</v>
      </c>
      <c r="G3804" s="64">
        <f t="shared" ca="1" si="98"/>
        <v>-1.7273733354853734E-3</v>
      </c>
    </row>
    <row r="3805" spans="6:7" x14ac:dyDescent="0.3">
      <c r="F3805" s="64">
        <v>3802</v>
      </c>
      <c r="G3805" s="64">
        <f t="shared" ca="1" si="98"/>
        <v>4.6797073375687386E-3</v>
      </c>
    </row>
    <row r="3806" spans="6:7" x14ac:dyDescent="0.3">
      <c r="F3806" s="64">
        <v>3803</v>
      </c>
      <c r="G3806" s="64">
        <f t="shared" ca="1" si="98"/>
        <v>4.642132869322687E-3</v>
      </c>
    </row>
    <row r="3807" spans="6:7" x14ac:dyDescent="0.3">
      <c r="F3807" s="64">
        <v>3804</v>
      </c>
      <c r="G3807" s="64">
        <f t="shared" ca="1" si="98"/>
        <v>-1.0074665777216092E-2</v>
      </c>
    </row>
    <row r="3808" spans="6:7" x14ac:dyDescent="0.3">
      <c r="F3808" s="64">
        <v>3805</v>
      </c>
      <c r="G3808" s="64">
        <f t="shared" ca="1" si="98"/>
        <v>-3.3854258762605657E-2</v>
      </c>
    </row>
    <row r="3809" spans="6:7" x14ac:dyDescent="0.3">
      <c r="F3809" s="64">
        <v>3806</v>
      </c>
      <c r="G3809" s="64">
        <f t="shared" ca="1" si="98"/>
        <v>6.7459790978857907E-3</v>
      </c>
    </row>
    <row r="3810" spans="6:7" x14ac:dyDescent="0.3">
      <c r="F3810" s="64">
        <v>3807</v>
      </c>
      <c r="G3810" s="64">
        <f t="shared" ca="1" si="98"/>
        <v>-2.883527051384354E-2</v>
      </c>
    </row>
    <row r="3811" spans="6:7" x14ac:dyDescent="0.3">
      <c r="F3811" s="64">
        <v>3808</v>
      </c>
      <c r="G3811" s="64">
        <f t="shared" ca="1" si="98"/>
        <v>2.4288028255369902E-2</v>
      </c>
    </row>
    <row r="3812" spans="6:7" x14ac:dyDescent="0.3">
      <c r="F3812" s="64">
        <v>3809</v>
      </c>
      <c r="G3812" s="64">
        <f t="shared" ca="1" si="98"/>
        <v>5.5946333021003724E-3</v>
      </c>
    </row>
    <row r="3813" spans="6:7" x14ac:dyDescent="0.3">
      <c r="F3813" s="64">
        <v>3810</v>
      </c>
      <c r="G3813" s="64">
        <f t="shared" ca="1" si="98"/>
        <v>-4.4418022217028015E-2</v>
      </c>
    </row>
    <row r="3814" spans="6:7" x14ac:dyDescent="0.3">
      <c r="F3814" s="64">
        <v>3811</v>
      </c>
      <c r="G3814" s="64">
        <f t="shared" ca="1" si="98"/>
        <v>-1.0242775494642834E-2</v>
      </c>
    </row>
    <row r="3815" spans="6:7" x14ac:dyDescent="0.3">
      <c r="F3815" s="64">
        <v>3812</v>
      </c>
      <c r="G3815" s="64">
        <f t="shared" ca="1" si="98"/>
        <v>2.3296701511259191E-2</v>
      </c>
    </row>
    <row r="3816" spans="6:7" x14ac:dyDescent="0.3">
      <c r="F3816" s="64">
        <v>3813</v>
      </c>
      <c r="G3816" s="64">
        <f t="shared" ca="1" si="98"/>
        <v>-1.2191316343013049E-2</v>
      </c>
    </row>
    <row r="3817" spans="6:7" x14ac:dyDescent="0.3">
      <c r="F3817" s="64">
        <v>3814</v>
      </c>
      <c r="G3817" s="64">
        <f t="shared" ca="1" si="98"/>
        <v>2.7398993945307116E-3</v>
      </c>
    </row>
    <row r="3818" spans="6:7" x14ac:dyDescent="0.3">
      <c r="F3818" s="64">
        <v>3815</v>
      </c>
      <c r="G3818" s="64">
        <f t="shared" ca="1" si="98"/>
        <v>-1.7805197901517571E-2</v>
      </c>
    </row>
    <row r="3819" spans="6:7" x14ac:dyDescent="0.3">
      <c r="F3819" s="64">
        <v>3816</v>
      </c>
      <c r="G3819" s="64">
        <f t="shared" ca="1" si="98"/>
        <v>-1.3559986053073387E-2</v>
      </c>
    </row>
    <row r="3820" spans="6:7" x14ac:dyDescent="0.3">
      <c r="F3820" s="64">
        <v>3817</v>
      </c>
      <c r="G3820" s="64">
        <f t="shared" ca="1" si="98"/>
        <v>-4.4291595509449166E-3</v>
      </c>
    </row>
    <row r="3821" spans="6:7" x14ac:dyDescent="0.3">
      <c r="F3821" s="64">
        <v>3818</v>
      </c>
      <c r="G3821" s="64">
        <f t="shared" ca="1" si="98"/>
        <v>-4.6250415501101177E-2</v>
      </c>
    </row>
    <row r="3822" spans="6:7" x14ac:dyDescent="0.3">
      <c r="F3822" s="64">
        <v>3819</v>
      </c>
      <c r="G3822" s="64">
        <f t="shared" ca="1" si="98"/>
        <v>-2.6246182331405514E-2</v>
      </c>
    </row>
    <row r="3823" spans="6:7" x14ac:dyDescent="0.3">
      <c r="F3823" s="64">
        <v>3820</v>
      </c>
      <c r="G3823" s="64">
        <f t="shared" ca="1" si="98"/>
        <v>-8.8311145253494247E-3</v>
      </c>
    </row>
    <row r="3824" spans="6:7" x14ac:dyDescent="0.3">
      <c r="F3824" s="64">
        <v>3821</v>
      </c>
      <c r="G3824" s="64">
        <f t="shared" ca="1" si="98"/>
        <v>-4.5652190995660057E-2</v>
      </c>
    </row>
    <row r="3825" spans="6:7" x14ac:dyDescent="0.3">
      <c r="F3825" s="64">
        <v>3822</v>
      </c>
      <c r="G3825" s="64">
        <f t="shared" ca="1" si="98"/>
        <v>-3.2632501435486606E-2</v>
      </c>
    </row>
    <row r="3826" spans="6:7" x14ac:dyDescent="0.3">
      <c r="F3826" s="64">
        <v>3823</v>
      </c>
      <c r="G3826" s="64">
        <f t="shared" ca="1" si="98"/>
        <v>-1.9555847928680481E-2</v>
      </c>
    </row>
    <row r="3827" spans="6:7" x14ac:dyDescent="0.3">
      <c r="F3827" s="64">
        <v>3824</v>
      </c>
      <c r="G3827" s="64">
        <f t="shared" ca="1" si="98"/>
        <v>-4.2651582150192643E-3</v>
      </c>
    </row>
    <row r="3828" spans="6:7" x14ac:dyDescent="0.3">
      <c r="F3828" s="64">
        <v>3825</v>
      </c>
      <c r="G3828" s="64">
        <f t="shared" ca="1" si="98"/>
        <v>5.4391920554631469E-3</v>
      </c>
    </row>
    <row r="3829" spans="6:7" x14ac:dyDescent="0.3">
      <c r="F3829" s="64">
        <v>3826</v>
      </c>
      <c r="G3829" s="64">
        <f t="shared" ca="1" si="98"/>
        <v>1.4708419407444244E-2</v>
      </c>
    </row>
    <row r="3830" spans="6:7" x14ac:dyDescent="0.3">
      <c r="F3830" s="64">
        <v>3827</v>
      </c>
      <c r="G3830" s="64">
        <f t="shared" ca="1" si="98"/>
        <v>3.267334642983477E-3</v>
      </c>
    </row>
    <row r="3831" spans="6:7" x14ac:dyDescent="0.3">
      <c r="F3831" s="64">
        <v>3828</v>
      </c>
      <c r="G3831" s="64">
        <f t="shared" ca="1" si="98"/>
        <v>-1.4809990703684541E-2</v>
      </c>
    </row>
    <row r="3832" spans="6:7" x14ac:dyDescent="0.3">
      <c r="F3832" s="64">
        <v>3829</v>
      </c>
      <c r="G3832" s="64">
        <f t="shared" ca="1" si="98"/>
        <v>-2.8363767449296577E-3</v>
      </c>
    </row>
    <row r="3833" spans="6:7" x14ac:dyDescent="0.3">
      <c r="F3833" s="64">
        <v>3830</v>
      </c>
      <c r="G3833" s="64">
        <f t="shared" ca="1" si="98"/>
        <v>1.1405645515750736E-2</v>
      </c>
    </row>
    <row r="3834" spans="6:7" x14ac:dyDescent="0.3">
      <c r="F3834" s="64">
        <v>3831</v>
      </c>
      <c r="G3834" s="64">
        <f t="shared" ca="1" si="98"/>
        <v>3.1770770076747404E-2</v>
      </c>
    </row>
    <row r="3835" spans="6:7" x14ac:dyDescent="0.3">
      <c r="F3835" s="64">
        <v>3832</v>
      </c>
      <c r="G3835" s="64">
        <f t="shared" ca="1" si="98"/>
        <v>8.2210382228200748E-3</v>
      </c>
    </row>
    <row r="3836" spans="6:7" x14ac:dyDescent="0.3">
      <c r="F3836" s="64">
        <v>3833</v>
      </c>
      <c r="G3836" s="64">
        <f t="shared" ca="1" si="98"/>
        <v>-4.2944261179328883E-2</v>
      </c>
    </row>
    <row r="3837" spans="6:7" x14ac:dyDescent="0.3">
      <c r="F3837" s="64">
        <v>3834</v>
      </c>
      <c r="G3837" s="64">
        <f t="shared" ca="1" si="98"/>
        <v>-1.2987369290898547E-2</v>
      </c>
    </row>
    <row r="3838" spans="6:7" x14ac:dyDescent="0.3">
      <c r="F3838" s="64">
        <v>3835</v>
      </c>
      <c r="G3838" s="64">
        <f t="shared" ca="1" si="98"/>
        <v>1.9412924485545477E-2</v>
      </c>
    </row>
    <row r="3839" spans="6:7" x14ac:dyDescent="0.3">
      <c r="F3839" s="64">
        <v>3836</v>
      </c>
      <c r="G3839" s="64">
        <f t="shared" ca="1" si="98"/>
        <v>1.1461782992921762E-2</v>
      </c>
    </row>
    <row r="3840" spans="6:7" x14ac:dyDescent="0.3">
      <c r="F3840" s="64">
        <v>3837</v>
      </c>
      <c r="G3840" s="64">
        <f t="shared" ca="1" si="98"/>
        <v>5.9963095436274148E-3</v>
      </c>
    </row>
    <row r="3841" spans="6:7" x14ac:dyDescent="0.3">
      <c r="F3841" s="64">
        <v>3838</v>
      </c>
      <c r="G3841" s="64">
        <f t="shared" ca="1" si="98"/>
        <v>3.9508651212106304E-2</v>
      </c>
    </row>
    <row r="3842" spans="6:7" x14ac:dyDescent="0.3">
      <c r="F3842" s="64">
        <v>3839</v>
      </c>
      <c r="G3842" s="64">
        <f t="shared" ca="1" si="98"/>
        <v>2.2462969172946559E-2</v>
      </c>
    </row>
    <row r="3843" spans="6:7" x14ac:dyDescent="0.3">
      <c r="F3843" s="64">
        <v>3840</v>
      </c>
      <c r="G3843" s="64">
        <f t="shared" ca="1" si="98"/>
        <v>-8.1881047962985808E-5</v>
      </c>
    </row>
    <row r="3844" spans="6:7" x14ac:dyDescent="0.3">
      <c r="F3844" s="64">
        <v>3841</v>
      </c>
      <c r="G3844" s="64">
        <f t="shared" ca="1" si="98"/>
        <v>-9.4853449237341583E-3</v>
      </c>
    </row>
    <row r="3845" spans="6:7" x14ac:dyDescent="0.3">
      <c r="F3845" s="64">
        <v>3842</v>
      </c>
      <c r="G3845" s="64">
        <f t="shared" ref="G3845:G3908" ca="1" si="99">_xlfn.NORM.INV(RAND(),K$6,K$7)</f>
        <v>2.8625890903816807E-2</v>
      </c>
    </row>
    <row r="3846" spans="6:7" x14ac:dyDescent="0.3">
      <c r="F3846" s="64">
        <v>3843</v>
      </c>
      <c r="G3846" s="64">
        <f t="shared" ca="1" si="99"/>
        <v>1.6392348462920842E-2</v>
      </c>
    </row>
    <row r="3847" spans="6:7" x14ac:dyDescent="0.3">
      <c r="F3847" s="64">
        <v>3844</v>
      </c>
      <c r="G3847" s="64">
        <f t="shared" ca="1" si="99"/>
        <v>-1.2776264445329338E-2</v>
      </c>
    </row>
    <row r="3848" spans="6:7" x14ac:dyDescent="0.3">
      <c r="F3848" s="64">
        <v>3845</v>
      </c>
      <c r="G3848" s="64">
        <f t="shared" ca="1" si="99"/>
        <v>-2.9561012309050713E-2</v>
      </c>
    </row>
    <row r="3849" spans="6:7" x14ac:dyDescent="0.3">
      <c r="F3849" s="64">
        <v>3846</v>
      </c>
      <c r="G3849" s="64">
        <f t="shared" ca="1" si="99"/>
        <v>7.5565425790480806E-3</v>
      </c>
    </row>
    <row r="3850" spans="6:7" x14ac:dyDescent="0.3">
      <c r="F3850" s="64">
        <v>3847</v>
      </c>
      <c r="G3850" s="64">
        <f t="shared" ca="1" si="99"/>
        <v>1.8006362590547283E-2</v>
      </c>
    </row>
    <row r="3851" spans="6:7" x14ac:dyDescent="0.3">
      <c r="F3851" s="64">
        <v>3848</v>
      </c>
      <c r="G3851" s="64">
        <f t="shared" ca="1" si="99"/>
        <v>7.3286148911493902E-3</v>
      </c>
    </row>
    <row r="3852" spans="6:7" x14ac:dyDescent="0.3">
      <c r="F3852" s="64">
        <v>3849</v>
      </c>
      <c r="G3852" s="64">
        <f t="shared" ca="1" si="99"/>
        <v>-2.0017267990983502E-2</v>
      </c>
    </row>
    <row r="3853" spans="6:7" x14ac:dyDescent="0.3">
      <c r="F3853" s="64">
        <v>3850</v>
      </c>
      <c r="G3853" s="64">
        <f t="shared" ca="1" si="99"/>
        <v>-1.7689792822616242E-2</v>
      </c>
    </row>
    <row r="3854" spans="6:7" x14ac:dyDescent="0.3">
      <c r="F3854" s="64">
        <v>3851</v>
      </c>
      <c r="G3854" s="64">
        <f t="shared" ca="1" si="99"/>
        <v>1.1747894605573269E-2</v>
      </c>
    </row>
    <row r="3855" spans="6:7" x14ac:dyDescent="0.3">
      <c r="F3855" s="64">
        <v>3852</v>
      </c>
      <c r="G3855" s="64">
        <f t="shared" ca="1" si="99"/>
        <v>-9.2047075814123669E-4</v>
      </c>
    </row>
    <row r="3856" spans="6:7" x14ac:dyDescent="0.3">
      <c r="F3856" s="64">
        <v>3853</v>
      </c>
      <c r="G3856" s="64">
        <f t="shared" ca="1" si="99"/>
        <v>-6.4379478729603788E-3</v>
      </c>
    </row>
    <row r="3857" spans="6:7" x14ac:dyDescent="0.3">
      <c r="F3857" s="64">
        <v>3854</v>
      </c>
      <c r="G3857" s="64">
        <f t="shared" ca="1" si="99"/>
        <v>-1.1749514979040228E-2</v>
      </c>
    </row>
    <row r="3858" spans="6:7" x14ac:dyDescent="0.3">
      <c r="F3858" s="64">
        <v>3855</v>
      </c>
      <c r="G3858" s="64">
        <f t="shared" ca="1" si="99"/>
        <v>1.1930886288161555E-2</v>
      </c>
    </row>
    <row r="3859" spans="6:7" x14ac:dyDescent="0.3">
      <c r="F3859" s="64">
        <v>3856</v>
      </c>
      <c r="G3859" s="64">
        <f t="shared" ca="1" si="99"/>
        <v>2.0874740573745713E-2</v>
      </c>
    </row>
    <row r="3860" spans="6:7" x14ac:dyDescent="0.3">
      <c r="F3860" s="64">
        <v>3857</v>
      </c>
      <c r="G3860" s="64">
        <f t="shared" ca="1" si="99"/>
        <v>9.6181665371553721E-4</v>
      </c>
    </row>
    <row r="3861" spans="6:7" x14ac:dyDescent="0.3">
      <c r="F3861" s="64">
        <v>3858</v>
      </c>
      <c r="G3861" s="64">
        <f t="shared" ca="1" si="99"/>
        <v>-8.4625400021611109E-3</v>
      </c>
    </row>
    <row r="3862" spans="6:7" x14ac:dyDescent="0.3">
      <c r="F3862" s="64">
        <v>3859</v>
      </c>
      <c r="G3862" s="64">
        <f t="shared" ca="1" si="99"/>
        <v>-7.4121454555053281E-3</v>
      </c>
    </row>
    <row r="3863" spans="6:7" x14ac:dyDescent="0.3">
      <c r="F3863" s="64">
        <v>3860</v>
      </c>
      <c r="G3863" s="64">
        <f t="shared" ca="1" si="99"/>
        <v>1.4860363805746101E-3</v>
      </c>
    </row>
    <row r="3864" spans="6:7" x14ac:dyDescent="0.3">
      <c r="F3864" s="64">
        <v>3861</v>
      </c>
      <c r="G3864" s="64">
        <f t="shared" ca="1" si="99"/>
        <v>2.1912946165577547E-2</v>
      </c>
    </row>
    <row r="3865" spans="6:7" x14ac:dyDescent="0.3">
      <c r="F3865" s="64">
        <v>3862</v>
      </c>
      <c r="G3865" s="64">
        <f t="shared" ca="1" si="99"/>
        <v>1.5898255254905846E-2</v>
      </c>
    </row>
    <row r="3866" spans="6:7" x14ac:dyDescent="0.3">
      <c r="F3866" s="64">
        <v>3863</v>
      </c>
      <c r="G3866" s="64">
        <f t="shared" ca="1" si="99"/>
        <v>1.416955535580559E-2</v>
      </c>
    </row>
    <row r="3867" spans="6:7" x14ac:dyDescent="0.3">
      <c r="F3867" s="64">
        <v>3864</v>
      </c>
      <c r="G3867" s="64">
        <f t="shared" ca="1" si="99"/>
        <v>4.1611151611835789E-2</v>
      </c>
    </row>
    <row r="3868" spans="6:7" x14ac:dyDescent="0.3">
      <c r="F3868" s="64">
        <v>3865</v>
      </c>
      <c r="G3868" s="64">
        <f t="shared" ca="1" si="99"/>
        <v>1.1989148116039862E-2</v>
      </c>
    </row>
    <row r="3869" spans="6:7" x14ac:dyDescent="0.3">
      <c r="F3869" s="64">
        <v>3866</v>
      </c>
      <c r="G3869" s="64">
        <f t="shared" ca="1" si="99"/>
        <v>-1.5900415923572318E-3</v>
      </c>
    </row>
    <row r="3870" spans="6:7" x14ac:dyDescent="0.3">
      <c r="F3870" s="64">
        <v>3867</v>
      </c>
      <c r="G3870" s="64">
        <f t="shared" ca="1" si="99"/>
        <v>1.236647344090514E-2</v>
      </c>
    </row>
    <row r="3871" spans="6:7" x14ac:dyDescent="0.3">
      <c r="F3871" s="64">
        <v>3868</v>
      </c>
      <c r="G3871" s="64">
        <f t="shared" ca="1" si="99"/>
        <v>2.1462507549003897E-2</v>
      </c>
    </row>
    <row r="3872" spans="6:7" x14ac:dyDescent="0.3">
      <c r="F3872" s="64">
        <v>3869</v>
      </c>
      <c r="G3872" s="64">
        <f t="shared" ca="1" si="99"/>
        <v>-4.0925147710925199E-3</v>
      </c>
    </row>
    <row r="3873" spans="6:7" x14ac:dyDescent="0.3">
      <c r="F3873" s="64">
        <v>3870</v>
      </c>
      <c r="G3873" s="64">
        <f t="shared" ca="1" si="99"/>
        <v>-7.3536340716510683E-3</v>
      </c>
    </row>
    <row r="3874" spans="6:7" x14ac:dyDescent="0.3">
      <c r="F3874" s="64">
        <v>3871</v>
      </c>
      <c r="G3874" s="64">
        <f t="shared" ca="1" si="99"/>
        <v>1.8524758540817428E-2</v>
      </c>
    </row>
    <row r="3875" spans="6:7" x14ac:dyDescent="0.3">
      <c r="F3875" s="64">
        <v>3872</v>
      </c>
      <c r="G3875" s="64">
        <f t="shared" ca="1" si="99"/>
        <v>-1.5868842976879072E-2</v>
      </c>
    </row>
    <row r="3876" spans="6:7" x14ac:dyDescent="0.3">
      <c r="F3876" s="64">
        <v>3873</v>
      </c>
      <c r="G3876" s="64">
        <f t="shared" ca="1" si="99"/>
        <v>2.9421434248068801E-3</v>
      </c>
    </row>
    <row r="3877" spans="6:7" x14ac:dyDescent="0.3">
      <c r="F3877" s="64">
        <v>3874</v>
      </c>
      <c r="G3877" s="64">
        <f t="shared" ca="1" si="99"/>
        <v>5.976320234862048E-4</v>
      </c>
    </row>
    <row r="3878" spans="6:7" x14ac:dyDescent="0.3">
      <c r="F3878" s="64">
        <v>3875</v>
      </c>
      <c r="G3878" s="64">
        <f t="shared" ca="1" si="99"/>
        <v>6.786740149501507E-3</v>
      </c>
    </row>
    <row r="3879" spans="6:7" x14ac:dyDescent="0.3">
      <c r="F3879" s="64">
        <v>3876</v>
      </c>
      <c r="G3879" s="64">
        <f t="shared" ca="1" si="99"/>
        <v>2.0874412765839435E-2</v>
      </c>
    </row>
    <row r="3880" spans="6:7" x14ac:dyDescent="0.3">
      <c r="F3880" s="64">
        <v>3877</v>
      </c>
      <c r="G3880" s="64">
        <f t="shared" ca="1" si="99"/>
        <v>-2.7100631350593957E-2</v>
      </c>
    </row>
    <row r="3881" spans="6:7" x14ac:dyDescent="0.3">
      <c r="F3881" s="64">
        <v>3878</v>
      </c>
      <c r="G3881" s="64">
        <f t="shared" ca="1" si="99"/>
        <v>-3.9797736216876024E-2</v>
      </c>
    </row>
    <row r="3882" spans="6:7" x14ac:dyDescent="0.3">
      <c r="F3882" s="64">
        <v>3879</v>
      </c>
      <c r="G3882" s="64">
        <f t="shared" ca="1" si="99"/>
        <v>1.4428258780693544E-2</v>
      </c>
    </row>
    <row r="3883" spans="6:7" x14ac:dyDescent="0.3">
      <c r="F3883" s="64">
        <v>3880</v>
      </c>
      <c r="G3883" s="64">
        <f t="shared" ca="1" si="99"/>
        <v>-2.0880443745214465E-2</v>
      </c>
    </row>
    <row r="3884" spans="6:7" x14ac:dyDescent="0.3">
      <c r="F3884" s="64">
        <v>3881</v>
      </c>
      <c r="G3884" s="64">
        <f t="shared" ca="1" si="99"/>
        <v>-1.2444693194773758E-2</v>
      </c>
    </row>
    <row r="3885" spans="6:7" x14ac:dyDescent="0.3">
      <c r="F3885" s="64">
        <v>3882</v>
      </c>
      <c r="G3885" s="64">
        <f t="shared" ca="1" si="99"/>
        <v>1.1561989019845769E-2</v>
      </c>
    </row>
    <row r="3886" spans="6:7" x14ac:dyDescent="0.3">
      <c r="F3886" s="64">
        <v>3883</v>
      </c>
      <c r="G3886" s="64">
        <f t="shared" ca="1" si="99"/>
        <v>5.1430223372904375E-3</v>
      </c>
    </row>
    <row r="3887" spans="6:7" x14ac:dyDescent="0.3">
      <c r="F3887" s="64">
        <v>3884</v>
      </c>
      <c r="G3887" s="64">
        <f t="shared" ca="1" si="99"/>
        <v>1.5477883366565863E-3</v>
      </c>
    </row>
    <row r="3888" spans="6:7" x14ac:dyDescent="0.3">
      <c r="F3888" s="64">
        <v>3885</v>
      </c>
      <c r="G3888" s="64">
        <f t="shared" ca="1" si="99"/>
        <v>-2.8511558814205019E-3</v>
      </c>
    </row>
    <row r="3889" spans="6:7" x14ac:dyDescent="0.3">
      <c r="F3889" s="64">
        <v>3886</v>
      </c>
      <c r="G3889" s="64">
        <f t="shared" ca="1" si="99"/>
        <v>2.8857294967999943E-2</v>
      </c>
    </row>
    <row r="3890" spans="6:7" x14ac:dyDescent="0.3">
      <c r="F3890" s="64">
        <v>3887</v>
      </c>
      <c r="G3890" s="64">
        <f t="shared" ca="1" si="99"/>
        <v>3.2958885565604862E-2</v>
      </c>
    </row>
    <row r="3891" spans="6:7" x14ac:dyDescent="0.3">
      <c r="F3891" s="64">
        <v>3888</v>
      </c>
      <c r="G3891" s="64">
        <f t="shared" ca="1" si="99"/>
        <v>5.4414630672963336E-2</v>
      </c>
    </row>
    <row r="3892" spans="6:7" x14ac:dyDescent="0.3">
      <c r="F3892" s="64">
        <v>3889</v>
      </c>
      <c r="G3892" s="64">
        <f t="shared" ca="1" si="99"/>
        <v>-1.0041694207941789E-2</v>
      </c>
    </row>
    <row r="3893" spans="6:7" x14ac:dyDescent="0.3">
      <c r="F3893" s="64">
        <v>3890</v>
      </c>
      <c r="G3893" s="64">
        <f t="shared" ca="1" si="99"/>
        <v>-7.5743992215468459E-3</v>
      </c>
    </row>
    <row r="3894" spans="6:7" x14ac:dyDescent="0.3">
      <c r="F3894" s="64">
        <v>3891</v>
      </c>
      <c r="G3894" s="64">
        <f t="shared" ca="1" si="99"/>
        <v>-1.5277263436642487E-2</v>
      </c>
    </row>
    <row r="3895" spans="6:7" x14ac:dyDescent="0.3">
      <c r="F3895" s="64">
        <v>3892</v>
      </c>
      <c r="G3895" s="64">
        <f t="shared" ca="1" si="99"/>
        <v>-6.0132181100467676E-3</v>
      </c>
    </row>
    <row r="3896" spans="6:7" x14ac:dyDescent="0.3">
      <c r="F3896" s="64">
        <v>3893</v>
      </c>
      <c r="G3896" s="64">
        <f t="shared" ca="1" si="99"/>
        <v>8.9715914888303227E-3</v>
      </c>
    </row>
    <row r="3897" spans="6:7" x14ac:dyDescent="0.3">
      <c r="F3897" s="64">
        <v>3894</v>
      </c>
      <c r="G3897" s="64">
        <f t="shared" ca="1" si="99"/>
        <v>-1.1452962024806784E-2</v>
      </c>
    </row>
    <row r="3898" spans="6:7" x14ac:dyDescent="0.3">
      <c r="F3898" s="64">
        <v>3895</v>
      </c>
      <c r="G3898" s="64">
        <f t="shared" ca="1" si="99"/>
        <v>2.1039073264495625E-2</v>
      </c>
    </row>
    <row r="3899" spans="6:7" x14ac:dyDescent="0.3">
      <c r="F3899" s="64">
        <v>3896</v>
      </c>
      <c r="G3899" s="64">
        <f t="shared" ca="1" si="99"/>
        <v>-3.0966067158444818E-3</v>
      </c>
    </row>
    <row r="3900" spans="6:7" x14ac:dyDescent="0.3">
      <c r="F3900" s="64">
        <v>3897</v>
      </c>
      <c r="G3900" s="64">
        <f t="shared" ca="1" si="99"/>
        <v>-6.2149288564867879E-2</v>
      </c>
    </row>
    <row r="3901" spans="6:7" x14ac:dyDescent="0.3">
      <c r="F3901" s="64">
        <v>3898</v>
      </c>
      <c r="G3901" s="64">
        <f t="shared" ca="1" si="99"/>
        <v>5.7837026723634366E-3</v>
      </c>
    </row>
    <row r="3902" spans="6:7" x14ac:dyDescent="0.3">
      <c r="F3902" s="64">
        <v>3899</v>
      </c>
      <c r="G3902" s="64">
        <f t="shared" ca="1" si="99"/>
        <v>1.1005887374159452E-2</v>
      </c>
    </row>
    <row r="3903" spans="6:7" x14ac:dyDescent="0.3">
      <c r="F3903" s="64">
        <v>3900</v>
      </c>
      <c r="G3903" s="64">
        <f t="shared" ca="1" si="99"/>
        <v>-3.6781648963610551E-4</v>
      </c>
    </row>
    <row r="3904" spans="6:7" x14ac:dyDescent="0.3">
      <c r="F3904" s="64">
        <v>3901</v>
      </c>
      <c r="G3904" s="64">
        <f t="shared" ca="1" si="99"/>
        <v>2.9611949268349876E-3</v>
      </c>
    </row>
    <row r="3905" spans="6:7" x14ac:dyDescent="0.3">
      <c r="F3905" s="64">
        <v>3902</v>
      </c>
      <c r="G3905" s="64">
        <f t="shared" ca="1" si="99"/>
        <v>-1.8094235730352404E-2</v>
      </c>
    </row>
    <row r="3906" spans="6:7" x14ac:dyDescent="0.3">
      <c r="F3906" s="64">
        <v>3903</v>
      </c>
      <c r="G3906" s="64">
        <f t="shared" ca="1" si="99"/>
        <v>4.0003389171725266E-2</v>
      </c>
    </row>
    <row r="3907" spans="6:7" x14ac:dyDescent="0.3">
      <c r="F3907" s="64">
        <v>3904</v>
      </c>
      <c r="G3907" s="64">
        <f t="shared" ca="1" si="99"/>
        <v>-7.4852345573834019E-3</v>
      </c>
    </row>
    <row r="3908" spans="6:7" x14ac:dyDescent="0.3">
      <c r="F3908" s="64">
        <v>3905</v>
      </c>
      <c r="G3908" s="64">
        <f t="shared" ca="1" si="99"/>
        <v>-1.8146936584840033E-2</v>
      </c>
    </row>
    <row r="3909" spans="6:7" x14ac:dyDescent="0.3">
      <c r="F3909" s="64">
        <v>3906</v>
      </c>
      <c r="G3909" s="64">
        <f t="shared" ref="G3909:G3972" ca="1" si="100">_xlfn.NORM.INV(RAND(),K$6,K$7)</f>
        <v>-4.0717596375614729E-2</v>
      </c>
    </row>
    <row r="3910" spans="6:7" x14ac:dyDescent="0.3">
      <c r="F3910" s="64">
        <v>3907</v>
      </c>
      <c r="G3910" s="64">
        <f t="shared" ca="1" si="100"/>
        <v>2.9692974410880833E-2</v>
      </c>
    </row>
    <row r="3911" spans="6:7" x14ac:dyDescent="0.3">
      <c r="F3911" s="64">
        <v>3908</v>
      </c>
      <c r="G3911" s="64">
        <f t="shared" ca="1" si="100"/>
        <v>-2.5237693887330513E-2</v>
      </c>
    </row>
    <row r="3912" spans="6:7" x14ac:dyDescent="0.3">
      <c r="F3912" s="64">
        <v>3909</v>
      </c>
      <c r="G3912" s="64">
        <f t="shared" ca="1" si="100"/>
        <v>-9.4022273327814491E-3</v>
      </c>
    </row>
    <row r="3913" spans="6:7" x14ac:dyDescent="0.3">
      <c r="F3913" s="64">
        <v>3910</v>
      </c>
      <c r="G3913" s="64">
        <f t="shared" ca="1" si="100"/>
        <v>-1.9497282184864913E-2</v>
      </c>
    </row>
    <row r="3914" spans="6:7" x14ac:dyDescent="0.3">
      <c r="F3914" s="64">
        <v>3911</v>
      </c>
      <c r="G3914" s="64">
        <f t="shared" ca="1" si="100"/>
        <v>-6.1450538034205364E-4</v>
      </c>
    </row>
    <row r="3915" spans="6:7" x14ac:dyDescent="0.3">
      <c r="F3915" s="64">
        <v>3912</v>
      </c>
      <c r="G3915" s="64">
        <f t="shared" ca="1" si="100"/>
        <v>-3.5515557524425589E-4</v>
      </c>
    </row>
    <row r="3916" spans="6:7" x14ac:dyDescent="0.3">
      <c r="F3916" s="64">
        <v>3913</v>
      </c>
      <c r="G3916" s="64">
        <f t="shared" ca="1" si="100"/>
        <v>5.2465574074248992E-3</v>
      </c>
    </row>
    <row r="3917" spans="6:7" x14ac:dyDescent="0.3">
      <c r="F3917" s="64">
        <v>3914</v>
      </c>
      <c r="G3917" s="64">
        <f t="shared" ca="1" si="100"/>
        <v>3.4815017199445013E-3</v>
      </c>
    </row>
    <row r="3918" spans="6:7" x14ac:dyDescent="0.3">
      <c r="F3918" s="64">
        <v>3915</v>
      </c>
      <c r="G3918" s="64">
        <f t="shared" ca="1" si="100"/>
        <v>-1.9872629295917953E-2</v>
      </c>
    </row>
    <row r="3919" spans="6:7" x14ac:dyDescent="0.3">
      <c r="F3919" s="64">
        <v>3916</v>
      </c>
      <c r="G3919" s="64">
        <f t="shared" ca="1" si="100"/>
        <v>-2.6794949685009548E-2</v>
      </c>
    </row>
    <row r="3920" spans="6:7" x14ac:dyDescent="0.3">
      <c r="F3920" s="64">
        <v>3917</v>
      </c>
      <c r="G3920" s="64">
        <f t="shared" ca="1" si="100"/>
        <v>-1.7962989819585828E-2</v>
      </c>
    </row>
    <row r="3921" spans="6:7" x14ac:dyDescent="0.3">
      <c r="F3921" s="64">
        <v>3918</v>
      </c>
      <c r="G3921" s="64">
        <f t="shared" ca="1" si="100"/>
        <v>-1.8488308189366233E-2</v>
      </c>
    </row>
    <row r="3922" spans="6:7" x14ac:dyDescent="0.3">
      <c r="F3922" s="64">
        <v>3919</v>
      </c>
      <c r="G3922" s="64">
        <f t="shared" ca="1" si="100"/>
        <v>-1.1449223197665297E-3</v>
      </c>
    </row>
    <row r="3923" spans="6:7" x14ac:dyDescent="0.3">
      <c r="F3923" s="64">
        <v>3920</v>
      </c>
      <c r="G3923" s="64">
        <f t="shared" ca="1" si="100"/>
        <v>-5.0583164907105427E-3</v>
      </c>
    </row>
    <row r="3924" spans="6:7" x14ac:dyDescent="0.3">
      <c r="F3924" s="64">
        <v>3921</v>
      </c>
      <c r="G3924" s="64">
        <f t="shared" ca="1" si="100"/>
        <v>-2.0746142268685826E-2</v>
      </c>
    </row>
    <row r="3925" spans="6:7" x14ac:dyDescent="0.3">
      <c r="F3925" s="64">
        <v>3922</v>
      </c>
      <c r="G3925" s="64">
        <f t="shared" ca="1" si="100"/>
        <v>5.4808832108649175E-2</v>
      </c>
    </row>
    <row r="3926" spans="6:7" x14ac:dyDescent="0.3">
      <c r="F3926" s="64">
        <v>3923</v>
      </c>
      <c r="G3926" s="64">
        <f t="shared" ca="1" si="100"/>
        <v>1.8395467057552406E-2</v>
      </c>
    </row>
    <row r="3927" spans="6:7" x14ac:dyDescent="0.3">
      <c r="F3927" s="64">
        <v>3924</v>
      </c>
      <c r="G3927" s="64">
        <f t="shared" ca="1" si="100"/>
        <v>7.2281340195070069E-3</v>
      </c>
    </row>
    <row r="3928" spans="6:7" x14ac:dyDescent="0.3">
      <c r="F3928" s="64">
        <v>3925</v>
      </c>
      <c r="G3928" s="64">
        <f t="shared" ca="1" si="100"/>
        <v>8.011204351935898E-3</v>
      </c>
    </row>
    <row r="3929" spans="6:7" x14ac:dyDescent="0.3">
      <c r="F3929" s="64">
        <v>3926</v>
      </c>
      <c r="G3929" s="64">
        <f t="shared" ca="1" si="100"/>
        <v>-1.8568986568904655E-2</v>
      </c>
    </row>
    <row r="3930" spans="6:7" x14ac:dyDescent="0.3">
      <c r="F3930" s="64">
        <v>3927</v>
      </c>
      <c r="G3930" s="64">
        <f t="shared" ca="1" si="100"/>
        <v>1.4478412064276981E-3</v>
      </c>
    </row>
    <row r="3931" spans="6:7" x14ac:dyDescent="0.3">
      <c r="F3931" s="64">
        <v>3928</v>
      </c>
      <c r="G3931" s="64">
        <f t="shared" ca="1" si="100"/>
        <v>3.1090777552618756E-3</v>
      </c>
    </row>
    <row r="3932" spans="6:7" x14ac:dyDescent="0.3">
      <c r="F3932" s="64">
        <v>3929</v>
      </c>
      <c r="G3932" s="64">
        <f t="shared" ca="1" si="100"/>
        <v>1.9134085251999569E-2</v>
      </c>
    </row>
    <row r="3933" spans="6:7" x14ac:dyDescent="0.3">
      <c r="F3933" s="64">
        <v>3930</v>
      </c>
      <c r="G3933" s="64">
        <f t="shared" ca="1" si="100"/>
        <v>-1.5489525924381962E-2</v>
      </c>
    </row>
    <row r="3934" spans="6:7" x14ac:dyDescent="0.3">
      <c r="F3934" s="64">
        <v>3931</v>
      </c>
      <c r="G3934" s="64">
        <f t="shared" ca="1" si="100"/>
        <v>1.5596011583557645E-2</v>
      </c>
    </row>
    <row r="3935" spans="6:7" x14ac:dyDescent="0.3">
      <c r="F3935" s="64">
        <v>3932</v>
      </c>
      <c r="G3935" s="64">
        <f t="shared" ca="1" si="100"/>
        <v>4.042423906594093E-3</v>
      </c>
    </row>
    <row r="3936" spans="6:7" x14ac:dyDescent="0.3">
      <c r="F3936" s="64">
        <v>3933</v>
      </c>
      <c r="G3936" s="64">
        <f t="shared" ca="1" si="100"/>
        <v>-1.6368070397977559E-2</v>
      </c>
    </row>
    <row r="3937" spans="6:7" x14ac:dyDescent="0.3">
      <c r="F3937" s="64">
        <v>3934</v>
      </c>
      <c r="G3937" s="64">
        <f t="shared" ca="1" si="100"/>
        <v>6.1840191854805786E-3</v>
      </c>
    </row>
    <row r="3938" spans="6:7" x14ac:dyDescent="0.3">
      <c r="F3938" s="64">
        <v>3935</v>
      </c>
      <c r="G3938" s="64">
        <f t="shared" ca="1" si="100"/>
        <v>-3.2541237650966913E-2</v>
      </c>
    </row>
    <row r="3939" spans="6:7" x14ac:dyDescent="0.3">
      <c r="F3939" s="64">
        <v>3936</v>
      </c>
      <c r="G3939" s="64">
        <f t="shared" ca="1" si="100"/>
        <v>5.4313418741560324E-4</v>
      </c>
    </row>
    <row r="3940" spans="6:7" x14ac:dyDescent="0.3">
      <c r="F3940" s="64">
        <v>3937</v>
      </c>
      <c r="G3940" s="64">
        <f t="shared" ca="1" si="100"/>
        <v>1.0108599892380532E-2</v>
      </c>
    </row>
    <row r="3941" spans="6:7" x14ac:dyDescent="0.3">
      <c r="F3941" s="64">
        <v>3938</v>
      </c>
      <c r="G3941" s="64">
        <f t="shared" ca="1" si="100"/>
        <v>-6.8352415608035708E-3</v>
      </c>
    </row>
    <row r="3942" spans="6:7" x14ac:dyDescent="0.3">
      <c r="F3942" s="64">
        <v>3939</v>
      </c>
      <c r="G3942" s="64">
        <f t="shared" ca="1" si="100"/>
        <v>-1.2873107317229111E-2</v>
      </c>
    </row>
    <row r="3943" spans="6:7" x14ac:dyDescent="0.3">
      <c r="F3943" s="64">
        <v>3940</v>
      </c>
      <c r="G3943" s="64">
        <f t="shared" ca="1" si="100"/>
        <v>8.0208383183582432E-3</v>
      </c>
    </row>
    <row r="3944" spans="6:7" x14ac:dyDescent="0.3">
      <c r="F3944" s="64">
        <v>3941</v>
      </c>
      <c r="G3944" s="64">
        <f t="shared" ca="1" si="100"/>
        <v>6.2391611848010764E-4</v>
      </c>
    </row>
    <row r="3945" spans="6:7" x14ac:dyDescent="0.3">
      <c r="F3945" s="64">
        <v>3942</v>
      </c>
      <c r="G3945" s="64">
        <f t="shared" ca="1" si="100"/>
        <v>-7.6175133005987501E-3</v>
      </c>
    </row>
    <row r="3946" spans="6:7" x14ac:dyDescent="0.3">
      <c r="F3946" s="64">
        <v>3943</v>
      </c>
      <c r="G3946" s="64">
        <f t="shared" ca="1" si="100"/>
        <v>-5.0414199770007538E-3</v>
      </c>
    </row>
    <row r="3947" spans="6:7" x14ac:dyDescent="0.3">
      <c r="F3947" s="64">
        <v>3944</v>
      </c>
      <c r="G3947" s="64">
        <f t="shared" ca="1" si="100"/>
        <v>2.2040667637696369E-4</v>
      </c>
    </row>
    <row r="3948" spans="6:7" x14ac:dyDescent="0.3">
      <c r="F3948" s="64">
        <v>3945</v>
      </c>
      <c r="G3948" s="64">
        <f t="shared" ca="1" si="100"/>
        <v>8.8868572590010096E-3</v>
      </c>
    </row>
    <row r="3949" spans="6:7" x14ac:dyDescent="0.3">
      <c r="F3949" s="64">
        <v>3946</v>
      </c>
      <c r="G3949" s="64">
        <f t="shared" ca="1" si="100"/>
        <v>9.7833181592191822E-3</v>
      </c>
    </row>
    <row r="3950" spans="6:7" x14ac:dyDescent="0.3">
      <c r="F3950" s="64">
        <v>3947</v>
      </c>
      <c r="G3950" s="64">
        <f t="shared" ca="1" si="100"/>
        <v>1.6132473479583177E-2</v>
      </c>
    </row>
    <row r="3951" spans="6:7" x14ac:dyDescent="0.3">
      <c r="F3951" s="64">
        <v>3948</v>
      </c>
      <c r="G3951" s="64">
        <f t="shared" ca="1" si="100"/>
        <v>1.3816310174719388E-2</v>
      </c>
    </row>
    <row r="3952" spans="6:7" x14ac:dyDescent="0.3">
      <c r="F3952" s="64">
        <v>3949</v>
      </c>
      <c r="G3952" s="64">
        <f t="shared" ca="1" si="100"/>
        <v>1.6444315875464813E-2</v>
      </c>
    </row>
    <row r="3953" spans="6:7" x14ac:dyDescent="0.3">
      <c r="F3953" s="64">
        <v>3950</v>
      </c>
      <c r="G3953" s="64">
        <f t="shared" ca="1" si="100"/>
        <v>-4.2163594968267337E-3</v>
      </c>
    </row>
    <row r="3954" spans="6:7" x14ac:dyDescent="0.3">
      <c r="F3954" s="64">
        <v>3951</v>
      </c>
      <c r="G3954" s="64">
        <f t="shared" ca="1" si="100"/>
        <v>3.3334523641833785E-2</v>
      </c>
    </row>
    <row r="3955" spans="6:7" x14ac:dyDescent="0.3">
      <c r="F3955" s="64">
        <v>3952</v>
      </c>
      <c r="G3955" s="64">
        <f t="shared" ca="1" si="100"/>
        <v>-2.794872563656025E-2</v>
      </c>
    </row>
    <row r="3956" spans="6:7" x14ac:dyDescent="0.3">
      <c r="F3956" s="64">
        <v>3953</v>
      </c>
      <c r="G3956" s="64">
        <f t="shared" ca="1" si="100"/>
        <v>2.8790675603001491E-3</v>
      </c>
    </row>
    <row r="3957" spans="6:7" x14ac:dyDescent="0.3">
      <c r="F3957" s="64">
        <v>3954</v>
      </c>
      <c r="G3957" s="64">
        <f t="shared" ca="1" si="100"/>
        <v>2.1928970009448573E-2</v>
      </c>
    </row>
    <row r="3958" spans="6:7" x14ac:dyDescent="0.3">
      <c r="F3958" s="64">
        <v>3955</v>
      </c>
      <c r="G3958" s="64">
        <f t="shared" ca="1" si="100"/>
        <v>-2.1288798259022773E-2</v>
      </c>
    </row>
    <row r="3959" spans="6:7" x14ac:dyDescent="0.3">
      <c r="F3959" s="64">
        <v>3956</v>
      </c>
      <c r="G3959" s="64">
        <f t="shared" ca="1" si="100"/>
        <v>-1.6636230353054338E-2</v>
      </c>
    </row>
    <row r="3960" spans="6:7" x14ac:dyDescent="0.3">
      <c r="F3960" s="64">
        <v>3957</v>
      </c>
      <c r="G3960" s="64">
        <f t="shared" ca="1" si="100"/>
        <v>-1.1908337957699851E-2</v>
      </c>
    </row>
    <row r="3961" spans="6:7" x14ac:dyDescent="0.3">
      <c r="F3961" s="64">
        <v>3958</v>
      </c>
      <c r="G3961" s="64">
        <f t="shared" ca="1" si="100"/>
        <v>-4.0768773012332307E-3</v>
      </c>
    </row>
    <row r="3962" spans="6:7" x14ac:dyDescent="0.3">
      <c r="F3962" s="64">
        <v>3959</v>
      </c>
      <c r="G3962" s="64">
        <f t="shared" ca="1" si="100"/>
        <v>4.9636028058340142E-3</v>
      </c>
    </row>
    <row r="3963" spans="6:7" x14ac:dyDescent="0.3">
      <c r="F3963" s="64">
        <v>3960</v>
      </c>
      <c r="G3963" s="64">
        <f t="shared" ca="1" si="100"/>
        <v>-6.0796931608949195E-3</v>
      </c>
    </row>
    <row r="3964" spans="6:7" x14ac:dyDescent="0.3">
      <c r="F3964" s="64">
        <v>3961</v>
      </c>
      <c r="G3964" s="64">
        <f t="shared" ca="1" si="100"/>
        <v>8.5162564206811911E-3</v>
      </c>
    </row>
    <row r="3965" spans="6:7" x14ac:dyDescent="0.3">
      <c r="F3965" s="64">
        <v>3962</v>
      </c>
      <c r="G3965" s="64">
        <f t="shared" ca="1" si="100"/>
        <v>1.9609364289412914E-2</v>
      </c>
    </row>
    <row r="3966" spans="6:7" x14ac:dyDescent="0.3">
      <c r="F3966" s="64">
        <v>3963</v>
      </c>
      <c r="G3966" s="64">
        <f t="shared" ca="1" si="100"/>
        <v>-9.1775287467069297E-3</v>
      </c>
    </row>
    <row r="3967" spans="6:7" x14ac:dyDescent="0.3">
      <c r="F3967" s="64">
        <v>3964</v>
      </c>
      <c r="G3967" s="64">
        <f t="shared" ca="1" si="100"/>
        <v>5.6613516264850906E-3</v>
      </c>
    </row>
    <row r="3968" spans="6:7" x14ac:dyDescent="0.3">
      <c r="F3968" s="64">
        <v>3965</v>
      </c>
      <c r="G3968" s="64">
        <f t="shared" ca="1" si="100"/>
        <v>2.1356707326089824E-2</v>
      </c>
    </row>
    <row r="3969" spans="6:7" x14ac:dyDescent="0.3">
      <c r="F3969" s="64">
        <v>3966</v>
      </c>
      <c r="G3969" s="64">
        <f t="shared" ca="1" si="100"/>
        <v>2.6050491200632526E-2</v>
      </c>
    </row>
    <row r="3970" spans="6:7" x14ac:dyDescent="0.3">
      <c r="F3970" s="64">
        <v>3967</v>
      </c>
      <c r="G3970" s="64">
        <f t="shared" ca="1" si="100"/>
        <v>7.2743201213201544E-3</v>
      </c>
    </row>
    <row r="3971" spans="6:7" x14ac:dyDescent="0.3">
      <c r="F3971" s="64">
        <v>3968</v>
      </c>
      <c r="G3971" s="64">
        <f t="shared" ca="1" si="100"/>
        <v>1.5841287579277052E-2</v>
      </c>
    </row>
    <row r="3972" spans="6:7" x14ac:dyDescent="0.3">
      <c r="F3972" s="64">
        <v>3969</v>
      </c>
      <c r="G3972" s="64">
        <f t="shared" ca="1" si="100"/>
        <v>-7.1835193125905882E-3</v>
      </c>
    </row>
    <row r="3973" spans="6:7" x14ac:dyDescent="0.3">
      <c r="F3973" s="64">
        <v>3970</v>
      </c>
      <c r="G3973" s="64">
        <f t="shared" ref="G3973:G4036" ca="1" si="101">_xlfn.NORM.INV(RAND(),K$6,K$7)</f>
        <v>3.6927459406039843E-2</v>
      </c>
    </row>
    <row r="3974" spans="6:7" x14ac:dyDescent="0.3">
      <c r="F3974" s="64">
        <v>3971</v>
      </c>
      <c r="G3974" s="64">
        <f t="shared" ca="1" si="101"/>
        <v>-2.9894129107297822E-2</v>
      </c>
    </row>
    <row r="3975" spans="6:7" x14ac:dyDescent="0.3">
      <c r="F3975" s="64">
        <v>3972</v>
      </c>
      <c r="G3975" s="64">
        <f t="shared" ca="1" si="101"/>
        <v>1.6240790213203699E-2</v>
      </c>
    </row>
    <row r="3976" spans="6:7" x14ac:dyDescent="0.3">
      <c r="F3976" s="64">
        <v>3973</v>
      </c>
      <c r="G3976" s="64">
        <f t="shared" ca="1" si="101"/>
        <v>6.6087165452614434E-3</v>
      </c>
    </row>
    <row r="3977" spans="6:7" x14ac:dyDescent="0.3">
      <c r="F3977" s="64">
        <v>3974</v>
      </c>
      <c r="G3977" s="64">
        <f t="shared" ca="1" si="101"/>
        <v>6.8713753940236322E-3</v>
      </c>
    </row>
    <row r="3978" spans="6:7" x14ac:dyDescent="0.3">
      <c r="F3978" s="64">
        <v>3975</v>
      </c>
      <c r="G3978" s="64">
        <f t="shared" ca="1" si="101"/>
        <v>3.7484125463412127E-3</v>
      </c>
    </row>
    <row r="3979" spans="6:7" x14ac:dyDescent="0.3">
      <c r="F3979" s="64">
        <v>3976</v>
      </c>
      <c r="G3979" s="64">
        <f t="shared" ca="1" si="101"/>
        <v>9.4460239327955695E-3</v>
      </c>
    </row>
    <row r="3980" spans="6:7" x14ac:dyDescent="0.3">
      <c r="F3980" s="64">
        <v>3977</v>
      </c>
      <c r="G3980" s="64">
        <f t="shared" ca="1" si="101"/>
        <v>1.2103631564254974E-2</v>
      </c>
    </row>
    <row r="3981" spans="6:7" x14ac:dyDescent="0.3">
      <c r="F3981" s="64">
        <v>3978</v>
      </c>
      <c r="G3981" s="64">
        <f t="shared" ca="1" si="101"/>
        <v>1.8168024883982267E-2</v>
      </c>
    </row>
    <row r="3982" spans="6:7" x14ac:dyDescent="0.3">
      <c r="F3982" s="64">
        <v>3979</v>
      </c>
      <c r="G3982" s="64">
        <f t="shared" ca="1" si="101"/>
        <v>-1.7884474804259018E-2</v>
      </c>
    </row>
    <row r="3983" spans="6:7" x14ac:dyDescent="0.3">
      <c r="F3983" s="64">
        <v>3980</v>
      </c>
      <c r="G3983" s="64">
        <f t="shared" ca="1" si="101"/>
        <v>2.1793171371355086E-2</v>
      </c>
    </row>
    <row r="3984" spans="6:7" x14ac:dyDescent="0.3">
      <c r="F3984" s="64">
        <v>3981</v>
      </c>
      <c r="G3984" s="64">
        <f t="shared" ca="1" si="101"/>
        <v>1.5036174520731069E-2</v>
      </c>
    </row>
    <row r="3985" spans="6:7" x14ac:dyDescent="0.3">
      <c r="F3985" s="64">
        <v>3982</v>
      </c>
      <c r="G3985" s="64">
        <f t="shared" ca="1" si="101"/>
        <v>1.3605263899478302E-2</v>
      </c>
    </row>
    <row r="3986" spans="6:7" x14ac:dyDescent="0.3">
      <c r="F3986" s="64">
        <v>3983</v>
      </c>
      <c r="G3986" s="64">
        <f t="shared" ca="1" si="101"/>
        <v>5.8776815694182799E-3</v>
      </c>
    </row>
    <row r="3987" spans="6:7" x14ac:dyDescent="0.3">
      <c r="F3987" s="64">
        <v>3984</v>
      </c>
      <c r="G3987" s="64">
        <f t="shared" ca="1" si="101"/>
        <v>9.1738646801444411E-3</v>
      </c>
    </row>
    <row r="3988" spans="6:7" x14ac:dyDescent="0.3">
      <c r="F3988" s="64">
        <v>3985</v>
      </c>
      <c r="G3988" s="64">
        <f t="shared" ca="1" si="101"/>
        <v>-1.3143645518555163E-3</v>
      </c>
    </row>
    <row r="3989" spans="6:7" x14ac:dyDescent="0.3">
      <c r="F3989" s="64">
        <v>3986</v>
      </c>
      <c r="G3989" s="64">
        <f t="shared" ca="1" si="101"/>
        <v>-6.0358560679590998E-4</v>
      </c>
    </row>
    <row r="3990" spans="6:7" x14ac:dyDescent="0.3">
      <c r="F3990" s="64">
        <v>3987</v>
      </c>
      <c r="G3990" s="64">
        <f t="shared" ca="1" si="101"/>
        <v>1.7740279813645066E-2</v>
      </c>
    </row>
    <row r="3991" spans="6:7" x14ac:dyDescent="0.3">
      <c r="F3991" s="64">
        <v>3988</v>
      </c>
      <c r="G3991" s="64">
        <f t="shared" ca="1" si="101"/>
        <v>4.3570906914807035E-2</v>
      </c>
    </row>
    <row r="3992" spans="6:7" x14ac:dyDescent="0.3">
      <c r="F3992" s="64">
        <v>3989</v>
      </c>
      <c r="G3992" s="64">
        <f t="shared" ca="1" si="101"/>
        <v>3.6740426772077731E-3</v>
      </c>
    </row>
    <row r="3993" spans="6:7" x14ac:dyDescent="0.3">
      <c r="F3993" s="64">
        <v>3990</v>
      </c>
      <c r="G3993" s="64">
        <f t="shared" ca="1" si="101"/>
        <v>-2.1273791179648775E-2</v>
      </c>
    </row>
    <row r="3994" spans="6:7" x14ac:dyDescent="0.3">
      <c r="F3994" s="64">
        <v>3991</v>
      </c>
      <c r="G3994" s="64">
        <f t="shared" ca="1" si="101"/>
        <v>2.6234186417651552E-2</v>
      </c>
    </row>
    <row r="3995" spans="6:7" x14ac:dyDescent="0.3">
      <c r="F3995" s="64">
        <v>3992</v>
      </c>
      <c r="G3995" s="64">
        <f t="shared" ca="1" si="101"/>
        <v>8.8041584241963494E-3</v>
      </c>
    </row>
    <row r="3996" spans="6:7" x14ac:dyDescent="0.3">
      <c r="F3996" s="64">
        <v>3993</v>
      </c>
      <c r="G3996" s="64">
        <f t="shared" ca="1" si="101"/>
        <v>2.6997260756011811E-2</v>
      </c>
    </row>
    <row r="3997" spans="6:7" x14ac:dyDescent="0.3">
      <c r="F3997" s="64">
        <v>3994</v>
      </c>
      <c r="G3997" s="64">
        <f t="shared" ca="1" si="101"/>
        <v>1.6919311449973107E-2</v>
      </c>
    </row>
    <row r="3998" spans="6:7" x14ac:dyDescent="0.3">
      <c r="F3998" s="64">
        <v>3995</v>
      </c>
      <c r="G3998" s="64">
        <f t="shared" ca="1" si="101"/>
        <v>-1.9805413824347987E-2</v>
      </c>
    </row>
    <row r="3999" spans="6:7" x14ac:dyDescent="0.3">
      <c r="F3999" s="64">
        <v>3996</v>
      </c>
      <c r="G3999" s="64">
        <f t="shared" ca="1" si="101"/>
        <v>-2.4863790961495613E-3</v>
      </c>
    </row>
    <row r="4000" spans="6:7" x14ac:dyDescent="0.3">
      <c r="F4000" s="64">
        <v>3997</v>
      </c>
      <c r="G4000" s="64">
        <f t="shared" ca="1" si="101"/>
        <v>-9.4152021309980051E-3</v>
      </c>
    </row>
    <row r="4001" spans="6:7" x14ac:dyDescent="0.3">
      <c r="F4001" s="64">
        <v>3998</v>
      </c>
      <c r="G4001" s="64">
        <f t="shared" ca="1" si="101"/>
        <v>-1.4150736073353445E-2</v>
      </c>
    </row>
    <row r="4002" spans="6:7" x14ac:dyDescent="0.3">
      <c r="F4002" s="64">
        <v>3999</v>
      </c>
      <c r="G4002" s="64">
        <f t="shared" ca="1" si="101"/>
        <v>-1.4479946948912302E-2</v>
      </c>
    </row>
    <row r="4003" spans="6:7" x14ac:dyDescent="0.3">
      <c r="F4003" s="64">
        <v>4000</v>
      </c>
      <c r="G4003" s="64">
        <f t="shared" ca="1" si="101"/>
        <v>1.0367474141825985E-2</v>
      </c>
    </row>
    <row r="4004" spans="6:7" x14ac:dyDescent="0.3">
      <c r="F4004" s="64">
        <v>4001</v>
      </c>
      <c r="G4004" s="64">
        <f t="shared" ca="1" si="101"/>
        <v>6.9777131723810807E-3</v>
      </c>
    </row>
    <row r="4005" spans="6:7" x14ac:dyDescent="0.3">
      <c r="F4005" s="64">
        <v>4002</v>
      </c>
      <c r="G4005" s="64">
        <f t="shared" ca="1" si="101"/>
        <v>1.1144160330525713E-3</v>
      </c>
    </row>
    <row r="4006" spans="6:7" x14ac:dyDescent="0.3">
      <c r="F4006" s="64">
        <v>4003</v>
      </c>
      <c r="G4006" s="64">
        <f t="shared" ca="1" si="101"/>
        <v>-2.4881556331667123E-2</v>
      </c>
    </row>
    <row r="4007" spans="6:7" x14ac:dyDescent="0.3">
      <c r="F4007" s="64">
        <v>4004</v>
      </c>
      <c r="G4007" s="64">
        <f t="shared" ca="1" si="101"/>
        <v>-2.7554142586155858E-3</v>
      </c>
    </row>
    <row r="4008" spans="6:7" x14ac:dyDescent="0.3">
      <c r="F4008" s="64">
        <v>4005</v>
      </c>
      <c r="G4008" s="64">
        <f t="shared" ca="1" si="101"/>
        <v>2.3271207317538442E-2</v>
      </c>
    </row>
    <row r="4009" spans="6:7" x14ac:dyDescent="0.3">
      <c r="F4009" s="64">
        <v>4006</v>
      </c>
      <c r="G4009" s="64">
        <f t="shared" ca="1" si="101"/>
        <v>-3.7781007690555184E-3</v>
      </c>
    </row>
    <row r="4010" spans="6:7" x14ac:dyDescent="0.3">
      <c r="F4010" s="64">
        <v>4007</v>
      </c>
      <c r="G4010" s="64">
        <f t="shared" ca="1" si="101"/>
        <v>1.6230118067344278E-2</v>
      </c>
    </row>
    <row r="4011" spans="6:7" x14ac:dyDescent="0.3">
      <c r="F4011" s="64">
        <v>4008</v>
      </c>
      <c r="G4011" s="64">
        <f t="shared" ca="1" si="101"/>
        <v>3.4251935867489161E-2</v>
      </c>
    </row>
    <row r="4012" spans="6:7" x14ac:dyDescent="0.3">
      <c r="F4012" s="64">
        <v>4009</v>
      </c>
      <c r="G4012" s="64">
        <f t="shared" ca="1" si="101"/>
        <v>3.0839316775725177E-2</v>
      </c>
    </row>
    <row r="4013" spans="6:7" x14ac:dyDescent="0.3">
      <c r="F4013" s="64">
        <v>4010</v>
      </c>
      <c r="G4013" s="64">
        <f t="shared" ca="1" si="101"/>
        <v>9.5549004581078484E-3</v>
      </c>
    </row>
    <row r="4014" spans="6:7" x14ac:dyDescent="0.3">
      <c r="F4014" s="64">
        <v>4011</v>
      </c>
      <c r="G4014" s="64">
        <f t="shared" ca="1" si="101"/>
        <v>1.2949589174457005E-2</v>
      </c>
    </row>
    <row r="4015" spans="6:7" x14ac:dyDescent="0.3">
      <c r="F4015" s="64">
        <v>4012</v>
      </c>
      <c r="G4015" s="64">
        <f t="shared" ca="1" si="101"/>
        <v>-2.5487972252267052E-2</v>
      </c>
    </row>
    <row r="4016" spans="6:7" x14ac:dyDescent="0.3">
      <c r="F4016" s="64">
        <v>4013</v>
      </c>
      <c r="G4016" s="64">
        <f t="shared" ca="1" si="101"/>
        <v>1.87190061965141E-2</v>
      </c>
    </row>
    <row r="4017" spans="6:7" x14ac:dyDescent="0.3">
      <c r="F4017" s="64">
        <v>4014</v>
      </c>
      <c r="G4017" s="64">
        <f t="shared" ca="1" si="101"/>
        <v>-9.5600903961999464E-3</v>
      </c>
    </row>
    <row r="4018" spans="6:7" x14ac:dyDescent="0.3">
      <c r="F4018" s="64">
        <v>4015</v>
      </c>
      <c r="G4018" s="64">
        <f t="shared" ca="1" si="101"/>
        <v>-1.6000074319273673E-2</v>
      </c>
    </row>
    <row r="4019" spans="6:7" x14ac:dyDescent="0.3">
      <c r="F4019" s="64">
        <v>4016</v>
      </c>
      <c r="G4019" s="64">
        <f t="shared" ca="1" si="101"/>
        <v>-7.7610230611480629E-3</v>
      </c>
    </row>
    <row r="4020" spans="6:7" x14ac:dyDescent="0.3">
      <c r="F4020" s="64">
        <v>4017</v>
      </c>
      <c r="G4020" s="64">
        <f t="shared" ca="1" si="101"/>
        <v>3.041200084051085E-2</v>
      </c>
    </row>
    <row r="4021" spans="6:7" x14ac:dyDescent="0.3">
      <c r="F4021" s="64">
        <v>4018</v>
      </c>
      <c r="G4021" s="64">
        <f t="shared" ca="1" si="101"/>
        <v>-3.1183163478039788E-2</v>
      </c>
    </row>
    <row r="4022" spans="6:7" x14ac:dyDescent="0.3">
      <c r="F4022" s="64">
        <v>4019</v>
      </c>
      <c r="G4022" s="64">
        <f t="shared" ca="1" si="101"/>
        <v>2.0300849556741482E-2</v>
      </c>
    </row>
    <row r="4023" spans="6:7" x14ac:dyDescent="0.3">
      <c r="F4023" s="64">
        <v>4020</v>
      </c>
      <c r="G4023" s="64">
        <f t="shared" ca="1" si="101"/>
        <v>-1.307383608381203E-2</v>
      </c>
    </row>
    <row r="4024" spans="6:7" x14ac:dyDescent="0.3">
      <c r="F4024" s="64">
        <v>4021</v>
      </c>
      <c r="G4024" s="64">
        <f t="shared" ca="1" si="101"/>
        <v>1.0020737854080137E-2</v>
      </c>
    </row>
    <row r="4025" spans="6:7" x14ac:dyDescent="0.3">
      <c r="F4025" s="64">
        <v>4022</v>
      </c>
      <c r="G4025" s="64">
        <f t="shared" ca="1" si="101"/>
        <v>1.4479845056402962E-2</v>
      </c>
    </row>
    <row r="4026" spans="6:7" x14ac:dyDescent="0.3">
      <c r="F4026" s="64">
        <v>4023</v>
      </c>
      <c r="G4026" s="64">
        <f t="shared" ca="1" si="101"/>
        <v>2.4047718728542139E-2</v>
      </c>
    </row>
    <row r="4027" spans="6:7" x14ac:dyDescent="0.3">
      <c r="F4027" s="64">
        <v>4024</v>
      </c>
      <c r="G4027" s="64">
        <f t="shared" ca="1" si="101"/>
        <v>2.3611843188126147E-2</v>
      </c>
    </row>
    <row r="4028" spans="6:7" x14ac:dyDescent="0.3">
      <c r="F4028" s="64">
        <v>4025</v>
      </c>
      <c r="G4028" s="64">
        <f t="shared" ca="1" si="101"/>
        <v>5.3807993405440924E-3</v>
      </c>
    </row>
    <row r="4029" spans="6:7" x14ac:dyDescent="0.3">
      <c r="F4029" s="64">
        <v>4026</v>
      </c>
      <c r="G4029" s="64">
        <f t="shared" ca="1" si="101"/>
        <v>-1.5351274328945159E-2</v>
      </c>
    </row>
    <row r="4030" spans="6:7" x14ac:dyDescent="0.3">
      <c r="F4030" s="64">
        <v>4027</v>
      </c>
      <c r="G4030" s="64">
        <f t="shared" ca="1" si="101"/>
        <v>5.8497582142243059E-3</v>
      </c>
    </row>
    <row r="4031" spans="6:7" x14ac:dyDescent="0.3">
      <c r="F4031" s="64">
        <v>4028</v>
      </c>
      <c r="G4031" s="64">
        <f t="shared" ca="1" si="101"/>
        <v>-2.0753365518818723E-3</v>
      </c>
    </row>
    <row r="4032" spans="6:7" x14ac:dyDescent="0.3">
      <c r="F4032" s="64">
        <v>4029</v>
      </c>
      <c r="G4032" s="64">
        <f t="shared" ca="1" si="101"/>
        <v>1.2568521389908367E-2</v>
      </c>
    </row>
    <row r="4033" spans="6:7" x14ac:dyDescent="0.3">
      <c r="F4033" s="64">
        <v>4030</v>
      </c>
      <c r="G4033" s="64">
        <f t="shared" ca="1" si="101"/>
        <v>-3.0348593908433245E-2</v>
      </c>
    </row>
    <row r="4034" spans="6:7" x14ac:dyDescent="0.3">
      <c r="F4034" s="64">
        <v>4031</v>
      </c>
      <c r="G4034" s="64">
        <f t="shared" ca="1" si="101"/>
        <v>-2.3156414992683929E-3</v>
      </c>
    </row>
    <row r="4035" spans="6:7" x14ac:dyDescent="0.3">
      <c r="F4035" s="64">
        <v>4032</v>
      </c>
      <c r="G4035" s="64">
        <f t="shared" ca="1" si="101"/>
        <v>-3.2883756314692612E-2</v>
      </c>
    </row>
    <row r="4036" spans="6:7" x14ac:dyDescent="0.3">
      <c r="F4036" s="64">
        <v>4033</v>
      </c>
      <c r="G4036" s="64">
        <f t="shared" ca="1" si="101"/>
        <v>1.1365675255288208E-2</v>
      </c>
    </row>
    <row r="4037" spans="6:7" x14ac:dyDescent="0.3">
      <c r="F4037" s="64">
        <v>4034</v>
      </c>
      <c r="G4037" s="64">
        <f t="shared" ref="G4037:G4100" ca="1" si="102">_xlfn.NORM.INV(RAND(),K$6,K$7)</f>
        <v>-2.5507362994652151E-2</v>
      </c>
    </row>
    <row r="4038" spans="6:7" x14ac:dyDescent="0.3">
      <c r="F4038" s="64">
        <v>4035</v>
      </c>
      <c r="G4038" s="64">
        <f t="shared" ca="1" si="102"/>
        <v>1.392921243903621E-2</v>
      </c>
    </row>
    <row r="4039" spans="6:7" x14ac:dyDescent="0.3">
      <c r="F4039" s="64">
        <v>4036</v>
      </c>
      <c r="G4039" s="64">
        <f t="shared" ca="1" si="102"/>
        <v>2.9580645820958963E-2</v>
      </c>
    </row>
    <row r="4040" spans="6:7" x14ac:dyDescent="0.3">
      <c r="F4040" s="64">
        <v>4037</v>
      </c>
      <c r="G4040" s="64">
        <f t="shared" ca="1" si="102"/>
        <v>1.2564984658048773E-2</v>
      </c>
    </row>
    <row r="4041" spans="6:7" x14ac:dyDescent="0.3">
      <c r="F4041" s="64">
        <v>4038</v>
      </c>
      <c r="G4041" s="64">
        <f t="shared" ca="1" si="102"/>
        <v>4.0298574978867012E-2</v>
      </c>
    </row>
    <row r="4042" spans="6:7" x14ac:dyDescent="0.3">
      <c r="F4042" s="64">
        <v>4039</v>
      </c>
      <c r="G4042" s="64">
        <f t="shared" ca="1" si="102"/>
        <v>3.9148485255955864E-3</v>
      </c>
    </row>
    <row r="4043" spans="6:7" x14ac:dyDescent="0.3">
      <c r="F4043" s="64">
        <v>4040</v>
      </c>
      <c r="G4043" s="64">
        <f t="shared" ca="1" si="102"/>
        <v>-1.2525448182342398E-2</v>
      </c>
    </row>
    <row r="4044" spans="6:7" x14ac:dyDescent="0.3">
      <c r="F4044" s="64">
        <v>4041</v>
      </c>
      <c r="G4044" s="64">
        <f t="shared" ca="1" si="102"/>
        <v>-1.7462131877077847E-2</v>
      </c>
    </row>
    <row r="4045" spans="6:7" x14ac:dyDescent="0.3">
      <c r="F4045" s="64">
        <v>4042</v>
      </c>
      <c r="G4045" s="64">
        <f t="shared" ca="1" si="102"/>
        <v>-2.3277211261404133E-2</v>
      </c>
    </row>
    <row r="4046" spans="6:7" x14ac:dyDescent="0.3">
      <c r="F4046" s="64">
        <v>4043</v>
      </c>
      <c r="G4046" s="64">
        <f t="shared" ca="1" si="102"/>
        <v>-5.7780439160380085E-3</v>
      </c>
    </row>
    <row r="4047" spans="6:7" x14ac:dyDescent="0.3">
      <c r="F4047" s="64">
        <v>4044</v>
      </c>
      <c r="G4047" s="64">
        <f t="shared" ca="1" si="102"/>
        <v>-2.6462821535512653E-2</v>
      </c>
    </row>
    <row r="4048" spans="6:7" x14ac:dyDescent="0.3">
      <c r="F4048" s="64">
        <v>4045</v>
      </c>
      <c r="G4048" s="64">
        <f t="shared" ca="1" si="102"/>
        <v>-4.0389741191512535E-2</v>
      </c>
    </row>
    <row r="4049" spans="6:7" x14ac:dyDescent="0.3">
      <c r="F4049" s="64">
        <v>4046</v>
      </c>
      <c r="G4049" s="64">
        <f t="shared" ca="1" si="102"/>
        <v>-3.9265000051861274E-2</v>
      </c>
    </row>
    <row r="4050" spans="6:7" x14ac:dyDescent="0.3">
      <c r="F4050" s="64">
        <v>4047</v>
      </c>
      <c r="G4050" s="64">
        <f t="shared" ca="1" si="102"/>
        <v>2.3774541873553427E-2</v>
      </c>
    </row>
    <row r="4051" spans="6:7" x14ac:dyDescent="0.3">
      <c r="F4051" s="64">
        <v>4048</v>
      </c>
      <c r="G4051" s="64">
        <f t="shared" ca="1" si="102"/>
        <v>-4.1145916517140047E-3</v>
      </c>
    </row>
    <row r="4052" spans="6:7" x14ac:dyDescent="0.3">
      <c r="F4052" s="64">
        <v>4049</v>
      </c>
      <c r="G4052" s="64">
        <f t="shared" ca="1" si="102"/>
        <v>-2.9278832997766263E-3</v>
      </c>
    </row>
    <row r="4053" spans="6:7" x14ac:dyDescent="0.3">
      <c r="F4053" s="64">
        <v>4050</v>
      </c>
      <c r="G4053" s="64">
        <f t="shared" ca="1" si="102"/>
        <v>1.1021206094301728E-2</v>
      </c>
    </row>
    <row r="4054" spans="6:7" x14ac:dyDescent="0.3">
      <c r="F4054" s="64">
        <v>4051</v>
      </c>
      <c r="G4054" s="64">
        <f t="shared" ca="1" si="102"/>
        <v>1.152856266265051E-2</v>
      </c>
    </row>
    <row r="4055" spans="6:7" x14ac:dyDescent="0.3">
      <c r="F4055" s="64">
        <v>4052</v>
      </c>
      <c r="G4055" s="64">
        <f t="shared" ca="1" si="102"/>
        <v>1.5441692593034462E-2</v>
      </c>
    </row>
    <row r="4056" spans="6:7" x14ac:dyDescent="0.3">
      <c r="F4056" s="64">
        <v>4053</v>
      </c>
      <c r="G4056" s="64">
        <f t="shared" ca="1" si="102"/>
        <v>8.9513306487398123E-3</v>
      </c>
    </row>
    <row r="4057" spans="6:7" x14ac:dyDescent="0.3">
      <c r="F4057" s="64">
        <v>4054</v>
      </c>
      <c r="G4057" s="64">
        <f t="shared" ca="1" si="102"/>
        <v>-1.8139397786286281E-2</v>
      </c>
    </row>
    <row r="4058" spans="6:7" x14ac:dyDescent="0.3">
      <c r="F4058" s="64">
        <v>4055</v>
      </c>
      <c r="G4058" s="64">
        <f t="shared" ca="1" si="102"/>
        <v>-1.0686124961351295E-2</v>
      </c>
    </row>
    <row r="4059" spans="6:7" x14ac:dyDescent="0.3">
      <c r="F4059" s="64">
        <v>4056</v>
      </c>
      <c r="G4059" s="64">
        <f t="shared" ca="1" si="102"/>
        <v>-1.6578166624452051E-2</v>
      </c>
    </row>
    <row r="4060" spans="6:7" x14ac:dyDescent="0.3">
      <c r="F4060" s="64">
        <v>4057</v>
      </c>
      <c r="G4060" s="64">
        <f t="shared" ca="1" si="102"/>
        <v>8.4479492597418042E-3</v>
      </c>
    </row>
    <row r="4061" spans="6:7" x14ac:dyDescent="0.3">
      <c r="F4061" s="64">
        <v>4058</v>
      </c>
      <c r="G4061" s="64">
        <f t="shared" ca="1" si="102"/>
        <v>-2.1942820814165952E-2</v>
      </c>
    </row>
    <row r="4062" spans="6:7" x14ac:dyDescent="0.3">
      <c r="F4062" s="64">
        <v>4059</v>
      </c>
      <c r="G4062" s="64">
        <f t="shared" ca="1" si="102"/>
        <v>-1.2056165241337343E-2</v>
      </c>
    </row>
    <row r="4063" spans="6:7" x14ac:dyDescent="0.3">
      <c r="F4063" s="64">
        <v>4060</v>
      </c>
      <c r="G4063" s="64">
        <f t="shared" ca="1" si="102"/>
        <v>-1.3912406277701173E-3</v>
      </c>
    </row>
    <row r="4064" spans="6:7" x14ac:dyDescent="0.3">
      <c r="F4064" s="64">
        <v>4061</v>
      </c>
      <c r="G4064" s="64">
        <f t="shared" ca="1" si="102"/>
        <v>-1.1274878289007646E-2</v>
      </c>
    </row>
    <row r="4065" spans="6:7" x14ac:dyDescent="0.3">
      <c r="F4065" s="64">
        <v>4062</v>
      </c>
      <c r="G4065" s="64">
        <f t="shared" ca="1" si="102"/>
        <v>-3.9951297722760078E-2</v>
      </c>
    </row>
    <row r="4066" spans="6:7" x14ac:dyDescent="0.3">
      <c r="F4066" s="64">
        <v>4063</v>
      </c>
      <c r="G4066" s="64">
        <f t="shared" ca="1" si="102"/>
        <v>2.7105359814709309E-2</v>
      </c>
    </row>
    <row r="4067" spans="6:7" x14ac:dyDescent="0.3">
      <c r="F4067" s="64">
        <v>4064</v>
      </c>
      <c r="G4067" s="64">
        <f t="shared" ca="1" si="102"/>
        <v>-1.8332627050387976E-2</v>
      </c>
    </row>
    <row r="4068" spans="6:7" x14ac:dyDescent="0.3">
      <c r="F4068" s="64">
        <v>4065</v>
      </c>
      <c r="G4068" s="64">
        <f t="shared" ca="1" si="102"/>
        <v>1.5275589612870762E-2</v>
      </c>
    </row>
    <row r="4069" spans="6:7" x14ac:dyDescent="0.3">
      <c r="F4069" s="64">
        <v>4066</v>
      </c>
      <c r="G4069" s="64">
        <f t="shared" ca="1" si="102"/>
        <v>1.8585440115681473E-2</v>
      </c>
    </row>
    <row r="4070" spans="6:7" x14ac:dyDescent="0.3">
      <c r="F4070" s="64">
        <v>4067</v>
      </c>
      <c r="G4070" s="64">
        <f t="shared" ca="1" si="102"/>
        <v>-1.3957586767960656E-2</v>
      </c>
    </row>
    <row r="4071" spans="6:7" x14ac:dyDescent="0.3">
      <c r="F4071" s="64">
        <v>4068</v>
      </c>
      <c r="G4071" s="64">
        <f t="shared" ca="1" si="102"/>
        <v>3.9088335767609748E-2</v>
      </c>
    </row>
    <row r="4072" spans="6:7" x14ac:dyDescent="0.3">
      <c r="F4072" s="64">
        <v>4069</v>
      </c>
      <c r="G4072" s="64">
        <f t="shared" ca="1" si="102"/>
        <v>-1.0141449489418532E-2</v>
      </c>
    </row>
    <row r="4073" spans="6:7" x14ac:dyDescent="0.3">
      <c r="F4073" s="64">
        <v>4070</v>
      </c>
      <c r="G4073" s="64">
        <f t="shared" ca="1" si="102"/>
        <v>5.6238007116775186E-2</v>
      </c>
    </row>
    <row r="4074" spans="6:7" x14ac:dyDescent="0.3">
      <c r="F4074" s="64">
        <v>4071</v>
      </c>
      <c r="G4074" s="64">
        <f t="shared" ca="1" si="102"/>
        <v>-1.7199908507422805E-2</v>
      </c>
    </row>
    <row r="4075" spans="6:7" x14ac:dyDescent="0.3">
      <c r="F4075" s="64">
        <v>4072</v>
      </c>
      <c r="G4075" s="64">
        <f t="shared" ca="1" si="102"/>
        <v>-5.0982695509451522E-3</v>
      </c>
    </row>
    <row r="4076" spans="6:7" x14ac:dyDescent="0.3">
      <c r="F4076" s="64">
        <v>4073</v>
      </c>
      <c r="G4076" s="64">
        <f t="shared" ca="1" si="102"/>
        <v>9.5106461298136713E-3</v>
      </c>
    </row>
    <row r="4077" spans="6:7" x14ac:dyDescent="0.3">
      <c r="F4077" s="64">
        <v>4074</v>
      </c>
      <c r="G4077" s="64">
        <f t="shared" ca="1" si="102"/>
        <v>1.2715075252279181E-3</v>
      </c>
    </row>
    <row r="4078" spans="6:7" x14ac:dyDescent="0.3">
      <c r="F4078" s="64">
        <v>4075</v>
      </c>
      <c r="G4078" s="64">
        <f t="shared" ca="1" si="102"/>
        <v>2.0185763448334493E-3</v>
      </c>
    </row>
    <row r="4079" spans="6:7" x14ac:dyDescent="0.3">
      <c r="F4079" s="64">
        <v>4076</v>
      </c>
      <c r="G4079" s="64">
        <f t="shared" ca="1" si="102"/>
        <v>3.1005736090177871E-4</v>
      </c>
    </row>
    <row r="4080" spans="6:7" x14ac:dyDescent="0.3">
      <c r="F4080" s="64">
        <v>4077</v>
      </c>
      <c r="G4080" s="64">
        <f t="shared" ca="1" si="102"/>
        <v>6.8010826595605251E-3</v>
      </c>
    </row>
    <row r="4081" spans="6:7" x14ac:dyDescent="0.3">
      <c r="F4081" s="64">
        <v>4078</v>
      </c>
      <c r="G4081" s="64">
        <f t="shared" ca="1" si="102"/>
        <v>9.1706022494668082E-3</v>
      </c>
    </row>
    <row r="4082" spans="6:7" x14ac:dyDescent="0.3">
      <c r="F4082" s="64">
        <v>4079</v>
      </c>
      <c r="G4082" s="64">
        <f t="shared" ca="1" si="102"/>
        <v>1.8918380380795956E-2</v>
      </c>
    </row>
    <row r="4083" spans="6:7" x14ac:dyDescent="0.3">
      <c r="F4083" s="64">
        <v>4080</v>
      </c>
      <c r="G4083" s="64">
        <f t="shared" ca="1" si="102"/>
        <v>9.3020540234569019E-3</v>
      </c>
    </row>
    <row r="4084" spans="6:7" x14ac:dyDescent="0.3">
      <c r="F4084" s="64">
        <v>4081</v>
      </c>
      <c r="G4084" s="64">
        <f t="shared" ca="1" si="102"/>
        <v>-6.4020351579864871E-3</v>
      </c>
    </row>
    <row r="4085" spans="6:7" x14ac:dyDescent="0.3">
      <c r="F4085" s="64">
        <v>4082</v>
      </c>
      <c r="G4085" s="64">
        <f t="shared" ca="1" si="102"/>
        <v>1.0774491620830341E-2</v>
      </c>
    </row>
    <row r="4086" spans="6:7" x14ac:dyDescent="0.3">
      <c r="F4086" s="64">
        <v>4083</v>
      </c>
      <c r="G4086" s="64">
        <f t="shared" ca="1" si="102"/>
        <v>4.4462639899133275E-4</v>
      </c>
    </row>
    <row r="4087" spans="6:7" x14ac:dyDescent="0.3">
      <c r="F4087" s="64">
        <v>4084</v>
      </c>
      <c r="G4087" s="64">
        <f t="shared" ca="1" si="102"/>
        <v>-1.9653006815361244E-2</v>
      </c>
    </row>
    <row r="4088" spans="6:7" x14ac:dyDescent="0.3">
      <c r="F4088" s="64">
        <v>4085</v>
      </c>
      <c r="G4088" s="64">
        <f t="shared" ca="1" si="102"/>
        <v>-1.9087289356222399E-2</v>
      </c>
    </row>
    <row r="4089" spans="6:7" x14ac:dyDescent="0.3">
      <c r="F4089" s="64">
        <v>4086</v>
      </c>
      <c r="G4089" s="64">
        <f t="shared" ca="1" si="102"/>
        <v>4.849480368183833E-3</v>
      </c>
    </row>
    <row r="4090" spans="6:7" x14ac:dyDescent="0.3">
      <c r="F4090" s="64">
        <v>4087</v>
      </c>
      <c r="G4090" s="64">
        <f t="shared" ca="1" si="102"/>
        <v>-2.3699663420668565E-2</v>
      </c>
    </row>
    <row r="4091" spans="6:7" x14ac:dyDescent="0.3">
      <c r="F4091" s="64">
        <v>4088</v>
      </c>
      <c r="G4091" s="64">
        <f t="shared" ca="1" si="102"/>
        <v>-9.556515713776418E-3</v>
      </c>
    </row>
    <row r="4092" spans="6:7" x14ac:dyDescent="0.3">
      <c r="F4092" s="64">
        <v>4089</v>
      </c>
      <c r="G4092" s="64">
        <f t="shared" ca="1" si="102"/>
        <v>3.6750055524021972E-3</v>
      </c>
    </row>
    <row r="4093" spans="6:7" x14ac:dyDescent="0.3">
      <c r="F4093" s="64">
        <v>4090</v>
      </c>
      <c r="G4093" s="64">
        <f t="shared" ca="1" si="102"/>
        <v>-5.5952377302613317E-3</v>
      </c>
    </row>
    <row r="4094" spans="6:7" x14ac:dyDescent="0.3">
      <c r="F4094" s="64">
        <v>4091</v>
      </c>
      <c r="G4094" s="64">
        <f t="shared" ca="1" si="102"/>
        <v>-1.3372273865434889E-2</v>
      </c>
    </row>
    <row r="4095" spans="6:7" x14ac:dyDescent="0.3">
      <c r="F4095" s="64">
        <v>4092</v>
      </c>
      <c r="G4095" s="64">
        <f t="shared" ca="1" si="102"/>
        <v>-3.8069407324793298E-3</v>
      </c>
    </row>
    <row r="4096" spans="6:7" x14ac:dyDescent="0.3">
      <c r="F4096" s="64">
        <v>4093</v>
      </c>
      <c r="G4096" s="64">
        <f t="shared" ca="1" si="102"/>
        <v>-1.6492514859323709E-2</v>
      </c>
    </row>
    <row r="4097" spans="6:7" x14ac:dyDescent="0.3">
      <c r="F4097" s="64">
        <v>4094</v>
      </c>
      <c r="G4097" s="64">
        <f t="shared" ca="1" si="102"/>
        <v>-9.809177572769617E-3</v>
      </c>
    </row>
    <row r="4098" spans="6:7" x14ac:dyDescent="0.3">
      <c r="F4098" s="64">
        <v>4095</v>
      </c>
      <c r="G4098" s="64">
        <f t="shared" ca="1" si="102"/>
        <v>-1.5175183202614349E-2</v>
      </c>
    </row>
    <row r="4099" spans="6:7" x14ac:dyDescent="0.3">
      <c r="F4099" s="64">
        <v>4096</v>
      </c>
      <c r="G4099" s="64">
        <f t="shared" ca="1" si="102"/>
        <v>6.2133721970218945E-3</v>
      </c>
    </row>
    <row r="4100" spans="6:7" x14ac:dyDescent="0.3">
      <c r="F4100" s="64">
        <v>4097</v>
      </c>
      <c r="G4100" s="64">
        <f t="shared" ca="1" si="102"/>
        <v>-1.7447454543197995E-2</v>
      </c>
    </row>
    <row r="4101" spans="6:7" x14ac:dyDescent="0.3">
      <c r="F4101" s="64">
        <v>4098</v>
      </c>
      <c r="G4101" s="64">
        <f t="shared" ref="G4101:G4164" ca="1" si="103">_xlfn.NORM.INV(RAND(),K$6,K$7)</f>
        <v>-1.1740442484359771E-2</v>
      </c>
    </row>
    <row r="4102" spans="6:7" x14ac:dyDescent="0.3">
      <c r="F4102" s="64">
        <v>4099</v>
      </c>
      <c r="G4102" s="64">
        <f t="shared" ca="1" si="103"/>
        <v>-8.4734487941685623E-3</v>
      </c>
    </row>
    <row r="4103" spans="6:7" x14ac:dyDescent="0.3">
      <c r="F4103" s="64">
        <v>4100</v>
      </c>
      <c r="G4103" s="64">
        <f t="shared" ca="1" si="103"/>
        <v>6.1282875414192502E-3</v>
      </c>
    </row>
    <row r="4104" spans="6:7" x14ac:dyDescent="0.3">
      <c r="F4104" s="64">
        <v>4101</v>
      </c>
      <c r="G4104" s="64">
        <f t="shared" ca="1" si="103"/>
        <v>1.9042083712846103E-2</v>
      </c>
    </row>
    <row r="4105" spans="6:7" x14ac:dyDescent="0.3">
      <c r="F4105" s="64">
        <v>4102</v>
      </c>
      <c r="G4105" s="64">
        <f t="shared" ca="1" si="103"/>
        <v>3.0633475873093438E-2</v>
      </c>
    </row>
    <row r="4106" spans="6:7" x14ac:dyDescent="0.3">
      <c r="F4106" s="64">
        <v>4103</v>
      </c>
      <c r="G4106" s="64">
        <f t="shared" ca="1" si="103"/>
        <v>-3.409156449531602E-3</v>
      </c>
    </row>
    <row r="4107" spans="6:7" x14ac:dyDescent="0.3">
      <c r="F4107" s="64">
        <v>4104</v>
      </c>
      <c r="G4107" s="64">
        <f t="shared" ca="1" si="103"/>
        <v>-1.7188160409169657E-2</v>
      </c>
    </row>
    <row r="4108" spans="6:7" x14ac:dyDescent="0.3">
      <c r="F4108" s="64">
        <v>4105</v>
      </c>
      <c r="G4108" s="64">
        <f t="shared" ca="1" si="103"/>
        <v>-1.7300699552566183E-2</v>
      </c>
    </row>
    <row r="4109" spans="6:7" x14ac:dyDescent="0.3">
      <c r="F4109" s="64">
        <v>4106</v>
      </c>
      <c r="G4109" s="64">
        <f t="shared" ca="1" si="103"/>
        <v>1.6926032647089133E-2</v>
      </c>
    </row>
    <row r="4110" spans="6:7" x14ac:dyDescent="0.3">
      <c r="F4110" s="64">
        <v>4107</v>
      </c>
      <c r="G4110" s="64">
        <f t="shared" ca="1" si="103"/>
        <v>3.3836861652160891E-2</v>
      </c>
    </row>
    <row r="4111" spans="6:7" x14ac:dyDescent="0.3">
      <c r="F4111" s="64">
        <v>4108</v>
      </c>
      <c r="G4111" s="64">
        <f t="shared" ca="1" si="103"/>
        <v>-2.4580271170912195E-2</v>
      </c>
    </row>
    <row r="4112" spans="6:7" x14ac:dyDescent="0.3">
      <c r="F4112" s="64">
        <v>4109</v>
      </c>
      <c r="G4112" s="64">
        <f t="shared" ca="1" si="103"/>
        <v>2.2879683648484042E-2</v>
      </c>
    </row>
    <row r="4113" spans="6:7" x14ac:dyDescent="0.3">
      <c r="F4113" s="64">
        <v>4110</v>
      </c>
      <c r="G4113" s="64">
        <f t="shared" ca="1" si="103"/>
        <v>-7.1812612407128103E-3</v>
      </c>
    </row>
    <row r="4114" spans="6:7" x14ac:dyDescent="0.3">
      <c r="F4114" s="64">
        <v>4111</v>
      </c>
      <c r="G4114" s="64">
        <f t="shared" ca="1" si="103"/>
        <v>-7.359365471871087E-3</v>
      </c>
    </row>
    <row r="4115" spans="6:7" x14ac:dyDescent="0.3">
      <c r="F4115" s="64">
        <v>4112</v>
      </c>
      <c r="G4115" s="64">
        <f t="shared" ca="1" si="103"/>
        <v>1.8974061485659006E-2</v>
      </c>
    </row>
    <row r="4116" spans="6:7" x14ac:dyDescent="0.3">
      <c r="F4116" s="64">
        <v>4113</v>
      </c>
      <c r="G4116" s="64">
        <f t="shared" ca="1" si="103"/>
        <v>2.2014862621218961E-2</v>
      </c>
    </row>
    <row r="4117" spans="6:7" x14ac:dyDescent="0.3">
      <c r="F4117" s="64">
        <v>4114</v>
      </c>
      <c r="G4117" s="64">
        <f t="shared" ca="1" si="103"/>
        <v>-3.130881901338535E-2</v>
      </c>
    </row>
    <row r="4118" spans="6:7" x14ac:dyDescent="0.3">
      <c r="F4118" s="64">
        <v>4115</v>
      </c>
      <c r="G4118" s="64">
        <f t="shared" ca="1" si="103"/>
        <v>-2.8439173683710316E-2</v>
      </c>
    </row>
    <row r="4119" spans="6:7" x14ac:dyDescent="0.3">
      <c r="F4119" s="64">
        <v>4116</v>
      </c>
      <c r="G4119" s="64">
        <f t="shared" ca="1" si="103"/>
        <v>7.6241080710790091E-3</v>
      </c>
    </row>
    <row r="4120" spans="6:7" x14ac:dyDescent="0.3">
      <c r="F4120" s="64">
        <v>4117</v>
      </c>
      <c r="G4120" s="64">
        <f t="shared" ca="1" si="103"/>
        <v>-1.2161517931853412E-2</v>
      </c>
    </row>
    <row r="4121" spans="6:7" x14ac:dyDescent="0.3">
      <c r="F4121" s="64">
        <v>4118</v>
      </c>
      <c r="G4121" s="64">
        <f t="shared" ca="1" si="103"/>
        <v>3.3627815819733703E-2</v>
      </c>
    </row>
    <row r="4122" spans="6:7" x14ac:dyDescent="0.3">
      <c r="F4122" s="64">
        <v>4119</v>
      </c>
      <c r="G4122" s="64">
        <f t="shared" ca="1" si="103"/>
        <v>1.0330527263038453E-2</v>
      </c>
    </row>
    <row r="4123" spans="6:7" x14ac:dyDescent="0.3">
      <c r="F4123" s="64">
        <v>4120</v>
      </c>
      <c r="G4123" s="64">
        <f t="shared" ca="1" si="103"/>
        <v>4.5051827112063757E-2</v>
      </c>
    </row>
    <row r="4124" spans="6:7" x14ac:dyDescent="0.3">
      <c r="F4124" s="64">
        <v>4121</v>
      </c>
      <c r="G4124" s="64">
        <f t="shared" ca="1" si="103"/>
        <v>-4.5497943958910563E-3</v>
      </c>
    </row>
    <row r="4125" spans="6:7" x14ac:dyDescent="0.3">
      <c r="F4125" s="64">
        <v>4122</v>
      </c>
      <c r="G4125" s="64">
        <f t="shared" ca="1" si="103"/>
        <v>1.791791020510753E-2</v>
      </c>
    </row>
    <row r="4126" spans="6:7" x14ac:dyDescent="0.3">
      <c r="F4126" s="64">
        <v>4123</v>
      </c>
      <c r="G4126" s="64">
        <f t="shared" ca="1" si="103"/>
        <v>-6.7773387704682733E-3</v>
      </c>
    </row>
    <row r="4127" spans="6:7" x14ac:dyDescent="0.3">
      <c r="F4127" s="64">
        <v>4124</v>
      </c>
      <c r="G4127" s="64">
        <f t="shared" ca="1" si="103"/>
        <v>6.4593397146239196E-3</v>
      </c>
    </row>
    <row r="4128" spans="6:7" x14ac:dyDescent="0.3">
      <c r="F4128" s="64">
        <v>4125</v>
      </c>
      <c r="G4128" s="64">
        <f t="shared" ca="1" si="103"/>
        <v>9.8397541063847682E-3</v>
      </c>
    </row>
    <row r="4129" spans="6:7" x14ac:dyDescent="0.3">
      <c r="F4129" s="64">
        <v>4126</v>
      </c>
      <c r="G4129" s="64">
        <f t="shared" ca="1" si="103"/>
        <v>-2.1466921598020723E-2</v>
      </c>
    </row>
    <row r="4130" spans="6:7" x14ac:dyDescent="0.3">
      <c r="F4130" s="64">
        <v>4127</v>
      </c>
      <c r="G4130" s="64">
        <f t="shared" ca="1" si="103"/>
        <v>5.7103113687162945E-3</v>
      </c>
    </row>
    <row r="4131" spans="6:7" x14ac:dyDescent="0.3">
      <c r="F4131" s="64">
        <v>4128</v>
      </c>
      <c r="G4131" s="64">
        <f t="shared" ca="1" si="103"/>
        <v>2.0635231750141918E-2</v>
      </c>
    </row>
    <row r="4132" spans="6:7" x14ac:dyDescent="0.3">
      <c r="F4132" s="64">
        <v>4129</v>
      </c>
      <c r="G4132" s="64">
        <f t="shared" ca="1" si="103"/>
        <v>7.5379577086551151E-3</v>
      </c>
    </row>
    <row r="4133" spans="6:7" x14ac:dyDescent="0.3">
      <c r="F4133" s="64">
        <v>4130</v>
      </c>
      <c r="G4133" s="64">
        <f t="shared" ca="1" si="103"/>
        <v>-1.8680253574933955E-2</v>
      </c>
    </row>
    <row r="4134" spans="6:7" x14ac:dyDescent="0.3">
      <c r="F4134" s="64">
        <v>4131</v>
      </c>
      <c r="G4134" s="64">
        <f t="shared" ca="1" si="103"/>
        <v>4.0532650436891755E-2</v>
      </c>
    </row>
    <row r="4135" spans="6:7" x14ac:dyDescent="0.3">
      <c r="F4135" s="64">
        <v>4132</v>
      </c>
      <c r="G4135" s="64">
        <f t="shared" ca="1" si="103"/>
        <v>-1.0960684786497893E-2</v>
      </c>
    </row>
    <row r="4136" spans="6:7" x14ac:dyDescent="0.3">
      <c r="F4136" s="64">
        <v>4133</v>
      </c>
      <c r="G4136" s="64">
        <f t="shared" ca="1" si="103"/>
        <v>-2.6940892435888882E-2</v>
      </c>
    </row>
    <row r="4137" spans="6:7" x14ac:dyDescent="0.3">
      <c r="F4137" s="64">
        <v>4134</v>
      </c>
      <c r="G4137" s="64">
        <f t="shared" ca="1" si="103"/>
        <v>4.6574871200374774E-3</v>
      </c>
    </row>
    <row r="4138" spans="6:7" x14ac:dyDescent="0.3">
      <c r="F4138" s="64">
        <v>4135</v>
      </c>
      <c r="G4138" s="64">
        <f t="shared" ca="1" si="103"/>
        <v>-2.1693272944717248E-2</v>
      </c>
    </row>
    <row r="4139" spans="6:7" x14ac:dyDescent="0.3">
      <c r="F4139" s="64">
        <v>4136</v>
      </c>
      <c r="G4139" s="64">
        <f t="shared" ca="1" si="103"/>
        <v>8.9675747910960384E-3</v>
      </c>
    </row>
    <row r="4140" spans="6:7" x14ac:dyDescent="0.3">
      <c r="F4140" s="64">
        <v>4137</v>
      </c>
      <c r="G4140" s="64">
        <f t="shared" ca="1" si="103"/>
        <v>1.5161136639283649E-3</v>
      </c>
    </row>
    <row r="4141" spans="6:7" x14ac:dyDescent="0.3">
      <c r="F4141" s="64">
        <v>4138</v>
      </c>
      <c r="G4141" s="64">
        <f t="shared" ca="1" si="103"/>
        <v>6.7276433354116804E-3</v>
      </c>
    </row>
    <row r="4142" spans="6:7" x14ac:dyDescent="0.3">
      <c r="F4142" s="64">
        <v>4139</v>
      </c>
      <c r="G4142" s="64">
        <f t="shared" ca="1" si="103"/>
        <v>3.4065806307197817E-4</v>
      </c>
    </row>
    <row r="4143" spans="6:7" x14ac:dyDescent="0.3">
      <c r="F4143" s="64">
        <v>4140</v>
      </c>
      <c r="G4143" s="64">
        <f t="shared" ca="1" si="103"/>
        <v>2.3604398404927049E-2</v>
      </c>
    </row>
    <row r="4144" spans="6:7" x14ac:dyDescent="0.3">
      <c r="F4144" s="64">
        <v>4141</v>
      </c>
      <c r="G4144" s="64">
        <f t="shared" ca="1" si="103"/>
        <v>-1.1968834294671944E-2</v>
      </c>
    </row>
    <row r="4145" spans="6:7" x14ac:dyDescent="0.3">
      <c r="F4145" s="64">
        <v>4142</v>
      </c>
      <c r="G4145" s="64">
        <f t="shared" ca="1" si="103"/>
        <v>8.5533552779438853E-3</v>
      </c>
    </row>
    <row r="4146" spans="6:7" x14ac:dyDescent="0.3">
      <c r="F4146" s="64">
        <v>4143</v>
      </c>
      <c r="G4146" s="64">
        <f t="shared" ca="1" si="103"/>
        <v>3.4603355069884996E-2</v>
      </c>
    </row>
    <row r="4147" spans="6:7" x14ac:dyDescent="0.3">
      <c r="F4147" s="64">
        <v>4144</v>
      </c>
      <c r="G4147" s="64">
        <f t="shared" ca="1" si="103"/>
        <v>1.2303960948081578E-2</v>
      </c>
    </row>
    <row r="4148" spans="6:7" x14ac:dyDescent="0.3">
      <c r="F4148" s="64">
        <v>4145</v>
      </c>
      <c r="G4148" s="64">
        <f t="shared" ca="1" si="103"/>
        <v>-3.0070363808702939E-3</v>
      </c>
    </row>
    <row r="4149" spans="6:7" x14ac:dyDescent="0.3">
      <c r="F4149" s="64">
        <v>4146</v>
      </c>
      <c r="G4149" s="64">
        <f t="shared" ca="1" si="103"/>
        <v>-1.0574276238041275E-2</v>
      </c>
    </row>
    <row r="4150" spans="6:7" x14ac:dyDescent="0.3">
      <c r="F4150" s="64">
        <v>4147</v>
      </c>
      <c r="G4150" s="64">
        <f t="shared" ca="1" si="103"/>
        <v>1.5789250560684878E-2</v>
      </c>
    </row>
    <row r="4151" spans="6:7" x14ac:dyDescent="0.3">
      <c r="F4151" s="64">
        <v>4148</v>
      </c>
      <c r="G4151" s="64">
        <f t="shared" ca="1" si="103"/>
        <v>-1.8272360208290164E-2</v>
      </c>
    </row>
    <row r="4152" spans="6:7" x14ac:dyDescent="0.3">
      <c r="F4152" s="64">
        <v>4149</v>
      </c>
      <c r="G4152" s="64">
        <f t="shared" ca="1" si="103"/>
        <v>2.3744632937398029E-2</v>
      </c>
    </row>
    <row r="4153" spans="6:7" x14ac:dyDescent="0.3">
      <c r="F4153" s="64">
        <v>4150</v>
      </c>
      <c r="G4153" s="64">
        <f t="shared" ca="1" si="103"/>
        <v>-6.8622374168099912E-3</v>
      </c>
    </row>
    <row r="4154" spans="6:7" x14ac:dyDescent="0.3">
      <c r="F4154" s="64">
        <v>4151</v>
      </c>
      <c r="G4154" s="64">
        <f t="shared" ca="1" si="103"/>
        <v>-1.5331417137272063E-2</v>
      </c>
    </row>
    <row r="4155" spans="6:7" x14ac:dyDescent="0.3">
      <c r="F4155" s="64">
        <v>4152</v>
      </c>
      <c r="G4155" s="64">
        <f t="shared" ca="1" si="103"/>
        <v>1.4724349713250075E-2</v>
      </c>
    </row>
    <row r="4156" spans="6:7" x14ac:dyDescent="0.3">
      <c r="F4156" s="64">
        <v>4153</v>
      </c>
      <c r="G4156" s="64">
        <f t="shared" ca="1" si="103"/>
        <v>-1.2890825408813266E-2</v>
      </c>
    </row>
    <row r="4157" spans="6:7" x14ac:dyDescent="0.3">
      <c r="F4157" s="64">
        <v>4154</v>
      </c>
      <c r="G4157" s="64">
        <f t="shared" ca="1" si="103"/>
        <v>-9.2565126855412836E-4</v>
      </c>
    </row>
    <row r="4158" spans="6:7" x14ac:dyDescent="0.3">
      <c r="F4158" s="64">
        <v>4155</v>
      </c>
      <c r="G4158" s="64">
        <f t="shared" ca="1" si="103"/>
        <v>-2.1233478001652178E-2</v>
      </c>
    </row>
    <row r="4159" spans="6:7" x14ac:dyDescent="0.3">
      <c r="F4159" s="64">
        <v>4156</v>
      </c>
      <c r="G4159" s="64">
        <f t="shared" ca="1" si="103"/>
        <v>-2.5399521017627331E-2</v>
      </c>
    </row>
    <row r="4160" spans="6:7" x14ac:dyDescent="0.3">
      <c r="F4160" s="64">
        <v>4157</v>
      </c>
      <c r="G4160" s="64">
        <f t="shared" ca="1" si="103"/>
        <v>-1.5707176483929629E-2</v>
      </c>
    </row>
    <row r="4161" spans="6:7" x14ac:dyDescent="0.3">
      <c r="F4161" s="64">
        <v>4158</v>
      </c>
      <c r="G4161" s="64">
        <f t="shared" ca="1" si="103"/>
        <v>2.833128464901534E-2</v>
      </c>
    </row>
    <row r="4162" spans="6:7" x14ac:dyDescent="0.3">
      <c r="F4162" s="64">
        <v>4159</v>
      </c>
      <c r="G4162" s="64">
        <f t="shared" ca="1" si="103"/>
        <v>5.1369788664789688E-3</v>
      </c>
    </row>
    <row r="4163" spans="6:7" x14ac:dyDescent="0.3">
      <c r="F4163" s="64">
        <v>4160</v>
      </c>
      <c r="G4163" s="64">
        <f t="shared" ca="1" si="103"/>
        <v>2.5459542756820594E-2</v>
      </c>
    </row>
    <row r="4164" spans="6:7" x14ac:dyDescent="0.3">
      <c r="F4164" s="64">
        <v>4161</v>
      </c>
      <c r="G4164" s="64">
        <f t="shared" ca="1" si="103"/>
        <v>4.2260286450655545E-3</v>
      </c>
    </row>
    <row r="4165" spans="6:7" x14ac:dyDescent="0.3">
      <c r="F4165" s="64">
        <v>4162</v>
      </c>
      <c r="G4165" s="64">
        <f t="shared" ref="G4165:G4228" ca="1" si="104">_xlfn.NORM.INV(RAND(),K$6,K$7)</f>
        <v>5.6968941259893088E-2</v>
      </c>
    </row>
    <row r="4166" spans="6:7" x14ac:dyDescent="0.3">
      <c r="F4166" s="64">
        <v>4163</v>
      </c>
      <c r="G4166" s="64">
        <f t="shared" ca="1" si="104"/>
        <v>-2.8073349487660063E-2</v>
      </c>
    </row>
    <row r="4167" spans="6:7" x14ac:dyDescent="0.3">
      <c r="F4167" s="64">
        <v>4164</v>
      </c>
      <c r="G4167" s="64">
        <f t="shared" ca="1" si="104"/>
        <v>2.5564662844619543E-2</v>
      </c>
    </row>
    <row r="4168" spans="6:7" x14ac:dyDescent="0.3">
      <c r="F4168" s="64">
        <v>4165</v>
      </c>
      <c r="G4168" s="64">
        <f t="shared" ca="1" si="104"/>
        <v>-3.2854873369499132E-2</v>
      </c>
    </row>
    <row r="4169" spans="6:7" x14ac:dyDescent="0.3">
      <c r="F4169" s="64">
        <v>4166</v>
      </c>
      <c r="G4169" s="64">
        <f t="shared" ca="1" si="104"/>
        <v>4.5429033556851475E-2</v>
      </c>
    </row>
    <row r="4170" spans="6:7" x14ac:dyDescent="0.3">
      <c r="F4170" s="64">
        <v>4167</v>
      </c>
      <c r="G4170" s="64">
        <f t="shared" ca="1" si="104"/>
        <v>-8.3154764702600779E-3</v>
      </c>
    </row>
    <row r="4171" spans="6:7" x14ac:dyDescent="0.3">
      <c r="F4171" s="64">
        <v>4168</v>
      </c>
      <c r="G4171" s="64">
        <f t="shared" ca="1" si="104"/>
        <v>5.0353857102377001E-3</v>
      </c>
    </row>
    <row r="4172" spans="6:7" x14ac:dyDescent="0.3">
      <c r="F4172" s="64">
        <v>4169</v>
      </c>
      <c r="G4172" s="64">
        <f t="shared" ca="1" si="104"/>
        <v>-7.6375261703208169E-3</v>
      </c>
    </row>
    <row r="4173" spans="6:7" x14ac:dyDescent="0.3">
      <c r="F4173" s="64">
        <v>4170</v>
      </c>
      <c r="G4173" s="64">
        <f t="shared" ca="1" si="104"/>
        <v>2.1660500925619719E-2</v>
      </c>
    </row>
    <row r="4174" spans="6:7" x14ac:dyDescent="0.3">
      <c r="F4174" s="64">
        <v>4171</v>
      </c>
      <c r="G4174" s="64">
        <f t="shared" ca="1" si="104"/>
        <v>3.9694919940614734E-2</v>
      </c>
    </row>
    <row r="4175" spans="6:7" x14ac:dyDescent="0.3">
      <c r="F4175" s="64">
        <v>4172</v>
      </c>
      <c r="G4175" s="64">
        <f t="shared" ca="1" si="104"/>
        <v>2.3906485240000289E-2</v>
      </c>
    </row>
    <row r="4176" spans="6:7" x14ac:dyDescent="0.3">
      <c r="F4176" s="64">
        <v>4173</v>
      </c>
      <c r="G4176" s="64">
        <f t="shared" ca="1" si="104"/>
        <v>2.9699714345489624E-3</v>
      </c>
    </row>
    <row r="4177" spans="6:7" x14ac:dyDescent="0.3">
      <c r="F4177" s="64">
        <v>4174</v>
      </c>
      <c r="G4177" s="64">
        <f t="shared" ca="1" si="104"/>
        <v>-6.4917103314415152E-3</v>
      </c>
    </row>
    <row r="4178" spans="6:7" x14ac:dyDescent="0.3">
      <c r="F4178" s="64">
        <v>4175</v>
      </c>
      <c r="G4178" s="64">
        <f t="shared" ca="1" si="104"/>
        <v>-2.1495220530602273E-2</v>
      </c>
    </row>
    <row r="4179" spans="6:7" x14ac:dyDescent="0.3">
      <c r="F4179" s="64">
        <v>4176</v>
      </c>
      <c r="G4179" s="64">
        <f t="shared" ca="1" si="104"/>
        <v>-1.5467040219926646E-2</v>
      </c>
    </row>
    <row r="4180" spans="6:7" x14ac:dyDescent="0.3">
      <c r="F4180" s="64">
        <v>4177</v>
      </c>
      <c r="G4180" s="64">
        <f t="shared" ca="1" si="104"/>
        <v>2.6884367025529765E-2</v>
      </c>
    </row>
    <row r="4181" spans="6:7" x14ac:dyDescent="0.3">
      <c r="F4181" s="64">
        <v>4178</v>
      </c>
      <c r="G4181" s="64">
        <f t="shared" ca="1" si="104"/>
        <v>8.2692496200380845E-3</v>
      </c>
    </row>
    <row r="4182" spans="6:7" x14ac:dyDescent="0.3">
      <c r="F4182" s="64">
        <v>4179</v>
      </c>
      <c r="G4182" s="64">
        <f t="shared" ca="1" si="104"/>
        <v>-3.773081311460689E-3</v>
      </c>
    </row>
    <row r="4183" spans="6:7" x14ac:dyDescent="0.3">
      <c r="F4183" s="64">
        <v>4180</v>
      </c>
      <c r="G4183" s="64">
        <f t="shared" ca="1" si="104"/>
        <v>1.98825404080092E-2</v>
      </c>
    </row>
    <row r="4184" spans="6:7" x14ac:dyDescent="0.3">
      <c r="F4184" s="64">
        <v>4181</v>
      </c>
      <c r="G4184" s="64">
        <f t="shared" ca="1" si="104"/>
        <v>1.7853657849199463E-2</v>
      </c>
    </row>
    <row r="4185" spans="6:7" x14ac:dyDescent="0.3">
      <c r="F4185" s="64">
        <v>4182</v>
      </c>
      <c r="G4185" s="64">
        <f t="shared" ca="1" si="104"/>
        <v>-8.2384183993322035E-3</v>
      </c>
    </row>
    <row r="4186" spans="6:7" x14ac:dyDescent="0.3">
      <c r="F4186" s="64">
        <v>4183</v>
      </c>
      <c r="G4186" s="64">
        <f t="shared" ca="1" si="104"/>
        <v>2.2199344143502858E-2</v>
      </c>
    </row>
    <row r="4187" spans="6:7" x14ac:dyDescent="0.3">
      <c r="F4187" s="64">
        <v>4184</v>
      </c>
      <c r="G4187" s="64">
        <f t="shared" ca="1" si="104"/>
        <v>1.0203411751435741E-2</v>
      </c>
    </row>
    <row r="4188" spans="6:7" x14ac:dyDescent="0.3">
      <c r="F4188" s="64">
        <v>4185</v>
      </c>
      <c r="G4188" s="64">
        <f t="shared" ca="1" si="104"/>
        <v>-1.9766698933011639E-3</v>
      </c>
    </row>
    <row r="4189" spans="6:7" x14ac:dyDescent="0.3">
      <c r="F4189" s="64">
        <v>4186</v>
      </c>
      <c r="G4189" s="64">
        <f t="shared" ca="1" si="104"/>
        <v>-2.19538238135268E-3</v>
      </c>
    </row>
    <row r="4190" spans="6:7" x14ac:dyDescent="0.3">
      <c r="F4190" s="64">
        <v>4187</v>
      </c>
      <c r="G4190" s="64">
        <f t="shared" ca="1" si="104"/>
        <v>6.1301023427434492E-3</v>
      </c>
    </row>
    <row r="4191" spans="6:7" x14ac:dyDescent="0.3">
      <c r="F4191" s="64">
        <v>4188</v>
      </c>
      <c r="G4191" s="64">
        <f t="shared" ca="1" si="104"/>
        <v>4.7637557732227147E-3</v>
      </c>
    </row>
    <row r="4192" spans="6:7" x14ac:dyDescent="0.3">
      <c r="F4192" s="64">
        <v>4189</v>
      </c>
      <c r="G4192" s="64">
        <f t="shared" ca="1" si="104"/>
        <v>-6.1260361673833707E-3</v>
      </c>
    </row>
    <row r="4193" spans="6:7" x14ac:dyDescent="0.3">
      <c r="F4193" s="64">
        <v>4190</v>
      </c>
      <c r="G4193" s="64">
        <f t="shared" ca="1" si="104"/>
        <v>-2.6327776686217133E-3</v>
      </c>
    </row>
    <row r="4194" spans="6:7" x14ac:dyDescent="0.3">
      <c r="F4194" s="64">
        <v>4191</v>
      </c>
      <c r="G4194" s="64">
        <f t="shared" ca="1" si="104"/>
        <v>2.2751919273334371E-2</v>
      </c>
    </row>
    <row r="4195" spans="6:7" x14ac:dyDescent="0.3">
      <c r="F4195" s="64">
        <v>4192</v>
      </c>
      <c r="G4195" s="64">
        <f t="shared" ca="1" si="104"/>
        <v>-8.5572848539138581E-3</v>
      </c>
    </row>
    <row r="4196" spans="6:7" x14ac:dyDescent="0.3">
      <c r="F4196" s="64">
        <v>4193</v>
      </c>
      <c r="G4196" s="64">
        <f t="shared" ca="1" si="104"/>
        <v>2.9726575720909212E-2</v>
      </c>
    </row>
    <row r="4197" spans="6:7" x14ac:dyDescent="0.3">
      <c r="F4197" s="64">
        <v>4194</v>
      </c>
      <c r="G4197" s="64">
        <f t="shared" ca="1" si="104"/>
        <v>3.7826908097949043E-3</v>
      </c>
    </row>
    <row r="4198" spans="6:7" x14ac:dyDescent="0.3">
      <c r="F4198" s="64">
        <v>4195</v>
      </c>
      <c r="G4198" s="64">
        <f t="shared" ca="1" si="104"/>
        <v>-1.5139445608578475E-2</v>
      </c>
    </row>
    <row r="4199" spans="6:7" x14ac:dyDescent="0.3">
      <c r="F4199" s="64">
        <v>4196</v>
      </c>
      <c r="G4199" s="64">
        <f t="shared" ca="1" si="104"/>
        <v>8.7678929161503823E-3</v>
      </c>
    </row>
    <row r="4200" spans="6:7" x14ac:dyDescent="0.3">
      <c r="F4200" s="64">
        <v>4197</v>
      </c>
      <c r="G4200" s="64">
        <f t="shared" ca="1" si="104"/>
        <v>-1.6686089078182698E-2</v>
      </c>
    </row>
    <row r="4201" spans="6:7" x14ac:dyDescent="0.3">
      <c r="F4201" s="64">
        <v>4198</v>
      </c>
      <c r="G4201" s="64">
        <f t="shared" ca="1" si="104"/>
        <v>-2.2150339665194946E-2</v>
      </c>
    </row>
    <row r="4202" spans="6:7" x14ac:dyDescent="0.3">
      <c r="F4202" s="64">
        <v>4199</v>
      </c>
      <c r="G4202" s="64">
        <f t="shared" ca="1" si="104"/>
        <v>3.3685537697123402E-2</v>
      </c>
    </row>
    <row r="4203" spans="6:7" x14ac:dyDescent="0.3">
      <c r="F4203" s="64">
        <v>4200</v>
      </c>
      <c r="G4203" s="64">
        <f t="shared" ca="1" si="104"/>
        <v>1.4085435681029738E-2</v>
      </c>
    </row>
    <row r="4204" spans="6:7" x14ac:dyDescent="0.3">
      <c r="F4204" s="64">
        <v>4201</v>
      </c>
      <c r="G4204" s="64">
        <f t="shared" ca="1" si="104"/>
        <v>1.3214132900739724E-2</v>
      </c>
    </row>
    <row r="4205" spans="6:7" x14ac:dyDescent="0.3">
      <c r="F4205" s="64">
        <v>4202</v>
      </c>
      <c r="G4205" s="64">
        <f t="shared" ca="1" si="104"/>
        <v>4.2196287239021748E-3</v>
      </c>
    </row>
    <row r="4206" spans="6:7" x14ac:dyDescent="0.3">
      <c r="F4206" s="64">
        <v>4203</v>
      </c>
      <c r="G4206" s="64">
        <f t="shared" ca="1" si="104"/>
        <v>1.1979175922238895E-2</v>
      </c>
    </row>
    <row r="4207" spans="6:7" x14ac:dyDescent="0.3">
      <c r="F4207" s="64">
        <v>4204</v>
      </c>
      <c r="G4207" s="64">
        <f t="shared" ca="1" si="104"/>
        <v>-7.5957749857587971E-3</v>
      </c>
    </row>
    <row r="4208" spans="6:7" x14ac:dyDescent="0.3">
      <c r="F4208" s="64">
        <v>4205</v>
      </c>
      <c r="G4208" s="64">
        <f t="shared" ca="1" si="104"/>
        <v>7.9900912347780385E-3</v>
      </c>
    </row>
    <row r="4209" spans="6:7" x14ac:dyDescent="0.3">
      <c r="F4209" s="64">
        <v>4206</v>
      </c>
      <c r="G4209" s="64">
        <f t="shared" ca="1" si="104"/>
        <v>4.1077034897963975E-4</v>
      </c>
    </row>
    <row r="4210" spans="6:7" x14ac:dyDescent="0.3">
      <c r="F4210" s="64">
        <v>4207</v>
      </c>
      <c r="G4210" s="64">
        <f t="shared" ca="1" si="104"/>
        <v>-1.2488693936176088E-2</v>
      </c>
    </row>
    <row r="4211" spans="6:7" x14ac:dyDescent="0.3">
      <c r="F4211" s="64">
        <v>4208</v>
      </c>
      <c r="G4211" s="64">
        <f t="shared" ca="1" si="104"/>
        <v>-2.8550343938338013E-3</v>
      </c>
    </row>
    <row r="4212" spans="6:7" x14ac:dyDescent="0.3">
      <c r="F4212" s="64">
        <v>4209</v>
      </c>
      <c r="G4212" s="64">
        <f t="shared" ca="1" si="104"/>
        <v>-1.2542995634672708E-2</v>
      </c>
    </row>
    <row r="4213" spans="6:7" x14ac:dyDescent="0.3">
      <c r="F4213" s="64">
        <v>4210</v>
      </c>
      <c r="G4213" s="64">
        <f t="shared" ca="1" si="104"/>
        <v>3.083755204764204E-2</v>
      </c>
    </row>
    <row r="4214" spans="6:7" x14ac:dyDescent="0.3">
      <c r="F4214" s="64">
        <v>4211</v>
      </c>
      <c r="G4214" s="64">
        <f t="shared" ca="1" si="104"/>
        <v>2.9826071307383822E-2</v>
      </c>
    </row>
    <row r="4215" spans="6:7" x14ac:dyDescent="0.3">
      <c r="F4215" s="64">
        <v>4212</v>
      </c>
      <c r="G4215" s="64">
        <f t="shared" ca="1" si="104"/>
        <v>-2.7763976981684056E-2</v>
      </c>
    </row>
    <row r="4216" spans="6:7" x14ac:dyDescent="0.3">
      <c r="F4216" s="64">
        <v>4213</v>
      </c>
      <c r="G4216" s="64">
        <f t="shared" ca="1" si="104"/>
        <v>1.6515535064782962E-2</v>
      </c>
    </row>
    <row r="4217" spans="6:7" x14ac:dyDescent="0.3">
      <c r="F4217" s="64">
        <v>4214</v>
      </c>
      <c r="G4217" s="64">
        <f t="shared" ca="1" si="104"/>
        <v>-9.124820092303941E-3</v>
      </c>
    </row>
    <row r="4218" spans="6:7" x14ac:dyDescent="0.3">
      <c r="F4218" s="64">
        <v>4215</v>
      </c>
      <c r="G4218" s="64">
        <f t="shared" ca="1" si="104"/>
        <v>-2.6058363395347804E-2</v>
      </c>
    </row>
    <row r="4219" spans="6:7" x14ac:dyDescent="0.3">
      <c r="F4219" s="64">
        <v>4216</v>
      </c>
      <c r="G4219" s="64">
        <f t="shared" ca="1" si="104"/>
        <v>1.1177823818691137E-2</v>
      </c>
    </row>
    <row r="4220" spans="6:7" x14ac:dyDescent="0.3">
      <c r="F4220" s="64">
        <v>4217</v>
      </c>
      <c r="G4220" s="64">
        <f t="shared" ca="1" si="104"/>
        <v>-3.4731882482382494E-2</v>
      </c>
    </row>
    <row r="4221" spans="6:7" x14ac:dyDescent="0.3">
      <c r="F4221" s="64">
        <v>4218</v>
      </c>
      <c r="G4221" s="64">
        <f t="shared" ca="1" si="104"/>
        <v>2.1861570651845165E-2</v>
      </c>
    </row>
    <row r="4222" spans="6:7" x14ac:dyDescent="0.3">
      <c r="F4222" s="64">
        <v>4219</v>
      </c>
      <c r="G4222" s="64">
        <f t="shared" ca="1" si="104"/>
        <v>1.8802177001525339E-2</v>
      </c>
    </row>
    <row r="4223" spans="6:7" x14ac:dyDescent="0.3">
      <c r="F4223" s="64">
        <v>4220</v>
      </c>
      <c r="G4223" s="64">
        <f t="shared" ca="1" si="104"/>
        <v>-6.5396132651628983E-3</v>
      </c>
    </row>
    <row r="4224" spans="6:7" x14ac:dyDescent="0.3">
      <c r="F4224" s="64">
        <v>4221</v>
      </c>
      <c r="G4224" s="64">
        <f t="shared" ca="1" si="104"/>
        <v>4.5308583247272204E-3</v>
      </c>
    </row>
    <row r="4225" spans="6:7" x14ac:dyDescent="0.3">
      <c r="F4225" s="64">
        <v>4222</v>
      </c>
      <c r="G4225" s="64">
        <f t="shared" ca="1" si="104"/>
        <v>9.1314099720412917E-5</v>
      </c>
    </row>
    <row r="4226" spans="6:7" x14ac:dyDescent="0.3">
      <c r="F4226" s="64">
        <v>4223</v>
      </c>
      <c r="G4226" s="64">
        <f t="shared" ca="1" si="104"/>
        <v>-1.1028943364373234E-3</v>
      </c>
    </row>
    <row r="4227" spans="6:7" x14ac:dyDescent="0.3">
      <c r="F4227" s="64">
        <v>4224</v>
      </c>
      <c r="G4227" s="64">
        <f t="shared" ca="1" si="104"/>
        <v>4.3343519832802005E-2</v>
      </c>
    </row>
    <row r="4228" spans="6:7" x14ac:dyDescent="0.3">
      <c r="F4228" s="64">
        <v>4225</v>
      </c>
      <c r="G4228" s="64">
        <f t="shared" ca="1" si="104"/>
        <v>1.0632241370795211E-2</v>
      </c>
    </row>
    <row r="4229" spans="6:7" x14ac:dyDescent="0.3">
      <c r="F4229" s="64">
        <v>4226</v>
      </c>
      <c r="G4229" s="64">
        <f t="shared" ref="G4229:G4292" ca="1" si="105">_xlfn.NORM.INV(RAND(),K$6,K$7)</f>
        <v>1.0759172168376385E-2</v>
      </c>
    </row>
    <row r="4230" spans="6:7" x14ac:dyDescent="0.3">
      <c r="F4230" s="64">
        <v>4227</v>
      </c>
      <c r="G4230" s="64">
        <f t="shared" ca="1" si="105"/>
        <v>-2.1324208232070381E-2</v>
      </c>
    </row>
    <row r="4231" spans="6:7" x14ac:dyDescent="0.3">
      <c r="F4231" s="64">
        <v>4228</v>
      </c>
      <c r="G4231" s="64">
        <f t="shared" ca="1" si="105"/>
        <v>2.6591473280692272E-2</v>
      </c>
    </row>
    <row r="4232" spans="6:7" x14ac:dyDescent="0.3">
      <c r="F4232" s="64">
        <v>4229</v>
      </c>
      <c r="G4232" s="64">
        <f t="shared" ca="1" si="105"/>
        <v>-1.0529709801633867E-2</v>
      </c>
    </row>
    <row r="4233" spans="6:7" x14ac:dyDescent="0.3">
      <c r="F4233" s="64">
        <v>4230</v>
      </c>
      <c r="G4233" s="64">
        <f t="shared" ca="1" si="105"/>
        <v>6.5188170317027254E-4</v>
      </c>
    </row>
    <row r="4234" spans="6:7" x14ac:dyDescent="0.3">
      <c r="F4234" s="64">
        <v>4231</v>
      </c>
      <c r="G4234" s="64">
        <f t="shared" ca="1" si="105"/>
        <v>-2.050387484474428E-2</v>
      </c>
    </row>
    <row r="4235" spans="6:7" x14ac:dyDescent="0.3">
      <c r="F4235" s="64">
        <v>4232</v>
      </c>
      <c r="G4235" s="64">
        <f t="shared" ca="1" si="105"/>
        <v>1.5245653220481383E-2</v>
      </c>
    </row>
    <row r="4236" spans="6:7" x14ac:dyDescent="0.3">
      <c r="F4236" s="64">
        <v>4233</v>
      </c>
      <c r="G4236" s="64">
        <f t="shared" ca="1" si="105"/>
        <v>-2.0196507867378741E-2</v>
      </c>
    </row>
    <row r="4237" spans="6:7" x14ac:dyDescent="0.3">
      <c r="F4237" s="64">
        <v>4234</v>
      </c>
      <c r="G4237" s="64">
        <f t="shared" ca="1" si="105"/>
        <v>-1.9685129449194996E-2</v>
      </c>
    </row>
    <row r="4238" spans="6:7" x14ac:dyDescent="0.3">
      <c r="F4238" s="64">
        <v>4235</v>
      </c>
      <c r="G4238" s="64">
        <f t="shared" ca="1" si="105"/>
        <v>-1.0255583102999162E-2</v>
      </c>
    </row>
    <row r="4239" spans="6:7" x14ac:dyDescent="0.3">
      <c r="F4239" s="64">
        <v>4236</v>
      </c>
      <c r="G4239" s="64">
        <f t="shared" ca="1" si="105"/>
        <v>-1.8847193197343647E-2</v>
      </c>
    </row>
    <row r="4240" spans="6:7" x14ac:dyDescent="0.3">
      <c r="F4240" s="64">
        <v>4237</v>
      </c>
      <c r="G4240" s="64">
        <f t="shared" ca="1" si="105"/>
        <v>-4.0457220011156456E-3</v>
      </c>
    </row>
    <row r="4241" spans="6:7" x14ac:dyDescent="0.3">
      <c r="F4241" s="64">
        <v>4238</v>
      </c>
      <c r="G4241" s="64">
        <f t="shared" ca="1" si="105"/>
        <v>-3.6739254238287071E-3</v>
      </c>
    </row>
    <row r="4242" spans="6:7" x14ac:dyDescent="0.3">
      <c r="F4242" s="64">
        <v>4239</v>
      </c>
      <c r="G4242" s="64">
        <f t="shared" ca="1" si="105"/>
        <v>1.9060960881262287E-2</v>
      </c>
    </row>
    <row r="4243" spans="6:7" x14ac:dyDescent="0.3">
      <c r="F4243" s="64">
        <v>4240</v>
      </c>
      <c r="G4243" s="64">
        <f t="shared" ca="1" si="105"/>
        <v>4.5514984502846856E-3</v>
      </c>
    </row>
    <row r="4244" spans="6:7" x14ac:dyDescent="0.3">
      <c r="F4244" s="64">
        <v>4241</v>
      </c>
      <c r="G4244" s="64">
        <f t="shared" ca="1" si="105"/>
        <v>-1.5365258036096076E-3</v>
      </c>
    </row>
    <row r="4245" spans="6:7" x14ac:dyDescent="0.3">
      <c r="F4245" s="64">
        <v>4242</v>
      </c>
      <c r="G4245" s="64">
        <f t="shared" ca="1" si="105"/>
        <v>1.0435748000780379E-2</v>
      </c>
    </row>
    <row r="4246" spans="6:7" x14ac:dyDescent="0.3">
      <c r="F4246" s="64">
        <v>4243</v>
      </c>
      <c r="G4246" s="64">
        <f t="shared" ca="1" si="105"/>
        <v>-3.0645547262082545E-2</v>
      </c>
    </row>
    <row r="4247" spans="6:7" x14ac:dyDescent="0.3">
      <c r="F4247" s="64">
        <v>4244</v>
      </c>
      <c r="G4247" s="64">
        <f t="shared" ca="1" si="105"/>
        <v>-2.1201080660401272E-2</v>
      </c>
    </row>
    <row r="4248" spans="6:7" x14ac:dyDescent="0.3">
      <c r="F4248" s="64">
        <v>4245</v>
      </c>
      <c r="G4248" s="64">
        <f t="shared" ca="1" si="105"/>
        <v>3.6825589243318919E-2</v>
      </c>
    </row>
    <row r="4249" spans="6:7" x14ac:dyDescent="0.3">
      <c r="F4249" s="64">
        <v>4246</v>
      </c>
      <c r="G4249" s="64">
        <f t="shared" ca="1" si="105"/>
        <v>-3.2486141815941096E-2</v>
      </c>
    </row>
    <row r="4250" spans="6:7" x14ac:dyDescent="0.3">
      <c r="F4250" s="64">
        <v>4247</v>
      </c>
      <c r="G4250" s="64">
        <f t="shared" ca="1" si="105"/>
        <v>-1.0260129289045274E-2</v>
      </c>
    </row>
    <row r="4251" spans="6:7" x14ac:dyDescent="0.3">
      <c r="F4251" s="64">
        <v>4248</v>
      </c>
      <c r="G4251" s="64">
        <f t="shared" ca="1" si="105"/>
        <v>-1.7949290036140535E-2</v>
      </c>
    </row>
    <row r="4252" spans="6:7" x14ac:dyDescent="0.3">
      <c r="F4252" s="64">
        <v>4249</v>
      </c>
      <c r="G4252" s="64">
        <f t="shared" ca="1" si="105"/>
        <v>-1.3027995249884714E-2</v>
      </c>
    </row>
    <row r="4253" spans="6:7" x14ac:dyDescent="0.3">
      <c r="F4253" s="64">
        <v>4250</v>
      </c>
      <c r="G4253" s="64">
        <f t="shared" ca="1" si="105"/>
        <v>2.3579022353595672E-2</v>
      </c>
    </row>
    <row r="4254" spans="6:7" x14ac:dyDescent="0.3">
      <c r="F4254" s="64">
        <v>4251</v>
      </c>
      <c r="G4254" s="64">
        <f t="shared" ca="1" si="105"/>
        <v>-2.0276217874284751E-3</v>
      </c>
    </row>
    <row r="4255" spans="6:7" x14ac:dyDescent="0.3">
      <c r="F4255" s="64">
        <v>4252</v>
      </c>
      <c r="G4255" s="64">
        <f t="shared" ca="1" si="105"/>
        <v>-2.4118351178099386E-2</v>
      </c>
    </row>
    <row r="4256" spans="6:7" x14ac:dyDescent="0.3">
      <c r="F4256" s="64">
        <v>4253</v>
      </c>
      <c r="G4256" s="64">
        <f t="shared" ca="1" si="105"/>
        <v>-1.7722882432930472E-2</v>
      </c>
    </row>
    <row r="4257" spans="6:7" x14ac:dyDescent="0.3">
      <c r="F4257" s="64">
        <v>4254</v>
      </c>
      <c r="G4257" s="64">
        <f t="shared" ca="1" si="105"/>
        <v>3.0093807461497239E-3</v>
      </c>
    </row>
    <row r="4258" spans="6:7" x14ac:dyDescent="0.3">
      <c r="F4258" s="64">
        <v>4255</v>
      </c>
      <c r="G4258" s="64">
        <f t="shared" ca="1" si="105"/>
        <v>1.9056168199811312E-2</v>
      </c>
    </row>
    <row r="4259" spans="6:7" x14ac:dyDescent="0.3">
      <c r="F4259" s="64">
        <v>4256</v>
      </c>
      <c r="G4259" s="64">
        <f t="shared" ca="1" si="105"/>
        <v>-1.9704082103043419E-2</v>
      </c>
    </row>
    <row r="4260" spans="6:7" x14ac:dyDescent="0.3">
      <c r="F4260" s="64">
        <v>4257</v>
      </c>
      <c r="G4260" s="64">
        <f t="shared" ca="1" si="105"/>
        <v>8.1618966663953921E-3</v>
      </c>
    </row>
    <row r="4261" spans="6:7" x14ac:dyDescent="0.3">
      <c r="F4261" s="64">
        <v>4258</v>
      </c>
      <c r="G4261" s="64">
        <f t="shared" ca="1" si="105"/>
        <v>2.7067281830709118E-2</v>
      </c>
    </row>
    <row r="4262" spans="6:7" x14ac:dyDescent="0.3">
      <c r="F4262" s="64">
        <v>4259</v>
      </c>
      <c r="G4262" s="64">
        <f t="shared" ca="1" si="105"/>
        <v>-2.817840305903848E-2</v>
      </c>
    </row>
    <row r="4263" spans="6:7" x14ac:dyDescent="0.3">
      <c r="F4263" s="64">
        <v>4260</v>
      </c>
      <c r="G4263" s="64">
        <f t="shared" ca="1" si="105"/>
        <v>1.3435157691914017E-2</v>
      </c>
    </row>
    <row r="4264" spans="6:7" x14ac:dyDescent="0.3">
      <c r="F4264" s="64">
        <v>4261</v>
      </c>
      <c r="G4264" s="64">
        <f t="shared" ca="1" si="105"/>
        <v>1.0602246316810098E-2</v>
      </c>
    </row>
    <row r="4265" spans="6:7" x14ac:dyDescent="0.3">
      <c r="F4265" s="64">
        <v>4262</v>
      </c>
      <c r="G4265" s="64">
        <f t="shared" ca="1" si="105"/>
        <v>-4.5201720890151878E-3</v>
      </c>
    </row>
    <row r="4266" spans="6:7" x14ac:dyDescent="0.3">
      <c r="F4266" s="64">
        <v>4263</v>
      </c>
      <c r="G4266" s="64">
        <f t="shared" ca="1" si="105"/>
        <v>2.4041853741057231E-2</v>
      </c>
    </row>
    <row r="4267" spans="6:7" x14ac:dyDescent="0.3">
      <c r="F4267" s="64">
        <v>4264</v>
      </c>
      <c r="G4267" s="64">
        <f t="shared" ca="1" si="105"/>
        <v>-3.9808003225590381E-3</v>
      </c>
    </row>
    <row r="4268" spans="6:7" x14ac:dyDescent="0.3">
      <c r="F4268" s="64">
        <v>4265</v>
      </c>
      <c r="G4268" s="64">
        <f t="shared" ca="1" si="105"/>
        <v>-5.3048159694526276E-3</v>
      </c>
    </row>
    <row r="4269" spans="6:7" x14ac:dyDescent="0.3">
      <c r="F4269" s="64">
        <v>4266</v>
      </c>
      <c r="G4269" s="64">
        <f t="shared" ca="1" si="105"/>
        <v>8.5959162804710998E-3</v>
      </c>
    </row>
    <row r="4270" spans="6:7" x14ac:dyDescent="0.3">
      <c r="F4270" s="64">
        <v>4267</v>
      </c>
      <c r="G4270" s="64">
        <f t="shared" ca="1" si="105"/>
        <v>-2.2229627830292344E-2</v>
      </c>
    </row>
    <row r="4271" spans="6:7" x14ac:dyDescent="0.3">
      <c r="F4271" s="64">
        <v>4268</v>
      </c>
      <c r="G4271" s="64">
        <f t="shared" ca="1" si="105"/>
        <v>-5.4206975702133639E-3</v>
      </c>
    </row>
    <row r="4272" spans="6:7" x14ac:dyDescent="0.3">
      <c r="F4272" s="64">
        <v>4269</v>
      </c>
      <c r="G4272" s="64">
        <f t="shared" ca="1" si="105"/>
        <v>3.5423856449846572E-3</v>
      </c>
    </row>
    <row r="4273" spans="6:7" x14ac:dyDescent="0.3">
      <c r="F4273" s="64">
        <v>4270</v>
      </c>
      <c r="G4273" s="64">
        <f t="shared" ca="1" si="105"/>
        <v>-7.4621698857111427E-3</v>
      </c>
    </row>
    <row r="4274" spans="6:7" x14ac:dyDescent="0.3">
      <c r="F4274" s="64">
        <v>4271</v>
      </c>
      <c r="G4274" s="64">
        <f t="shared" ca="1" si="105"/>
        <v>3.5856825343284168E-3</v>
      </c>
    </row>
    <row r="4275" spans="6:7" x14ac:dyDescent="0.3">
      <c r="F4275" s="64">
        <v>4272</v>
      </c>
      <c r="G4275" s="64">
        <f t="shared" ca="1" si="105"/>
        <v>-1.2313823055759229E-2</v>
      </c>
    </row>
    <row r="4276" spans="6:7" x14ac:dyDescent="0.3">
      <c r="F4276" s="64">
        <v>4273</v>
      </c>
      <c r="G4276" s="64">
        <f t="shared" ca="1" si="105"/>
        <v>-3.7209973879230751E-2</v>
      </c>
    </row>
    <row r="4277" spans="6:7" x14ac:dyDescent="0.3">
      <c r="F4277" s="64">
        <v>4274</v>
      </c>
      <c r="G4277" s="64">
        <f t="shared" ca="1" si="105"/>
        <v>2.9639627281601438E-2</v>
      </c>
    </row>
    <row r="4278" spans="6:7" x14ac:dyDescent="0.3">
      <c r="F4278" s="64">
        <v>4275</v>
      </c>
      <c r="G4278" s="64">
        <f t="shared" ca="1" si="105"/>
        <v>2.7132512236214622E-2</v>
      </c>
    </row>
    <row r="4279" spans="6:7" x14ac:dyDescent="0.3">
      <c r="F4279" s="64">
        <v>4276</v>
      </c>
      <c r="G4279" s="64">
        <f t="shared" ca="1" si="105"/>
        <v>-9.7211304302489525E-3</v>
      </c>
    </row>
    <row r="4280" spans="6:7" x14ac:dyDescent="0.3">
      <c r="F4280" s="64">
        <v>4277</v>
      </c>
      <c r="G4280" s="64">
        <f t="shared" ca="1" si="105"/>
        <v>1.3578354534945327E-2</v>
      </c>
    </row>
    <row r="4281" spans="6:7" x14ac:dyDescent="0.3">
      <c r="F4281" s="64">
        <v>4278</v>
      </c>
      <c r="G4281" s="64">
        <f t="shared" ca="1" si="105"/>
        <v>1.2129298027227734E-2</v>
      </c>
    </row>
    <row r="4282" spans="6:7" x14ac:dyDescent="0.3">
      <c r="F4282" s="64">
        <v>4279</v>
      </c>
      <c r="G4282" s="64">
        <f t="shared" ca="1" si="105"/>
        <v>-5.2732207276482285E-3</v>
      </c>
    </row>
    <row r="4283" spans="6:7" x14ac:dyDescent="0.3">
      <c r="F4283" s="64">
        <v>4280</v>
      </c>
      <c r="G4283" s="64">
        <f t="shared" ca="1" si="105"/>
        <v>6.1151615052029325E-3</v>
      </c>
    </row>
    <row r="4284" spans="6:7" x14ac:dyDescent="0.3">
      <c r="F4284" s="64">
        <v>4281</v>
      </c>
      <c r="G4284" s="64">
        <f t="shared" ca="1" si="105"/>
        <v>1.4137797369189142E-2</v>
      </c>
    </row>
    <row r="4285" spans="6:7" x14ac:dyDescent="0.3">
      <c r="F4285" s="64">
        <v>4282</v>
      </c>
      <c r="G4285" s="64">
        <f t="shared" ca="1" si="105"/>
        <v>-9.431677094634475E-3</v>
      </c>
    </row>
    <row r="4286" spans="6:7" x14ac:dyDescent="0.3">
      <c r="F4286" s="64">
        <v>4283</v>
      </c>
      <c r="G4286" s="64">
        <f t="shared" ca="1" si="105"/>
        <v>4.2431498653871581E-4</v>
      </c>
    </row>
    <row r="4287" spans="6:7" x14ac:dyDescent="0.3">
      <c r="F4287" s="64">
        <v>4284</v>
      </c>
      <c r="G4287" s="64">
        <f t="shared" ca="1" si="105"/>
        <v>-5.2436034822113042E-3</v>
      </c>
    </row>
    <row r="4288" spans="6:7" x14ac:dyDescent="0.3">
      <c r="F4288" s="64">
        <v>4285</v>
      </c>
      <c r="G4288" s="64">
        <f t="shared" ca="1" si="105"/>
        <v>1.7968349995866779E-2</v>
      </c>
    </row>
    <row r="4289" spans="6:7" x14ac:dyDescent="0.3">
      <c r="F4289" s="64">
        <v>4286</v>
      </c>
      <c r="G4289" s="64">
        <f t="shared" ca="1" si="105"/>
        <v>-1.0254178707715942E-2</v>
      </c>
    </row>
    <row r="4290" spans="6:7" x14ac:dyDescent="0.3">
      <c r="F4290" s="64">
        <v>4287</v>
      </c>
      <c r="G4290" s="64">
        <f t="shared" ca="1" si="105"/>
        <v>-2.1080596825243242E-2</v>
      </c>
    </row>
    <row r="4291" spans="6:7" x14ac:dyDescent="0.3">
      <c r="F4291" s="64">
        <v>4288</v>
      </c>
      <c r="G4291" s="64">
        <f t="shared" ca="1" si="105"/>
        <v>1.3988486268124651E-2</v>
      </c>
    </row>
    <row r="4292" spans="6:7" x14ac:dyDescent="0.3">
      <c r="F4292" s="64">
        <v>4289</v>
      </c>
      <c r="G4292" s="64">
        <f t="shared" ca="1" si="105"/>
        <v>6.6345030999562975E-3</v>
      </c>
    </row>
    <row r="4293" spans="6:7" x14ac:dyDescent="0.3">
      <c r="F4293" s="64">
        <v>4290</v>
      </c>
      <c r="G4293" s="64">
        <f t="shared" ref="G4293:G4356" ca="1" si="106">_xlfn.NORM.INV(RAND(),K$6,K$7)</f>
        <v>1.5711889117519764E-2</v>
      </c>
    </row>
    <row r="4294" spans="6:7" x14ac:dyDescent="0.3">
      <c r="F4294" s="64">
        <v>4291</v>
      </c>
      <c r="G4294" s="64">
        <f t="shared" ca="1" si="106"/>
        <v>3.7828632139514887E-2</v>
      </c>
    </row>
    <row r="4295" spans="6:7" x14ac:dyDescent="0.3">
      <c r="F4295" s="64">
        <v>4292</v>
      </c>
      <c r="G4295" s="64">
        <f t="shared" ca="1" si="106"/>
        <v>-7.2111640163869568E-3</v>
      </c>
    </row>
    <row r="4296" spans="6:7" x14ac:dyDescent="0.3">
      <c r="F4296" s="64">
        <v>4293</v>
      </c>
      <c r="G4296" s="64">
        <f t="shared" ca="1" si="106"/>
        <v>5.2727258892450125E-3</v>
      </c>
    </row>
    <row r="4297" spans="6:7" x14ac:dyDescent="0.3">
      <c r="F4297" s="64">
        <v>4294</v>
      </c>
      <c r="G4297" s="64">
        <f t="shared" ca="1" si="106"/>
        <v>-9.0214756275282439E-3</v>
      </c>
    </row>
    <row r="4298" spans="6:7" x14ac:dyDescent="0.3">
      <c r="F4298" s="64">
        <v>4295</v>
      </c>
      <c r="G4298" s="64">
        <f t="shared" ca="1" si="106"/>
        <v>-2.565225483191233E-2</v>
      </c>
    </row>
    <row r="4299" spans="6:7" x14ac:dyDescent="0.3">
      <c r="F4299" s="64">
        <v>4296</v>
      </c>
      <c r="G4299" s="64">
        <f t="shared" ca="1" si="106"/>
        <v>2.9845682551342101E-3</v>
      </c>
    </row>
    <row r="4300" spans="6:7" x14ac:dyDescent="0.3">
      <c r="F4300" s="64">
        <v>4297</v>
      </c>
      <c r="G4300" s="64">
        <f t="shared" ca="1" si="106"/>
        <v>-1.3229153691757273E-2</v>
      </c>
    </row>
    <row r="4301" spans="6:7" x14ac:dyDescent="0.3">
      <c r="F4301" s="64">
        <v>4298</v>
      </c>
      <c r="G4301" s="64">
        <f t="shared" ca="1" si="106"/>
        <v>1.7248172922221632E-2</v>
      </c>
    </row>
    <row r="4302" spans="6:7" x14ac:dyDescent="0.3">
      <c r="F4302" s="64">
        <v>4299</v>
      </c>
      <c r="G4302" s="64">
        <f t="shared" ca="1" si="106"/>
        <v>-1.0415638257653001E-2</v>
      </c>
    </row>
    <row r="4303" spans="6:7" x14ac:dyDescent="0.3">
      <c r="F4303" s="64">
        <v>4300</v>
      </c>
      <c r="G4303" s="64">
        <f t="shared" ca="1" si="106"/>
        <v>-3.2879000294253211E-2</v>
      </c>
    </row>
    <row r="4304" spans="6:7" x14ac:dyDescent="0.3">
      <c r="F4304" s="64">
        <v>4301</v>
      </c>
      <c r="G4304" s="64">
        <f t="shared" ca="1" si="106"/>
        <v>-2.1706745692253262E-3</v>
      </c>
    </row>
    <row r="4305" spans="6:7" x14ac:dyDescent="0.3">
      <c r="F4305" s="64">
        <v>4302</v>
      </c>
      <c r="G4305" s="64">
        <f t="shared" ca="1" si="106"/>
        <v>-6.8911936587780307E-3</v>
      </c>
    </row>
    <row r="4306" spans="6:7" x14ac:dyDescent="0.3">
      <c r="F4306" s="64">
        <v>4303</v>
      </c>
      <c r="G4306" s="64">
        <f t="shared" ca="1" si="106"/>
        <v>-4.082242447710065E-3</v>
      </c>
    </row>
    <row r="4307" spans="6:7" x14ac:dyDescent="0.3">
      <c r="F4307" s="64">
        <v>4304</v>
      </c>
      <c r="G4307" s="64">
        <f t="shared" ca="1" si="106"/>
        <v>-7.4617313427076983E-3</v>
      </c>
    </row>
    <row r="4308" spans="6:7" x14ac:dyDescent="0.3">
      <c r="F4308" s="64">
        <v>4305</v>
      </c>
      <c r="G4308" s="64">
        <f t="shared" ca="1" si="106"/>
        <v>-3.2382949437800672E-2</v>
      </c>
    </row>
    <row r="4309" spans="6:7" x14ac:dyDescent="0.3">
      <c r="F4309" s="64">
        <v>4306</v>
      </c>
      <c r="G4309" s="64">
        <f t="shared" ca="1" si="106"/>
        <v>-1.4857972781155337E-2</v>
      </c>
    </row>
    <row r="4310" spans="6:7" x14ac:dyDescent="0.3">
      <c r="F4310" s="64">
        <v>4307</v>
      </c>
      <c r="G4310" s="64">
        <f t="shared" ca="1" si="106"/>
        <v>2.5230572009389655E-2</v>
      </c>
    </row>
    <row r="4311" spans="6:7" x14ac:dyDescent="0.3">
      <c r="F4311" s="64">
        <v>4308</v>
      </c>
      <c r="G4311" s="64">
        <f t="shared" ca="1" si="106"/>
        <v>6.1379472785771704E-3</v>
      </c>
    </row>
    <row r="4312" spans="6:7" x14ac:dyDescent="0.3">
      <c r="F4312" s="64">
        <v>4309</v>
      </c>
      <c r="G4312" s="64">
        <f t="shared" ca="1" si="106"/>
        <v>2.9168682568699512E-2</v>
      </c>
    </row>
    <row r="4313" spans="6:7" x14ac:dyDescent="0.3">
      <c r="F4313" s="64">
        <v>4310</v>
      </c>
      <c r="G4313" s="64">
        <f t="shared" ca="1" si="106"/>
        <v>-8.3732074383691766E-3</v>
      </c>
    </row>
    <row r="4314" spans="6:7" x14ac:dyDescent="0.3">
      <c r="F4314" s="64">
        <v>4311</v>
      </c>
      <c r="G4314" s="64">
        <f t="shared" ca="1" si="106"/>
        <v>2.2577713543392615E-2</v>
      </c>
    </row>
    <row r="4315" spans="6:7" x14ac:dyDescent="0.3">
      <c r="F4315" s="64">
        <v>4312</v>
      </c>
      <c r="G4315" s="64">
        <f t="shared" ca="1" si="106"/>
        <v>2.7223526038400794E-2</v>
      </c>
    </row>
    <row r="4316" spans="6:7" x14ac:dyDescent="0.3">
      <c r="F4316" s="64">
        <v>4313</v>
      </c>
      <c r="G4316" s="64">
        <f t="shared" ca="1" si="106"/>
        <v>2.5499115618389932E-2</v>
      </c>
    </row>
    <row r="4317" spans="6:7" x14ac:dyDescent="0.3">
      <c r="F4317" s="64">
        <v>4314</v>
      </c>
      <c r="G4317" s="64">
        <f t="shared" ca="1" si="106"/>
        <v>3.8661549447594895E-2</v>
      </c>
    </row>
    <row r="4318" spans="6:7" x14ac:dyDescent="0.3">
      <c r="F4318" s="64">
        <v>4315</v>
      </c>
      <c r="G4318" s="64">
        <f t="shared" ca="1" si="106"/>
        <v>1.669912161361814E-2</v>
      </c>
    </row>
    <row r="4319" spans="6:7" x14ac:dyDescent="0.3">
      <c r="F4319" s="64">
        <v>4316</v>
      </c>
      <c r="G4319" s="64">
        <f t="shared" ca="1" si="106"/>
        <v>-6.8772140327808227E-3</v>
      </c>
    </row>
    <row r="4320" spans="6:7" x14ac:dyDescent="0.3">
      <c r="F4320" s="64">
        <v>4317</v>
      </c>
      <c r="G4320" s="64">
        <f t="shared" ca="1" si="106"/>
        <v>2.7434411294864479E-2</v>
      </c>
    </row>
    <row r="4321" spans="6:7" x14ac:dyDescent="0.3">
      <c r="F4321" s="64">
        <v>4318</v>
      </c>
      <c r="G4321" s="64">
        <f t="shared" ca="1" si="106"/>
        <v>-2.3797301436301134E-2</v>
      </c>
    </row>
    <row r="4322" spans="6:7" x14ac:dyDescent="0.3">
      <c r="F4322" s="64">
        <v>4319</v>
      </c>
      <c r="G4322" s="64">
        <f t="shared" ca="1" si="106"/>
        <v>1.1125439790653547E-2</v>
      </c>
    </row>
    <row r="4323" spans="6:7" x14ac:dyDescent="0.3">
      <c r="F4323" s="64">
        <v>4320</v>
      </c>
      <c r="G4323" s="64">
        <f t="shared" ca="1" si="106"/>
        <v>7.753464658073618E-3</v>
      </c>
    </row>
    <row r="4324" spans="6:7" x14ac:dyDescent="0.3">
      <c r="F4324" s="64">
        <v>4321</v>
      </c>
      <c r="G4324" s="64">
        <f t="shared" ca="1" si="106"/>
        <v>-2.1879097618012627E-2</v>
      </c>
    </row>
    <row r="4325" spans="6:7" x14ac:dyDescent="0.3">
      <c r="F4325" s="64">
        <v>4322</v>
      </c>
      <c r="G4325" s="64">
        <f t="shared" ca="1" si="106"/>
        <v>-2.9183303848111082E-2</v>
      </c>
    </row>
    <row r="4326" spans="6:7" x14ac:dyDescent="0.3">
      <c r="F4326" s="64">
        <v>4323</v>
      </c>
      <c r="G4326" s="64">
        <f t="shared" ca="1" si="106"/>
        <v>2.845926630859421E-2</v>
      </c>
    </row>
    <row r="4327" spans="6:7" x14ac:dyDescent="0.3">
      <c r="F4327" s="64">
        <v>4324</v>
      </c>
      <c r="G4327" s="64">
        <f t="shared" ca="1" si="106"/>
        <v>1.165426650770154E-2</v>
      </c>
    </row>
    <row r="4328" spans="6:7" x14ac:dyDescent="0.3">
      <c r="F4328" s="64">
        <v>4325</v>
      </c>
      <c r="G4328" s="64">
        <f t="shared" ca="1" si="106"/>
        <v>-1.9452925758292348E-2</v>
      </c>
    </row>
    <row r="4329" spans="6:7" x14ac:dyDescent="0.3">
      <c r="F4329" s="64">
        <v>4326</v>
      </c>
      <c r="G4329" s="64">
        <f t="shared" ca="1" si="106"/>
        <v>-1.6581327203726508E-2</v>
      </c>
    </row>
    <row r="4330" spans="6:7" x14ac:dyDescent="0.3">
      <c r="F4330" s="64">
        <v>4327</v>
      </c>
      <c r="G4330" s="64">
        <f t="shared" ca="1" si="106"/>
        <v>2.1775348009498902E-2</v>
      </c>
    </row>
    <row r="4331" spans="6:7" x14ac:dyDescent="0.3">
      <c r="F4331" s="64">
        <v>4328</v>
      </c>
      <c r="G4331" s="64">
        <f t="shared" ca="1" si="106"/>
        <v>-4.1135148743947332E-3</v>
      </c>
    </row>
    <row r="4332" spans="6:7" x14ac:dyDescent="0.3">
      <c r="F4332" s="64">
        <v>4329</v>
      </c>
      <c r="G4332" s="64">
        <f t="shared" ca="1" si="106"/>
        <v>-1.416138458452376E-2</v>
      </c>
    </row>
    <row r="4333" spans="6:7" x14ac:dyDescent="0.3">
      <c r="F4333" s="64">
        <v>4330</v>
      </c>
      <c r="G4333" s="64">
        <f t="shared" ca="1" si="106"/>
        <v>-1.9636989674317783E-2</v>
      </c>
    </row>
    <row r="4334" spans="6:7" x14ac:dyDescent="0.3">
      <c r="F4334" s="64">
        <v>4331</v>
      </c>
      <c r="G4334" s="64">
        <f t="shared" ca="1" si="106"/>
        <v>3.1438848657088345E-3</v>
      </c>
    </row>
    <row r="4335" spans="6:7" x14ac:dyDescent="0.3">
      <c r="F4335" s="64">
        <v>4332</v>
      </c>
      <c r="G4335" s="64">
        <f t="shared" ca="1" si="106"/>
        <v>-5.737557719215209E-3</v>
      </c>
    </row>
    <row r="4336" spans="6:7" x14ac:dyDescent="0.3">
      <c r="F4336" s="64">
        <v>4333</v>
      </c>
      <c r="G4336" s="64">
        <f t="shared" ca="1" si="106"/>
        <v>2.1555495140278783E-2</v>
      </c>
    </row>
    <row r="4337" spans="6:7" x14ac:dyDescent="0.3">
      <c r="F4337" s="64">
        <v>4334</v>
      </c>
      <c r="G4337" s="64">
        <f t="shared" ca="1" si="106"/>
        <v>2.432875682600863E-2</v>
      </c>
    </row>
    <row r="4338" spans="6:7" x14ac:dyDescent="0.3">
      <c r="F4338" s="64">
        <v>4335</v>
      </c>
      <c r="G4338" s="64">
        <f t="shared" ca="1" si="106"/>
        <v>1.167457295489607E-2</v>
      </c>
    </row>
    <row r="4339" spans="6:7" x14ac:dyDescent="0.3">
      <c r="F4339" s="64">
        <v>4336</v>
      </c>
      <c r="G4339" s="64">
        <f t="shared" ca="1" si="106"/>
        <v>6.8587597907919919E-4</v>
      </c>
    </row>
    <row r="4340" spans="6:7" x14ac:dyDescent="0.3">
      <c r="F4340" s="64">
        <v>4337</v>
      </c>
      <c r="G4340" s="64">
        <f t="shared" ca="1" si="106"/>
        <v>-1.4237312761562896E-2</v>
      </c>
    </row>
    <row r="4341" spans="6:7" x14ac:dyDescent="0.3">
      <c r="F4341" s="64">
        <v>4338</v>
      </c>
      <c r="G4341" s="64">
        <f t="shared" ca="1" si="106"/>
        <v>-2.9709449551056255E-2</v>
      </c>
    </row>
    <row r="4342" spans="6:7" x14ac:dyDescent="0.3">
      <c r="F4342" s="64">
        <v>4339</v>
      </c>
      <c r="G4342" s="64">
        <f t="shared" ca="1" si="106"/>
        <v>4.8312038106278973E-3</v>
      </c>
    </row>
    <row r="4343" spans="6:7" x14ac:dyDescent="0.3">
      <c r="F4343" s="64">
        <v>4340</v>
      </c>
      <c r="G4343" s="64">
        <f t="shared" ca="1" si="106"/>
        <v>-3.2358163392024221E-3</v>
      </c>
    </row>
    <row r="4344" spans="6:7" x14ac:dyDescent="0.3">
      <c r="F4344" s="64">
        <v>4341</v>
      </c>
      <c r="G4344" s="64">
        <f t="shared" ca="1" si="106"/>
        <v>-1.0029632592422733E-2</v>
      </c>
    </row>
    <row r="4345" spans="6:7" x14ac:dyDescent="0.3">
      <c r="F4345" s="64">
        <v>4342</v>
      </c>
      <c r="G4345" s="64">
        <f t="shared" ca="1" si="106"/>
        <v>1.4888887975973183E-3</v>
      </c>
    </row>
    <row r="4346" spans="6:7" x14ac:dyDescent="0.3">
      <c r="F4346" s="64">
        <v>4343</v>
      </c>
      <c r="G4346" s="64">
        <f t="shared" ca="1" si="106"/>
        <v>-3.3745268516696377E-3</v>
      </c>
    </row>
    <row r="4347" spans="6:7" x14ac:dyDescent="0.3">
      <c r="F4347" s="64">
        <v>4344</v>
      </c>
      <c r="G4347" s="64">
        <f t="shared" ca="1" si="106"/>
        <v>4.6067509977308956E-2</v>
      </c>
    </row>
    <row r="4348" spans="6:7" x14ac:dyDescent="0.3">
      <c r="F4348" s="64">
        <v>4345</v>
      </c>
      <c r="G4348" s="64">
        <f t="shared" ca="1" si="106"/>
        <v>1.303610448687445E-2</v>
      </c>
    </row>
    <row r="4349" spans="6:7" x14ac:dyDescent="0.3">
      <c r="F4349" s="64">
        <v>4346</v>
      </c>
      <c r="G4349" s="64">
        <f t="shared" ca="1" si="106"/>
        <v>-2.175922367179866E-2</v>
      </c>
    </row>
    <row r="4350" spans="6:7" x14ac:dyDescent="0.3">
      <c r="F4350" s="64">
        <v>4347</v>
      </c>
      <c r="G4350" s="64">
        <f t="shared" ca="1" si="106"/>
        <v>-9.856708729576568E-3</v>
      </c>
    </row>
    <row r="4351" spans="6:7" x14ac:dyDescent="0.3">
      <c r="F4351" s="64">
        <v>4348</v>
      </c>
      <c r="G4351" s="64">
        <f t="shared" ca="1" si="106"/>
        <v>9.7738143574161388E-3</v>
      </c>
    </row>
    <row r="4352" spans="6:7" x14ac:dyDescent="0.3">
      <c r="F4352" s="64">
        <v>4349</v>
      </c>
      <c r="G4352" s="64">
        <f t="shared" ca="1" si="106"/>
        <v>3.347634826893469E-2</v>
      </c>
    </row>
    <row r="4353" spans="6:7" x14ac:dyDescent="0.3">
      <c r="F4353" s="64">
        <v>4350</v>
      </c>
      <c r="G4353" s="64">
        <f t="shared" ca="1" si="106"/>
        <v>-7.3084058981484953E-3</v>
      </c>
    </row>
    <row r="4354" spans="6:7" x14ac:dyDescent="0.3">
      <c r="F4354" s="64">
        <v>4351</v>
      </c>
      <c r="G4354" s="64">
        <f t="shared" ca="1" si="106"/>
        <v>4.9957002372221539E-2</v>
      </c>
    </row>
    <row r="4355" spans="6:7" x14ac:dyDescent="0.3">
      <c r="F4355" s="64">
        <v>4352</v>
      </c>
      <c r="G4355" s="64">
        <f t="shared" ca="1" si="106"/>
        <v>-2.4217674196389892E-2</v>
      </c>
    </row>
    <row r="4356" spans="6:7" x14ac:dyDescent="0.3">
      <c r="F4356" s="64">
        <v>4353</v>
      </c>
      <c r="G4356" s="64">
        <f t="shared" ca="1" si="106"/>
        <v>6.5215393818955766E-4</v>
      </c>
    </row>
    <row r="4357" spans="6:7" x14ac:dyDescent="0.3">
      <c r="F4357" s="64">
        <v>4354</v>
      </c>
      <c r="G4357" s="64">
        <f t="shared" ref="G4357:G4420" ca="1" si="107">_xlfn.NORM.INV(RAND(),K$6,K$7)</f>
        <v>5.6532912890424865E-3</v>
      </c>
    </row>
    <row r="4358" spans="6:7" x14ac:dyDescent="0.3">
      <c r="F4358" s="64">
        <v>4355</v>
      </c>
      <c r="G4358" s="64">
        <f t="shared" ca="1" si="107"/>
        <v>8.1821525748723631E-3</v>
      </c>
    </row>
    <row r="4359" spans="6:7" x14ac:dyDescent="0.3">
      <c r="F4359" s="64">
        <v>4356</v>
      </c>
      <c r="G4359" s="64">
        <f t="shared" ca="1" si="107"/>
        <v>8.7136145539833364E-3</v>
      </c>
    </row>
    <row r="4360" spans="6:7" x14ac:dyDescent="0.3">
      <c r="F4360" s="64">
        <v>4357</v>
      </c>
      <c r="G4360" s="64">
        <f t="shared" ca="1" si="107"/>
        <v>7.1843891580967295E-3</v>
      </c>
    </row>
    <row r="4361" spans="6:7" x14ac:dyDescent="0.3">
      <c r="F4361" s="64">
        <v>4358</v>
      </c>
      <c r="G4361" s="64">
        <f t="shared" ca="1" si="107"/>
        <v>8.4861330697842772E-4</v>
      </c>
    </row>
    <row r="4362" spans="6:7" x14ac:dyDescent="0.3">
      <c r="F4362" s="64">
        <v>4359</v>
      </c>
      <c r="G4362" s="64">
        <f t="shared" ca="1" si="107"/>
        <v>-4.7245494766469795E-3</v>
      </c>
    </row>
    <row r="4363" spans="6:7" x14ac:dyDescent="0.3">
      <c r="F4363" s="64">
        <v>4360</v>
      </c>
      <c r="G4363" s="64">
        <f t="shared" ca="1" si="107"/>
        <v>1.0703311131129217E-2</v>
      </c>
    </row>
    <row r="4364" spans="6:7" x14ac:dyDescent="0.3">
      <c r="F4364" s="64">
        <v>4361</v>
      </c>
      <c r="G4364" s="64">
        <f t="shared" ca="1" si="107"/>
        <v>-7.5164848550085261E-3</v>
      </c>
    </row>
    <row r="4365" spans="6:7" x14ac:dyDescent="0.3">
      <c r="F4365" s="64">
        <v>4362</v>
      </c>
      <c r="G4365" s="64">
        <f t="shared" ca="1" si="107"/>
        <v>-2.3750801520413159E-2</v>
      </c>
    </row>
    <row r="4366" spans="6:7" x14ac:dyDescent="0.3">
      <c r="F4366" s="64">
        <v>4363</v>
      </c>
      <c r="G4366" s="64">
        <f t="shared" ca="1" si="107"/>
        <v>6.4762030387996708E-3</v>
      </c>
    </row>
    <row r="4367" spans="6:7" x14ac:dyDescent="0.3">
      <c r="F4367" s="64">
        <v>4364</v>
      </c>
      <c r="G4367" s="64">
        <f t="shared" ca="1" si="107"/>
        <v>-2.4457027612868575E-2</v>
      </c>
    </row>
    <row r="4368" spans="6:7" x14ac:dyDescent="0.3">
      <c r="F4368" s="64">
        <v>4365</v>
      </c>
      <c r="G4368" s="64">
        <f t="shared" ca="1" si="107"/>
        <v>1.0234833617303879E-2</v>
      </c>
    </row>
    <row r="4369" spans="6:7" x14ac:dyDescent="0.3">
      <c r="F4369" s="64">
        <v>4366</v>
      </c>
      <c r="G4369" s="64">
        <f t="shared" ca="1" si="107"/>
        <v>9.6493138161421997E-4</v>
      </c>
    </row>
    <row r="4370" spans="6:7" x14ac:dyDescent="0.3">
      <c r="F4370" s="64">
        <v>4367</v>
      </c>
      <c r="G4370" s="64">
        <f t="shared" ca="1" si="107"/>
        <v>8.9634779206763798E-3</v>
      </c>
    </row>
    <row r="4371" spans="6:7" x14ac:dyDescent="0.3">
      <c r="F4371" s="64">
        <v>4368</v>
      </c>
      <c r="G4371" s="64">
        <f t="shared" ca="1" si="107"/>
        <v>1.5535766935914106E-2</v>
      </c>
    </row>
    <row r="4372" spans="6:7" x14ac:dyDescent="0.3">
      <c r="F4372" s="64">
        <v>4369</v>
      </c>
      <c r="G4372" s="64">
        <f t="shared" ca="1" si="107"/>
        <v>1.2114428580620288E-2</v>
      </c>
    </row>
    <row r="4373" spans="6:7" x14ac:dyDescent="0.3">
      <c r="F4373" s="64">
        <v>4370</v>
      </c>
      <c r="G4373" s="64">
        <f t="shared" ca="1" si="107"/>
        <v>-4.5355684980421231E-2</v>
      </c>
    </row>
    <row r="4374" spans="6:7" x14ac:dyDescent="0.3">
      <c r="F4374" s="64">
        <v>4371</v>
      </c>
      <c r="G4374" s="64">
        <f t="shared" ca="1" si="107"/>
        <v>-5.7103558623276124E-3</v>
      </c>
    </row>
    <row r="4375" spans="6:7" x14ac:dyDescent="0.3">
      <c r="F4375" s="64">
        <v>4372</v>
      </c>
      <c r="G4375" s="64">
        <f t="shared" ca="1" si="107"/>
        <v>-1.7428405574101816E-2</v>
      </c>
    </row>
    <row r="4376" spans="6:7" x14ac:dyDescent="0.3">
      <c r="F4376" s="64">
        <v>4373</v>
      </c>
      <c r="G4376" s="64">
        <f t="shared" ca="1" si="107"/>
        <v>-3.03915896891962E-3</v>
      </c>
    </row>
    <row r="4377" spans="6:7" x14ac:dyDescent="0.3">
      <c r="F4377" s="64">
        <v>4374</v>
      </c>
      <c r="G4377" s="64">
        <f t="shared" ca="1" si="107"/>
        <v>1.9624500280335404E-2</v>
      </c>
    </row>
    <row r="4378" spans="6:7" x14ac:dyDescent="0.3">
      <c r="F4378" s="64">
        <v>4375</v>
      </c>
      <c r="G4378" s="64">
        <f t="shared" ca="1" si="107"/>
        <v>-1.1549120242161008E-2</v>
      </c>
    </row>
    <row r="4379" spans="6:7" x14ac:dyDescent="0.3">
      <c r="F4379" s="64">
        <v>4376</v>
      </c>
      <c r="G4379" s="64">
        <f t="shared" ca="1" si="107"/>
        <v>-3.3662866580557865E-3</v>
      </c>
    </row>
    <row r="4380" spans="6:7" x14ac:dyDescent="0.3">
      <c r="F4380" s="64">
        <v>4377</v>
      </c>
      <c r="G4380" s="64">
        <f t="shared" ca="1" si="107"/>
        <v>-3.9557825275408777E-2</v>
      </c>
    </row>
    <row r="4381" spans="6:7" x14ac:dyDescent="0.3">
      <c r="F4381" s="64">
        <v>4378</v>
      </c>
      <c r="G4381" s="64">
        <f t="shared" ca="1" si="107"/>
        <v>3.0755136453887756E-2</v>
      </c>
    </row>
    <row r="4382" spans="6:7" x14ac:dyDescent="0.3">
      <c r="F4382" s="64">
        <v>4379</v>
      </c>
      <c r="G4382" s="64">
        <f t="shared" ca="1" si="107"/>
        <v>-9.3324247141189642E-3</v>
      </c>
    </row>
    <row r="4383" spans="6:7" x14ac:dyDescent="0.3">
      <c r="F4383" s="64">
        <v>4380</v>
      </c>
      <c r="G4383" s="64">
        <f t="shared" ca="1" si="107"/>
        <v>1.313467952194057E-2</v>
      </c>
    </row>
    <row r="4384" spans="6:7" x14ac:dyDescent="0.3">
      <c r="F4384" s="64">
        <v>4381</v>
      </c>
      <c r="G4384" s="64">
        <f t="shared" ca="1" si="107"/>
        <v>7.6552764036273832E-3</v>
      </c>
    </row>
    <row r="4385" spans="6:7" x14ac:dyDescent="0.3">
      <c r="F4385" s="64">
        <v>4382</v>
      </c>
      <c r="G4385" s="64">
        <f t="shared" ca="1" si="107"/>
        <v>6.8064744667308778E-3</v>
      </c>
    </row>
    <row r="4386" spans="6:7" x14ac:dyDescent="0.3">
      <c r="F4386" s="64">
        <v>4383</v>
      </c>
      <c r="G4386" s="64">
        <f t="shared" ca="1" si="107"/>
        <v>-1.9237915654695383E-2</v>
      </c>
    </row>
    <row r="4387" spans="6:7" x14ac:dyDescent="0.3">
      <c r="F4387" s="64">
        <v>4384</v>
      </c>
      <c r="G4387" s="64">
        <f t="shared" ca="1" si="107"/>
        <v>-2.5139194539567936E-2</v>
      </c>
    </row>
    <row r="4388" spans="6:7" x14ac:dyDescent="0.3">
      <c r="F4388" s="64">
        <v>4385</v>
      </c>
      <c r="G4388" s="64">
        <f t="shared" ca="1" si="107"/>
        <v>2.1904090563536795E-2</v>
      </c>
    </row>
    <row r="4389" spans="6:7" x14ac:dyDescent="0.3">
      <c r="F4389" s="64">
        <v>4386</v>
      </c>
      <c r="G4389" s="64">
        <f t="shared" ca="1" si="107"/>
        <v>5.9676088220551099E-3</v>
      </c>
    </row>
    <row r="4390" spans="6:7" x14ac:dyDescent="0.3">
      <c r="F4390" s="64">
        <v>4387</v>
      </c>
      <c r="G4390" s="64">
        <f t="shared" ca="1" si="107"/>
        <v>2.9841670711473672E-2</v>
      </c>
    </row>
    <row r="4391" spans="6:7" x14ac:dyDescent="0.3">
      <c r="F4391" s="64">
        <v>4388</v>
      </c>
      <c r="G4391" s="64">
        <f t="shared" ca="1" si="107"/>
        <v>1.510706577559426E-2</v>
      </c>
    </row>
    <row r="4392" spans="6:7" x14ac:dyDescent="0.3">
      <c r="F4392" s="64">
        <v>4389</v>
      </c>
      <c r="G4392" s="64">
        <f t="shared" ca="1" si="107"/>
        <v>1.8216200490999788E-3</v>
      </c>
    </row>
    <row r="4393" spans="6:7" x14ac:dyDescent="0.3">
      <c r="F4393" s="64">
        <v>4390</v>
      </c>
      <c r="G4393" s="64">
        <f t="shared" ca="1" si="107"/>
        <v>3.1746042418752647E-3</v>
      </c>
    </row>
    <row r="4394" spans="6:7" x14ac:dyDescent="0.3">
      <c r="F4394" s="64">
        <v>4391</v>
      </c>
      <c r="G4394" s="64">
        <f t="shared" ca="1" si="107"/>
        <v>-3.3250931464682013E-2</v>
      </c>
    </row>
    <row r="4395" spans="6:7" x14ac:dyDescent="0.3">
      <c r="F4395" s="64">
        <v>4392</v>
      </c>
      <c r="G4395" s="64">
        <f t="shared" ca="1" si="107"/>
        <v>-1.9955459201592227E-3</v>
      </c>
    </row>
    <row r="4396" spans="6:7" x14ac:dyDescent="0.3">
      <c r="F4396" s="64">
        <v>4393</v>
      </c>
      <c r="G4396" s="64">
        <f t="shared" ca="1" si="107"/>
        <v>-2.2939620124317647E-2</v>
      </c>
    </row>
    <row r="4397" spans="6:7" x14ac:dyDescent="0.3">
      <c r="F4397" s="64">
        <v>4394</v>
      </c>
      <c r="G4397" s="64">
        <f t="shared" ca="1" si="107"/>
        <v>-1.6563105736446877E-2</v>
      </c>
    </row>
    <row r="4398" spans="6:7" x14ac:dyDescent="0.3">
      <c r="F4398" s="64">
        <v>4395</v>
      </c>
      <c r="G4398" s="64">
        <f t="shared" ca="1" si="107"/>
        <v>1.9837615898210079E-2</v>
      </c>
    </row>
    <row r="4399" spans="6:7" x14ac:dyDescent="0.3">
      <c r="F4399" s="64">
        <v>4396</v>
      </c>
      <c r="G4399" s="64">
        <f t="shared" ca="1" si="107"/>
        <v>5.9293326605206354E-3</v>
      </c>
    </row>
    <row r="4400" spans="6:7" x14ac:dyDescent="0.3">
      <c r="F4400" s="64">
        <v>4397</v>
      </c>
      <c r="G4400" s="64">
        <f t="shared" ca="1" si="107"/>
        <v>4.1119072404520972E-2</v>
      </c>
    </row>
    <row r="4401" spans="6:7" x14ac:dyDescent="0.3">
      <c r="F4401" s="64">
        <v>4398</v>
      </c>
      <c r="G4401" s="64">
        <f t="shared" ca="1" si="107"/>
        <v>1.8447329165723864E-2</v>
      </c>
    </row>
    <row r="4402" spans="6:7" x14ac:dyDescent="0.3">
      <c r="F4402" s="64">
        <v>4399</v>
      </c>
      <c r="G4402" s="64">
        <f t="shared" ca="1" si="107"/>
        <v>1.3887854622409967E-2</v>
      </c>
    </row>
    <row r="4403" spans="6:7" x14ac:dyDescent="0.3">
      <c r="F4403" s="64">
        <v>4400</v>
      </c>
      <c r="G4403" s="64">
        <f t="shared" ca="1" si="107"/>
        <v>-6.0198989765515923E-3</v>
      </c>
    </row>
    <row r="4404" spans="6:7" x14ac:dyDescent="0.3">
      <c r="F4404" s="64">
        <v>4401</v>
      </c>
      <c r="G4404" s="64">
        <f t="shared" ca="1" si="107"/>
        <v>4.2793106613380719E-2</v>
      </c>
    </row>
    <row r="4405" spans="6:7" x14ac:dyDescent="0.3">
      <c r="F4405" s="64">
        <v>4402</v>
      </c>
      <c r="G4405" s="64">
        <f t="shared" ca="1" si="107"/>
        <v>-7.6097757703347257E-3</v>
      </c>
    </row>
    <row r="4406" spans="6:7" x14ac:dyDescent="0.3">
      <c r="F4406" s="64">
        <v>4403</v>
      </c>
      <c r="G4406" s="64">
        <f t="shared" ca="1" si="107"/>
        <v>-1.7324547037314178E-3</v>
      </c>
    </row>
    <row r="4407" spans="6:7" x14ac:dyDescent="0.3">
      <c r="F4407" s="64">
        <v>4404</v>
      </c>
      <c r="G4407" s="64">
        <f t="shared" ca="1" si="107"/>
        <v>-2.160308076555497E-2</v>
      </c>
    </row>
    <row r="4408" spans="6:7" x14ac:dyDescent="0.3">
      <c r="F4408" s="64">
        <v>4405</v>
      </c>
      <c r="G4408" s="64">
        <f t="shared" ca="1" si="107"/>
        <v>-1.1158834347226561E-2</v>
      </c>
    </row>
    <row r="4409" spans="6:7" x14ac:dyDescent="0.3">
      <c r="F4409" s="64">
        <v>4406</v>
      </c>
      <c r="G4409" s="64">
        <f t="shared" ca="1" si="107"/>
        <v>-3.8781128275750731E-3</v>
      </c>
    </row>
    <row r="4410" spans="6:7" x14ac:dyDescent="0.3">
      <c r="F4410" s="64">
        <v>4407</v>
      </c>
      <c r="G4410" s="64">
        <f t="shared" ca="1" si="107"/>
        <v>-1.0837711659054717E-2</v>
      </c>
    </row>
    <row r="4411" spans="6:7" x14ac:dyDescent="0.3">
      <c r="F4411" s="64">
        <v>4408</v>
      </c>
      <c r="G4411" s="64">
        <f t="shared" ca="1" si="107"/>
        <v>1.8804257032293166E-2</v>
      </c>
    </row>
    <row r="4412" spans="6:7" x14ac:dyDescent="0.3">
      <c r="F4412" s="64">
        <v>4409</v>
      </c>
      <c r="G4412" s="64">
        <f t="shared" ca="1" si="107"/>
        <v>-3.6264771381219101E-3</v>
      </c>
    </row>
    <row r="4413" spans="6:7" x14ac:dyDescent="0.3">
      <c r="F4413" s="64">
        <v>4410</v>
      </c>
      <c r="G4413" s="64">
        <f t="shared" ca="1" si="107"/>
        <v>-7.5901249671162709E-3</v>
      </c>
    </row>
    <row r="4414" spans="6:7" x14ac:dyDescent="0.3">
      <c r="F4414" s="64">
        <v>4411</v>
      </c>
      <c r="G4414" s="64">
        <f t="shared" ca="1" si="107"/>
        <v>-1.09624850581521E-2</v>
      </c>
    </row>
    <row r="4415" spans="6:7" x14ac:dyDescent="0.3">
      <c r="F4415" s="64">
        <v>4412</v>
      </c>
      <c r="G4415" s="64">
        <f t="shared" ca="1" si="107"/>
        <v>1.1452065635685153E-2</v>
      </c>
    </row>
    <row r="4416" spans="6:7" x14ac:dyDescent="0.3">
      <c r="F4416" s="64">
        <v>4413</v>
      </c>
      <c r="G4416" s="64">
        <f t="shared" ca="1" si="107"/>
        <v>-1.4965397618353219E-2</v>
      </c>
    </row>
    <row r="4417" spans="6:7" x14ac:dyDescent="0.3">
      <c r="F4417" s="64">
        <v>4414</v>
      </c>
      <c r="G4417" s="64">
        <f t="shared" ca="1" si="107"/>
        <v>2.4777160958596961E-3</v>
      </c>
    </row>
    <row r="4418" spans="6:7" x14ac:dyDescent="0.3">
      <c r="F4418" s="64">
        <v>4415</v>
      </c>
      <c r="G4418" s="64">
        <f t="shared" ca="1" si="107"/>
        <v>-1.2523392039624588E-2</v>
      </c>
    </row>
    <row r="4419" spans="6:7" x14ac:dyDescent="0.3">
      <c r="F4419" s="64">
        <v>4416</v>
      </c>
      <c r="G4419" s="64">
        <f t="shared" ca="1" si="107"/>
        <v>9.3942480617257504E-3</v>
      </c>
    </row>
    <row r="4420" spans="6:7" x14ac:dyDescent="0.3">
      <c r="F4420" s="64">
        <v>4417</v>
      </c>
      <c r="G4420" s="64">
        <f t="shared" ca="1" si="107"/>
        <v>-2.6419841010085411E-2</v>
      </c>
    </row>
    <row r="4421" spans="6:7" x14ac:dyDescent="0.3">
      <c r="F4421" s="64">
        <v>4418</v>
      </c>
      <c r="G4421" s="64">
        <f t="shared" ref="G4421:G4484" ca="1" si="108">_xlfn.NORM.INV(RAND(),K$6,K$7)</f>
        <v>-1.6269387564185445E-2</v>
      </c>
    </row>
    <row r="4422" spans="6:7" x14ac:dyDescent="0.3">
      <c r="F4422" s="64">
        <v>4419</v>
      </c>
      <c r="G4422" s="64">
        <f t="shared" ca="1" si="108"/>
        <v>1.5336569883490888E-2</v>
      </c>
    </row>
    <row r="4423" spans="6:7" x14ac:dyDescent="0.3">
      <c r="F4423" s="64">
        <v>4420</v>
      </c>
      <c r="G4423" s="64">
        <f t="shared" ca="1" si="108"/>
        <v>-7.3288564799810583E-3</v>
      </c>
    </row>
    <row r="4424" spans="6:7" x14ac:dyDescent="0.3">
      <c r="F4424" s="64">
        <v>4421</v>
      </c>
      <c r="G4424" s="64">
        <f t="shared" ca="1" si="108"/>
        <v>-1.979528383242498E-2</v>
      </c>
    </row>
    <row r="4425" spans="6:7" x14ac:dyDescent="0.3">
      <c r="F4425" s="64">
        <v>4422</v>
      </c>
      <c r="G4425" s="64">
        <f t="shared" ca="1" si="108"/>
        <v>3.1919337786061937E-2</v>
      </c>
    </row>
    <row r="4426" spans="6:7" x14ac:dyDescent="0.3">
      <c r="F4426" s="64">
        <v>4423</v>
      </c>
      <c r="G4426" s="64">
        <f t="shared" ca="1" si="108"/>
        <v>5.7388515570458076E-3</v>
      </c>
    </row>
    <row r="4427" spans="6:7" x14ac:dyDescent="0.3">
      <c r="F4427" s="64">
        <v>4424</v>
      </c>
      <c r="G4427" s="64">
        <f t="shared" ca="1" si="108"/>
        <v>2.9778003513901551E-2</v>
      </c>
    </row>
    <row r="4428" spans="6:7" x14ac:dyDescent="0.3">
      <c r="F4428" s="64">
        <v>4425</v>
      </c>
      <c r="G4428" s="64">
        <f t="shared" ca="1" si="108"/>
        <v>3.0071157538038691E-2</v>
      </c>
    </row>
    <row r="4429" spans="6:7" x14ac:dyDescent="0.3">
      <c r="F4429" s="64">
        <v>4426</v>
      </c>
      <c r="G4429" s="64">
        <f t="shared" ca="1" si="108"/>
        <v>-7.183922201042069E-3</v>
      </c>
    </row>
    <row r="4430" spans="6:7" x14ac:dyDescent="0.3">
      <c r="F4430" s="64">
        <v>4427</v>
      </c>
      <c r="G4430" s="64">
        <f t="shared" ca="1" si="108"/>
        <v>-1.5062124282904932E-3</v>
      </c>
    </row>
    <row r="4431" spans="6:7" x14ac:dyDescent="0.3">
      <c r="F4431" s="64">
        <v>4428</v>
      </c>
      <c r="G4431" s="64">
        <f t="shared" ca="1" si="108"/>
        <v>-2.9678076924316135E-2</v>
      </c>
    </row>
    <row r="4432" spans="6:7" x14ac:dyDescent="0.3">
      <c r="F4432" s="64">
        <v>4429</v>
      </c>
      <c r="G4432" s="64">
        <f t="shared" ca="1" si="108"/>
        <v>-7.4078587977338111E-3</v>
      </c>
    </row>
    <row r="4433" spans="6:7" x14ac:dyDescent="0.3">
      <c r="F4433" s="64">
        <v>4430</v>
      </c>
      <c r="G4433" s="64">
        <f t="shared" ca="1" si="108"/>
        <v>-5.0072240951844899E-3</v>
      </c>
    </row>
    <row r="4434" spans="6:7" x14ac:dyDescent="0.3">
      <c r="F4434" s="64">
        <v>4431</v>
      </c>
      <c r="G4434" s="64">
        <f t="shared" ca="1" si="108"/>
        <v>2.0897069581218312E-3</v>
      </c>
    </row>
    <row r="4435" spans="6:7" x14ac:dyDescent="0.3">
      <c r="F4435" s="64">
        <v>4432</v>
      </c>
      <c r="G4435" s="64">
        <f t="shared" ca="1" si="108"/>
        <v>-1.7344406354256228E-2</v>
      </c>
    </row>
    <row r="4436" spans="6:7" x14ac:dyDescent="0.3">
      <c r="F4436" s="64">
        <v>4433</v>
      </c>
      <c r="G4436" s="64">
        <f t="shared" ca="1" si="108"/>
        <v>1.7257984344252698E-3</v>
      </c>
    </row>
    <row r="4437" spans="6:7" x14ac:dyDescent="0.3">
      <c r="F4437" s="64">
        <v>4434</v>
      </c>
      <c r="G4437" s="64">
        <f t="shared" ca="1" si="108"/>
        <v>-3.0984589014514735E-3</v>
      </c>
    </row>
    <row r="4438" spans="6:7" x14ac:dyDescent="0.3">
      <c r="F4438" s="64">
        <v>4435</v>
      </c>
      <c r="G4438" s="64">
        <f t="shared" ca="1" si="108"/>
        <v>1.3186011922951987E-2</v>
      </c>
    </row>
    <row r="4439" spans="6:7" x14ac:dyDescent="0.3">
      <c r="F4439" s="64">
        <v>4436</v>
      </c>
      <c r="G4439" s="64">
        <f t="shared" ca="1" si="108"/>
        <v>-8.0196017958421763E-3</v>
      </c>
    </row>
    <row r="4440" spans="6:7" x14ac:dyDescent="0.3">
      <c r="F4440" s="64">
        <v>4437</v>
      </c>
      <c r="G4440" s="64">
        <f t="shared" ca="1" si="108"/>
        <v>-3.2924586892171094E-3</v>
      </c>
    </row>
    <row r="4441" spans="6:7" x14ac:dyDescent="0.3">
      <c r="F4441" s="64">
        <v>4438</v>
      </c>
      <c r="G4441" s="64">
        <f t="shared" ca="1" si="108"/>
        <v>-1.6290397347785883E-3</v>
      </c>
    </row>
    <row r="4442" spans="6:7" x14ac:dyDescent="0.3">
      <c r="F4442" s="64">
        <v>4439</v>
      </c>
      <c r="G4442" s="64">
        <f t="shared" ca="1" si="108"/>
        <v>-2.9317521744993457E-3</v>
      </c>
    </row>
    <row r="4443" spans="6:7" x14ac:dyDescent="0.3">
      <c r="F4443" s="64">
        <v>4440</v>
      </c>
      <c r="G4443" s="64">
        <f t="shared" ca="1" si="108"/>
        <v>7.0704697239759263E-3</v>
      </c>
    </row>
    <row r="4444" spans="6:7" x14ac:dyDescent="0.3">
      <c r="F4444" s="64">
        <v>4441</v>
      </c>
      <c r="G4444" s="64">
        <f t="shared" ca="1" si="108"/>
        <v>1.8023118361258444E-2</v>
      </c>
    </row>
    <row r="4445" spans="6:7" x14ac:dyDescent="0.3">
      <c r="F4445" s="64">
        <v>4442</v>
      </c>
      <c r="G4445" s="64">
        <f t="shared" ca="1" si="108"/>
        <v>1.210810479698916E-2</v>
      </c>
    </row>
    <row r="4446" spans="6:7" x14ac:dyDescent="0.3">
      <c r="F4446" s="64">
        <v>4443</v>
      </c>
      <c r="G4446" s="64">
        <f t="shared" ca="1" si="108"/>
        <v>-1.2461662556359082E-2</v>
      </c>
    </row>
    <row r="4447" spans="6:7" x14ac:dyDescent="0.3">
      <c r="F4447" s="64">
        <v>4444</v>
      </c>
      <c r="G4447" s="64">
        <f t="shared" ca="1" si="108"/>
        <v>-5.2340433126530431E-3</v>
      </c>
    </row>
    <row r="4448" spans="6:7" x14ac:dyDescent="0.3">
      <c r="F4448" s="64">
        <v>4445</v>
      </c>
      <c r="G4448" s="64">
        <f t="shared" ca="1" si="108"/>
        <v>-1.4366922878025365E-2</v>
      </c>
    </row>
    <row r="4449" spans="6:7" x14ac:dyDescent="0.3">
      <c r="F4449" s="64">
        <v>4446</v>
      </c>
      <c r="G4449" s="64">
        <f t="shared" ca="1" si="108"/>
        <v>-1.3657817678088116E-2</v>
      </c>
    </row>
    <row r="4450" spans="6:7" x14ac:dyDescent="0.3">
      <c r="F4450" s="64">
        <v>4447</v>
      </c>
      <c r="G4450" s="64">
        <f t="shared" ca="1" si="108"/>
        <v>6.2835148757599789E-4</v>
      </c>
    </row>
    <row r="4451" spans="6:7" x14ac:dyDescent="0.3">
      <c r="F4451" s="64">
        <v>4448</v>
      </c>
      <c r="G4451" s="64">
        <f t="shared" ca="1" si="108"/>
        <v>1.7344141869684027E-2</v>
      </c>
    </row>
    <row r="4452" spans="6:7" x14ac:dyDescent="0.3">
      <c r="F4452" s="64">
        <v>4449</v>
      </c>
      <c r="G4452" s="64">
        <f t="shared" ca="1" si="108"/>
        <v>2.4463467462812583E-2</v>
      </c>
    </row>
    <row r="4453" spans="6:7" x14ac:dyDescent="0.3">
      <c r="F4453" s="64">
        <v>4450</v>
      </c>
      <c r="G4453" s="64">
        <f t="shared" ca="1" si="108"/>
        <v>-1.8186158561472106E-2</v>
      </c>
    </row>
    <row r="4454" spans="6:7" x14ac:dyDescent="0.3">
      <c r="F4454" s="64">
        <v>4451</v>
      </c>
      <c r="G4454" s="64">
        <f t="shared" ca="1" si="108"/>
        <v>-1.9995481206130691E-2</v>
      </c>
    </row>
    <row r="4455" spans="6:7" x14ac:dyDescent="0.3">
      <c r="F4455" s="64">
        <v>4452</v>
      </c>
      <c r="G4455" s="64">
        <f t="shared" ca="1" si="108"/>
        <v>-2.5497035540163214E-2</v>
      </c>
    </row>
    <row r="4456" spans="6:7" x14ac:dyDescent="0.3">
      <c r="F4456" s="64">
        <v>4453</v>
      </c>
      <c r="G4456" s="64">
        <f t="shared" ca="1" si="108"/>
        <v>-2.6156694820585413E-2</v>
      </c>
    </row>
    <row r="4457" spans="6:7" x14ac:dyDescent="0.3">
      <c r="F4457" s="64">
        <v>4454</v>
      </c>
      <c r="G4457" s="64">
        <f t="shared" ca="1" si="108"/>
        <v>-1.3528973192493531E-2</v>
      </c>
    </row>
    <row r="4458" spans="6:7" x14ac:dyDescent="0.3">
      <c r="F4458" s="64">
        <v>4455</v>
      </c>
      <c r="G4458" s="64">
        <f t="shared" ca="1" si="108"/>
        <v>-1.222816779152143E-2</v>
      </c>
    </row>
    <row r="4459" spans="6:7" x14ac:dyDescent="0.3">
      <c r="F4459" s="64">
        <v>4456</v>
      </c>
      <c r="G4459" s="64">
        <f t="shared" ca="1" si="108"/>
        <v>-4.0609292896107665E-2</v>
      </c>
    </row>
    <row r="4460" spans="6:7" x14ac:dyDescent="0.3">
      <c r="F4460" s="64">
        <v>4457</v>
      </c>
      <c r="G4460" s="64">
        <f t="shared" ca="1" si="108"/>
        <v>-4.2158859031285037E-2</v>
      </c>
    </row>
    <row r="4461" spans="6:7" x14ac:dyDescent="0.3">
      <c r="F4461" s="64">
        <v>4458</v>
      </c>
      <c r="G4461" s="64">
        <f t="shared" ca="1" si="108"/>
        <v>-6.4210781541435176E-5</v>
      </c>
    </row>
    <row r="4462" spans="6:7" x14ac:dyDescent="0.3">
      <c r="F4462" s="64">
        <v>4459</v>
      </c>
      <c r="G4462" s="64">
        <f t="shared" ca="1" si="108"/>
        <v>2.7983116634172231E-2</v>
      </c>
    </row>
    <row r="4463" spans="6:7" x14ac:dyDescent="0.3">
      <c r="F4463" s="64">
        <v>4460</v>
      </c>
      <c r="G4463" s="64">
        <f t="shared" ca="1" si="108"/>
        <v>9.4146416596023897E-3</v>
      </c>
    </row>
    <row r="4464" spans="6:7" x14ac:dyDescent="0.3">
      <c r="F4464" s="64">
        <v>4461</v>
      </c>
      <c r="G4464" s="64">
        <f t="shared" ca="1" si="108"/>
        <v>-2.9637692474500668E-2</v>
      </c>
    </row>
    <row r="4465" spans="6:7" x14ac:dyDescent="0.3">
      <c r="F4465" s="64">
        <v>4462</v>
      </c>
      <c r="G4465" s="64">
        <f t="shared" ca="1" si="108"/>
        <v>1.3286546982247925E-2</v>
      </c>
    </row>
    <row r="4466" spans="6:7" x14ac:dyDescent="0.3">
      <c r="F4466" s="64">
        <v>4463</v>
      </c>
      <c r="G4466" s="64">
        <f t="shared" ca="1" si="108"/>
        <v>-1.1519572294546626E-3</v>
      </c>
    </row>
    <row r="4467" spans="6:7" x14ac:dyDescent="0.3">
      <c r="F4467" s="64">
        <v>4464</v>
      </c>
      <c r="G4467" s="64">
        <f t="shared" ca="1" si="108"/>
        <v>-3.7182703326484644E-3</v>
      </c>
    </row>
    <row r="4468" spans="6:7" x14ac:dyDescent="0.3">
      <c r="F4468" s="64">
        <v>4465</v>
      </c>
      <c r="G4468" s="64">
        <f t="shared" ca="1" si="108"/>
        <v>-2.8175373437848476E-2</v>
      </c>
    </row>
    <row r="4469" spans="6:7" x14ac:dyDescent="0.3">
      <c r="F4469" s="64">
        <v>4466</v>
      </c>
      <c r="G4469" s="64">
        <f t="shared" ca="1" si="108"/>
        <v>3.4245397714745742E-3</v>
      </c>
    </row>
    <row r="4470" spans="6:7" x14ac:dyDescent="0.3">
      <c r="F4470" s="64">
        <v>4467</v>
      </c>
      <c r="G4470" s="64">
        <f t="shared" ca="1" si="108"/>
        <v>3.1710279965275474E-3</v>
      </c>
    </row>
    <row r="4471" spans="6:7" x14ac:dyDescent="0.3">
      <c r="F4471" s="64">
        <v>4468</v>
      </c>
      <c r="G4471" s="64">
        <f t="shared" ca="1" si="108"/>
        <v>-1.0078503633736568E-2</v>
      </c>
    </row>
    <row r="4472" spans="6:7" x14ac:dyDescent="0.3">
      <c r="F4472" s="64">
        <v>4469</v>
      </c>
      <c r="G4472" s="64">
        <f t="shared" ca="1" si="108"/>
        <v>4.5145094020156248E-2</v>
      </c>
    </row>
    <row r="4473" spans="6:7" x14ac:dyDescent="0.3">
      <c r="F4473" s="64">
        <v>4470</v>
      </c>
      <c r="G4473" s="64">
        <f t="shared" ca="1" si="108"/>
        <v>-8.9085735340583734E-3</v>
      </c>
    </row>
    <row r="4474" spans="6:7" x14ac:dyDescent="0.3">
      <c r="F4474" s="64">
        <v>4471</v>
      </c>
      <c r="G4474" s="64">
        <f t="shared" ca="1" si="108"/>
        <v>-9.2918961784571492E-3</v>
      </c>
    </row>
    <row r="4475" spans="6:7" x14ac:dyDescent="0.3">
      <c r="F4475" s="64">
        <v>4472</v>
      </c>
      <c r="G4475" s="64">
        <f t="shared" ca="1" si="108"/>
        <v>-5.8273204656087631E-2</v>
      </c>
    </row>
    <row r="4476" spans="6:7" x14ac:dyDescent="0.3">
      <c r="F4476" s="64">
        <v>4473</v>
      </c>
      <c r="G4476" s="64">
        <f t="shared" ca="1" si="108"/>
        <v>5.0543171531297277E-3</v>
      </c>
    </row>
    <row r="4477" spans="6:7" x14ac:dyDescent="0.3">
      <c r="F4477" s="64">
        <v>4474</v>
      </c>
      <c r="G4477" s="64">
        <f t="shared" ca="1" si="108"/>
        <v>-9.6302002725638016E-3</v>
      </c>
    </row>
    <row r="4478" spans="6:7" x14ac:dyDescent="0.3">
      <c r="F4478" s="64">
        <v>4475</v>
      </c>
      <c r="G4478" s="64">
        <f t="shared" ca="1" si="108"/>
        <v>-3.3939851845144788E-2</v>
      </c>
    </row>
    <row r="4479" spans="6:7" x14ac:dyDescent="0.3">
      <c r="F4479" s="64">
        <v>4476</v>
      </c>
      <c r="G4479" s="64">
        <f t="shared" ca="1" si="108"/>
        <v>-1.2832439245801602E-2</v>
      </c>
    </row>
    <row r="4480" spans="6:7" x14ac:dyDescent="0.3">
      <c r="F4480" s="64">
        <v>4477</v>
      </c>
      <c r="G4480" s="64">
        <f t="shared" ca="1" si="108"/>
        <v>2.7896697381729126E-2</v>
      </c>
    </row>
    <row r="4481" spans="6:7" x14ac:dyDescent="0.3">
      <c r="F4481" s="64">
        <v>4478</v>
      </c>
      <c r="G4481" s="64">
        <f t="shared" ca="1" si="108"/>
        <v>-3.4979423686472305E-2</v>
      </c>
    </row>
    <row r="4482" spans="6:7" x14ac:dyDescent="0.3">
      <c r="F4482" s="64">
        <v>4479</v>
      </c>
      <c r="G4482" s="64">
        <f t="shared" ca="1" si="108"/>
        <v>-1.9038224406670481E-2</v>
      </c>
    </row>
    <row r="4483" spans="6:7" x14ac:dyDescent="0.3">
      <c r="F4483" s="64">
        <v>4480</v>
      </c>
      <c r="G4483" s="64">
        <f t="shared" ca="1" si="108"/>
        <v>-3.581214322516576E-3</v>
      </c>
    </row>
    <row r="4484" spans="6:7" x14ac:dyDescent="0.3">
      <c r="F4484" s="64">
        <v>4481</v>
      </c>
      <c r="G4484" s="64">
        <f t="shared" ca="1" si="108"/>
        <v>-7.1561853744556338E-3</v>
      </c>
    </row>
    <row r="4485" spans="6:7" x14ac:dyDescent="0.3">
      <c r="F4485" s="64">
        <v>4482</v>
      </c>
      <c r="G4485" s="64">
        <f t="shared" ref="G4485:G4548" ca="1" si="109">_xlfn.NORM.INV(RAND(),K$6,K$7)</f>
        <v>9.3427396902780475E-3</v>
      </c>
    </row>
    <row r="4486" spans="6:7" x14ac:dyDescent="0.3">
      <c r="F4486" s="64">
        <v>4483</v>
      </c>
      <c r="G4486" s="64">
        <f t="shared" ca="1" si="109"/>
        <v>-7.6090348878778188E-3</v>
      </c>
    </row>
    <row r="4487" spans="6:7" x14ac:dyDescent="0.3">
      <c r="F4487" s="64">
        <v>4484</v>
      </c>
      <c r="G4487" s="64">
        <f t="shared" ca="1" si="109"/>
        <v>-1.2203789467544241E-2</v>
      </c>
    </row>
    <row r="4488" spans="6:7" x14ac:dyDescent="0.3">
      <c r="F4488" s="64">
        <v>4485</v>
      </c>
      <c r="G4488" s="64">
        <f t="shared" ca="1" si="109"/>
        <v>1.6838698056969303E-3</v>
      </c>
    </row>
    <row r="4489" spans="6:7" x14ac:dyDescent="0.3">
      <c r="F4489" s="64">
        <v>4486</v>
      </c>
      <c r="G4489" s="64">
        <f t="shared" ca="1" si="109"/>
        <v>-1.1066564796757545E-2</v>
      </c>
    </row>
    <row r="4490" spans="6:7" x14ac:dyDescent="0.3">
      <c r="F4490" s="64">
        <v>4487</v>
      </c>
      <c r="G4490" s="64">
        <f t="shared" ca="1" si="109"/>
        <v>1.7496148093230726E-3</v>
      </c>
    </row>
    <row r="4491" spans="6:7" x14ac:dyDescent="0.3">
      <c r="F4491" s="64">
        <v>4488</v>
      </c>
      <c r="G4491" s="64">
        <f t="shared" ca="1" si="109"/>
        <v>-7.3546029955134339E-3</v>
      </c>
    </row>
    <row r="4492" spans="6:7" x14ac:dyDescent="0.3">
      <c r="F4492" s="64">
        <v>4489</v>
      </c>
      <c r="G4492" s="64">
        <f t="shared" ca="1" si="109"/>
        <v>4.05647288190496E-2</v>
      </c>
    </row>
    <row r="4493" spans="6:7" x14ac:dyDescent="0.3">
      <c r="F4493" s="64">
        <v>4490</v>
      </c>
      <c r="G4493" s="64">
        <f t="shared" ca="1" si="109"/>
        <v>-2.655440630156488E-2</v>
      </c>
    </row>
    <row r="4494" spans="6:7" x14ac:dyDescent="0.3">
      <c r="F4494" s="64">
        <v>4491</v>
      </c>
      <c r="G4494" s="64">
        <f t="shared" ca="1" si="109"/>
        <v>-2.3388509902616934E-2</v>
      </c>
    </row>
    <row r="4495" spans="6:7" x14ac:dyDescent="0.3">
      <c r="F4495" s="64">
        <v>4492</v>
      </c>
      <c r="G4495" s="64">
        <f t="shared" ca="1" si="109"/>
        <v>2.7101690591875054E-2</v>
      </c>
    </row>
    <row r="4496" spans="6:7" x14ac:dyDescent="0.3">
      <c r="F4496" s="64">
        <v>4493</v>
      </c>
      <c r="G4496" s="64">
        <f t="shared" ca="1" si="109"/>
        <v>2.6233518089786148E-2</v>
      </c>
    </row>
    <row r="4497" spans="6:7" x14ac:dyDescent="0.3">
      <c r="F4497" s="64">
        <v>4494</v>
      </c>
      <c r="G4497" s="64">
        <f t="shared" ca="1" si="109"/>
        <v>-1.8110096839661693E-2</v>
      </c>
    </row>
    <row r="4498" spans="6:7" x14ac:dyDescent="0.3">
      <c r="F4498" s="64">
        <v>4495</v>
      </c>
      <c r="G4498" s="64">
        <f t="shared" ca="1" si="109"/>
        <v>8.9310302023236886E-3</v>
      </c>
    </row>
    <row r="4499" spans="6:7" x14ac:dyDescent="0.3">
      <c r="F4499" s="64">
        <v>4496</v>
      </c>
      <c r="G4499" s="64">
        <f t="shared" ca="1" si="109"/>
        <v>-3.9387018270240826E-2</v>
      </c>
    </row>
    <row r="4500" spans="6:7" x14ac:dyDescent="0.3">
      <c r="F4500" s="64">
        <v>4497</v>
      </c>
      <c r="G4500" s="64">
        <f t="shared" ca="1" si="109"/>
        <v>-6.4893337316949788E-3</v>
      </c>
    </row>
    <row r="4501" spans="6:7" x14ac:dyDescent="0.3">
      <c r="F4501" s="64">
        <v>4498</v>
      </c>
      <c r="G4501" s="64">
        <f t="shared" ca="1" si="109"/>
        <v>-1.133509263759129E-2</v>
      </c>
    </row>
    <row r="4502" spans="6:7" x14ac:dyDescent="0.3">
      <c r="F4502" s="64">
        <v>4499</v>
      </c>
      <c r="G4502" s="64">
        <f t="shared" ca="1" si="109"/>
        <v>-3.109452934839347E-3</v>
      </c>
    </row>
    <row r="4503" spans="6:7" x14ac:dyDescent="0.3">
      <c r="F4503" s="64">
        <v>4500</v>
      </c>
      <c r="G4503" s="64">
        <f t="shared" ca="1" si="109"/>
        <v>-1.6520200820256091E-2</v>
      </c>
    </row>
    <row r="4504" spans="6:7" x14ac:dyDescent="0.3">
      <c r="F4504" s="64">
        <v>4501</v>
      </c>
      <c r="G4504" s="64">
        <f t="shared" ca="1" si="109"/>
        <v>2.336501554917586E-2</v>
      </c>
    </row>
    <row r="4505" spans="6:7" x14ac:dyDescent="0.3">
      <c r="F4505" s="64">
        <v>4502</v>
      </c>
      <c r="G4505" s="64">
        <f t="shared" ca="1" si="109"/>
        <v>2.284909594700215E-2</v>
      </c>
    </row>
    <row r="4506" spans="6:7" x14ac:dyDescent="0.3">
      <c r="F4506" s="64">
        <v>4503</v>
      </c>
      <c r="G4506" s="64">
        <f t="shared" ca="1" si="109"/>
        <v>-4.5437249756374405E-3</v>
      </c>
    </row>
    <row r="4507" spans="6:7" x14ac:dyDescent="0.3">
      <c r="F4507" s="64">
        <v>4504</v>
      </c>
      <c r="G4507" s="64">
        <f t="shared" ca="1" si="109"/>
        <v>6.1560666078070026E-3</v>
      </c>
    </row>
    <row r="4508" spans="6:7" x14ac:dyDescent="0.3">
      <c r="F4508" s="64">
        <v>4505</v>
      </c>
      <c r="G4508" s="64">
        <f t="shared" ca="1" si="109"/>
        <v>9.0209038403826595E-3</v>
      </c>
    </row>
    <row r="4509" spans="6:7" x14ac:dyDescent="0.3">
      <c r="F4509" s="64">
        <v>4506</v>
      </c>
      <c r="G4509" s="64">
        <f t="shared" ca="1" si="109"/>
        <v>-1.016168430320287E-2</v>
      </c>
    </row>
    <row r="4510" spans="6:7" x14ac:dyDescent="0.3">
      <c r="F4510" s="64">
        <v>4507</v>
      </c>
      <c r="G4510" s="64">
        <f t="shared" ca="1" si="109"/>
        <v>-2.0051570862523724E-2</v>
      </c>
    </row>
    <row r="4511" spans="6:7" x14ac:dyDescent="0.3">
      <c r="F4511" s="64">
        <v>4508</v>
      </c>
      <c r="G4511" s="64">
        <f t="shared" ca="1" si="109"/>
        <v>-2.0700690188291793E-2</v>
      </c>
    </row>
    <row r="4512" spans="6:7" x14ac:dyDescent="0.3">
      <c r="F4512" s="64">
        <v>4509</v>
      </c>
      <c r="G4512" s="64">
        <f t="shared" ca="1" si="109"/>
        <v>-6.522973235903627E-3</v>
      </c>
    </row>
    <row r="4513" spans="6:7" x14ac:dyDescent="0.3">
      <c r="F4513" s="64">
        <v>4510</v>
      </c>
      <c r="G4513" s="64">
        <f t="shared" ca="1" si="109"/>
        <v>-2.6710083481202886E-2</v>
      </c>
    </row>
    <row r="4514" spans="6:7" x14ac:dyDescent="0.3">
      <c r="F4514" s="64">
        <v>4511</v>
      </c>
      <c r="G4514" s="64">
        <f t="shared" ca="1" si="109"/>
        <v>-2.2006099624001928E-2</v>
      </c>
    </row>
    <row r="4515" spans="6:7" x14ac:dyDescent="0.3">
      <c r="F4515" s="64">
        <v>4512</v>
      </c>
      <c r="G4515" s="64">
        <f t="shared" ca="1" si="109"/>
        <v>-2.0887554705979597E-2</v>
      </c>
    </row>
    <row r="4516" spans="6:7" x14ac:dyDescent="0.3">
      <c r="F4516" s="64">
        <v>4513</v>
      </c>
      <c r="G4516" s="64">
        <f t="shared" ca="1" si="109"/>
        <v>-1.5615635812466255E-2</v>
      </c>
    </row>
    <row r="4517" spans="6:7" x14ac:dyDescent="0.3">
      <c r="F4517" s="64">
        <v>4514</v>
      </c>
      <c r="G4517" s="64">
        <f t="shared" ca="1" si="109"/>
        <v>9.6953771158493299E-3</v>
      </c>
    </row>
    <row r="4518" spans="6:7" x14ac:dyDescent="0.3">
      <c r="F4518" s="64">
        <v>4515</v>
      </c>
      <c r="G4518" s="64">
        <f t="shared" ca="1" si="109"/>
        <v>6.2950198675154967E-3</v>
      </c>
    </row>
    <row r="4519" spans="6:7" x14ac:dyDescent="0.3">
      <c r="F4519" s="64">
        <v>4516</v>
      </c>
      <c r="G4519" s="64">
        <f t="shared" ca="1" si="109"/>
        <v>3.2217168344189889E-2</v>
      </c>
    </row>
    <row r="4520" spans="6:7" x14ac:dyDescent="0.3">
      <c r="F4520" s="64">
        <v>4517</v>
      </c>
      <c r="G4520" s="64">
        <f t="shared" ca="1" si="109"/>
        <v>2.9995642764357564E-3</v>
      </c>
    </row>
    <row r="4521" spans="6:7" x14ac:dyDescent="0.3">
      <c r="F4521" s="64">
        <v>4518</v>
      </c>
      <c r="G4521" s="64">
        <f t="shared" ca="1" si="109"/>
        <v>-2.5668075556636978E-2</v>
      </c>
    </row>
    <row r="4522" spans="6:7" x14ac:dyDescent="0.3">
      <c r="F4522" s="64">
        <v>4519</v>
      </c>
      <c r="G4522" s="64">
        <f t="shared" ca="1" si="109"/>
        <v>-1.5961173338684423E-2</v>
      </c>
    </row>
    <row r="4523" spans="6:7" x14ac:dyDescent="0.3">
      <c r="F4523" s="64">
        <v>4520</v>
      </c>
      <c r="G4523" s="64">
        <f t="shared" ca="1" si="109"/>
        <v>-2.7815693151234853E-2</v>
      </c>
    </row>
    <row r="4524" spans="6:7" x14ac:dyDescent="0.3">
      <c r="F4524" s="64">
        <v>4521</v>
      </c>
      <c r="G4524" s="64">
        <f t="shared" ca="1" si="109"/>
        <v>-1.6423273909638735E-2</v>
      </c>
    </row>
    <row r="4525" spans="6:7" x14ac:dyDescent="0.3">
      <c r="F4525" s="64">
        <v>4522</v>
      </c>
      <c r="G4525" s="64">
        <f t="shared" ca="1" si="109"/>
        <v>1.3311707138513719E-2</v>
      </c>
    </row>
    <row r="4526" spans="6:7" x14ac:dyDescent="0.3">
      <c r="F4526" s="64">
        <v>4523</v>
      </c>
      <c r="G4526" s="64">
        <f t="shared" ca="1" si="109"/>
        <v>-2.4120521845125642E-2</v>
      </c>
    </row>
    <row r="4527" spans="6:7" x14ac:dyDescent="0.3">
      <c r="F4527" s="64">
        <v>4524</v>
      </c>
      <c r="G4527" s="64">
        <f t="shared" ca="1" si="109"/>
        <v>-1.7578720763448345E-2</v>
      </c>
    </row>
    <row r="4528" spans="6:7" x14ac:dyDescent="0.3">
      <c r="F4528" s="64">
        <v>4525</v>
      </c>
      <c r="G4528" s="64">
        <f t="shared" ca="1" si="109"/>
        <v>-6.03286794912373E-3</v>
      </c>
    </row>
    <row r="4529" spans="6:7" x14ac:dyDescent="0.3">
      <c r="F4529" s="64">
        <v>4526</v>
      </c>
      <c r="G4529" s="64">
        <f t="shared" ca="1" si="109"/>
        <v>4.1602671068885246E-3</v>
      </c>
    </row>
    <row r="4530" spans="6:7" x14ac:dyDescent="0.3">
      <c r="F4530" s="64">
        <v>4527</v>
      </c>
      <c r="G4530" s="64">
        <f t="shared" ca="1" si="109"/>
        <v>1.7655928458974346E-2</v>
      </c>
    </row>
    <row r="4531" spans="6:7" x14ac:dyDescent="0.3">
      <c r="F4531" s="64">
        <v>4528</v>
      </c>
      <c r="G4531" s="64">
        <f t="shared" ca="1" si="109"/>
        <v>-1.2961756876612045E-2</v>
      </c>
    </row>
    <row r="4532" spans="6:7" x14ac:dyDescent="0.3">
      <c r="F4532" s="64">
        <v>4529</v>
      </c>
      <c r="G4532" s="64">
        <f t="shared" ca="1" si="109"/>
        <v>2.9420630740397975E-2</v>
      </c>
    </row>
    <row r="4533" spans="6:7" x14ac:dyDescent="0.3">
      <c r="F4533" s="64">
        <v>4530</v>
      </c>
      <c r="G4533" s="64">
        <f t="shared" ca="1" si="109"/>
        <v>1.6304507283248892E-2</v>
      </c>
    </row>
    <row r="4534" spans="6:7" x14ac:dyDescent="0.3">
      <c r="F4534" s="64">
        <v>4531</v>
      </c>
      <c r="G4534" s="64">
        <f t="shared" ca="1" si="109"/>
        <v>7.5286186974407431E-3</v>
      </c>
    </row>
    <row r="4535" spans="6:7" x14ac:dyDescent="0.3">
      <c r="F4535" s="64">
        <v>4532</v>
      </c>
      <c r="G4535" s="64">
        <f t="shared" ca="1" si="109"/>
        <v>-1.9061203349110899E-2</v>
      </c>
    </row>
    <row r="4536" spans="6:7" x14ac:dyDescent="0.3">
      <c r="F4536" s="64">
        <v>4533</v>
      </c>
      <c r="G4536" s="64">
        <f t="shared" ca="1" si="109"/>
        <v>-1.1636105700860119E-2</v>
      </c>
    </row>
    <row r="4537" spans="6:7" x14ac:dyDescent="0.3">
      <c r="F4537" s="64">
        <v>4534</v>
      </c>
      <c r="G4537" s="64">
        <f t="shared" ca="1" si="109"/>
        <v>4.5131182134796402E-3</v>
      </c>
    </row>
    <row r="4538" spans="6:7" x14ac:dyDescent="0.3">
      <c r="F4538" s="64">
        <v>4535</v>
      </c>
      <c r="G4538" s="64">
        <f t="shared" ca="1" si="109"/>
        <v>-1.667694369626245E-2</v>
      </c>
    </row>
    <row r="4539" spans="6:7" x14ac:dyDescent="0.3">
      <c r="F4539" s="64">
        <v>4536</v>
      </c>
      <c r="G4539" s="64">
        <f t="shared" ca="1" si="109"/>
        <v>1.9456099776529187E-3</v>
      </c>
    </row>
    <row r="4540" spans="6:7" x14ac:dyDescent="0.3">
      <c r="F4540" s="64">
        <v>4537</v>
      </c>
      <c r="G4540" s="64">
        <f t="shared" ca="1" si="109"/>
        <v>1.7965892933603281E-3</v>
      </c>
    </row>
    <row r="4541" spans="6:7" x14ac:dyDescent="0.3">
      <c r="F4541" s="64">
        <v>4538</v>
      </c>
      <c r="G4541" s="64">
        <f t="shared" ca="1" si="109"/>
        <v>-1.2983462698417684E-2</v>
      </c>
    </row>
    <row r="4542" spans="6:7" x14ac:dyDescent="0.3">
      <c r="F4542" s="64">
        <v>4539</v>
      </c>
      <c r="G4542" s="64">
        <f t="shared" ca="1" si="109"/>
        <v>3.8018489179192832E-3</v>
      </c>
    </row>
    <row r="4543" spans="6:7" x14ac:dyDescent="0.3">
      <c r="F4543" s="64">
        <v>4540</v>
      </c>
      <c r="G4543" s="64">
        <f t="shared" ca="1" si="109"/>
        <v>6.4890067869501121E-4</v>
      </c>
    </row>
    <row r="4544" spans="6:7" x14ac:dyDescent="0.3">
      <c r="F4544" s="64">
        <v>4541</v>
      </c>
      <c r="G4544" s="64">
        <f t="shared" ca="1" si="109"/>
        <v>4.9247444559350501E-3</v>
      </c>
    </row>
    <row r="4545" spans="6:7" x14ac:dyDescent="0.3">
      <c r="F4545" s="64">
        <v>4542</v>
      </c>
      <c r="G4545" s="64">
        <f t="shared" ca="1" si="109"/>
        <v>-1.8363351727459336E-2</v>
      </c>
    </row>
    <row r="4546" spans="6:7" x14ac:dyDescent="0.3">
      <c r="F4546" s="64">
        <v>4543</v>
      </c>
      <c r="G4546" s="64">
        <f t="shared" ca="1" si="109"/>
        <v>-1.4736025017354973E-2</v>
      </c>
    </row>
    <row r="4547" spans="6:7" x14ac:dyDescent="0.3">
      <c r="F4547" s="64">
        <v>4544</v>
      </c>
      <c r="G4547" s="64">
        <f t="shared" ca="1" si="109"/>
        <v>1.9225693275727061E-2</v>
      </c>
    </row>
    <row r="4548" spans="6:7" x14ac:dyDescent="0.3">
      <c r="F4548" s="64">
        <v>4545</v>
      </c>
      <c r="G4548" s="64">
        <f t="shared" ca="1" si="109"/>
        <v>-2.0697457449331255E-2</v>
      </c>
    </row>
    <row r="4549" spans="6:7" x14ac:dyDescent="0.3">
      <c r="F4549" s="64">
        <v>4546</v>
      </c>
      <c r="G4549" s="64">
        <f t="shared" ref="G4549:G4612" ca="1" si="110">_xlfn.NORM.INV(RAND(),K$6,K$7)</f>
        <v>-1.3709334930662063E-2</v>
      </c>
    </row>
    <row r="4550" spans="6:7" x14ac:dyDescent="0.3">
      <c r="F4550" s="64">
        <v>4547</v>
      </c>
      <c r="G4550" s="64">
        <f t="shared" ca="1" si="110"/>
        <v>5.9924345736493854E-3</v>
      </c>
    </row>
    <row r="4551" spans="6:7" x14ac:dyDescent="0.3">
      <c r="F4551" s="64">
        <v>4548</v>
      </c>
      <c r="G4551" s="64">
        <f t="shared" ca="1" si="110"/>
        <v>-8.0021644194119938E-3</v>
      </c>
    </row>
    <row r="4552" spans="6:7" x14ac:dyDescent="0.3">
      <c r="F4552" s="64">
        <v>4549</v>
      </c>
      <c r="G4552" s="64">
        <f t="shared" ca="1" si="110"/>
        <v>4.2398063718134833E-3</v>
      </c>
    </row>
    <row r="4553" spans="6:7" x14ac:dyDescent="0.3">
      <c r="F4553" s="64">
        <v>4550</v>
      </c>
      <c r="G4553" s="64">
        <f t="shared" ca="1" si="110"/>
        <v>8.2278701598497064E-3</v>
      </c>
    </row>
    <row r="4554" spans="6:7" x14ac:dyDescent="0.3">
      <c r="F4554" s="64">
        <v>4551</v>
      </c>
      <c r="G4554" s="64">
        <f t="shared" ca="1" si="110"/>
        <v>-2.8511106315668882E-3</v>
      </c>
    </row>
    <row r="4555" spans="6:7" x14ac:dyDescent="0.3">
      <c r="F4555" s="64">
        <v>4552</v>
      </c>
      <c r="G4555" s="64">
        <f t="shared" ca="1" si="110"/>
        <v>-2.9712624914383541E-2</v>
      </c>
    </row>
    <row r="4556" spans="6:7" x14ac:dyDescent="0.3">
      <c r="F4556" s="64">
        <v>4553</v>
      </c>
      <c r="G4556" s="64">
        <f t="shared" ca="1" si="110"/>
        <v>-1.7689727210285638E-2</v>
      </c>
    </row>
    <row r="4557" spans="6:7" x14ac:dyDescent="0.3">
      <c r="F4557" s="64">
        <v>4554</v>
      </c>
      <c r="G4557" s="64">
        <f t="shared" ca="1" si="110"/>
        <v>-2.4922414846570234E-2</v>
      </c>
    </row>
    <row r="4558" spans="6:7" x14ac:dyDescent="0.3">
      <c r="F4558" s="64">
        <v>4555</v>
      </c>
      <c r="G4558" s="64">
        <f t="shared" ca="1" si="110"/>
        <v>1.3592255097698435E-3</v>
      </c>
    </row>
    <row r="4559" spans="6:7" x14ac:dyDescent="0.3">
      <c r="F4559" s="64">
        <v>4556</v>
      </c>
      <c r="G4559" s="64">
        <f t="shared" ca="1" si="110"/>
        <v>-1.85391706290325E-2</v>
      </c>
    </row>
    <row r="4560" spans="6:7" x14ac:dyDescent="0.3">
      <c r="F4560" s="64">
        <v>4557</v>
      </c>
      <c r="G4560" s="64">
        <f t="shared" ca="1" si="110"/>
        <v>-1.8363002747449376E-2</v>
      </c>
    </row>
    <row r="4561" spans="6:7" x14ac:dyDescent="0.3">
      <c r="F4561" s="64">
        <v>4558</v>
      </c>
      <c r="G4561" s="64">
        <f t="shared" ca="1" si="110"/>
        <v>3.1641642974234614E-2</v>
      </c>
    </row>
    <row r="4562" spans="6:7" x14ac:dyDescent="0.3">
      <c r="F4562" s="64">
        <v>4559</v>
      </c>
      <c r="G4562" s="64">
        <f t="shared" ca="1" si="110"/>
        <v>1.5281475062069567E-2</v>
      </c>
    </row>
    <row r="4563" spans="6:7" x14ac:dyDescent="0.3">
      <c r="F4563" s="64">
        <v>4560</v>
      </c>
      <c r="G4563" s="64">
        <f t="shared" ca="1" si="110"/>
        <v>-9.9377559420907279E-3</v>
      </c>
    </row>
    <row r="4564" spans="6:7" x14ac:dyDescent="0.3">
      <c r="F4564" s="64">
        <v>4561</v>
      </c>
      <c r="G4564" s="64">
        <f t="shared" ca="1" si="110"/>
        <v>1.549074471265386E-2</v>
      </c>
    </row>
    <row r="4565" spans="6:7" x14ac:dyDescent="0.3">
      <c r="F4565" s="64">
        <v>4562</v>
      </c>
      <c r="G4565" s="64">
        <f t="shared" ca="1" si="110"/>
        <v>2.7369595125335639E-3</v>
      </c>
    </row>
    <row r="4566" spans="6:7" x14ac:dyDescent="0.3">
      <c r="F4566" s="64">
        <v>4563</v>
      </c>
      <c r="G4566" s="64">
        <f t="shared" ca="1" si="110"/>
        <v>4.438073613425202E-3</v>
      </c>
    </row>
    <row r="4567" spans="6:7" x14ac:dyDescent="0.3">
      <c r="F4567" s="64">
        <v>4564</v>
      </c>
      <c r="G4567" s="64">
        <f t="shared" ca="1" si="110"/>
        <v>-1.1887392701566304E-4</v>
      </c>
    </row>
    <row r="4568" spans="6:7" x14ac:dyDescent="0.3">
      <c r="F4568" s="64">
        <v>4565</v>
      </c>
      <c r="G4568" s="64">
        <f t="shared" ca="1" si="110"/>
        <v>1.0075341423562546E-2</v>
      </c>
    </row>
    <row r="4569" spans="6:7" x14ac:dyDescent="0.3">
      <c r="F4569" s="64">
        <v>4566</v>
      </c>
      <c r="G4569" s="64">
        <f t="shared" ca="1" si="110"/>
        <v>-1.7278571974311034E-2</v>
      </c>
    </row>
    <row r="4570" spans="6:7" x14ac:dyDescent="0.3">
      <c r="F4570" s="64">
        <v>4567</v>
      </c>
      <c r="G4570" s="64">
        <f t="shared" ca="1" si="110"/>
        <v>-3.4349982749758895E-2</v>
      </c>
    </row>
    <row r="4571" spans="6:7" x14ac:dyDescent="0.3">
      <c r="F4571" s="64">
        <v>4568</v>
      </c>
      <c r="G4571" s="64">
        <f t="shared" ca="1" si="110"/>
        <v>5.0656570134911079E-3</v>
      </c>
    </row>
    <row r="4572" spans="6:7" x14ac:dyDescent="0.3">
      <c r="F4572" s="64">
        <v>4569</v>
      </c>
      <c r="G4572" s="64">
        <f t="shared" ca="1" si="110"/>
        <v>-2.0049236508796739E-2</v>
      </c>
    </row>
    <row r="4573" spans="6:7" x14ac:dyDescent="0.3">
      <c r="F4573" s="64">
        <v>4570</v>
      </c>
      <c r="G4573" s="64">
        <f t="shared" ca="1" si="110"/>
        <v>-1.5882119063438262E-2</v>
      </c>
    </row>
    <row r="4574" spans="6:7" x14ac:dyDescent="0.3">
      <c r="F4574" s="64">
        <v>4571</v>
      </c>
      <c r="G4574" s="64">
        <f t="shared" ca="1" si="110"/>
        <v>1.3272519467256503E-2</v>
      </c>
    </row>
    <row r="4575" spans="6:7" x14ac:dyDescent="0.3">
      <c r="F4575" s="64">
        <v>4572</v>
      </c>
      <c r="G4575" s="64">
        <f t="shared" ca="1" si="110"/>
        <v>3.5281629917717799E-2</v>
      </c>
    </row>
    <row r="4576" spans="6:7" x14ac:dyDescent="0.3">
      <c r="F4576" s="64">
        <v>4573</v>
      </c>
      <c r="G4576" s="64">
        <f t="shared" ca="1" si="110"/>
        <v>1.5355024387593272E-2</v>
      </c>
    </row>
    <row r="4577" spans="6:7" x14ac:dyDescent="0.3">
      <c r="F4577" s="64">
        <v>4574</v>
      </c>
      <c r="G4577" s="64">
        <f t="shared" ca="1" si="110"/>
        <v>-3.9087737058745853E-3</v>
      </c>
    </row>
    <row r="4578" spans="6:7" x14ac:dyDescent="0.3">
      <c r="F4578" s="64">
        <v>4575</v>
      </c>
      <c r="G4578" s="64">
        <f t="shared" ca="1" si="110"/>
        <v>7.9280693140434365E-3</v>
      </c>
    </row>
    <row r="4579" spans="6:7" x14ac:dyDescent="0.3">
      <c r="F4579" s="64">
        <v>4576</v>
      </c>
      <c r="G4579" s="64">
        <f t="shared" ca="1" si="110"/>
        <v>1.4228776666259017E-2</v>
      </c>
    </row>
    <row r="4580" spans="6:7" x14ac:dyDescent="0.3">
      <c r="F4580" s="64">
        <v>4577</v>
      </c>
      <c r="G4580" s="64">
        <f t="shared" ca="1" si="110"/>
        <v>4.0911026640921867E-2</v>
      </c>
    </row>
    <row r="4581" spans="6:7" x14ac:dyDescent="0.3">
      <c r="F4581" s="64">
        <v>4578</v>
      </c>
      <c r="G4581" s="64">
        <f t="shared" ca="1" si="110"/>
        <v>3.3809402749169243E-2</v>
      </c>
    </row>
    <row r="4582" spans="6:7" x14ac:dyDescent="0.3">
      <c r="F4582" s="64">
        <v>4579</v>
      </c>
      <c r="G4582" s="64">
        <f t="shared" ca="1" si="110"/>
        <v>-2.0022974309567704E-2</v>
      </c>
    </row>
    <row r="4583" spans="6:7" x14ac:dyDescent="0.3">
      <c r="F4583" s="64">
        <v>4580</v>
      </c>
      <c r="G4583" s="64">
        <f t="shared" ca="1" si="110"/>
        <v>6.8760602603281278E-3</v>
      </c>
    </row>
    <row r="4584" spans="6:7" x14ac:dyDescent="0.3">
      <c r="F4584" s="64">
        <v>4581</v>
      </c>
      <c r="G4584" s="64">
        <f t="shared" ca="1" si="110"/>
        <v>1.6675171591658509E-2</v>
      </c>
    </row>
    <row r="4585" spans="6:7" x14ac:dyDescent="0.3">
      <c r="F4585" s="64">
        <v>4582</v>
      </c>
      <c r="G4585" s="64">
        <f t="shared" ca="1" si="110"/>
        <v>2.5398201916242303E-3</v>
      </c>
    </row>
    <row r="4586" spans="6:7" x14ac:dyDescent="0.3">
      <c r="F4586" s="64">
        <v>4583</v>
      </c>
      <c r="G4586" s="64">
        <f t="shared" ca="1" si="110"/>
        <v>1.4575520403909928E-2</v>
      </c>
    </row>
    <row r="4587" spans="6:7" x14ac:dyDescent="0.3">
      <c r="F4587" s="64">
        <v>4584</v>
      </c>
      <c r="G4587" s="64">
        <f t="shared" ca="1" si="110"/>
        <v>2.3025522207678175E-3</v>
      </c>
    </row>
    <row r="4588" spans="6:7" x14ac:dyDescent="0.3">
      <c r="F4588" s="64">
        <v>4585</v>
      </c>
      <c r="G4588" s="64">
        <f t="shared" ca="1" si="110"/>
        <v>-1.413192336014198E-3</v>
      </c>
    </row>
    <row r="4589" spans="6:7" x14ac:dyDescent="0.3">
      <c r="F4589" s="64">
        <v>4586</v>
      </c>
      <c r="G4589" s="64">
        <f t="shared" ca="1" si="110"/>
        <v>1.161007256163319E-2</v>
      </c>
    </row>
    <row r="4590" spans="6:7" x14ac:dyDescent="0.3">
      <c r="F4590" s="64">
        <v>4587</v>
      </c>
      <c r="G4590" s="64">
        <f t="shared" ca="1" si="110"/>
        <v>2.7931910786586612E-3</v>
      </c>
    </row>
    <row r="4591" spans="6:7" x14ac:dyDescent="0.3">
      <c r="F4591" s="64">
        <v>4588</v>
      </c>
      <c r="G4591" s="64">
        <f t="shared" ca="1" si="110"/>
        <v>2.4611825748150754E-2</v>
      </c>
    </row>
    <row r="4592" spans="6:7" x14ac:dyDescent="0.3">
      <c r="F4592" s="64">
        <v>4589</v>
      </c>
      <c r="G4592" s="64">
        <f t="shared" ca="1" si="110"/>
        <v>-1.0715352660897412E-2</v>
      </c>
    </row>
    <row r="4593" spans="6:7" x14ac:dyDescent="0.3">
      <c r="F4593" s="64">
        <v>4590</v>
      </c>
      <c r="G4593" s="64">
        <f t="shared" ca="1" si="110"/>
        <v>-9.0657128021221119E-3</v>
      </c>
    </row>
    <row r="4594" spans="6:7" x14ac:dyDescent="0.3">
      <c r="F4594" s="64">
        <v>4591</v>
      </c>
      <c r="G4594" s="64">
        <f t="shared" ca="1" si="110"/>
        <v>-1.7616828370507751E-2</v>
      </c>
    </row>
    <row r="4595" spans="6:7" x14ac:dyDescent="0.3">
      <c r="F4595" s="64">
        <v>4592</v>
      </c>
      <c r="G4595" s="64">
        <f t="shared" ca="1" si="110"/>
        <v>5.1416543284270029E-4</v>
      </c>
    </row>
    <row r="4596" spans="6:7" x14ac:dyDescent="0.3">
      <c r="F4596" s="64">
        <v>4593</v>
      </c>
      <c r="G4596" s="64">
        <f t="shared" ca="1" si="110"/>
        <v>-3.208819240749531E-2</v>
      </c>
    </row>
    <row r="4597" spans="6:7" x14ac:dyDescent="0.3">
      <c r="F4597" s="64">
        <v>4594</v>
      </c>
      <c r="G4597" s="64">
        <f t="shared" ca="1" si="110"/>
        <v>-2.4127514597106332E-2</v>
      </c>
    </row>
    <row r="4598" spans="6:7" x14ac:dyDescent="0.3">
      <c r="F4598" s="64">
        <v>4595</v>
      </c>
      <c r="G4598" s="64">
        <f t="shared" ca="1" si="110"/>
        <v>-6.6748506307417205E-3</v>
      </c>
    </row>
    <row r="4599" spans="6:7" x14ac:dyDescent="0.3">
      <c r="F4599" s="64">
        <v>4596</v>
      </c>
      <c r="G4599" s="64">
        <f t="shared" ca="1" si="110"/>
        <v>-1.6748601861146018E-3</v>
      </c>
    </row>
    <row r="4600" spans="6:7" x14ac:dyDescent="0.3">
      <c r="F4600" s="64">
        <v>4597</v>
      </c>
      <c r="G4600" s="64">
        <f t="shared" ca="1" si="110"/>
        <v>-1.503343947877097E-3</v>
      </c>
    </row>
    <row r="4601" spans="6:7" x14ac:dyDescent="0.3">
      <c r="F4601" s="64">
        <v>4598</v>
      </c>
      <c r="G4601" s="64">
        <f t="shared" ca="1" si="110"/>
        <v>-4.4262807987192378E-4</v>
      </c>
    </row>
    <row r="4602" spans="6:7" x14ac:dyDescent="0.3">
      <c r="F4602" s="64">
        <v>4599</v>
      </c>
      <c r="G4602" s="64">
        <f t="shared" ca="1" si="110"/>
        <v>1.683568500880113E-2</v>
      </c>
    </row>
    <row r="4603" spans="6:7" x14ac:dyDescent="0.3">
      <c r="F4603" s="64">
        <v>4600</v>
      </c>
      <c r="G4603" s="64">
        <f t="shared" ca="1" si="110"/>
        <v>9.6503997350877897E-3</v>
      </c>
    </row>
    <row r="4604" spans="6:7" x14ac:dyDescent="0.3">
      <c r="F4604" s="64">
        <v>4601</v>
      </c>
      <c r="G4604" s="64">
        <f t="shared" ca="1" si="110"/>
        <v>-4.7262971605232162E-4</v>
      </c>
    </row>
    <row r="4605" spans="6:7" x14ac:dyDescent="0.3">
      <c r="F4605" s="64">
        <v>4602</v>
      </c>
      <c r="G4605" s="64">
        <f t="shared" ca="1" si="110"/>
        <v>5.2537594675784128E-3</v>
      </c>
    </row>
    <row r="4606" spans="6:7" x14ac:dyDescent="0.3">
      <c r="F4606" s="64">
        <v>4603</v>
      </c>
      <c r="G4606" s="64">
        <f t="shared" ca="1" si="110"/>
        <v>-1.1433909644970341E-3</v>
      </c>
    </row>
    <row r="4607" spans="6:7" x14ac:dyDescent="0.3">
      <c r="F4607" s="64">
        <v>4604</v>
      </c>
      <c r="G4607" s="64">
        <f t="shared" ca="1" si="110"/>
        <v>-1.4506157083971995E-2</v>
      </c>
    </row>
    <row r="4608" spans="6:7" x14ac:dyDescent="0.3">
      <c r="F4608" s="64">
        <v>4605</v>
      </c>
      <c r="G4608" s="64">
        <f t="shared" ca="1" si="110"/>
        <v>-9.6544450736263023E-3</v>
      </c>
    </row>
    <row r="4609" spans="6:7" x14ac:dyDescent="0.3">
      <c r="F4609" s="64">
        <v>4606</v>
      </c>
      <c r="G4609" s="64">
        <f t="shared" ca="1" si="110"/>
        <v>-1.2100903648621065E-2</v>
      </c>
    </row>
    <row r="4610" spans="6:7" x14ac:dyDescent="0.3">
      <c r="F4610" s="64">
        <v>4607</v>
      </c>
      <c r="G4610" s="64">
        <f t="shared" ca="1" si="110"/>
        <v>2.3250705732593198E-2</v>
      </c>
    </row>
    <row r="4611" spans="6:7" x14ac:dyDescent="0.3">
      <c r="F4611" s="64">
        <v>4608</v>
      </c>
      <c r="G4611" s="64">
        <f t="shared" ca="1" si="110"/>
        <v>2.5189661141578272E-2</v>
      </c>
    </row>
    <row r="4612" spans="6:7" x14ac:dyDescent="0.3">
      <c r="F4612" s="64">
        <v>4609</v>
      </c>
      <c r="G4612" s="64">
        <f t="shared" ca="1" si="110"/>
        <v>1.9605104867403259E-2</v>
      </c>
    </row>
    <row r="4613" spans="6:7" x14ac:dyDescent="0.3">
      <c r="F4613" s="64">
        <v>4610</v>
      </c>
      <c r="G4613" s="64">
        <f t="shared" ref="G4613:G4676" ca="1" si="111">_xlfn.NORM.INV(RAND(),K$6,K$7)</f>
        <v>1.582200132505629E-2</v>
      </c>
    </row>
    <row r="4614" spans="6:7" x14ac:dyDescent="0.3">
      <c r="F4614" s="64">
        <v>4611</v>
      </c>
      <c r="G4614" s="64">
        <f t="shared" ca="1" si="111"/>
        <v>1.0459236257950968E-2</v>
      </c>
    </row>
    <row r="4615" spans="6:7" x14ac:dyDescent="0.3">
      <c r="F4615" s="64">
        <v>4612</v>
      </c>
      <c r="G4615" s="64">
        <f t="shared" ca="1" si="111"/>
        <v>-1.1889435209983425E-2</v>
      </c>
    </row>
    <row r="4616" spans="6:7" x14ac:dyDescent="0.3">
      <c r="F4616" s="64">
        <v>4613</v>
      </c>
      <c r="G4616" s="64">
        <f t="shared" ca="1" si="111"/>
        <v>2.6641500613398046E-2</v>
      </c>
    </row>
    <row r="4617" spans="6:7" x14ac:dyDescent="0.3">
      <c r="F4617" s="64">
        <v>4614</v>
      </c>
      <c r="G4617" s="64">
        <f t="shared" ca="1" si="111"/>
        <v>-2.7590894849156252E-3</v>
      </c>
    </row>
    <row r="4618" spans="6:7" x14ac:dyDescent="0.3">
      <c r="F4618" s="64">
        <v>4615</v>
      </c>
      <c r="G4618" s="64">
        <f t="shared" ca="1" si="111"/>
        <v>1.9072733566085652E-2</v>
      </c>
    </row>
    <row r="4619" spans="6:7" x14ac:dyDescent="0.3">
      <c r="F4619" s="64">
        <v>4616</v>
      </c>
      <c r="G4619" s="64">
        <f t="shared" ca="1" si="111"/>
        <v>7.4508681460767516E-3</v>
      </c>
    </row>
    <row r="4620" spans="6:7" x14ac:dyDescent="0.3">
      <c r="F4620" s="64">
        <v>4617</v>
      </c>
      <c r="G4620" s="64">
        <f t="shared" ca="1" si="111"/>
        <v>-1.4229887120890643E-2</v>
      </c>
    </row>
    <row r="4621" spans="6:7" x14ac:dyDescent="0.3">
      <c r="F4621" s="64">
        <v>4618</v>
      </c>
      <c r="G4621" s="64">
        <f t="shared" ca="1" si="111"/>
        <v>-6.2121872248078226E-3</v>
      </c>
    </row>
    <row r="4622" spans="6:7" x14ac:dyDescent="0.3">
      <c r="F4622" s="64">
        <v>4619</v>
      </c>
      <c r="G4622" s="64">
        <f t="shared" ca="1" si="111"/>
        <v>5.7665579293329069E-3</v>
      </c>
    </row>
    <row r="4623" spans="6:7" x14ac:dyDescent="0.3">
      <c r="F4623" s="64">
        <v>4620</v>
      </c>
      <c r="G4623" s="64">
        <f t="shared" ca="1" si="111"/>
        <v>2.9098319708145935E-2</v>
      </c>
    </row>
    <row r="4624" spans="6:7" x14ac:dyDescent="0.3">
      <c r="F4624" s="64">
        <v>4621</v>
      </c>
      <c r="G4624" s="64">
        <f t="shared" ca="1" si="111"/>
        <v>-3.3411414385346686E-2</v>
      </c>
    </row>
    <row r="4625" spans="6:7" x14ac:dyDescent="0.3">
      <c r="F4625" s="64">
        <v>4622</v>
      </c>
      <c r="G4625" s="64">
        <f t="shared" ca="1" si="111"/>
        <v>1.1586267731629627E-3</v>
      </c>
    </row>
    <row r="4626" spans="6:7" x14ac:dyDescent="0.3">
      <c r="F4626" s="64">
        <v>4623</v>
      </c>
      <c r="G4626" s="64">
        <f t="shared" ca="1" si="111"/>
        <v>2.7856282977977737E-2</v>
      </c>
    </row>
    <row r="4627" spans="6:7" x14ac:dyDescent="0.3">
      <c r="F4627" s="64">
        <v>4624</v>
      </c>
      <c r="G4627" s="64">
        <f t="shared" ca="1" si="111"/>
        <v>3.2067614760840406E-2</v>
      </c>
    </row>
    <row r="4628" spans="6:7" x14ac:dyDescent="0.3">
      <c r="F4628" s="64">
        <v>4625</v>
      </c>
      <c r="G4628" s="64">
        <f t="shared" ca="1" si="111"/>
        <v>1.4590440727126371E-2</v>
      </c>
    </row>
    <row r="4629" spans="6:7" x14ac:dyDescent="0.3">
      <c r="F4629" s="64">
        <v>4626</v>
      </c>
      <c r="G4629" s="64">
        <f t="shared" ca="1" si="111"/>
        <v>-2.0399930547316238E-2</v>
      </c>
    </row>
    <row r="4630" spans="6:7" x14ac:dyDescent="0.3">
      <c r="F4630" s="64">
        <v>4627</v>
      </c>
      <c r="G4630" s="64">
        <f t="shared" ca="1" si="111"/>
        <v>3.8267767205413792E-3</v>
      </c>
    </row>
    <row r="4631" spans="6:7" x14ac:dyDescent="0.3">
      <c r="F4631" s="64">
        <v>4628</v>
      </c>
      <c r="G4631" s="64">
        <f t="shared" ca="1" si="111"/>
        <v>-6.2904739221391415E-3</v>
      </c>
    </row>
    <row r="4632" spans="6:7" x14ac:dyDescent="0.3">
      <c r="F4632" s="64">
        <v>4629</v>
      </c>
      <c r="G4632" s="64">
        <f t="shared" ca="1" si="111"/>
        <v>3.5960964561125359E-2</v>
      </c>
    </row>
    <row r="4633" spans="6:7" x14ac:dyDescent="0.3">
      <c r="F4633" s="64">
        <v>4630</v>
      </c>
      <c r="G4633" s="64">
        <f t="shared" ca="1" si="111"/>
        <v>-1.5639245070634883E-2</v>
      </c>
    </row>
    <row r="4634" spans="6:7" x14ac:dyDescent="0.3">
      <c r="F4634" s="64">
        <v>4631</v>
      </c>
      <c r="G4634" s="64">
        <f t="shared" ca="1" si="111"/>
        <v>-1.8251287323268997E-3</v>
      </c>
    </row>
    <row r="4635" spans="6:7" x14ac:dyDescent="0.3">
      <c r="F4635" s="64">
        <v>4632</v>
      </c>
      <c r="G4635" s="64">
        <f t="shared" ca="1" si="111"/>
        <v>-2.5067274511478117E-2</v>
      </c>
    </row>
    <row r="4636" spans="6:7" x14ac:dyDescent="0.3">
      <c r="F4636" s="64">
        <v>4633</v>
      </c>
      <c r="G4636" s="64">
        <f t="shared" ca="1" si="111"/>
        <v>4.3108253732708171E-2</v>
      </c>
    </row>
    <row r="4637" spans="6:7" x14ac:dyDescent="0.3">
      <c r="F4637" s="64">
        <v>4634</v>
      </c>
      <c r="G4637" s="64">
        <f t="shared" ca="1" si="111"/>
        <v>-3.0571181046941419E-2</v>
      </c>
    </row>
    <row r="4638" spans="6:7" x14ac:dyDescent="0.3">
      <c r="F4638" s="64">
        <v>4635</v>
      </c>
      <c r="G4638" s="64">
        <f t="shared" ca="1" si="111"/>
        <v>-5.4659665399837834E-3</v>
      </c>
    </row>
    <row r="4639" spans="6:7" x14ac:dyDescent="0.3">
      <c r="F4639" s="64">
        <v>4636</v>
      </c>
      <c r="G4639" s="64">
        <f t="shared" ca="1" si="111"/>
        <v>-1.9933306381249793E-2</v>
      </c>
    </row>
    <row r="4640" spans="6:7" x14ac:dyDescent="0.3">
      <c r="F4640" s="64">
        <v>4637</v>
      </c>
      <c r="G4640" s="64">
        <f t="shared" ca="1" si="111"/>
        <v>-1.4946843841896354E-2</v>
      </c>
    </row>
    <row r="4641" spans="6:7" x14ac:dyDescent="0.3">
      <c r="F4641" s="64">
        <v>4638</v>
      </c>
      <c r="G4641" s="64">
        <f t="shared" ca="1" si="111"/>
        <v>5.7711297057552605E-5</v>
      </c>
    </row>
    <row r="4642" spans="6:7" x14ac:dyDescent="0.3">
      <c r="F4642" s="64">
        <v>4639</v>
      </c>
      <c r="G4642" s="64">
        <f t="shared" ca="1" si="111"/>
        <v>8.9953178581350848E-3</v>
      </c>
    </row>
    <row r="4643" spans="6:7" x14ac:dyDescent="0.3">
      <c r="F4643" s="64">
        <v>4640</v>
      </c>
      <c r="G4643" s="64">
        <f t="shared" ca="1" si="111"/>
        <v>7.1912393209972781E-4</v>
      </c>
    </row>
    <row r="4644" spans="6:7" x14ac:dyDescent="0.3">
      <c r="F4644" s="64">
        <v>4641</v>
      </c>
      <c r="G4644" s="64">
        <f t="shared" ca="1" si="111"/>
        <v>2.4219853608507952E-3</v>
      </c>
    </row>
    <row r="4645" spans="6:7" x14ac:dyDescent="0.3">
      <c r="F4645" s="64">
        <v>4642</v>
      </c>
      <c r="G4645" s="64">
        <f t="shared" ca="1" si="111"/>
        <v>-1.1612125961849049E-2</v>
      </c>
    </row>
    <row r="4646" spans="6:7" x14ac:dyDescent="0.3">
      <c r="F4646" s="64">
        <v>4643</v>
      </c>
      <c r="G4646" s="64">
        <f t="shared" ca="1" si="111"/>
        <v>7.7534912416343266E-3</v>
      </c>
    </row>
    <row r="4647" spans="6:7" x14ac:dyDescent="0.3">
      <c r="F4647" s="64">
        <v>4644</v>
      </c>
      <c r="G4647" s="64">
        <f t="shared" ca="1" si="111"/>
        <v>2.9113041554107578E-2</v>
      </c>
    </row>
    <row r="4648" spans="6:7" x14ac:dyDescent="0.3">
      <c r="F4648" s="64">
        <v>4645</v>
      </c>
      <c r="G4648" s="64">
        <f t="shared" ca="1" si="111"/>
        <v>-5.9728784557001077E-2</v>
      </c>
    </row>
    <row r="4649" spans="6:7" x14ac:dyDescent="0.3">
      <c r="F4649" s="64">
        <v>4646</v>
      </c>
      <c r="G4649" s="64">
        <f t="shared" ca="1" si="111"/>
        <v>-5.5523936328817107E-3</v>
      </c>
    </row>
    <row r="4650" spans="6:7" x14ac:dyDescent="0.3">
      <c r="F4650" s="64">
        <v>4647</v>
      </c>
      <c r="G4650" s="64">
        <f t="shared" ca="1" si="111"/>
        <v>-7.7927310259611905E-3</v>
      </c>
    </row>
    <row r="4651" spans="6:7" x14ac:dyDescent="0.3">
      <c r="F4651" s="64">
        <v>4648</v>
      </c>
      <c r="G4651" s="64">
        <f t="shared" ca="1" si="111"/>
        <v>1.7166346741549161E-2</v>
      </c>
    </row>
    <row r="4652" spans="6:7" x14ac:dyDescent="0.3">
      <c r="F4652" s="64">
        <v>4649</v>
      </c>
      <c r="G4652" s="64">
        <f t="shared" ca="1" si="111"/>
        <v>3.7156575135149958E-2</v>
      </c>
    </row>
    <row r="4653" spans="6:7" x14ac:dyDescent="0.3">
      <c r="F4653" s="64">
        <v>4650</v>
      </c>
      <c r="G4653" s="64">
        <f t="shared" ca="1" si="111"/>
        <v>3.5310820540610304E-3</v>
      </c>
    </row>
    <row r="4654" spans="6:7" x14ac:dyDescent="0.3">
      <c r="F4654" s="64">
        <v>4651</v>
      </c>
      <c r="G4654" s="64">
        <f t="shared" ca="1" si="111"/>
        <v>-5.76397076702453E-3</v>
      </c>
    </row>
    <row r="4655" spans="6:7" x14ac:dyDescent="0.3">
      <c r="F4655" s="64">
        <v>4652</v>
      </c>
      <c r="G4655" s="64">
        <f t="shared" ca="1" si="111"/>
        <v>3.9052716939486781E-3</v>
      </c>
    </row>
    <row r="4656" spans="6:7" x14ac:dyDescent="0.3">
      <c r="F4656" s="64">
        <v>4653</v>
      </c>
      <c r="G4656" s="64">
        <f t="shared" ca="1" si="111"/>
        <v>-1.1923395088659678E-2</v>
      </c>
    </row>
    <row r="4657" spans="6:7" x14ac:dyDescent="0.3">
      <c r="F4657" s="64">
        <v>4654</v>
      </c>
      <c r="G4657" s="64">
        <f t="shared" ca="1" si="111"/>
        <v>3.4819928083002151E-3</v>
      </c>
    </row>
    <row r="4658" spans="6:7" x14ac:dyDescent="0.3">
      <c r="F4658" s="64">
        <v>4655</v>
      </c>
      <c r="G4658" s="64">
        <f t="shared" ca="1" si="111"/>
        <v>8.5128752982529324E-3</v>
      </c>
    </row>
    <row r="4659" spans="6:7" x14ac:dyDescent="0.3">
      <c r="F4659" s="64">
        <v>4656</v>
      </c>
      <c r="G4659" s="64">
        <f t="shared" ca="1" si="111"/>
        <v>-1.5478512997232496E-2</v>
      </c>
    </row>
    <row r="4660" spans="6:7" x14ac:dyDescent="0.3">
      <c r="F4660" s="64">
        <v>4657</v>
      </c>
      <c r="G4660" s="64">
        <f t="shared" ca="1" si="111"/>
        <v>-9.3945667288019945E-3</v>
      </c>
    </row>
    <row r="4661" spans="6:7" x14ac:dyDescent="0.3">
      <c r="F4661" s="64">
        <v>4658</v>
      </c>
      <c r="G4661" s="64">
        <f t="shared" ca="1" si="111"/>
        <v>-1.6170533813130002E-2</v>
      </c>
    </row>
    <row r="4662" spans="6:7" x14ac:dyDescent="0.3">
      <c r="F4662" s="64">
        <v>4659</v>
      </c>
      <c r="G4662" s="64">
        <f t="shared" ca="1" si="111"/>
        <v>9.8772685271711329E-3</v>
      </c>
    </row>
    <row r="4663" spans="6:7" x14ac:dyDescent="0.3">
      <c r="F4663" s="64">
        <v>4660</v>
      </c>
      <c r="G4663" s="64">
        <f t="shared" ca="1" si="111"/>
        <v>3.3579273209373289E-2</v>
      </c>
    </row>
    <row r="4664" spans="6:7" x14ac:dyDescent="0.3">
      <c r="F4664" s="64">
        <v>4661</v>
      </c>
      <c r="G4664" s="64">
        <f t="shared" ca="1" si="111"/>
        <v>9.8236236460066476E-3</v>
      </c>
    </row>
    <row r="4665" spans="6:7" x14ac:dyDescent="0.3">
      <c r="F4665" s="64">
        <v>4662</v>
      </c>
      <c r="G4665" s="64">
        <f t="shared" ca="1" si="111"/>
        <v>-7.0364365489420117E-3</v>
      </c>
    </row>
    <row r="4666" spans="6:7" x14ac:dyDescent="0.3">
      <c r="F4666" s="64">
        <v>4663</v>
      </c>
      <c r="G4666" s="64">
        <f t="shared" ca="1" si="111"/>
        <v>3.0699351884827435E-3</v>
      </c>
    </row>
    <row r="4667" spans="6:7" x14ac:dyDescent="0.3">
      <c r="F4667" s="64">
        <v>4664</v>
      </c>
      <c r="G4667" s="64">
        <f t="shared" ca="1" si="111"/>
        <v>-4.5560672789219754E-3</v>
      </c>
    </row>
    <row r="4668" spans="6:7" x14ac:dyDescent="0.3">
      <c r="F4668" s="64">
        <v>4665</v>
      </c>
      <c r="G4668" s="64">
        <f t="shared" ca="1" si="111"/>
        <v>9.3403091872880199E-3</v>
      </c>
    </row>
    <row r="4669" spans="6:7" x14ac:dyDescent="0.3">
      <c r="F4669" s="64">
        <v>4666</v>
      </c>
      <c r="G4669" s="64">
        <f t="shared" ca="1" si="111"/>
        <v>-4.6226628222625441E-3</v>
      </c>
    </row>
    <row r="4670" spans="6:7" x14ac:dyDescent="0.3">
      <c r="F4670" s="64">
        <v>4667</v>
      </c>
      <c r="G4670" s="64">
        <f t="shared" ca="1" si="111"/>
        <v>-1.1565783315086295E-2</v>
      </c>
    </row>
    <row r="4671" spans="6:7" x14ac:dyDescent="0.3">
      <c r="F4671" s="64">
        <v>4668</v>
      </c>
      <c r="G4671" s="64">
        <f t="shared" ca="1" si="111"/>
        <v>2.0160461901392847E-2</v>
      </c>
    </row>
    <row r="4672" spans="6:7" x14ac:dyDescent="0.3">
      <c r="F4672" s="64">
        <v>4669</v>
      </c>
      <c r="G4672" s="64">
        <f t="shared" ca="1" si="111"/>
        <v>-5.4715298845876741E-3</v>
      </c>
    </row>
    <row r="4673" spans="6:7" x14ac:dyDescent="0.3">
      <c r="F4673" s="64">
        <v>4670</v>
      </c>
      <c r="G4673" s="64">
        <f t="shared" ca="1" si="111"/>
        <v>1.6514332346865852E-2</v>
      </c>
    </row>
    <row r="4674" spans="6:7" x14ac:dyDescent="0.3">
      <c r="F4674" s="64">
        <v>4671</v>
      </c>
      <c r="G4674" s="64">
        <f t="shared" ca="1" si="111"/>
        <v>-5.7397847547868068E-4</v>
      </c>
    </row>
    <row r="4675" spans="6:7" x14ac:dyDescent="0.3">
      <c r="F4675" s="64">
        <v>4672</v>
      </c>
      <c r="G4675" s="64">
        <f t="shared" ca="1" si="111"/>
        <v>3.2741429676620845E-2</v>
      </c>
    </row>
    <row r="4676" spans="6:7" x14ac:dyDescent="0.3">
      <c r="F4676" s="64">
        <v>4673</v>
      </c>
      <c r="G4676" s="64">
        <f t="shared" ca="1" si="111"/>
        <v>1.1704585244677459E-2</v>
      </c>
    </row>
    <row r="4677" spans="6:7" x14ac:dyDescent="0.3">
      <c r="F4677" s="64">
        <v>4674</v>
      </c>
      <c r="G4677" s="64">
        <f t="shared" ref="G4677:G4740" ca="1" si="112">_xlfn.NORM.INV(RAND(),K$6,K$7)</f>
        <v>1.787255475515636E-2</v>
      </c>
    </row>
    <row r="4678" spans="6:7" x14ac:dyDescent="0.3">
      <c r="F4678" s="64">
        <v>4675</v>
      </c>
      <c r="G4678" s="64">
        <f t="shared" ca="1" si="112"/>
        <v>-2.7551238965793971E-2</v>
      </c>
    </row>
    <row r="4679" spans="6:7" x14ac:dyDescent="0.3">
      <c r="F4679" s="64">
        <v>4676</v>
      </c>
      <c r="G4679" s="64">
        <f t="shared" ca="1" si="112"/>
        <v>9.7420422362551884E-3</v>
      </c>
    </row>
    <row r="4680" spans="6:7" x14ac:dyDescent="0.3">
      <c r="F4680" s="64">
        <v>4677</v>
      </c>
      <c r="G4680" s="64">
        <f t="shared" ca="1" si="112"/>
        <v>-2.4204429123133838E-4</v>
      </c>
    </row>
    <row r="4681" spans="6:7" x14ac:dyDescent="0.3">
      <c r="F4681" s="64">
        <v>4678</v>
      </c>
      <c r="G4681" s="64">
        <f t="shared" ca="1" si="112"/>
        <v>1.2756949389822025E-2</v>
      </c>
    </row>
    <row r="4682" spans="6:7" x14ac:dyDescent="0.3">
      <c r="F4682" s="64">
        <v>4679</v>
      </c>
      <c r="G4682" s="64">
        <f t="shared" ca="1" si="112"/>
        <v>3.2146944787010546E-3</v>
      </c>
    </row>
    <row r="4683" spans="6:7" x14ac:dyDescent="0.3">
      <c r="F4683" s="64">
        <v>4680</v>
      </c>
      <c r="G4683" s="64">
        <f t="shared" ca="1" si="112"/>
        <v>2.1745551062243483E-2</v>
      </c>
    </row>
    <row r="4684" spans="6:7" x14ac:dyDescent="0.3">
      <c r="F4684" s="64">
        <v>4681</v>
      </c>
      <c r="G4684" s="64">
        <f t="shared" ca="1" si="112"/>
        <v>-2.589337881839634E-3</v>
      </c>
    </row>
    <row r="4685" spans="6:7" x14ac:dyDescent="0.3">
      <c r="F4685" s="64">
        <v>4682</v>
      </c>
      <c r="G4685" s="64">
        <f t="shared" ca="1" si="112"/>
        <v>-2.9358117709903202E-2</v>
      </c>
    </row>
    <row r="4686" spans="6:7" x14ac:dyDescent="0.3">
      <c r="F4686" s="64">
        <v>4683</v>
      </c>
      <c r="G4686" s="64">
        <f t="shared" ca="1" si="112"/>
        <v>-6.9637023147770295E-3</v>
      </c>
    </row>
    <row r="4687" spans="6:7" x14ac:dyDescent="0.3">
      <c r="F4687" s="64">
        <v>4684</v>
      </c>
      <c r="G4687" s="64">
        <f t="shared" ca="1" si="112"/>
        <v>-9.75355354124041E-3</v>
      </c>
    </row>
    <row r="4688" spans="6:7" x14ac:dyDescent="0.3">
      <c r="F4688" s="64">
        <v>4685</v>
      </c>
      <c r="G4688" s="64">
        <f t="shared" ca="1" si="112"/>
        <v>1.978854697331358E-2</v>
      </c>
    </row>
    <row r="4689" spans="6:7" x14ac:dyDescent="0.3">
      <c r="F4689" s="64">
        <v>4686</v>
      </c>
      <c r="G4689" s="64">
        <f t="shared" ca="1" si="112"/>
        <v>4.0915301912693026E-2</v>
      </c>
    </row>
    <row r="4690" spans="6:7" x14ac:dyDescent="0.3">
      <c r="F4690" s="64">
        <v>4687</v>
      </c>
      <c r="G4690" s="64">
        <f t="shared" ca="1" si="112"/>
        <v>2.8577613719961814E-2</v>
      </c>
    </row>
    <row r="4691" spans="6:7" x14ac:dyDescent="0.3">
      <c r="F4691" s="64">
        <v>4688</v>
      </c>
      <c r="G4691" s="64">
        <f t="shared" ca="1" si="112"/>
        <v>-3.5105166624300674E-2</v>
      </c>
    </row>
    <row r="4692" spans="6:7" x14ac:dyDescent="0.3">
      <c r="F4692" s="64">
        <v>4689</v>
      </c>
      <c r="G4692" s="64">
        <f t="shared" ca="1" si="112"/>
        <v>-1.4805916088028908E-3</v>
      </c>
    </row>
    <row r="4693" spans="6:7" x14ac:dyDescent="0.3">
      <c r="F4693" s="64">
        <v>4690</v>
      </c>
      <c r="G4693" s="64">
        <f t="shared" ca="1" si="112"/>
        <v>-3.4168438874129466E-2</v>
      </c>
    </row>
    <row r="4694" spans="6:7" x14ac:dyDescent="0.3">
      <c r="F4694" s="64">
        <v>4691</v>
      </c>
      <c r="G4694" s="64">
        <f t="shared" ca="1" si="112"/>
        <v>1.0313005596392835E-2</v>
      </c>
    </row>
    <row r="4695" spans="6:7" x14ac:dyDescent="0.3">
      <c r="F4695" s="64">
        <v>4692</v>
      </c>
      <c r="G4695" s="64">
        <f t="shared" ca="1" si="112"/>
        <v>-1.9813397500222346E-2</v>
      </c>
    </row>
    <row r="4696" spans="6:7" x14ac:dyDescent="0.3">
      <c r="F4696" s="64">
        <v>4693</v>
      </c>
      <c r="G4696" s="64">
        <f t="shared" ca="1" si="112"/>
        <v>-1.0511121659023839E-2</v>
      </c>
    </row>
    <row r="4697" spans="6:7" x14ac:dyDescent="0.3">
      <c r="F4697" s="64">
        <v>4694</v>
      </c>
      <c r="G4697" s="64">
        <f t="shared" ca="1" si="112"/>
        <v>-2.1665561617317516E-2</v>
      </c>
    </row>
    <row r="4698" spans="6:7" x14ac:dyDescent="0.3">
      <c r="F4698" s="64">
        <v>4695</v>
      </c>
      <c r="G4698" s="64">
        <f t="shared" ca="1" si="112"/>
        <v>-1.4795688887775842E-3</v>
      </c>
    </row>
    <row r="4699" spans="6:7" x14ac:dyDescent="0.3">
      <c r="F4699" s="64">
        <v>4696</v>
      </c>
      <c r="G4699" s="64">
        <f t="shared" ca="1" si="112"/>
        <v>-1.9024049149088104E-2</v>
      </c>
    </row>
    <row r="4700" spans="6:7" x14ac:dyDescent="0.3">
      <c r="F4700" s="64">
        <v>4697</v>
      </c>
      <c r="G4700" s="64">
        <f t="shared" ca="1" si="112"/>
        <v>3.610974470683999E-3</v>
      </c>
    </row>
    <row r="4701" spans="6:7" x14ac:dyDescent="0.3">
      <c r="F4701" s="64">
        <v>4698</v>
      </c>
      <c r="G4701" s="64">
        <f t="shared" ca="1" si="112"/>
        <v>1.849688682924748E-2</v>
      </c>
    </row>
    <row r="4702" spans="6:7" x14ac:dyDescent="0.3">
      <c r="F4702" s="64">
        <v>4699</v>
      </c>
      <c r="G4702" s="64">
        <f t="shared" ca="1" si="112"/>
        <v>3.9461132015075853E-2</v>
      </c>
    </row>
    <row r="4703" spans="6:7" x14ac:dyDescent="0.3">
      <c r="F4703" s="64">
        <v>4700</v>
      </c>
      <c r="G4703" s="64">
        <f t="shared" ca="1" si="112"/>
        <v>-7.4074964563502523E-3</v>
      </c>
    </row>
    <row r="4704" spans="6:7" x14ac:dyDescent="0.3">
      <c r="F4704" s="64">
        <v>4701</v>
      </c>
      <c r="G4704" s="64">
        <f t="shared" ca="1" si="112"/>
        <v>3.4749641196382595E-2</v>
      </c>
    </row>
    <row r="4705" spans="6:7" x14ac:dyDescent="0.3">
      <c r="F4705" s="64">
        <v>4702</v>
      </c>
      <c r="G4705" s="64">
        <f t="shared" ca="1" si="112"/>
        <v>3.7751832114072868E-2</v>
      </c>
    </row>
    <row r="4706" spans="6:7" x14ac:dyDescent="0.3">
      <c r="F4706" s="64">
        <v>4703</v>
      </c>
      <c r="G4706" s="64">
        <f t="shared" ca="1" si="112"/>
        <v>-7.5907042857965411E-4</v>
      </c>
    </row>
    <row r="4707" spans="6:7" x14ac:dyDescent="0.3">
      <c r="F4707" s="64">
        <v>4704</v>
      </c>
      <c r="G4707" s="64">
        <f t="shared" ca="1" si="112"/>
        <v>7.9018367586396777E-3</v>
      </c>
    </row>
    <row r="4708" spans="6:7" x14ac:dyDescent="0.3">
      <c r="F4708" s="64">
        <v>4705</v>
      </c>
      <c r="G4708" s="64">
        <f t="shared" ca="1" si="112"/>
        <v>-1.2887790844677754E-2</v>
      </c>
    </row>
    <row r="4709" spans="6:7" x14ac:dyDescent="0.3">
      <c r="F4709" s="64">
        <v>4706</v>
      </c>
      <c r="G4709" s="64">
        <f t="shared" ca="1" si="112"/>
        <v>-1.0308180774397649E-2</v>
      </c>
    </row>
    <row r="4710" spans="6:7" x14ac:dyDescent="0.3">
      <c r="F4710" s="64">
        <v>4707</v>
      </c>
      <c r="G4710" s="64">
        <f t="shared" ca="1" si="112"/>
        <v>2.077287412150524E-2</v>
      </c>
    </row>
    <row r="4711" spans="6:7" x14ac:dyDescent="0.3">
      <c r="F4711" s="64">
        <v>4708</v>
      </c>
      <c r="G4711" s="64">
        <f t="shared" ca="1" si="112"/>
        <v>2.3011148981313449E-2</v>
      </c>
    </row>
    <row r="4712" spans="6:7" x14ac:dyDescent="0.3">
      <c r="F4712" s="64">
        <v>4709</v>
      </c>
      <c r="G4712" s="64">
        <f t="shared" ca="1" si="112"/>
        <v>2.3338600508730663E-2</v>
      </c>
    </row>
    <row r="4713" spans="6:7" x14ac:dyDescent="0.3">
      <c r="F4713" s="64">
        <v>4710</v>
      </c>
      <c r="G4713" s="64">
        <f t="shared" ca="1" si="112"/>
        <v>-1.0023901366356705E-2</v>
      </c>
    </row>
    <row r="4714" spans="6:7" x14ac:dyDescent="0.3">
      <c r="F4714" s="64">
        <v>4711</v>
      </c>
      <c r="G4714" s="64">
        <f t="shared" ca="1" si="112"/>
        <v>9.9131661694702514E-3</v>
      </c>
    </row>
    <row r="4715" spans="6:7" x14ac:dyDescent="0.3">
      <c r="F4715" s="64">
        <v>4712</v>
      </c>
      <c r="G4715" s="64">
        <f t="shared" ca="1" si="112"/>
        <v>-1.041611898180865E-2</v>
      </c>
    </row>
    <row r="4716" spans="6:7" x14ac:dyDescent="0.3">
      <c r="F4716" s="64">
        <v>4713</v>
      </c>
      <c r="G4716" s="64">
        <f t="shared" ca="1" si="112"/>
        <v>3.2188109432842775E-2</v>
      </c>
    </row>
    <row r="4717" spans="6:7" x14ac:dyDescent="0.3">
      <c r="F4717" s="64">
        <v>4714</v>
      </c>
      <c r="G4717" s="64">
        <f t="shared" ca="1" si="112"/>
        <v>-2.0599254160012709E-2</v>
      </c>
    </row>
    <row r="4718" spans="6:7" x14ac:dyDescent="0.3">
      <c r="F4718" s="64">
        <v>4715</v>
      </c>
      <c r="G4718" s="64">
        <f t="shared" ca="1" si="112"/>
        <v>-4.7382356690798232E-3</v>
      </c>
    </row>
    <row r="4719" spans="6:7" x14ac:dyDescent="0.3">
      <c r="F4719" s="64">
        <v>4716</v>
      </c>
      <c r="G4719" s="64">
        <f t="shared" ca="1" si="112"/>
        <v>-1.3528457969270746E-2</v>
      </c>
    </row>
    <row r="4720" spans="6:7" x14ac:dyDescent="0.3">
      <c r="F4720" s="64">
        <v>4717</v>
      </c>
      <c r="G4720" s="64">
        <f t="shared" ca="1" si="112"/>
        <v>6.3869183044799947E-5</v>
      </c>
    </row>
    <row r="4721" spans="6:7" x14ac:dyDescent="0.3">
      <c r="F4721" s="64">
        <v>4718</v>
      </c>
      <c r="G4721" s="64">
        <f t="shared" ca="1" si="112"/>
        <v>9.2810504940197078E-3</v>
      </c>
    </row>
    <row r="4722" spans="6:7" x14ac:dyDescent="0.3">
      <c r="F4722" s="64">
        <v>4719</v>
      </c>
      <c r="G4722" s="64">
        <f t="shared" ca="1" si="112"/>
        <v>2.3315973785938249E-2</v>
      </c>
    </row>
    <row r="4723" spans="6:7" x14ac:dyDescent="0.3">
      <c r="F4723" s="64">
        <v>4720</v>
      </c>
      <c r="G4723" s="64">
        <f t="shared" ca="1" si="112"/>
        <v>1.4161117218974145E-2</v>
      </c>
    </row>
    <row r="4724" spans="6:7" x14ac:dyDescent="0.3">
      <c r="F4724" s="64">
        <v>4721</v>
      </c>
      <c r="G4724" s="64">
        <f t="shared" ca="1" si="112"/>
        <v>1.4957482308637401E-2</v>
      </c>
    </row>
    <row r="4725" spans="6:7" x14ac:dyDescent="0.3">
      <c r="F4725" s="64">
        <v>4722</v>
      </c>
      <c r="G4725" s="64">
        <f t="shared" ca="1" si="112"/>
        <v>2.8645448572579647E-2</v>
      </c>
    </row>
    <row r="4726" spans="6:7" x14ac:dyDescent="0.3">
      <c r="F4726" s="64">
        <v>4723</v>
      </c>
      <c r="G4726" s="64">
        <f t="shared" ca="1" si="112"/>
        <v>3.2661038062127726E-3</v>
      </c>
    </row>
    <row r="4727" spans="6:7" x14ac:dyDescent="0.3">
      <c r="F4727" s="64">
        <v>4724</v>
      </c>
      <c r="G4727" s="64">
        <f t="shared" ca="1" si="112"/>
        <v>3.1573608443780939E-2</v>
      </c>
    </row>
    <row r="4728" spans="6:7" x14ac:dyDescent="0.3">
      <c r="F4728" s="64">
        <v>4725</v>
      </c>
      <c r="G4728" s="64">
        <f t="shared" ca="1" si="112"/>
        <v>-4.0700335097628585E-3</v>
      </c>
    </row>
    <row r="4729" spans="6:7" x14ac:dyDescent="0.3">
      <c r="F4729" s="64">
        <v>4726</v>
      </c>
      <c r="G4729" s="64">
        <f t="shared" ca="1" si="112"/>
        <v>5.7721941838342006E-2</v>
      </c>
    </row>
    <row r="4730" spans="6:7" x14ac:dyDescent="0.3">
      <c r="F4730" s="64">
        <v>4727</v>
      </c>
      <c r="G4730" s="64">
        <f t="shared" ca="1" si="112"/>
        <v>1.0761065838663509E-2</v>
      </c>
    </row>
    <row r="4731" spans="6:7" x14ac:dyDescent="0.3">
      <c r="F4731" s="64">
        <v>4728</v>
      </c>
      <c r="G4731" s="64">
        <f t="shared" ca="1" si="112"/>
        <v>2.4310319750224602E-2</v>
      </c>
    </row>
    <row r="4732" spans="6:7" x14ac:dyDescent="0.3">
      <c r="F4732" s="64">
        <v>4729</v>
      </c>
      <c r="G4732" s="64">
        <f t="shared" ca="1" si="112"/>
        <v>2.7898190055825285E-2</v>
      </c>
    </row>
    <row r="4733" spans="6:7" x14ac:dyDescent="0.3">
      <c r="F4733" s="64">
        <v>4730</v>
      </c>
      <c r="G4733" s="64">
        <f t="shared" ca="1" si="112"/>
        <v>8.5474907969702635E-4</v>
      </c>
    </row>
    <row r="4734" spans="6:7" x14ac:dyDescent="0.3">
      <c r="F4734" s="64">
        <v>4731</v>
      </c>
      <c r="G4734" s="64">
        <f t="shared" ca="1" si="112"/>
        <v>-9.4565556746604752E-3</v>
      </c>
    </row>
    <row r="4735" spans="6:7" x14ac:dyDescent="0.3">
      <c r="F4735" s="64">
        <v>4732</v>
      </c>
      <c r="G4735" s="64">
        <f t="shared" ca="1" si="112"/>
        <v>3.8101552435934154E-2</v>
      </c>
    </row>
    <row r="4736" spans="6:7" x14ac:dyDescent="0.3">
      <c r="F4736" s="64">
        <v>4733</v>
      </c>
      <c r="G4736" s="64">
        <f t="shared" ca="1" si="112"/>
        <v>2.3444489949693179E-4</v>
      </c>
    </row>
    <row r="4737" spans="6:7" x14ac:dyDescent="0.3">
      <c r="F4737" s="64">
        <v>4734</v>
      </c>
      <c r="G4737" s="64">
        <f t="shared" ca="1" si="112"/>
        <v>3.8770390645278104E-2</v>
      </c>
    </row>
    <row r="4738" spans="6:7" x14ac:dyDescent="0.3">
      <c r="F4738" s="64">
        <v>4735</v>
      </c>
      <c r="G4738" s="64">
        <f t="shared" ca="1" si="112"/>
        <v>-6.4579122975167904E-3</v>
      </c>
    </row>
    <row r="4739" spans="6:7" x14ac:dyDescent="0.3">
      <c r="F4739" s="64">
        <v>4736</v>
      </c>
      <c r="G4739" s="64">
        <f t="shared" ca="1" si="112"/>
        <v>9.4765482028055965E-3</v>
      </c>
    </row>
    <row r="4740" spans="6:7" x14ac:dyDescent="0.3">
      <c r="F4740" s="64">
        <v>4737</v>
      </c>
      <c r="G4740" s="64">
        <f t="shared" ca="1" si="112"/>
        <v>-7.4326931578999889E-3</v>
      </c>
    </row>
    <row r="4741" spans="6:7" x14ac:dyDescent="0.3">
      <c r="F4741" s="64">
        <v>4738</v>
      </c>
      <c r="G4741" s="64">
        <f t="shared" ref="G4741:G4804" ca="1" si="113">_xlfn.NORM.INV(RAND(),K$6,K$7)</f>
        <v>-2.0441107524864721E-2</v>
      </c>
    </row>
    <row r="4742" spans="6:7" x14ac:dyDescent="0.3">
      <c r="F4742" s="64">
        <v>4739</v>
      </c>
      <c r="G4742" s="64">
        <f t="shared" ca="1" si="113"/>
        <v>5.3752667275295395E-2</v>
      </c>
    </row>
    <row r="4743" spans="6:7" x14ac:dyDescent="0.3">
      <c r="F4743" s="64">
        <v>4740</v>
      </c>
      <c r="G4743" s="64">
        <f t="shared" ca="1" si="113"/>
        <v>1.1641932762306172E-2</v>
      </c>
    </row>
    <row r="4744" spans="6:7" x14ac:dyDescent="0.3">
      <c r="F4744" s="64">
        <v>4741</v>
      </c>
      <c r="G4744" s="64">
        <f t="shared" ca="1" si="113"/>
        <v>3.08555746082197E-2</v>
      </c>
    </row>
    <row r="4745" spans="6:7" x14ac:dyDescent="0.3">
      <c r="F4745" s="64">
        <v>4742</v>
      </c>
      <c r="G4745" s="64">
        <f t="shared" ca="1" si="113"/>
        <v>-4.3655373498872184E-2</v>
      </c>
    </row>
    <row r="4746" spans="6:7" x14ac:dyDescent="0.3">
      <c r="F4746" s="64">
        <v>4743</v>
      </c>
      <c r="G4746" s="64">
        <f t="shared" ca="1" si="113"/>
        <v>1.404920929776907E-2</v>
      </c>
    </row>
    <row r="4747" spans="6:7" x14ac:dyDescent="0.3">
      <c r="F4747" s="64">
        <v>4744</v>
      </c>
      <c r="G4747" s="64">
        <f t="shared" ca="1" si="113"/>
        <v>1.6435844450075156E-2</v>
      </c>
    </row>
    <row r="4748" spans="6:7" x14ac:dyDescent="0.3">
      <c r="F4748" s="64">
        <v>4745</v>
      </c>
      <c r="G4748" s="64">
        <f t="shared" ca="1" si="113"/>
        <v>2.5359637025072893E-2</v>
      </c>
    </row>
    <row r="4749" spans="6:7" x14ac:dyDescent="0.3">
      <c r="F4749" s="64">
        <v>4746</v>
      </c>
      <c r="G4749" s="64">
        <f t="shared" ca="1" si="113"/>
        <v>1.9903782881956433E-2</v>
      </c>
    </row>
    <row r="4750" spans="6:7" x14ac:dyDescent="0.3">
      <c r="F4750" s="64">
        <v>4747</v>
      </c>
      <c r="G4750" s="64">
        <f t="shared" ca="1" si="113"/>
        <v>1.9105752726152725E-2</v>
      </c>
    </row>
    <row r="4751" spans="6:7" x14ac:dyDescent="0.3">
      <c r="F4751" s="64">
        <v>4748</v>
      </c>
      <c r="G4751" s="64">
        <f t="shared" ca="1" si="113"/>
        <v>-1.1322056931435199E-2</v>
      </c>
    </row>
    <row r="4752" spans="6:7" x14ac:dyDescent="0.3">
      <c r="F4752" s="64">
        <v>4749</v>
      </c>
      <c r="G4752" s="64">
        <f t="shared" ca="1" si="113"/>
        <v>2.3400076619151604E-2</v>
      </c>
    </row>
    <row r="4753" spans="6:7" x14ac:dyDescent="0.3">
      <c r="F4753" s="64">
        <v>4750</v>
      </c>
      <c r="G4753" s="64">
        <f t="shared" ca="1" si="113"/>
        <v>-9.3246807352691582E-3</v>
      </c>
    </row>
    <row r="4754" spans="6:7" x14ac:dyDescent="0.3">
      <c r="F4754" s="64">
        <v>4751</v>
      </c>
      <c r="G4754" s="64">
        <f t="shared" ca="1" si="113"/>
        <v>3.3964819009655103E-3</v>
      </c>
    </row>
    <row r="4755" spans="6:7" x14ac:dyDescent="0.3">
      <c r="F4755" s="64">
        <v>4752</v>
      </c>
      <c r="G4755" s="64">
        <f t="shared" ca="1" si="113"/>
        <v>-3.3022248078306948E-2</v>
      </c>
    </row>
    <row r="4756" spans="6:7" x14ac:dyDescent="0.3">
      <c r="F4756" s="64">
        <v>4753</v>
      </c>
      <c r="G4756" s="64">
        <f t="shared" ca="1" si="113"/>
        <v>-1.4465380488643678E-2</v>
      </c>
    </row>
    <row r="4757" spans="6:7" x14ac:dyDescent="0.3">
      <c r="F4757" s="64">
        <v>4754</v>
      </c>
      <c r="G4757" s="64">
        <f t="shared" ca="1" si="113"/>
        <v>1.4113018228624507E-4</v>
      </c>
    </row>
    <row r="4758" spans="6:7" x14ac:dyDescent="0.3">
      <c r="F4758" s="64">
        <v>4755</v>
      </c>
      <c r="G4758" s="64">
        <f t="shared" ca="1" si="113"/>
        <v>2.5377072336220621E-2</v>
      </c>
    </row>
    <row r="4759" spans="6:7" x14ac:dyDescent="0.3">
      <c r="F4759" s="64">
        <v>4756</v>
      </c>
      <c r="G4759" s="64">
        <f t="shared" ca="1" si="113"/>
        <v>2.5735335423225078E-2</v>
      </c>
    </row>
    <row r="4760" spans="6:7" x14ac:dyDescent="0.3">
      <c r="F4760" s="64">
        <v>4757</v>
      </c>
      <c r="G4760" s="64">
        <f t="shared" ca="1" si="113"/>
        <v>-5.9295102434239761E-3</v>
      </c>
    </row>
    <row r="4761" spans="6:7" x14ac:dyDescent="0.3">
      <c r="F4761" s="64">
        <v>4758</v>
      </c>
      <c r="G4761" s="64">
        <f t="shared" ca="1" si="113"/>
        <v>2.1533825557654943E-2</v>
      </c>
    </row>
    <row r="4762" spans="6:7" x14ac:dyDescent="0.3">
      <c r="F4762" s="64">
        <v>4759</v>
      </c>
      <c r="G4762" s="64">
        <f t="shared" ca="1" si="113"/>
        <v>-2.4674182666513671E-4</v>
      </c>
    </row>
    <row r="4763" spans="6:7" x14ac:dyDescent="0.3">
      <c r="F4763" s="64">
        <v>4760</v>
      </c>
      <c r="G4763" s="64">
        <f t="shared" ca="1" si="113"/>
        <v>8.8516482749664976E-3</v>
      </c>
    </row>
    <row r="4764" spans="6:7" x14ac:dyDescent="0.3">
      <c r="F4764" s="64">
        <v>4761</v>
      </c>
      <c r="G4764" s="64">
        <f t="shared" ca="1" si="113"/>
        <v>2.3945880537440796E-2</v>
      </c>
    </row>
    <row r="4765" spans="6:7" x14ac:dyDescent="0.3">
      <c r="F4765" s="64">
        <v>4762</v>
      </c>
      <c r="G4765" s="64">
        <f t="shared" ca="1" si="113"/>
        <v>8.3695649462875096E-3</v>
      </c>
    </row>
    <row r="4766" spans="6:7" x14ac:dyDescent="0.3">
      <c r="F4766" s="64">
        <v>4763</v>
      </c>
      <c r="G4766" s="64">
        <f t="shared" ca="1" si="113"/>
        <v>-1.3877284496071804E-2</v>
      </c>
    </row>
    <row r="4767" spans="6:7" x14ac:dyDescent="0.3">
      <c r="F4767" s="64">
        <v>4764</v>
      </c>
      <c r="G4767" s="64">
        <f t="shared" ca="1" si="113"/>
        <v>2.9406963334982987E-2</v>
      </c>
    </row>
    <row r="4768" spans="6:7" x14ac:dyDescent="0.3">
      <c r="F4768" s="64">
        <v>4765</v>
      </c>
      <c r="G4768" s="64">
        <f t="shared" ca="1" si="113"/>
        <v>1.0330635752478163E-2</v>
      </c>
    </row>
    <row r="4769" spans="6:7" x14ac:dyDescent="0.3">
      <c r="F4769" s="64">
        <v>4766</v>
      </c>
      <c r="G4769" s="64">
        <f t="shared" ca="1" si="113"/>
        <v>7.8726969325258189E-3</v>
      </c>
    </row>
    <row r="4770" spans="6:7" x14ac:dyDescent="0.3">
      <c r="F4770" s="64">
        <v>4767</v>
      </c>
      <c r="G4770" s="64">
        <f t="shared" ca="1" si="113"/>
        <v>-1.0266495487352072E-3</v>
      </c>
    </row>
    <row r="4771" spans="6:7" x14ac:dyDescent="0.3">
      <c r="F4771" s="64">
        <v>4768</v>
      </c>
      <c r="G4771" s="64">
        <f t="shared" ca="1" si="113"/>
        <v>9.6492080679430534E-3</v>
      </c>
    </row>
    <row r="4772" spans="6:7" x14ac:dyDescent="0.3">
      <c r="F4772" s="64">
        <v>4769</v>
      </c>
      <c r="G4772" s="64">
        <f t="shared" ca="1" si="113"/>
        <v>-4.4263669450340789E-3</v>
      </c>
    </row>
    <row r="4773" spans="6:7" x14ac:dyDescent="0.3">
      <c r="F4773" s="64">
        <v>4770</v>
      </c>
      <c r="G4773" s="64">
        <f t="shared" ca="1" si="113"/>
        <v>6.9337689405471366E-3</v>
      </c>
    </row>
    <row r="4774" spans="6:7" x14ac:dyDescent="0.3">
      <c r="F4774" s="64">
        <v>4771</v>
      </c>
      <c r="G4774" s="64">
        <f t="shared" ca="1" si="113"/>
        <v>-2.9559741062315362E-2</v>
      </c>
    </row>
    <row r="4775" spans="6:7" x14ac:dyDescent="0.3">
      <c r="F4775" s="64">
        <v>4772</v>
      </c>
      <c r="G4775" s="64">
        <f t="shared" ca="1" si="113"/>
        <v>-2.3329149673998566E-2</v>
      </c>
    </row>
    <row r="4776" spans="6:7" x14ac:dyDescent="0.3">
      <c r="F4776" s="64">
        <v>4773</v>
      </c>
      <c r="G4776" s="64">
        <f t="shared" ca="1" si="113"/>
        <v>2.7163020754655638E-3</v>
      </c>
    </row>
    <row r="4777" spans="6:7" x14ac:dyDescent="0.3">
      <c r="F4777" s="64">
        <v>4774</v>
      </c>
      <c r="G4777" s="64">
        <f t="shared" ca="1" si="113"/>
        <v>-1.5887846425349683E-2</v>
      </c>
    </row>
    <row r="4778" spans="6:7" x14ac:dyDescent="0.3">
      <c r="F4778" s="64">
        <v>4775</v>
      </c>
      <c r="G4778" s="64">
        <f t="shared" ca="1" si="113"/>
        <v>8.5088653895324003E-3</v>
      </c>
    </row>
    <row r="4779" spans="6:7" x14ac:dyDescent="0.3">
      <c r="F4779" s="64">
        <v>4776</v>
      </c>
      <c r="G4779" s="64">
        <f t="shared" ca="1" si="113"/>
        <v>-1.491269817287001E-2</v>
      </c>
    </row>
    <row r="4780" spans="6:7" x14ac:dyDescent="0.3">
      <c r="F4780" s="64">
        <v>4777</v>
      </c>
      <c r="G4780" s="64">
        <f t="shared" ca="1" si="113"/>
        <v>-1.408519292462382E-2</v>
      </c>
    </row>
    <row r="4781" spans="6:7" x14ac:dyDescent="0.3">
      <c r="F4781" s="64">
        <v>4778</v>
      </c>
      <c r="G4781" s="64">
        <f t="shared" ca="1" si="113"/>
        <v>-8.655777541723312E-3</v>
      </c>
    </row>
    <row r="4782" spans="6:7" x14ac:dyDescent="0.3">
      <c r="F4782" s="64">
        <v>4779</v>
      </c>
      <c r="G4782" s="64">
        <f t="shared" ca="1" si="113"/>
        <v>-2.6476082485116909E-3</v>
      </c>
    </row>
    <row r="4783" spans="6:7" x14ac:dyDescent="0.3">
      <c r="F4783" s="64">
        <v>4780</v>
      </c>
      <c r="G4783" s="64">
        <f t="shared" ca="1" si="113"/>
        <v>-6.470034550429599E-3</v>
      </c>
    </row>
    <row r="4784" spans="6:7" x14ac:dyDescent="0.3">
      <c r="F4784" s="64">
        <v>4781</v>
      </c>
      <c r="G4784" s="64">
        <f t="shared" ca="1" si="113"/>
        <v>-6.4804268218556574E-2</v>
      </c>
    </row>
    <row r="4785" spans="6:7" x14ac:dyDescent="0.3">
      <c r="F4785" s="64">
        <v>4782</v>
      </c>
      <c r="G4785" s="64">
        <f t="shared" ca="1" si="113"/>
        <v>1.4560631689799191E-2</v>
      </c>
    </row>
    <row r="4786" spans="6:7" x14ac:dyDescent="0.3">
      <c r="F4786" s="64">
        <v>4783</v>
      </c>
      <c r="G4786" s="64">
        <f t="shared" ca="1" si="113"/>
        <v>-2.11700754676983E-2</v>
      </c>
    </row>
    <row r="4787" spans="6:7" x14ac:dyDescent="0.3">
      <c r="F4787" s="64">
        <v>4784</v>
      </c>
      <c r="G4787" s="64">
        <f t="shared" ca="1" si="113"/>
        <v>-1.4404960033438809E-2</v>
      </c>
    </row>
    <row r="4788" spans="6:7" x14ac:dyDescent="0.3">
      <c r="F4788" s="64">
        <v>4785</v>
      </c>
      <c r="G4788" s="64">
        <f t="shared" ca="1" si="113"/>
        <v>9.5150320433644037E-3</v>
      </c>
    </row>
    <row r="4789" spans="6:7" x14ac:dyDescent="0.3">
      <c r="F4789" s="64">
        <v>4786</v>
      </c>
      <c r="G4789" s="64">
        <f t="shared" ca="1" si="113"/>
        <v>4.8203872799011116E-2</v>
      </c>
    </row>
    <row r="4790" spans="6:7" x14ac:dyDescent="0.3">
      <c r="F4790" s="64">
        <v>4787</v>
      </c>
      <c r="G4790" s="64">
        <f t="shared" ca="1" si="113"/>
        <v>-1.751740421661846E-3</v>
      </c>
    </row>
    <row r="4791" spans="6:7" x14ac:dyDescent="0.3">
      <c r="F4791" s="64">
        <v>4788</v>
      </c>
      <c r="G4791" s="64">
        <f t="shared" ca="1" si="113"/>
        <v>2.3444971941074054E-2</v>
      </c>
    </row>
    <row r="4792" spans="6:7" x14ac:dyDescent="0.3">
      <c r="F4792" s="64">
        <v>4789</v>
      </c>
      <c r="G4792" s="64">
        <f t="shared" ca="1" si="113"/>
        <v>2.1786625136582166E-2</v>
      </c>
    </row>
    <row r="4793" spans="6:7" x14ac:dyDescent="0.3">
      <c r="F4793" s="64">
        <v>4790</v>
      </c>
      <c r="G4793" s="64">
        <f t="shared" ca="1" si="113"/>
        <v>5.8364228688050461E-3</v>
      </c>
    </row>
    <row r="4794" spans="6:7" x14ac:dyDescent="0.3">
      <c r="F4794" s="64">
        <v>4791</v>
      </c>
      <c r="G4794" s="64">
        <f t="shared" ca="1" si="113"/>
        <v>-4.1591174998060428E-2</v>
      </c>
    </row>
    <row r="4795" spans="6:7" x14ac:dyDescent="0.3">
      <c r="F4795" s="64">
        <v>4792</v>
      </c>
      <c r="G4795" s="64">
        <f t="shared" ca="1" si="113"/>
        <v>-1.0163705031055894E-2</v>
      </c>
    </row>
    <row r="4796" spans="6:7" x14ac:dyDescent="0.3">
      <c r="F4796" s="64">
        <v>4793</v>
      </c>
      <c r="G4796" s="64">
        <f t="shared" ca="1" si="113"/>
        <v>-2.6343026944187871E-3</v>
      </c>
    </row>
    <row r="4797" spans="6:7" x14ac:dyDescent="0.3">
      <c r="F4797" s="64">
        <v>4794</v>
      </c>
      <c r="G4797" s="64">
        <f t="shared" ca="1" si="113"/>
        <v>-5.0825677307310014E-3</v>
      </c>
    </row>
    <row r="4798" spans="6:7" x14ac:dyDescent="0.3">
      <c r="F4798" s="64">
        <v>4795</v>
      </c>
      <c r="G4798" s="64">
        <f t="shared" ca="1" si="113"/>
        <v>2.0076312904335022E-2</v>
      </c>
    </row>
    <row r="4799" spans="6:7" x14ac:dyDescent="0.3">
      <c r="F4799" s="64">
        <v>4796</v>
      </c>
      <c r="G4799" s="64">
        <f t="shared" ca="1" si="113"/>
        <v>-1.444744623559498E-2</v>
      </c>
    </row>
    <row r="4800" spans="6:7" x14ac:dyDescent="0.3">
      <c r="F4800" s="64">
        <v>4797</v>
      </c>
      <c r="G4800" s="64">
        <f t="shared" ca="1" si="113"/>
        <v>1.1935883340510626E-2</v>
      </c>
    </row>
    <row r="4801" spans="6:7" x14ac:dyDescent="0.3">
      <c r="F4801" s="64">
        <v>4798</v>
      </c>
      <c r="G4801" s="64">
        <f t="shared" ca="1" si="113"/>
        <v>-5.579643965629791E-3</v>
      </c>
    </row>
    <row r="4802" spans="6:7" x14ac:dyDescent="0.3">
      <c r="F4802" s="64">
        <v>4799</v>
      </c>
      <c r="G4802" s="64">
        <f t="shared" ca="1" si="113"/>
        <v>3.0321019763058454E-2</v>
      </c>
    </row>
    <row r="4803" spans="6:7" x14ac:dyDescent="0.3">
      <c r="F4803" s="64">
        <v>4800</v>
      </c>
      <c r="G4803" s="64">
        <f t="shared" ca="1" si="113"/>
        <v>1.6983104355700357E-2</v>
      </c>
    </row>
    <row r="4804" spans="6:7" x14ac:dyDescent="0.3">
      <c r="F4804" s="64">
        <v>4801</v>
      </c>
      <c r="G4804" s="64">
        <f t="shared" ca="1" si="113"/>
        <v>-8.3788266040665388E-3</v>
      </c>
    </row>
    <row r="4805" spans="6:7" x14ac:dyDescent="0.3">
      <c r="F4805" s="64">
        <v>4802</v>
      </c>
      <c r="G4805" s="64">
        <f t="shared" ref="G4805:G4868" ca="1" si="114">_xlfn.NORM.INV(RAND(),K$6,K$7)</f>
        <v>-4.5974922376148565E-3</v>
      </c>
    </row>
    <row r="4806" spans="6:7" x14ac:dyDescent="0.3">
      <c r="F4806" s="64">
        <v>4803</v>
      </c>
      <c r="G4806" s="64">
        <f t="shared" ca="1" si="114"/>
        <v>-8.2384223800721686E-3</v>
      </c>
    </row>
    <row r="4807" spans="6:7" x14ac:dyDescent="0.3">
      <c r="F4807" s="64">
        <v>4804</v>
      </c>
      <c r="G4807" s="64">
        <f t="shared" ca="1" si="114"/>
        <v>-6.3765640396504968E-3</v>
      </c>
    </row>
    <row r="4808" spans="6:7" x14ac:dyDescent="0.3">
      <c r="F4808" s="64">
        <v>4805</v>
      </c>
      <c r="G4808" s="64">
        <f t="shared" ca="1" si="114"/>
        <v>1.99922357634294E-2</v>
      </c>
    </row>
    <row r="4809" spans="6:7" x14ac:dyDescent="0.3">
      <c r="F4809" s="64">
        <v>4806</v>
      </c>
      <c r="G4809" s="64">
        <f t="shared" ca="1" si="114"/>
        <v>3.5358851753876539E-3</v>
      </c>
    </row>
    <row r="4810" spans="6:7" x14ac:dyDescent="0.3">
      <c r="F4810" s="64">
        <v>4807</v>
      </c>
      <c r="G4810" s="64">
        <f t="shared" ca="1" si="114"/>
        <v>-1.2939025909258252E-2</v>
      </c>
    </row>
    <row r="4811" spans="6:7" x14ac:dyDescent="0.3">
      <c r="F4811" s="64">
        <v>4808</v>
      </c>
      <c r="G4811" s="64">
        <f t="shared" ca="1" si="114"/>
        <v>-2.539421819411216E-3</v>
      </c>
    </row>
    <row r="4812" spans="6:7" x14ac:dyDescent="0.3">
      <c r="F4812" s="64">
        <v>4809</v>
      </c>
      <c r="G4812" s="64">
        <f t="shared" ca="1" si="114"/>
        <v>-1.2829156347969647E-2</v>
      </c>
    </row>
    <row r="4813" spans="6:7" x14ac:dyDescent="0.3">
      <c r="F4813" s="64">
        <v>4810</v>
      </c>
      <c r="G4813" s="64">
        <f t="shared" ca="1" si="114"/>
        <v>-3.3622922702270554E-3</v>
      </c>
    </row>
    <row r="4814" spans="6:7" x14ac:dyDescent="0.3">
      <c r="F4814" s="64">
        <v>4811</v>
      </c>
      <c r="G4814" s="64">
        <f t="shared" ca="1" si="114"/>
        <v>-8.3393114934166152E-3</v>
      </c>
    </row>
    <row r="4815" spans="6:7" x14ac:dyDescent="0.3">
      <c r="F4815" s="64">
        <v>4812</v>
      </c>
      <c r="G4815" s="64">
        <f t="shared" ca="1" si="114"/>
        <v>-1.8224338755731491E-2</v>
      </c>
    </row>
    <row r="4816" spans="6:7" x14ac:dyDescent="0.3">
      <c r="F4816" s="64">
        <v>4813</v>
      </c>
      <c r="G4816" s="64">
        <f t="shared" ca="1" si="114"/>
        <v>-2.5123103097302077E-2</v>
      </c>
    </row>
    <row r="4817" spans="6:7" x14ac:dyDescent="0.3">
      <c r="F4817" s="64">
        <v>4814</v>
      </c>
      <c r="G4817" s="64">
        <f t="shared" ca="1" si="114"/>
        <v>1.1763344371399812E-2</v>
      </c>
    </row>
    <row r="4818" spans="6:7" x14ac:dyDescent="0.3">
      <c r="F4818" s="64">
        <v>4815</v>
      </c>
      <c r="G4818" s="64">
        <f t="shared" ca="1" si="114"/>
        <v>2.0578608808270567E-2</v>
      </c>
    </row>
    <row r="4819" spans="6:7" x14ac:dyDescent="0.3">
      <c r="F4819" s="64">
        <v>4816</v>
      </c>
      <c r="G4819" s="64">
        <f t="shared" ca="1" si="114"/>
        <v>9.109170675411284E-3</v>
      </c>
    </row>
    <row r="4820" spans="6:7" x14ac:dyDescent="0.3">
      <c r="F4820" s="64">
        <v>4817</v>
      </c>
      <c r="G4820" s="64">
        <f t="shared" ca="1" si="114"/>
        <v>1.6287604719726026E-2</v>
      </c>
    </row>
    <row r="4821" spans="6:7" x14ac:dyDescent="0.3">
      <c r="F4821" s="64">
        <v>4818</v>
      </c>
      <c r="G4821" s="64">
        <f t="shared" ca="1" si="114"/>
        <v>-5.1010553412219172E-3</v>
      </c>
    </row>
    <row r="4822" spans="6:7" x14ac:dyDescent="0.3">
      <c r="F4822" s="64">
        <v>4819</v>
      </c>
      <c r="G4822" s="64">
        <f t="shared" ca="1" si="114"/>
        <v>1.7400154316377196E-2</v>
      </c>
    </row>
    <row r="4823" spans="6:7" x14ac:dyDescent="0.3">
      <c r="F4823" s="64">
        <v>4820</v>
      </c>
      <c r="G4823" s="64">
        <f t="shared" ca="1" si="114"/>
        <v>-1.4714114929174548E-3</v>
      </c>
    </row>
    <row r="4824" spans="6:7" x14ac:dyDescent="0.3">
      <c r="F4824" s="64">
        <v>4821</v>
      </c>
      <c r="G4824" s="64">
        <f t="shared" ca="1" si="114"/>
        <v>-2.3300351749418378E-2</v>
      </c>
    </row>
    <row r="4825" spans="6:7" x14ac:dyDescent="0.3">
      <c r="F4825" s="64">
        <v>4822</v>
      </c>
      <c r="G4825" s="64">
        <f t="shared" ca="1" si="114"/>
        <v>2.8902739450979743E-2</v>
      </c>
    </row>
    <row r="4826" spans="6:7" x14ac:dyDescent="0.3">
      <c r="F4826" s="64">
        <v>4823</v>
      </c>
      <c r="G4826" s="64">
        <f t="shared" ca="1" si="114"/>
        <v>1.9919582935650403E-2</v>
      </c>
    </row>
    <row r="4827" spans="6:7" x14ac:dyDescent="0.3">
      <c r="F4827" s="64">
        <v>4824</v>
      </c>
      <c r="G4827" s="64">
        <f t="shared" ca="1" si="114"/>
        <v>-1.8178894705182164E-2</v>
      </c>
    </row>
    <row r="4828" spans="6:7" x14ac:dyDescent="0.3">
      <c r="F4828" s="64">
        <v>4825</v>
      </c>
      <c r="G4828" s="64">
        <f t="shared" ca="1" si="114"/>
        <v>2.5905017100458672E-2</v>
      </c>
    </row>
    <row r="4829" spans="6:7" x14ac:dyDescent="0.3">
      <c r="F4829" s="64">
        <v>4826</v>
      </c>
      <c r="G4829" s="64">
        <f t="shared" ca="1" si="114"/>
        <v>1.4990650509140278E-2</v>
      </c>
    </row>
    <row r="4830" spans="6:7" x14ac:dyDescent="0.3">
      <c r="F4830" s="64">
        <v>4827</v>
      </c>
      <c r="G4830" s="64">
        <f t="shared" ca="1" si="114"/>
        <v>-1.6836748807364882E-2</v>
      </c>
    </row>
    <row r="4831" spans="6:7" x14ac:dyDescent="0.3">
      <c r="F4831" s="64">
        <v>4828</v>
      </c>
      <c r="G4831" s="64">
        <f t="shared" ca="1" si="114"/>
        <v>-4.6093111517597901E-3</v>
      </c>
    </row>
    <row r="4832" spans="6:7" x14ac:dyDescent="0.3">
      <c r="F4832" s="64">
        <v>4829</v>
      </c>
      <c r="G4832" s="64">
        <f t="shared" ca="1" si="114"/>
        <v>-7.6442148738339252E-3</v>
      </c>
    </row>
    <row r="4833" spans="6:7" x14ac:dyDescent="0.3">
      <c r="F4833" s="64">
        <v>4830</v>
      </c>
      <c r="G4833" s="64">
        <f t="shared" ca="1" si="114"/>
        <v>-1.7465117359063763E-3</v>
      </c>
    </row>
    <row r="4834" spans="6:7" x14ac:dyDescent="0.3">
      <c r="F4834" s="64">
        <v>4831</v>
      </c>
      <c r="G4834" s="64">
        <f t="shared" ca="1" si="114"/>
        <v>-3.3488119994792509E-2</v>
      </c>
    </row>
    <row r="4835" spans="6:7" x14ac:dyDescent="0.3">
      <c r="F4835" s="64">
        <v>4832</v>
      </c>
      <c r="G4835" s="64">
        <f t="shared" ca="1" si="114"/>
        <v>-1.1285203787593855E-2</v>
      </c>
    </row>
    <row r="4836" spans="6:7" x14ac:dyDescent="0.3">
      <c r="F4836" s="64">
        <v>4833</v>
      </c>
      <c r="G4836" s="64">
        <f t="shared" ca="1" si="114"/>
        <v>7.7585319597310803E-4</v>
      </c>
    </row>
    <row r="4837" spans="6:7" x14ac:dyDescent="0.3">
      <c r="F4837" s="64">
        <v>4834</v>
      </c>
      <c r="G4837" s="64">
        <f t="shared" ca="1" si="114"/>
        <v>-1.3785046484116336E-2</v>
      </c>
    </row>
    <row r="4838" spans="6:7" x14ac:dyDescent="0.3">
      <c r="F4838" s="64">
        <v>4835</v>
      </c>
      <c r="G4838" s="64">
        <f t="shared" ca="1" si="114"/>
        <v>-2.2095945153432224E-2</v>
      </c>
    </row>
    <row r="4839" spans="6:7" x14ac:dyDescent="0.3">
      <c r="F4839" s="64">
        <v>4836</v>
      </c>
      <c r="G4839" s="64">
        <f t="shared" ca="1" si="114"/>
        <v>-4.4694541287180339E-4</v>
      </c>
    </row>
    <row r="4840" spans="6:7" x14ac:dyDescent="0.3">
      <c r="F4840" s="64">
        <v>4837</v>
      </c>
      <c r="G4840" s="64">
        <f t="shared" ca="1" si="114"/>
        <v>-8.7585353391404705E-3</v>
      </c>
    </row>
    <row r="4841" spans="6:7" x14ac:dyDescent="0.3">
      <c r="F4841" s="64">
        <v>4838</v>
      </c>
      <c r="G4841" s="64">
        <f t="shared" ca="1" si="114"/>
        <v>-2.1278702184683619E-2</v>
      </c>
    </row>
    <row r="4842" spans="6:7" x14ac:dyDescent="0.3">
      <c r="F4842" s="64">
        <v>4839</v>
      </c>
      <c r="G4842" s="64">
        <f t="shared" ca="1" si="114"/>
        <v>-3.7571767757052024E-3</v>
      </c>
    </row>
    <row r="4843" spans="6:7" x14ac:dyDescent="0.3">
      <c r="F4843" s="64">
        <v>4840</v>
      </c>
      <c r="G4843" s="64">
        <f t="shared" ca="1" si="114"/>
        <v>-4.7803931069192096E-4</v>
      </c>
    </row>
    <row r="4844" spans="6:7" x14ac:dyDescent="0.3">
      <c r="F4844" s="64">
        <v>4841</v>
      </c>
      <c r="G4844" s="64">
        <f t="shared" ca="1" si="114"/>
        <v>7.4828605363707803E-3</v>
      </c>
    </row>
    <row r="4845" spans="6:7" x14ac:dyDescent="0.3">
      <c r="F4845" s="64">
        <v>4842</v>
      </c>
      <c r="G4845" s="64">
        <f t="shared" ca="1" si="114"/>
        <v>1.0687413092452861E-2</v>
      </c>
    </row>
    <row r="4846" spans="6:7" x14ac:dyDescent="0.3">
      <c r="F4846" s="64">
        <v>4843</v>
      </c>
      <c r="G4846" s="64">
        <f t="shared" ca="1" si="114"/>
        <v>1.6178316017419227E-2</v>
      </c>
    </row>
    <row r="4847" spans="6:7" x14ac:dyDescent="0.3">
      <c r="F4847" s="64">
        <v>4844</v>
      </c>
      <c r="G4847" s="64">
        <f t="shared" ca="1" si="114"/>
        <v>2.5249003417019987E-2</v>
      </c>
    </row>
    <row r="4848" spans="6:7" x14ac:dyDescent="0.3">
      <c r="F4848" s="64">
        <v>4845</v>
      </c>
      <c r="G4848" s="64">
        <f t="shared" ca="1" si="114"/>
        <v>-2.6537940454815792E-2</v>
      </c>
    </row>
    <row r="4849" spans="6:7" x14ac:dyDescent="0.3">
      <c r="F4849" s="64">
        <v>4846</v>
      </c>
      <c r="G4849" s="64">
        <f t="shared" ca="1" si="114"/>
        <v>1.2633341405123628E-2</v>
      </c>
    </row>
    <row r="4850" spans="6:7" x14ac:dyDescent="0.3">
      <c r="F4850" s="64">
        <v>4847</v>
      </c>
      <c r="G4850" s="64">
        <f t="shared" ca="1" si="114"/>
        <v>2.9709860605706274E-2</v>
      </c>
    </row>
    <row r="4851" spans="6:7" x14ac:dyDescent="0.3">
      <c r="F4851" s="64">
        <v>4848</v>
      </c>
      <c r="G4851" s="64">
        <f t="shared" ca="1" si="114"/>
        <v>4.4059329238590392E-2</v>
      </c>
    </row>
    <row r="4852" spans="6:7" x14ac:dyDescent="0.3">
      <c r="F4852" s="64">
        <v>4849</v>
      </c>
      <c r="G4852" s="64">
        <f t="shared" ca="1" si="114"/>
        <v>-2.7749350963836373E-3</v>
      </c>
    </row>
    <row r="4853" spans="6:7" x14ac:dyDescent="0.3">
      <c r="F4853" s="64">
        <v>4850</v>
      </c>
      <c r="G4853" s="64">
        <f t="shared" ca="1" si="114"/>
        <v>-1.3446117697312326E-2</v>
      </c>
    </row>
    <row r="4854" spans="6:7" x14ac:dyDescent="0.3">
      <c r="F4854" s="64">
        <v>4851</v>
      </c>
      <c r="G4854" s="64">
        <f t="shared" ca="1" si="114"/>
        <v>1.4883740885231372E-2</v>
      </c>
    </row>
    <row r="4855" spans="6:7" x14ac:dyDescent="0.3">
      <c r="F4855" s="64">
        <v>4852</v>
      </c>
      <c r="G4855" s="64">
        <f t="shared" ca="1" si="114"/>
        <v>1.9743469449126888E-2</v>
      </c>
    </row>
    <row r="4856" spans="6:7" x14ac:dyDescent="0.3">
      <c r="F4856" s="64">
        <v>4853</v>
      </c>
      <c r="G4856" s="64">
        <f t="shared" ca="1" si="114"/>
        <v>6.5706321168345766E-3</v>
      </c>
    </row>
    <row r="4857" spans="6:7" x14ac:dyDescent="0.3">
      <c r="F4857" s="64">
        <v>4854</v>
      </c>
      <c r="G4857" s="64">
        <f t="shared" ca="1" si="114"/>
        <v>1.9627236361935564E-2</v>
      </c>
    </row>
    <row r="4858" spans="6:7" x14ac:dyDescent="0.3">
      <c r="F4858" s="64">
        <v>4855</v>
      </c>
      <c r="G4858" s="64">
        <f t="shared" ca="1" si="114"/>
        <v>1.4216490140339216E-2</v>
      </c>
    </row>
    <row r="4859" spans="6:7" x14ac:dyDescent="0.3">
      <c r="F4859" s="64">
        <v>4856</v>
      </c>
      <c r="G4859" s="64">
        <f t="shared" ca="1" si="114"/>
        <v>6.3417768452796348E-3</v>
      </c>
    </row>
    <row r="4860" spans="6:7" x14ac:dyDescent="0.3">
      <c r="F4860" s="64">
        <v>4857</v>
      </c>
      <c r="G4860" s="64">
        <f t="shared" ca="1" si="114"/>
        <v>-6.7788511556933608E-3</v>
      </c>
    </row>
    <row r="4861" spans="6:7" x14ac:dyDescent="0.3">
      <c r="F4861" s="64">
        <v>4858</v>
      </c>
      <c r="G4861" s="64">
        <f t="shared" ca="1" si="114"/>
        <v>-2.8146062554072142E-2</v>
      </c>
    </row>
    <row r="4862" spans="6:7" x14ac:dyDescent="0.3">
      <c r="F4862" s="64">
        <v>4859</v>
      </c>
      <c r="G4862" s="64">
        <f t="shared" ca="1" si="114"/>
        <v>3.2682192481914764E-2</v>
      </c>
    </row>
    <row r="4863" spans="6:7" x14ac:dyDescent="0.3">
      <c r="F4863" s="64">
        <v>4860</v>
      </c>
      <c r="G4863" s="64">
        <f t="shared" ca="1" si="114"/>
        <v>-1.0065342042923503E-2</v>
      </c>
    </row>
    <row r="4864" spans="6:7" x14ac:dyDescent="0.3">
      <c r="F4864" s="64">
        <v>4861</v>
      </c>
      <c r="G4864" s="64">
        <f t="shared" ca="1" si="114"/>
        <v>-1.4473850206247677E-2</v>
      </c>
    </row>
    <row r="4865" spans="6:7" x14ac:dyDescent="0.3">
      <c r="F4865" s="64">
        <v>4862</v>
      </c>
      <c r="G4865" s="64">
        <f t="shared" ca="1" si="114"/>
        <v>2.0259241005242498E-2</v>
      </c>
    </row>
    <row r="4866" spans="6:7" x14ac:dyDescent="0.3">
      <c r="F4866" s="64">
        <v>4863</v>
      </c>
      <c r="G4866" s="64">
        <f t="shared" ca="1" si="114"/>
        <v>-1.3615801963548055E-3</v>
      </c>
    </row>
    <row r="4867" spans="6:7" x14ac:dyDescent="0.3">
      <c r="F4867" s="64">
        <v>4864</v>
      </c>
      <c r="G4867" s="64">
        <f t="shared" ca="1" si="114"/>
        <v>-8.3054645598646098E-5</v>
      </c>
    </row>
    <row r="4868" spans="6:7" x14ac:dyDescent="0.3">
      <c r="F4868" s="64">
        <v>4865</v>
      </c>
      <c r="G4868" s="64">
        <f t="shared" ca="1" si="114"/>
        <v>2.2693363523619142E-2</v>
      </c>
    </row>
    <row r="4869" spans="6:7" x14ac:dyDescent="0.3">
      <c r="F4869" s="64">
        <v>4866</v>
      </c>
      <c r="G4869" s="64">
        <f t="shared" ref="G4869:G4932" ca="1" si="115">_xlfn.NORM.INV(RAND(),K$6,K$7)</f>
        <v>-3.7542897359515028E-2</v>
      </c>
    </row>
    <row r="4870" spans="6:7" x14ac:dyDescent="0.3">
      <c r="F4870" s="64">
        <v>4867</v>
      </c>
      <c r="G4870" s="64">
        <f t="shared" ca="1" si="115"/>
        <v>9.8379393584017392E-3</v>
      </c>
    </row>
    <row r="4871" spans="6:7" x14ac:dyDescent="0.3">
      <c r="F4871" s="64">
        <v>4868</v>
      </c>
      <c r="G4871" s="64">
        <f t="shared" ca="1" si="115"/>
        <v>-9.2543603545866496E-3</v>
      </c>
    </row>
    <row r="4872" spans="6:7" x14ac:dyDescent="0.3">
      <c r="F4872" s="64">
        <v>4869</v>
      </c>
      <c r="G4872" s="64">
        <f t="shared" ca="1" si="115"/>
        <v>2.536743228972807E-2</v>
      </c>
    </row>
    <row r="4873" spans="6:7" x14ac:dyDescent="0.3">
      <c r="F4873" s="64">
        <v>4870</v>
      </c>
      <c r="G4873" s="64">
        <f t="shared" ca="1" si="115"/>
        <v>2.3431463332344096E-2</v>
      </c>
    </row>
    <row r="4874" spans="6:7" x14ac:dyDescent="0.3">
      <c r="F4874" s="64">
        <v>4871</v>
      </c>
      <c r="G4874" s="64">
        <f t="shared" ca="1" si="115"/>
        <v>2.6668088585159865E-2</v>
      </c>
    </row>
    <row r="4875" spans="6:7" x14ac:dyDescent="0.3">
      <c r="F4875" s="64">
        <v>4872</v>
      </c>
      <c r="G4875" s="64">
        <f t="shared" ca="1" si="115"/>
        <v>-3.6599749310441457E-4</v>
      </c>
    </row>
    <row r="4876" spans="6:7" x14ac:dyDescent="0.3">
      <c r="F4876" s="64">
        <v>4873</v>
      </c>
      <c r="G4876" s="64">
        <f t="shared" ca="1" si="115"/>
        <v>-1.5102132449230964E-2</v>
      </c>
    </row>
    <row r="4877" spans="6:7" x14ac:dyDescent="0.3">
      <c r="F4877" s="64">
        <v>4874</v>
      </c>
      <c r="G4877" s="64">
        <f t="shared" ca="1" si="115"/>
        <v>-3.5658938702826121E-3</v>
      </c>
    </row>
    <row r="4878" spans="6:7" x14ac:dyDescent="0.3">
      <c r="F4878" s="64">
        <v>4875</v>
      </c>
      <c r="G4878" s="64">
        <f t="shared" ca="1" si="115"/>
        <v>-1.7865295018352011E-2</v>
      </c>
    </row>
    <row r="4879" spans="6:7" x14ac:dyDescent="0.3">
      <c r="F4879" s="64">
        <v>4876</v>
      </c>
      <c r="G4879" s="64">
        <f t="shared" ca="1" si="115"/>
        <v>3.4224441291792702E-2</v>
      </c>
    </row>
    <row r="4880" spans="6:7" x14ac:dyDescent="0.3">
      <c r="F4880" s="64">
        <v>4877</v>
      </c>
      <c r="G4880" s="64">
        <f t="shared" ca="1" si="115"/>
        <v>-1.5317026923213553E-2</v>
      </c>
    </row>
    <row r="4881" spans="6:7" x14ac:dyDescent="0.3">
      <c r="F4881" s="64">
        <v>4878</v>
      </c>
      <c r="G4881" s="64">
        <f t="shared" ca="1" si="115"/>
        <v>1.8289174862593932E-2</v>
      </c>
    </row>
    <row r="4882" spans="6:7" x14ac:dyDescent="0.3">
      <c r="F4882" s="64">
        <v>4879</v>
      </c>
      <c r="G4882" s="64">
        <f t="shared" ca="1" si="115"/>
        <v>-3.412946376907154E-3</v>
      </c>
    </row>
    <row r="4883" spans="6:7" x14ac:dyDescent="0.3">
      <c r="F4883" s="64">
        <v>4880</v>
      </c>
      <c r="G4883" s="64">
        <f t="shared" ca="1" si="115"/>
        <v>6.9784836897364812E-3</v>
      </c>
    </row>
    <row r="4884" spans="6:7" x14ac:dyDescent="0.3">
      <c r="F4884" s="64">
        <v>4881</v>
      </c>
      <c r="G4884" s="64">
        <f t="shared" ca="1" si="115"/>
        <v>-8.2619161529246515E-3</v>
      </c>
    </row>
    <row r="4885" spans="6:7" x14ac:dyDescent="0.3">
      <c r="F4885" s="64">
        <v>4882</v>
      </c>
      <c r="G4885" s="64">
        <f t="shared" ca="1" si="115"/>
        <v>-2.5532883691465433E-2</v>
      </c>
    </row>
    <row r="4886" spans="6:7" x14ac:dyDescent="0.3">
      <c r="F4886" s="64">
        <v>4883</v>
      </c>
      <c r="G4886" s="64">
        <f t="shared" ca="1" si="115"/>
        <v>-6.0563262739376598E-3</v>
      </c>
    </row>
    <row r="4887" spans="6:7" x14ac:dyDescent="0.3">
      <c r="F4887" s="64">
        <v>4884</v>
      </c>
      <c r="G4887" s="64">
        <f t="shared" ca="1" si="115"/>
        <v>7.2103254564270663E-3</v>
      </c>
    </row>
    <row r="4888" spans="6:7" x14ac:dyDescent="0.3">
      <c r="F4888" s="64">
        <v>4885</v>
      </c>
      <c r="G4888" s="64">
        <f t="shared" ca="1" si="115"/>
        <v>2.1907983292285341E-2</v>
      </c>
    </row>
    <row r="4889" spans="6:7" x14ac:dyDescent="0.3">
      <c r="F4889" s="64">
        <v>4886</v>
      </c>
      <c r="G4889" s="64">
        <f t="shared" ca="1" si="115"/>
        <v>-1.0771285428699616E-2</v>
      </c>
    </row>
    <row r="4890" spans="6:7" x14ac:dyDescent="0.3">
      <c r="F4890" s="64">
        <v>4887</v>
      </c>
      <c r="G4890" s="64">
        <f t="shared" ca="1" si="115"/>
        <v>-2.9690498794056309E-2</v>
      </c>
    </row>
    <row r="4891" spans="6:7" x14ac:dyDescent="0.3">
      <c r="F4891" s="64">
        <v>4888</v>
      </c>
      <c r="G4891" s="64">
        <f t="shared" ca="1" si="115"/>
        <v>8.488315222865736E-3</v>
      </c>
    </row>
    <row r="4892" spans="6:7" x14ac:dyDescent="0.3">
      <c r="F4892" s="64">
        <v>4889</v>
      </c>
      <c r="G4892" s="64">
        <f t="shared" ca="1" si="115"/>
        <v>5.2388701172631207E-3</v>
      </c>
    </row>
    <row r="4893" spans="6:7" x14ac:dyDescent="0.3">
      <c r="F4893" s="64">
        <v>4890</v>
      </c>
      <c r="G4893" s="64">
        <f t="shared" ca="1" si="115"/>
        <v>1.1194519043381861E-2</v>
      </c>
    </row>
    <row r="4894" spans="6:7" x14ac:dyDescent="0.3">
      <c r="F4894" s="64">
        <v>4891</v>
      </c>
      <c r="G4894" s="64">
        <f t="shared" ca="1" si="115"/>
        <v>-1.8095276661778244E-2</v>
      </c>
    </row>
    <row r="4895" spans="6:7" x14ac:dyDescent="0.3">
      <c r="F4895" s="64">
        <v>4892</v>
      </c>
      <c r="G4895" s="64">
        <f t="shared" ca="1" si="115"/>
        <v>-6.7944926685107234E-3</v>
      </c>
    </row>
    <row r="4896" spans="6:7" x14ac:dyDescent="0.3">
      <c r="F4896" s="64">
        <v>4893</v>
      </c>
      <c r="G4896" s="64">
        <f t="shared" ca="1" si="115"/>
        <v>2.525544524871267E-2</v>
      </c>
    </row>
    <row r="4897" spans="6:7" x14ac:dyDescent="0.3">
      <c r="F4897" s="64">
        <v>4894</v>
      </c>
      <c r="G4897" s="64">
        <f t="shared" ca="1" si="115"/>
        <v>-1.344141644035589E-2</v>
      </c>
    </row>
    <row r="4898" spans="6:7" x14ac:dyDescent="0.3">
      <c r="F4898" s="64">
        <v>4895</v>
      </c>
      <c r="G4898" s="64">
        <f t="shared" ca="1" si="115"/>
        <v>-6.5378823325218374E-3</v>
      </c>
    </row>
    <row r="4899" spans="6:7" x14ac:dyDescent="0.3">
      <c r="F4899" s="64">
        <v>4896</v>
      </c>
      <c r="G4899" s="64">
        <f t="shared" ca="1" si="115"/>
        <v>4.0798081719533392E-4</v>
      </c>
    </row>
    <row r="4900" spans="6:7" x14ac:dyDescent="0.3">
      <c r="F4900" s="64">
        <v>4897</v>
      </c>
      <c r="G4900" s="64">
        <f t="shared" ca="1" si="115"/>
        <v>2.4777773710606889E-2</v>
      </c>
    </row>
    <row r="4901" spans="6:7" x14ac:dyDescent="0.3">
      <c r="F4901" s="64">
        <v>4898</v>
      </c>
      <c r="G4901" s="64">
        <f t="shared" ca="1" si="115"/>
        <v>-1.076114414023949E-2</v>
      </c>
    </row>
    <row r="4902" spans="6:7" x14ac:dyDescent="0.3">
      <c r="F4902" s="64">
        <v>4899</v>
      </c>
      <c r="G4902" s="64">
        <f t="shared" ca="1" si="115"/>
        <v>-1.9021537909219115E-2</v>
      </c>
    </row>
    <row r="4903" spans="6:7" x14ac:dyDescent="0.3">
      <c r="F4903" s="64">
        <v>4900</v>
      </c>
      <c r="G4903" s="64">
        <f t="shared" ca="1" si="115"/>
        <v>1.8979714971486518E-2</v>
      </c>
    </row>
    <row r="4904" spans="6:7" x14ac:dyDescent="0.3">
      <c r="F4904" s="64">
        <v>4901</v>
      </c>
      <c r="G4904" s="64">
        <f t="shared" ca="1" si="115"/>
        <v>7.0701334613533211E-3</v>
      </c>
    </row>
    <row r="4905" spans="6:7" x14ac:dyDescent="0.3">
      <c r="F4905" s="64">
        <v>4902</v>
      </c>
      <c r="G4905" s="64">
        <f t="shared" ca="1" si="115"/>
        <v>-2.0470861435599189E-2</v>
      </c>
    </row>
    <row r="4906" spans="6:7" x14ac:dyDescent="0.3">
      <c r="F4906" s="64">
        <v>4903</v>
      </c>
      <c r="G4906" s="64">
        <f t="shared" ca="1" si="115"/>
        <v>-4.0643990447780866E-2</v>
      </c>
    </row>
    <row r="4907" spans="6:7" x14ac:dyDescent="0.3">
      <c r="F4907" s="64">
        <v>4904</v>
      </c>
      <c r="G4907" s="64">
        <f t="shared" ca="1" si="115"/>
        <v>-6.5423313711030434E-3</v>
      </c>
    </row>
    <row r="4908" spans="6:7" x14ac:dyDescent="0.3">
      <c r="F4908" s="64">
        <v>4905</v>
      </c>
      <c r="G4908" s="64">
        <f t="shared" ca="1" si="115"/>
        <v>-2.7485425407389644E-2</v>
      </c>
    </row>
    <row r="4909" spans="6:7" x14ac:dyDescent="0.3">
      <c r="F4909" s="64">
        <v>4906</v>
      </c>
      <c r="G4909" s="64">
        <f t="shared" ca="1" si="115"/>
        <v>8.2364532766990607E-3</v>
      </c>
    </row>
    <row r="4910" spans="6:7" x14ac:dyDescent="0.3">
      <c r="F4910" s="64">
        <v>4907</v>
      </c>
      <c r="G4910" s="64">
        <f t="shared" ca="1" si="115"/>
        <v>-2.2002082096243877E-3</v>
      </c>
    </row>
    <row r="4911" spans="6:7" x14ac:dyDescent="0.3">
      <c r="F4911" s="64">
        <v>4908</v>
      </c>
      <c r="G4911" s="64">
        <f t="shared" ca="1" si="115"/>
        <v>-1.7899520533556409E-2</v>
      </c>
    </row>
    <row r="4912" spans="6:7" x14ac:dyDescent="0.3">
      <c r="F4912" s="64">
        <v>4909</v>
      </c>
      <c r="G4912" s="64">
        <f t="shared" ca="1" si="115"/>
        <v>1.4673451848822247E-2</v>
      </c>
    </row>
    <row r="4913" spans="6:7" x14ac:dyDescent="0.3">
      <c r="F4913" s="64">
        <v>4910</v>
      </c>
      <c r="G4913" s="64">
        <f t="shared" ca="1" si="115"/>
        <v>2.1020003121278712E-2</v>
      </c>
    </row>
    <row r="4914" spans="6:7" x14ac:dyDescent="0.3">
      <c r="F4914" s="64">
        <v>4911</v>
      </c>
      <c r="G4914" s="64">
        <f t="shared" ca="1" si="115"/>
        <v>9.3108909423800477E-3</v>
      </c>
    </row>
    <row r="4915" spans="6:7" x14ac:dyDescent="0.3">
      <c r="F4915" s="64">
        <v>4912</v>
      </c>
      <c r="G4915" s="64">
        <f t="shared" ca="1" si="115"/>
        <v>-8.3877089987634944E-3</v>
      </c>
    </row>
    <row r="4916" spans="6:7" x14ac:dyDescent="0.3">
      <c r="F4916" s="64">
        <v>4913</v>
      </c>
      <c r="G4916" s="64">
        <f t="shared" ca="1" si="115"/>
        <v>-6.7681604394744183E-3</v>
      </c>
    </row>
    <row r="4917" spans="6:7" x14ac:dyDescent="0.3">
      <c r="F4917" s="64">
        <v>4914</v>
      </c>
      <c r="G4917" s="64">
        <f t="shared" ca="1" si="115"/>
        <v>-3.2505248535183301E-2</v>
      </c>
    </row>
    <row r="4918" spans="6:7" x14ac:dyDescent="0.3">
      <c r="F4918" s="64">
        <v>4915</v>
      </c>
      <c r="G4918" s="64">
        <f t="shared" ca="1" si="115"/>
        <v>3.3262525027959412E-3</v>
      </c>
    </row>
    <row r="4919" spans="6:7" x14ac:dyDescent="0.3">
      <c r="F4919" s="64">
        <v>4916</v>
      </c>
      <c r="G4919" s="64">
        <f t="shared" ca="1" si="115"/>
        <v>5.5107100656357948E-3</v>
      </c>
    </row>
    <row r="4920" spans="6:7" x14ac:dyDescent="0.3">
      <c r="F4920" s="64">
        <v>4917</v>
      </c>
      <c r="G4920" s="64">
        <f t="shared" ca="1" si="115"/>
        <v>3.9674284659049709E-4</v>
      </c>
    </row>
    <row r="4921" spans="6:7" x14ac:dyDescent="0.3">
      <c r="F4921" s="64">
        <v>4918</v>
      </c>
      <c r="G4921" s="64">
        <f t="shared" ca="1" si="115"/>
        <v>-1.737191256198975E-2</v>
      </c>
    </row>
    <row r="4922" spans="6:7" x14ac:dyDescent="0.3">
      <c r="F4922" s="64">
        <v>4919</v>
      </c>
      <c r="G4922" s="64">
        <f t="shared" ca="1" si="115"/>
        <v>1.4935581032737087E-2</v>
      </c>
    </row>
    <row r="4923" spans="6:7" x14ac:dyDescent="0.3">
      <c r="F4923" s="64">
        <v>4920</v>
      </c>
      <c r="G4923" s="64">
        <f t="shared" ca="1" si="115"/>
        <v>9.8877670815800019E-3</v>
      </c>
    </row>
    <row r="4924" spans="6:7" x14ac:dyDescent="0.3">
      <c r="F4924" s="64">
        <v>4921</v>
      </c>
      <c r="G4924" s="64">
        <f t="shared" ca="1" si="115"/>
        <v>1.8543350575969716E-2</v>
      </c>
    </row>
    <row r="4925" spans="6:7" x14ac:dyDescent="0.3">
      <c r="F4925" s="64">
        <v>4922</v>
      </c>
      <c r="G4925" s="64">
        <f t="shared" ca="1" si="115"/>
        <v>-1.2590795098468423E-2</v>
      </c>
    </row>
    <row r="4926" spans="6:7" x14ac:dyDescent="0.3">
      <c r="F4926" s="64">
        <v>4923</v>
      </c>
      <c r="G4926" s="64">
        <f t="shared" ca="1" si="115"/>
        <v>-2.597961192431341E-2</v>
      </c>
    </row>
    <row r="4927" spans="6:7" x14ac:dyDescent="0.3">
      <c r="F4927" s="64">
        <v>4924</v>
      </c>
      <c r="G4927" s="64">
        <f t="shared" ca="1" si="115"/>
        <v>-6.4547661647519627E-3</v>
      </c>
    </row>
    <row r="4928" spans="6:7" x14ac:dyDescent="0.3">
      <c r="F4928" s="64">
        <v>4925</v>
      </c>
      <c r="G4928" s="64">
        <f t="shared" ca="1" si="115"/>
        <v>-1.7305957167299914E-2</v>
      </c>
    </row>
    <row r="4929" spans="6:7" x14ac:dyDescent="0.3">
      <c r="F4929" s="64">
        <v>4926</v>
      </c>
      <c r="G4929" s="64">
        <f t="shared" ca="1" si="115"/>
        <v>9.3803513182597713E-3</v>
      </c>
    </row>
    <row r="4930" spans="6:7" x14ac:dyDescent="0.3">
      <c r="F4930" s="64">
        <v>4927</v>
      </c>
      <c r="G4930" s="64">
        <f t="shared" ca="1" si="115"/>
        <v>-1.7988652349192009E-2</v>
      </c>
    </row>
    <row r="4931" spans="6:7" x14ac:dyDescent="0.3">
      <c r="F4931" s="64">
        <v>4928</v>
      </c>
      <c r="G4931" s="64">
        <f t="shared" ca="1" si="115"/>
        <v>-9.7088508481874697E-3</v>
      </c>
    </row>
    <row r="4932" spans="6:7" x14ac:dyDescent="0.3">
      <c r="F4932" s="64">
        <v>4929</v>
      </c>
      <c r="G4932" s="64">
        <f t="shared" ca="1" si="115"/>
        <v>2.5078733578084295E-2</v>
      </c>
    </row>
    <row r="4933" spans="6:7" x14ac:dyDescent="0.3">
      <c r="F4933" s="64">
        <v>4930</v>
      </c>
      <c r="G4933" s="64">
        <f t="shared" ref="G4933:G4996" ca="1" si="116">_xlfn.NORM.INV(RAND(),K$6,K$7)</f>
        <v>-1.0525672958106436E-2</v>
      </c>
    </row>
    <row r="4934" spans="6:7" x14ac:dyDescent="0.3">
      <c r="F4934" s="64">
        <v>4931</v>
      </c>
      <c r="G4934" s="64">
        <f t="shared" ca="1" si="116"/>
        <v>3.9638622779955425E-2</v>
      </c>
    </row>
    <row r="4935" spans="6:7" x14ac:dyDescent="0.3">
      <c r="F4935" s="64">
        <v>4932</v>
      </c>
      <c r="G4935" s="64">
        <f t="shared" ca="1" si="116"/>
        <v>-2.5272301803416365E-2</v>
      </c>
    </row>
    <row r="4936" spans="6:7" x14ac:dyDescent="0.3">
      <c r="F4936" s="64">
        <v>4933</v>
      </c>
      <c r="G4936" s="64">
        <f t="shared" ca="1" si="116"/>
        <v>-1.6651249027520534E-2</v>
      </c>
    </row>
    <row r="4937" spans="6:7" x14ac:dyDescent="0.3">
      <c r="F4937" s="64">
        <v>4934</v>
      </c>
      <c r="G4937" s="64">
        <f t="shared" ca="1" si="116"/>
        <v>3.4207364138668803E-2</v>
      </c>
    </row>
    <row r="4938" spans="6:7" x14ac:dyDescent="0.3">
      <c r="F4938" s="64">
        <v>4935</v>
      </c>
      <c r="G4938" s="64">
        <f t="shared" ca="1" si="116"/>
        <v>1.2955940352310616E-2</v>
      </c>
    </row>
    <row r="4939" spans="6:7" x14ac:dyDescent="0.3">
      <c r="F4939" s="64">
        <v>4936</v>
      </c>
      <c r="G4939" s="64">
        <f t="shared" ca="1" si="116"/>
        <v>2.7369525501591049E-3</v>
      </c>
    </row>
    <row r="4940" spans="6:7" x14ac:dyDescent="0.3">
      <c r="F4940" s="64">
        <v>4937</v>
      </c>
      <c r="G4940" s="64">
        <f t="shared" ca="1" si="116"/>
        <v>-1.1051992331230187E-2</v>
      </c>
    </row>
    <row r="4941" spans="6:7" x14ac:dyDescent="0.3">
      <c r="F4941" s="64">
        <v>4938</v>
      </c>
      <c r="G4941" s="64">
        <f t="shared" ca="1" si="116"/>
        <v>3.9552012591044725E-3</v>
      </c>
    </row>
    <row r="4942" spans="6:7" x14ac:dyDescent="0.3">
      <c r="F4942" s="64">
        <v>4939</v>
      </c>
      <c r="G4942" s="64">
        <f t="shared" ca="1" si="116"/>
        <v>4.1141470513374754E-3</v>
      </c>
    </row>
    <row r="4943" spans="6:7" x14ac:dyDescent="0.3">
      <c r="F4943" s="64">
        <v>4940</v>
      </c>
      <c r="G4943" s="64">
        <f t="shared" ca="1" si="116"/>
        <v>1.526449514409323E-2</v>
      </c>
    </row>
    <row r="4944" spans="6:7" x14ac:dyDescent="0.3">
      <c r="F4944" s="64">
        <v>4941</v>
      </c>
      <c r="G4944" s="64">
        <f t="shared" ca="1" si="116"/>
        <v>5.5833183303905382E-3</v>
      </c>
    </row>
    <row r="4945" spans="6:7" x14ac:dyDescent="0.3">
      <c r="F4945" s="64">
        <v>4942</v>
      </c>
      <c r="G4945" s="64">
        <f t="shared" ca="1" si="116"/>
        <v>-2.6163767175751064E-2</v>
      </c>
    </row>
    <row r="4946" spans="6:7" x14ac:dyDescent="0.3">
      <c r="F4946" s="64">
        <v>4943</v>
      </c>
      <c r="G4946" s="64">
        <f t="shared" ca="1" si="116"/>
        <v>3.7822702681925786E-2</v>
      </c>
    </row>
    <row r="4947" spans="6:7" x14ac:dyDescent="0.3">
      <c r="F4947" s="64">
        <v>4944</v>
      </c>
      <c r="G4947" s="64">
        <f t="shared" ca="1" si="116"/>
        <v>1.6610791842975332E-3</v>
      </c>
    </row>
    <row r="4948" spans="6:7" x14ac:dyDescent="0.3">
      <c r="F4948" s="64">
        <v>4945</v>
      </c>
      <c r="G4948" s="64">
        <f t="shared" ca="1" si="116"/>
        <v>2.0186546857070813E-3</v>
      </c>
    </row>
    <row r="4949" spans="6:7" x14ac:dyDescent="0.3">
      <c r="F4949" s="64">
        <v>4946</v>
      </c>
      <c r="G4949" s="64">
        <f t="shared" ca="1" si="116"/>
        <v>-3.1981747152893633E-2</v>
      </c>
    </row>
    <row r="4950" spans="6:7" x14ac:dyDescent="0.3">
      <c r="F4950" s="64">
        <v>4947</v>
      </c>
      <c r="G4950" s="64">
        <f t="shared" ca="1" si="116"/>
        <v>-2.7139334232989677E-2</v>
      </c>
    </row>
    <row r="4951" spans="6:7" x14ac:dyDescent="0.3">
      <c r="F4951" s="64">
        <v>4948</v>
      </c>
      <c r="G4951" s="64">
        <f t="shared" ca="1" si="116"/>
        <v>1.506741173587361E-2</v>
      </c>
    </row>
    <row r="4952" spans="6:7" x14ac:dyDescent="0.3">
      <c r="F4952" s="64">
        <v>4949</v>
      </c>
      <c r="G4952" s="64">
        <f t="shared" ca="1" si="116"/>
        <v>2.8628397366725934E-3</v>
      </c>
    </row>
    <row r="4953" spans="6:7" x14ac:dyDescent="0.3">
      <c r="F4953" s="64">
        <v>4950</v>
      </c>
      <c r="G4953" s="64">
        <f t="shared" ca="1" si="116"/>
        <v>-8.1049401417041846E-4</v>
      </c>
    </row>
    <row r="4954" spans="6:7" x14ac:dyDescent="0.3">
      <c r="F4954" s="64">
        <v>4951</v>
      </c>
      <c r="G4954" s="64">
        <f t="shared" ca="1" si="116"/>
        <v>5.614805011213115E-2</v>
      </c>
    </row>
    <row r="4955" spans="6:7" x14ac:dyDescent="0.3">
      <c r="F4955" s="64">
        <v>4952</v>
      </c>
      <c r="G4955" s="64">
        <f t="shared" ca="1" si="116"/>
        <v>5.7419971886227529E-2</v>
      </c>
    </row>
    <row r="4956" spans="6:7" x14ac:dyDescent="0.3">
      <c r="F4956" s="64">
        <v>4953</v>
      </c>
      <c r="G4956" s="64">
        <f t="shared" ca="1" si="116"/>
        <v>-3.5981090656963546E-2</v>
      </c>
    </row>
    <row r="4957" spans="6:7" x14ac:dyDescent="0.3">
      <c r="F4957" s="64">
        <v>4954</v>
      </c>
      <c r="G4957" s="64">
        <f t="shared" ca="1" si="116"/>
        <v>2.2669924672719874E-2</v>
      </c>
    </row>
    <row r="4958" spans="6:7" x14ac:dyDescent="0.3">
      <c r="F4958" s="64">
        <v>4955</v>
      </c>
      <c r="G4958" s="64">
        <f t="shared" ca="1" si="116"/>
        <v>9.3371037961098146E-3</v>
      </c>
    </row>
    <row r="4959" spans="6:7" x14ac:dyDescent="0.3">
      <c r="F4959" s="64">
        <v>4956</v>
      </c>
      <c r="G4959" s="64">
        <f t="shared" ca="1" si="116"/>
        <v>-6.0336928419863125E-3</v>
      </c>
    </row>
    <row r="4960" spans="6:7" x14ac:dyDescent="0.3">
      <c r="F4960" s="64">
        <v>4957</v>
      </c>
      <c r="G4960" s="64">
        <f t="shared" ca="1" si="116"/>
        <v>1.2186990824598185E-2</v>
      </c>
    </row>
    <row r="4961" spans="6:7" x14ac:dyDescent="0.3">
      <c r="F4961" s="64">
        <v>4958</v>
      </c>
      <c r="G4961" s="64">
        <f t="shared" ca="1" si="116"/>
        <v>3.7701474893759773E-2</v>
      </c>
    </row>
    <row r="4962" spans="6:7" x14ac:dyDescent="0.3">
      <c r="F4962" s="64">
        <v>4959</v>
      </c>
      <c r="G4962" s="64">
        <f t="shared" ca="1" si="116"/>
        <v>2.342549737901988E-3</v>
      </c>
    </row>
    <row r="4963" spans="6:7" x14ac:dyDescent="0.3">
      <c r="F4963" s="64">
        <v>4960</v>
      </c>
      <c r="G4963" s="64">
        <f t="shared" ca="1" si="116"/>
        <v>2.0091096425107383E-2</v>
      </c>
    </row>
    <row r="4964" spans="6:7" x14ac:dyDescent="0.3">
      <c r="F4964" s="64">
        <v>4961</v>
      </c>
      <c r="G4964" s="64">
        <f t="shared" ca="1" si="116"/>
        <v>2.3577889549913598E-2</v>
      </c>
    </row>
    <row r="4965" spans="6:7" x14ac:dyDescent="0.3">
      <c r="F4965" s="64">
        <v>4962</v>
      </c>
      <c r="G4965" s="64">
        <f t="shared" ca="1" si="116"/>
        <v>2.927153575709783E-2</v>
      </c>
    </row>
    <row r="4966" spans="6:7" x14ac:dyDescent="0.3">
      <c r="F4966" s="64">
        <v>4963</v>
      </c>
      <c r="G4966" s="64">
        <f t="shared" ca="1" si="116"/>
        <v>-1.3226006448637685E-2</v>
      </c>
    </row>
    <row r="4967" spans="6:7" x14ac:dyDescent="0.3">
      <c r="F4967" s="64">
        <v>4964</v>
      </c>
      <c r="G4967" s="64">
        <f t="shared" ca="1" si="116"/>
        <v>1.3924867021356905E-2</v>
      </c>
    </row>
    <row r="4968" spans="6:7" x14ac:dyDescent="0.3">
      <c r="F4968" s="64">
        <v>4965</v>
      </c>
      <c r="G4968" s="64">
        <f t="shared" ca="1" si="116"/>
        <v>-1.317416100729552E-2</v>
      </c>
    </row>
    <row r="4969" spans="6:7" x14ac:dyDescent="0.3">
      <c r="F4969" s="64">
        <v>4966</v>
      </c>
      <c r="G4969" s="64">
        <f t="shared" ca="1" si="116"/>
        <v>-5.2197193454745373E-3</v>
      </c>
    </row>
    <row r="4970" spans="6:7" x14ac:dyDescent="0.3">
      <c r="F4970" s="64">
        <v>4967</v>
      </c>
      <c r="G4970" s="64">
        <f t="shared" ca="1" si="116"/>
        <v>-2.8023281650242239E-2</v>
      </c>
    </row>
    <row r="4971" spans="6:7" x14ac:dyDescent="0.3">
      <c r="F4971" s="64">
        <v>4968</v>
      </c>
      <c r="G4971" s="64">
        <f t="shared" ca="1" si="116"/>
        <v>-1.1640189271243292E-2</v>
      </c>
    </row>
    <row r="4972" spans="6:7" x14ac:dyDescent="0.3">
      <c r="F4972" s="64">
        <v>4969</v>
      </c>
      <c r="G4972" s="64">
        <f t="shared" ca="1" si="116"/>
        <v>6.1458199462139816E-3</v>
      </c>
    </row>
    <row r="4973" spans="6:7" x14ac:dyDescent="0.3">
      <c r="F4973" s="64">
        <v>4970</v>
      </c>
      <c r="G4973" s="64">
        <f t="shared" ca="1" si="116"/>
        <v>3.6966368415142998E-3</v>
      </c>
    </row>
    <row r="4974" spans="6:7" x14ac:dyDescent="0.3">
      <c r="F4974" s="64">
        <v>4971</v>
      </c>
      <c r="G4974" s="64">
        <f t="shared" ca="1" si="116"/>
        <v>-1.7091442725893954E-2</v>
      </c>
    </row>
    <row r="4975" spans="6:7" x14ac:dyDescent="0.3">
      <c r="F4975" s="64">
        <v>4972</v>
      </c>
      <c r="G4975" s="64">
        <f t="shared" ca="1" si="116"/>
        <v>4.8942550071516826E-4</v>
      </c>
    </row>
    <row r="4976" spans="6:7" x14ac:dyDescent="0.3">
      <c r="F4976" s="64">
        <v>4973</v>
      </c>
      <c r="G4976" s="64">
        <f t="shared" ca="1" si="116"/>
        <v>-5.6595515134965865E-4</v>
      </c>
    </row>
    <row r="4977" spans="6:7" x14ac:dyDescent="0.3">
      <c r="F4977" s="64">
        <v>4974</v>
      </c>
      <c r="G4977" s="64">
        <f t="shared" ca="1" si="116"/>
        <v>-1.7574685029412597E-2</v>
      </c>
    </row>
    <row r="4978" spans="6:7" x14ac:dyDescent="0.3">
      <c r="F4978" s="64">
        <v>4975</v>
      </c>
      <c r="G4978" s="64">
        <f t="shared" ca="1" si="116"/>
        <v>3.2058366337748376E-2</v>
      </c>
    </row>
    <row r="4979" spans="6:7" x14ac:dyDescent="0.3">
      <c r="F4979" s="64">
        <v>4976</v>
      </c>
      <c r="G4979" s="64">
        <f t="shared" ca="1" si="116"/>
        <v>-1.1703641375555233E-2</v>
      </c>
    </row>
    <row r="4980" spans="6:7" x14ac:dyDescent="0.3">
      <c r="F4980" s="64">
        <v>4977</v>
      </c>
      <c r="G4980" s="64">
        <f t="shared" ca="1" si="116"/>
        <v>9.5140130416423736E-3</v>
      </c>
    </row>
    <row r="4981" spans="6:7" x14ac:dyDescent="0.3">
      <c r="F4981" s="64">
        <v>4978</v>
      </c>
      <c r="G4981" s="64">
        <f t="shared" ca="1" si="116"/>
        <v>-3.6698848664051452E-2</v>
      </c>
    </row>
    <row r="4982" spans="6:7" x14ac:dyDescent="0.3">
      <c r="F4982" s="64">
        <v>4979</v>
      </c>
      <c r="G4982" s="64">
        <f t="shared" ca="1" si="116"/>
        <v>3.4575947472103984E-2</v>
      </c>
    </row>
    <row r="4983" spans="6:7" x14ac:dyDescent="0.3">
      <c r="F4983" s="64">
        <v>4980</v>
      </c>
      <c r="G4983" s="64">
        <f t="shared" ca="1" si="116"/>
        <v>9.2781231055379598E-4</v>
      </c>
    </row>
    <row r="4984" spans="6:7" x14ac:dyDescent="0.3">
      <c r="F4984" s="64">
        <v>4981</v>
      </c>
      <c r="G4984" s="64">
        <f t="shared" ca="1" si="116"/>
        <v>1.6042974086633632E-2</v>
      </c>
    </row>
    <row r="4985" spans="6:7" x14ac:dyDescent="0.3">
      <c r="F4985" s="64">
        <v>4982</v>
      </c>
      <c r="G4985" s="64">
        <f t="shared" ca="1" si="116"/>
        <v>1.6540999820641701E-2</v>
      </c>
    </row>
    <row r="4986" spans="6:7" x14ac:dyDescent="0.3">
      <c r="F4986" s="64">
        <v>4983</v>
      </c>
      <c r="G4986" s="64">
        <f t="shared" ca="1" si="116"/>
        <v>1.2270675461776579E-2</v>
      </c>
    </row>
    <row r="4987" spans="6:7" x14ac:dyDescent="0.3">
      <c r="F4987" s="64">
        <v>4984</v>
      </c>
      <c r="G4987" s="64">
        <f t="shared" ca="1" si="116"/>
        <v>-8.573749766488014E-3</v>
      </c>
    </row>
    <row r="4988" spans="6:7" x14ac:dyDescent="0.3">
      <c r="F4988" s="64">
        <v>4985</v>
      </c>
      <c r="G4988" s="64">
        <f t="shared" ca="1" si="116"/>
        <v>-1.621756017859366E-2</v>
      </c>
    </row>
    <row r="4989" spans="6:7" x14ac:dyDescent="0.3">
      <c r="F4989" s="64">
        <v>4986</v>
      </c>
      <c r="G4989" s="64">
        <f t="shared" ca="1" si="116"/>
        <v>-1.2839745860551225E-2</v>
      </c>
    </row>
    <row r="4990" spans="6:7" x14ac:dyDescent="0.3">
      <c r="F4990" s="64">
        <v>4987</v>
      </c>
      <c r="G4990" s="64">
        <f t="shared" ca="1" si="116"/>
        <v>2.6326832667730768E-2</v>
      </c>
    </row>
    <row r="4991" spans="6:7" x14ac:dyDescent="0.3">
      <c r="F4991" s="64">
        <v>4988</v>
      </c>
      <c r="G4991" s="64">
        <f t="shared" ca="1" si="116"/>
        <v>3.1486912738525143E-2</v>
      </c>
    </row>
    <row r="4992" spans="6:7" x14ac:dyDescent="0.3">
      <c r="F4992" s="64">
        <v>4989</v>
      </c>
      <c r="G4992" s="64">
        <f t="shared" ca="1" si="116"/>
        <v>3.9967169986684639E-3</v>
      </c>
    </row>
    <row r="4993" spans="6:7" x14ac:dyDescent="0.3">
      <c r="F4993" s="64">
        <v>4990</v>
      </c>
      <c r="G4993" s="64">
        <f t="shared" ca="1" si="116"/>
        <v>2.8249452280932244E-2</v>
      </c>
    </row>
    <row r="4994" spans="6:7" x14ac:dyDescent="0.3">
      <c r="F4994" s="64">
        <v>4991</v>
      </c>
      <c r="G4994" s="64">
        <f t="shared" ca="1" si="116"/>
        <v>-2.1421312405858192E-2</v>
      </c>
    </row>
    <row r="4995" spans="6:7" x14ac:dyDescent="0.3">
      <c r="F4995" s="64">
        <v>4992</v>
      </c>
      <c r="G4995" s="64">
        <f t="shared" ca="1" si="116"/>
        <v>-8.8670719965833217E-3</v>
      </c>
    </row>
    <row r="4996" spans="6:7" x14ac:dyDescent="0.3">
      <c r="F4996" s="64">
        <v>4993</v>
      </c>
      <c r="G4996" s="64">
        <f t="shared" ca="1" si="116"/>
        <v>2.5921933216775175E-2</v>
      </c>
    </row>
    <row r="4997" spans="6:7" x14ac:dyDescent="0.3">
      <c r="F4997" s="64">
        <v>4994</v>
      </c>
      <c r="G4997" s="64">
        <f t="shared" ref="G4997:G5060" ca="1" si="117">_xlfn.NORM.INV(RAND(),K$6,K$7)</f>
        <v>6.1472615804870319E-3</v>
      </c>
    </row>
    <row r="4998" spans="6:7" x14ac:dyDescent="0.3">
      <c r="F4998" s="64">
        <v>4995</v>
      </c>
      <c r="G4998" s="64">
        <f t="shared" ca="1" si="117"/>
        <v>2.1489973439846752E-2</v>
      </c>
    </row>
    <row r="4999" spans="6:7" x14ac:dyDescent="0.3">
      <c r="F4999" s="64">
        <v>4996</v>
      </c>
      <c r="G4999" s="64">
        <f t="shared" ca="1" si="117"/>
        <v>1.3266605394185414E-2</v>
      </c>
    </row>
    <row r="5000" spans="6:7" x14ac:dyDescent="0.3">
      <c r="F5000" s="64">
        <v>4997</v>
      </c>
      <c r="G5000" s="64">
        <f t="shared" ca="1" si="117"/>
        <v>3.2121856901535088E-3</v>
      </c>
    </row>
    <row r="5001" spans="6:7" x14ac:dyDescent="0.3">
      <c r="F5001" s="64">
        <v>4998</v>
      </c>
      <c r="G5001" s="64">
        <f t="shared" ca="1" si="117"/>
        <v>2.7213749534311992E-4</v>
      </c>
    </row>
    <row r="5002" spans="6:7" x14ac:dyDescent="0.3">
      <c r="F5002" s="64">
        <v>4999</v>
      </c>
      <c r="G5002" s="64">
        <f t="shared" ca="1" si="117"/>
        <v>-5.8436547242325569E-3</v>
      </c>
    </row>
    <row r="5003" spans="6:7" x14ac:dyDescent="0.3">
      <c r="F5003" s="64">
        <v>5000</v>
      </c>
      <c r="G5003" s="64">
        <f t="shared" ca="1" si="117"/>
        <v>5.1586738169985364E-3</v>
      </c>
    </row>
    <row r="5004" spans="6:7" x14ac:dyDescent="0.3">
      <c r="F5004" s="64">
        <v>5001</v>
      </c>
      <c r="G5004" s="64">
        <f t="shared" ca="1" si="117"/>
        <v>-7.9675078802343303E-3</v>
      </c>
    </row>
    <row r="5005" spans="6:7" x14ac:dyDescent="0.3">
      <c r="F5005" s="64">
        <v>5002</v>
      </c>
      <c r="G5005" s="64">
        <f t="shared" ca="1" si="117"/>
        <v>2.7275004432154533E-2</v>
      </c>
    </row>
    <row r="5006" spans="6:7" x14ac:dyDescent="0.3">
      <c r="F5006" s="64">
        <v>5003</v>
      </c>
      <c r="G5006" s="64">
        <f t="shared" ca="1" si="117"/>
        <v>1.0207195023189777E-2</v>
      </c>
    </row>
    <row r="5007" spans="6:7" x14ac:dyDescent="0.3">
      <c r="F5007" s="64">
        <v>5004</v>
      </c>
      <c r="G5007" s="64">
        <f t="shared" ca="1" si="117"/>
        <v>-9.9149110235472928E-3</v>
      </c>
    </row>
    <row r="5008" spans="6:7" x14ac:dyDescent="0.3">
      <c r="F5008" s="64">
        <v>5005</v>
      </c>
      <c r="G5008" s="64">
        <f t="shared" ca="1" si="117"/>
        <v>2.9035973838346892E-2</v>
      </c>
    </row>
    <row r="5009" spans="6:7" x14ac:dyDescent="0.3">
      <c r="F5009" s="64">
        <v>5006</v>
      </c>
      <c r="G5009" s="64">
        <f t="shared" ca="1" si="117"/>
        <v>-1.0763173722931597E-4</v>
      </c>
    </row>
    <row r="5010" spans="6:7" x14ac:dyDescent="0.3">
      <c r="F5010" s="64">
        <v>5007</v>
      </c>
      <c r="G5010" s="64">
        <f t="shared" ca="1" si="117"/>
        <v>3.4945625577914224E-2</v>
      </c>
    </row>
    <row r="5011" spans="6:7" x14ac:dyDescent="0.3">
      <c r="F5011" s="64">
        <v>5008</v>
      </c>
      <c r="G5011" s="64">
        <f t="shared" ca="1" si="117"/>
        <v>5.484453895859962E-3</v>
      </c>
    </row>
    <row r="5012" spans="6:7" x14ac:dyDescent="0.3">
      <c r="F5012" s="64">
        <v>5009</v>
      </c>
      <c r="G5012" s="64">
        <f t="shared" ca="1" si="117"/>
        <v>-1.5340739055514153E-2</v>
      </c>
    </row>
    <row r="5013" spans="6:7" x14ac:dyDescent="0.3">
      <c r="F5013" s="64">
        <v>5010</v>
      </c>
      <c r="G5013" s="64">
        <f t="shared" ca="1" si="117"/>
        <v>-2.1915327264678173E-3</v>
      </c>
    </row>
    <row r="5014" spans="6:7" x14ac:dyDescent="0.3">
      <c r="F5014" s="64">
        <v>5011</v>
      </c>
      <c r="G5014" s="64">
        <f t="shared" ca="1" si="117"/>
        <v>6.3823008894156562E-3</v>
      </c>
    </row>
    <row r="5015" spans="6:7" x14ac:dyDescent="0.3">
      <c r="F5015" s="64">
        <v>5012</v>
      </c>
      <c r="G5015" s="64">
        <f t="shared" ca="1" si="117"/>
        <v>3.6429739479179088E-2</v>
      </c>
    </row>
    <row r="5016" spans="6:7" x14ac:dyDescent="0.3">
      <c r="F5016" s="64">
        <v>5013</v>
      </c>
      <c r="G5016" s="64">
        <f t="shared" ca="1" si="117"/>
        <v>-1.1862173735070624E-2</v>
      </c>
    </row>
    <row r="5017" spans="6:7" x14ac:dyDescent="0.3">
      <c r="F5017" s="64">
        <v>5014</v>
      </c>
      <c r="G5017" s="64">
        <f t="shared" ca="1" si="117"/>
        <v>1.9249841503546056E-2</v>
      </c>
    </row>
    <row r="5018" spans="6:7" x14ac:dyDescent="0.3">
      <c r="F5018" s="64">
        <v>5015</v>
      </c>
      <c r="G5018" s="64">
        <f t="shared" ca="1" si="117"/>
        <v>1.5118616922547262E-2</v>
      </c>
    </row>
    <row r="5019" spans="6:7" x14ac:dyDescent="0.3">
      <c r="F5019" s="64">
        <v>5016</v>
      </c>
      <c r="G5019" s="64">
        <f t="shared" ca="1" si="117"/>
        <v>2.1235972816682595E-2</v>
      </c>
    </row>
    <row r="5020" spans="6:7" x14ac:dyDescent="0.3">
      <c r="F5020" s="64">
        <v>5017</v>
      </c>
      <c r="G5020" s="64">
        <f t="shared" ca="1" si="117"/>
        <v>1.296975837952331E-2</v>
      </c>
    </row>
    <row r="5021" spans="6:7" x14ac:dyDescent="0.3">
      <c r="F5021" s="64">
        <v>5018</v>
      </c>
      <c r="G5021" s="64">
        <f t="shared" ca="1" si="117"/>
        <v>3.615216321000609E-2</v>
      </c>
    </row>
    <row r="5022" spans="6:7" x14ac:dyDescent="0.3">
      <c r="F5022" s="64">
        <v>5019</v>
      </c>
      <c r="G5022" s="64">
        <f t="shared" ca="1" si="117"/>
        <v>-1.7680841249748717E-2</v>
      </c>
    </row>
    <row r="5023" spans="6:7" x14ac:dyDescent="0.3">
      <c r="F5023" s="64">
        <v>5020</v>
      </c>
      <c r="G5023" s="64">
        <f t="shared" ca="1" si="117"/>
        <v>-3.1885541409216438E-3</v>
      </c>
    </row>
    <row r="5024" spans="6:7" x14ac:dyDescent="0.3">
      <c r="F5024" s="64">
        <v>5021</v>
      </c>
      <c r="G5024" s="64">
        <f t="shared" ca="1" si="117"/>
        <v>1.9303398202005169E-2</v>
      </c>
    </row>
    <row r="5025" spans="6:7" x14ac:dyDescent="0.3">
      <c r="F5025" s="64">
        <v>5022</v>
      </c>
      <c r="G5025" s="64">
        <f t="shared" ca="1" si="117"/>
        <v>-1.5703860849633031E-2</v>
      </c>
    </row>
    <row r="5026" spans="6:7" x14ac:dyDescent="0.3">
      <c r="F5026" s="64">
        <v>5023</v>
      </c>
      <c r="G5026" s="64">
        <f t="shared" ca="1" si="117"/>
        <v>-1.6221309180045551E-2</v>
      </c>
    </row>
    <row r="5027" spans="6:7" x14ac:dyDescent="0.3">
      <c r="F5027" s="64">
        <v>5024</v>
      </c>
      <c r="G5027" s="64">
        <f t="shared" ca="1" si="117"/>
        <v>-1.5574097149885084E-2</v>
      </c>
    </row>
    <row r="5028" spans="6:7" x14ac:dyDescent="0.3">
      <c r="F5028" s="64">
        <v>5025</v>
      </c>
      <c r="G5028" s="64">
        <f t="shared" ca="1" si="117"/>
        <v>7.500427488425181E-3</v>
      </c>
    </row>
    <row r="5029" spans="6:7" x14ac:dyDescent="0.3">
      <c r="F5029" s="64">
        <v>5026</v>
      </c>
      <c r="G5029" s="64">
        <f t="shared" ca="1" si="117"/>
        <v>1.2598791096847298E-3</v>
      </c>
    </row>
    <row r="5030" spans="6:7" x14ac:dyDescent="0.3">
      <c r="F5030" s="64">
        <v>5027</v>
      </c>
      <c r="G5030" s="64">
        <f t="shared" ca="1" si="117"/>
        <v>2.5923522982341546E-2</v>
      </c>
    </row>
    <row r="5031" spans="6:7" x14ac:dyDescent="0.3">
      <c r="F5031" s="64">
        <v>5028</v>
      </c>
      <c r="G5031" s="64">
        <f t="shared" ca="1" si="117"/>
        <v>2.0924117595697442E-2</v>
      </c>
    </row>
    <row r="5032" spans="6:7" x14ac:dyDescent="0.3">
      <c r="F5032" s="64">
        <v>5029</v>
      </c>
      <c r="G5032" s="64">
        <f t="shared" ca="1" si="117"/>
        <v>-1.8326503255918385E-2</v>
      </c>
    </row>
    <row r="5033" spans="6:7" x14ac:dyDescent="0.3">
      <c r="F5033" s="64">
        <v>5030</v>
      </c>
      <c r="G5033" s="64">
        <f t="shared" ca="1" si="117"/>
        <v>-6.4473768827287125E-4</v>
      </c>
    </row>
    <row r="5034" spans="6:7" x14ac:dyDescent="0.3">
      <c r="F5034" s="64">
        <v>5031</v>
      </c>
      <c r="G5034" s="64">
        <f t="shared" ca="1" si="117"/>
        <v>3.9605152756772087E-2</v>
      </c>
    </row>
    <row r="5035" spans="6:7" x14ac:dyDescent="0.3">
      <c r="F5035" s="64">
        <v>5032</v>
      </c>
      <c r="G5035" s="64">
        <f t="shared" ca="1" si="117"/>
        <v>3.7110492035901048E-2</v>
      </c>
    </row>
    <row r="5036" spans="6:7" x14ac:dyDescent="0.3">
      <c r="F5036" s="64">
        <v>5033</v>
      </c>
      <c r="G5036" s="64">
        <f t="shared" ca="1" si="117"/>
        <v>-3.0656090724396814E-3</v>
      </c>
    </row>
    <row r="5037" spans="6:7" x14ac:dyDescent="0.3">
      <c r="F5037" s="64">
        <v>5034</v>
      </c>
      <c r="G5037" s="64">
        <f t="shared" ca="1" si="117"/>
        <v>3.4269843324745607E-2</v>
      </c>
    </row>
    <row r="5038" spans="6:7" x14ac:dyDescent="0.3">
      <c r="F5038" s="64">
        <v>5035</v>
      </c>
      <c r="G5038" s="64">
        <f t="shared" ca="1" si="117"/>
        <v>3.5255380603372904E-4</v>
      </c>
    </row>
    <row r="5039" spans="6:7" x14ac:dyDescent="0.3">
      <c r="F5039" s="64">
        <v>5036</v>
      </c>
      <c r="G5039" s="64">
        <f t="shared" ca="1" si="117"/>
        <v>-9.4968364178154904E-3</v>
      </c>
    </row>
    <row r="5040" spans="6:7" x14ac:dyDescent="0.3">
      <c r="F5040" s="64">
        <v>5037</v>
      </c>
      <c r="G5040" s="64">
        <f t="shared" ca="1" si="117"/>
        <v>-4.2450688197878559E-3</v>
      </c>
    </row>
    <row r="5041" spans="6:7" x14ac:dyDescent="0.3">
      <c r="F5041" s="64">
        <v>5038</v>
      </c>
      <c r="G5041" s="64">
        <f t="shared" ca="1" si="117"/>
        <v>1.245592450919159E-3</v>
      </c>
    </row>
    <row r="5042" spans="6:7" x14ac:dyDescent="0.3">
      <c r="F5042" s="64">
        <v>5039</v>
      </c>
      <c r="G5042" s="64">
        <f t="shared" ca="1" si="117"/>
        <v>6.0804984631342793E-3</v>
      </c>
    </row>
    <row r="5043" spans="6:7" x14ac:dyDescent="0.3">
      <c r="F5043" s="64">
        <v>5040</v>
      </c>
      <c r="G5043" s="64">
        <f t="shared" ca="1" si="117"/>
        <v>3.4837562406574451E-3</v>
      </c>
    </row>
    <row r="5044" spans="6:7" x14ac:dyDescent="0.3">
      <c r="F5044" s="64">
        <v>5041</v>
      </c>
      <c r="G5044" s="64">
        <f t="shared" ca="1" si="117"/>
        <v>-4.4928237510862834E-3</v>
      </c>
    </row>
    <row r="5045" spans="6:7" x14ac:dyDescent="0.3">
      <c r="F5045" s="64">
        <v>5042</v>
      </c>
      <c r="G5045" s="64">
        <f t="shared" ca="1" si="117"/>
        <v>1.3046257097686635E-2</v>
      </c>
    </row>
    <row r="5046" spans="6:7" x14ac:dyDescent="0.3">
      <c r="F5046" s="64">
        <v>5043</v>
      </c>
      <c r="G5046" s="64">
        <f t="shared" ca="1" si="117"/>
        <v>3.3771229622014337E-3</v>
      </c>
    </row>
    <row r="5047" spans="6:7" x14ac:dyDescent="0.3">
      <c r="F5047" s="64">
        <v>5044</v>
      </c>
      <c r="G5047" s="64">
        <f t="shared" ca="1" si="117"/>
        <v>-8.2961831486876633E-3</v>
      </c>
    </row>
    <row r="5048" spans="6:7" x14ac:dyDescent="0.3">
      <c r="F5048" s="64">
        <v>5045</v>
      </c>
      <c r="G5048" s="64">
        <f t="shared" ca="1" si="117"/>
        <v>3.6078799841165674E-2</v>
      </c>
    </row>
    <row r="5049" spans="6:7" x14ac:dyDescent="0.3">
      <c r="F5049" s="64">
        <v>5046</v>
      </c>
      <c r="G5049" s="64">
        <f t="shared" ca="1" si="117"/>
        <v>-1.8147303564568246E-3</v>
      </c>
    </row>
    <row r="5050" spans="6:7" x14ac:dyDescent="0.3">
      <c r="F5050" s="64">
        <v>5047</v>
      </c>
      <c r="G5050" s="64">
        <f t="shared" ca="1" si="117"/>
        <v>-7.9059673173396509E-3</v>
      </c>
    </row>
    <row r="5051" spans="6:7" x14ac:dyDescent="0.3">
      <c r="F5051" s="64">
        <v>5048</v>
      </c>
      <c r="G5051" s="64">
        <f t="shared" ca="1" si="117"/>
        <v>-4.4486788157894006E-3</v>
      </c>
    </row>
    <row r="5052" spans="6:7" x14ac:dyDescent="0.3">
      <c r="F5052" s="64">
        <v>5049</v>
      </c>
      <c r="G5052" s="64">
        <f t="shared" ca="1" si="117"/>
        <v>2.788979383156532E-2</v>
      </c>
    </row>
    <row r="5053" spans="6:7" x14ac:dyDescent="0.3">
      <c r="F5053" s="64">
        <v>5050</v>
      </c>
      <c r="G5053" s="64">
        <f t="shared" ca="1" si="117"/>
        <v>-8.0623814937567356E-3</v>
      </c>
    </row>
    <row r="5054" spans="6:7" x14ac:dyDescent="0.3">
      <c r="F5054" s="64">
        <v>5051</v>
      </c>
      <c r="G5054" s="64">
        <f t="shared" ca="1" si="117"/>
        <v>-1.257819072599679E-2</v>
      </c>
    </row>
    <row r="5055" spans="6:7" x14ac:dyDescent="0.3">
      <c r="F5055" s="64">
        <v>5052</v>
      </c>
      <c r="G5055" s="64">
        <f t="shared" ca="1" si="117"/>
        <v>-3.5898539827561382E-3</v>
      </c>
    </row>
    <row r="5056" spans="6:7" x14ac:dyDescent="0.3">
      <c r="F5056" s="64">
        <v>5053</v>
      </c>
      <c r="G5056" s="64">
        <f t="shared" ca="1" si="117"/>
        <v>-6.012582925637648E-4</v>
      </c>
    </row>
    <row r="5057" spans="6:7" x14ac:dyDescent="0.3">
      <c r="F5057" s="64">
        <v>5054</v>
      </c>
      <c r="G5057" s="64">
        <f t="shared" ca="1" si="117"/>
        <v>-2.5362629959060114E-3</v>
      </c>
    </row>
    <row r="5058" spans="6:7" x14ac:dyDescent="0.3">
      <c r="F5058" s="64">
        <v>5055</v>
      </c>
      <c r="G5058" s="64">
        <f t="shared" ca="1" si="117"/>
        <v>1.0869846377671482E-2</v>
      </c>
    </row>
    <row r="5059" spans="6:7" x14ac:dyDescent="0.3">
      <c r="F5059" s="64">
        <v>5056</v>
      </c>
      <c r="G5059" s="64">
        <f t="shared" ca="1" si="117"/>
        <v>4.3451204420032682E-3</v>
      </c>
    </row>
    <row r="5060" spans="6:7" x14ac:dyDescent="0.3">
      <c r="F5060" s="64">
        <v>5057</v>
      </c>
      <c r="G5060" s="64">
        <f t="shared" ca="1" si="117"/>
        <v>1.7738416734638142E-2</v>
      </c>
    </row>
    <row r="5061" spans="6:7" x14ac:dyDescent="0.3">
      <c r="F5061" s="64">
        <v>5058</v>
      </c>
      <c r="G5061" s="64">
        <f t="shared" ref="G5061:G5124" ca="1" si="118">_xlfn.NORM.INV(RAND(),K$6,K$7)</f>
        <v>4.9017186431267568E-2</v>
      </c>
    </row>
    <row r="5062" spans="6:7" x14ac:dyDescent="0.3">
      <c r="F5062" s="64">
        <v>5059</v>
      </c>
      <c r="G5062" s="64">
        <f t="shared" ca="1" si="118"/>
        <v>-1.2938427307896358E-2</v>
      </c>
    </row>
    <row r="5063" spans="6:7" x14ac:dyDescent="0.3">
      <c r="F5063" s="64">
        <v>5060</v>
      </c>
      <c r="G5063" s="64">
        <f t="shared" ca="1" si="118"/>
        <v>2.433686627290369E-3</v>
      </c>
    </row>
    <row r="5064" spans="6:7" x14ac:dyDescent="0.3">
      <c r="F5064" s="64">
        <v>5061</v>
      </c>
      <c r="G5064" s="64">
        <f t="shared" ca="1" si="118"/>
        <v>-6.5826953861175012E-3</v>
      </c>
    </row>
    <row r="5065" spans="6:7" x14ac:dyDescent="0.3">
      <c r="F5065" s="64">
        <v>5062</v>
      </c>
      <c r="G5065" s="64">
        <f t="shared" ca="1" si="118"/>
        <v>4.1000107962922729E-2</v>
      </c>
    </row>
    <row r="5066" spans="6:7" x14ac:dyDescent="0.3">
      <c r="F5066" s="64">
        <v>5063</v>
      </c>
      <c r="G5066" s="64">
        <f t="shared" ca="1" si="118"/>
        <v>-2.3388372409446481E-2</v>
      </c>
    </row>
    <row r="5067" spans="6:7" x14ac:dyDescent="0.3">
      <c r="F5067" s="64">
        <v>5064</v>
      </c>
      <c r="G5067" s="64">
        <f t="shared" ca="1" si="118"/>
        <v>-1.3115284169789142E-2</v>
      </c>
    </row>
    <row r="5068" spans="6:7" x14ac:dyDescent="0.3">
      <c r="F5068" s="64">
        <v>5065</v>
      </c>
      <c r="G5068" s="64">
        <f t="shared" ca="1" si="118"/>
        <v>-1.7529906533317499E-2</v>
      </c>
    </row>
    <row r="5069" spans="6:7" x14ac:dyDescent="0.3">
      <c r="F5069" s="64">
        <v>5066</v>
      </c>
      <c r="G5069" s="64">
        <f t="shared" ca="1" si="118"/>
        <v>-9.8744882984789194E-3</v>
      </c>
    </row>
    <row r="5070" spans="6:7" x14ac:dyDescent="0.3">
      <c r="F5070" s="64">
        <v>5067</v>
      </c>
      <c r="G5070" s="64">
        <f t="shared" ca="1" si="118"/>
        <v>-2.0292036648037401E-2</v>
      </c>
    </row>
    <row r="5071" spans="6:7" x14ac:dyDescent="0.3">
      <c r="F5071" s="64">
        <v>5068</v>
      </c>
      <c r="G5071" s="64">
        <f t="shared" ca="1" si="118"/>
        <v>2.3123277788216212E-2</v>
      </c>
    </row>
    <row r="5072" spans="6:7" x14ac:dyDescent="0.3">
      <c r="F5072" s="64">
        <v>5069</v>
      </c>
      <c r="G5072" s="64">
        <f t="shared" ca="1" si="118"/>
        <v>-4.7964960984498619E-3</v>
      </c>
    </row>
    <row r="5073" spans="6:7" x14ac:dyDescent="0.3">
      <c r="F5073" s="64">
        <v>5070</v>
      </c>
      <c r="G5073" s="64">
        <f t="shared" ca="1" si="118"/>
        <v>1.3615899872735296E-2</v>
      </c>
    </row>
    <row r="5074" spans="6:7" x14ac:dyDescent="0.3">
      <c r="F5074" s="64">
        <v>5071</v>
      </c>
      <c r="G5074" s="64">
        <f t="shared" ca="1" si="118"/>
        <v>-2.5879198447922976E-2</v>
      </c>
    </row>
    <row r="5075" spans="6:7" x14ac:dyDescent="0.3">
      <c r="F5075" s="64">
        <v>5072</v>
      </c>
      <c r="G5075" s="64">
        <f t="shared" ca="1" si="118"/>
        <v>-3.968460091810194E-4</v>
      </c>
    </row>
    <row r="5076" spans="6:7" x14ac:dyDescent="0.3">
      <c r="F5076" s="64">
        <v>5073</v>
      </c>
      <c r="G5076" s="64">
        <f t="shared" ca="1" si="118"/>
        <v>-4.2598370889623753E-2</v>
      </c>
    </row>
    <row r="5077" spans="6:7" x14ac:dyDescent="0.3">
      <c r="F5077" s="64">
        <v>5074</v>
      </c>
      <c r="G5077" s="64">
        <f t="shared" ca="1" si="118"/>
        <v>1.4488350214770932E-2</v>
      </c>
    </row>
    <row r="5078" spans="6:7" x14ac:dyDescent="0.3">
      <c r="F5078" s="64">
        <v>5075</v>
      </c>
      <c r="G5078" s="64">
        <f t="shared" ca="1" si="118"/>
        <v>-1.3667575817531695E-2</v>
      </c>
    </row>
    <row r="5079" spans="6:7" x14ac:dyDescent="0.3">
      <c r="F5079" s="64">
        <v>5076</v>
      </c>
      <c r="G5079" s="64">
        <f t="shared" ca="1" si="118"/>
        <v>-7.2712055983603901E-4</v>
      </c>
    </row>
    <row r="5080" spans="6:7" x14ac:dyDescent="0.3">
      <c r="F5080" s="64">
        <v>5077</v>
      </c>
      <c r="G5080" s="64">
        <f t="shared" ca="1" si="118"/>
        <v>-4.1975265822662543E-3</v>
      </c>
    </row>
    <row r="5081" spans="6:7" x14ac:dyDescent="0.3">
      <c r="F5081" s="64">
        <v>5078</v>
      </c>
      <c r="G5081" s="64">
        <f t="shared" ca="1" si="118"/>
        <v>-6.7044049982593707E-3</v>
      </c>
    </row>
    <row r="5082" spans="6:7" x14ac:dyDescent="0.3">
      <c r="F5082" s="64">
        <v>5079</v>
      </c>
      <c r="G5082" s="64">
        <f t="shared" ca="1" si="118"/>
        <v>-2.8864254058522269E-2</v>
      </c>
    </row>
    <row r="5083" spans="6:7" x14ac:dyDescent="0.3">
      <c r="F5083" s="64">
        <v>5080</v>
      </c>
      <c r="G5083" s="64">
        <f t="shared" ca="1" si="118"/>
        <v>7.2101434558266503E-3</v>
      </c>
    </row>
    <row r="5084" spans="6:7" x14ac:dyDescent="0.3">
      <c r="F5084" s="64">
        <v>5081</v>
      </c>
      <c r="G5084" s="64">
        <f t="shared" ca="1" si="118"/>
        <v>5.1116688880284899E-3</v>
      </c>
    </row>
    <row r="5085" spans="6:7" x14ac:dyDescent="0.3">
      <c r="F5085" s="64">
        <v>5082</v>
      </c>
      <c r="G5085" s="64">
        <f t="shared" ca="1" si="118"/>
        <v>-1.7975175933484411E-2</v>
      </c>
    </row>
    <row r="5086" spans="6:7" x14ac:dyDescent="0.3">
      <c r="F5086" s="64">
        <v>5083</v>
      </c>
      <c r="G5086" s="64">
        <f t="shared" ca="1" si="118"/>
        <v>5.7557678420104919E-3</v>
      </c>
    </row>
    <row r="5087" spans="6:7" x14ac:dyDescent="0.3">
      <c r="F5087" s="64">
        <v>5084</v>
      </c>
      <c r="G5087" s="64">
        <f t="shared" ca="1" si="118"/>
        <v>1.1229544010297925E-2</v>
      </c>
    </row>
    <row r="5088" spans="6:7" x14ac:dyDescent="0.3">
      <c r="F5088" s="64">
        <v>5085</v>
      </c>
      <c r="G5088" s="64">
        <f t="shared" ca="1" si="118"/>
        <v>9.3339480752296661E-3</v>
      </c>
    </row>
    <row r="5089" spans="6:7" x14ac:dyDescent="0.3">
      <c r="F5089" s="64">
        <v>5086</v>
      </c>
      <c r="G5089" s="64">
        <f t="shared" ca="1" si="118"/>
        <v>3.2081360017566452E-2</v>
      </c>
    </row>
    <row r="5090" spans="6:7" x14ac:dyDescent="0.3">
      <c r="F5090" s="64">
        <v>5087</v>
      </c>
      <c r="G5090" s="64">
        <f t="shared" ca="1" si="118"/>
        <v>1.7858773913567307E-2</v>
      </c>
    </row>
    <row r="5091" spans="6:7" x14ac:dyDescent="0.3">
      <c r="F5091" s="64">
        <v>5088</v>
      </c>
      <c r="G5091" s="64">
        <f t="shared" ca="1" si="118"/>
        <v>3.8233418115383973E-3</v>
      </c>
    </row>
    <row r="5092" spans="6:7" x14ac:dyDescent="0.3">
      <c r="F5092" s="64">
        <v>5089</v>
      </c>
      <c r="G5092" s="64">
        <f t="shared" ca="1" si="118"/>
        <v>-8.3459070531112186E-4</v>
      </c>
    </row>
    <row r="5093" spans="6:7" x14ac:dyDescent="0.3">
      <c r="F5093" s="64">
        <v>5090</v>
      </c>
      <c r="G5093" s="64">
        <f t="shared" ca="1" si="118"/>
        <v>8.2481711405968834E-3</v>
      </c>
    </row>
    <row r="5094" spans="6:7" x14ac:dyDescent="0.3">
      <c r="F5094" s="64">
        <v>5091</v>
      </c>
      <c r="G5094" s="64">
        <f t="shared" ca="1" si="118"/>
        <v>-9.4164540862191198E-4</v>
      </c>
    </row>
    <row r="5095" spans="6:7" x14ac:dyDescent="0.3">
      <c r="F5095" s="64">
        <v>5092</v>
      </c>
      <c r="G5095" s="64">
        <f t="shared" ca="1" si="118"/>
        <v>-7.7387452602701075E-3</v>
      </c>
    </row>
    <row r="5096" spans="6:7" x14ac:dyDescent="0.3">
      <c r="F5096" s="64">
        <v>5093</v>
      </c>
      <c r="G5096" s="64">
        <f t="shared" ca="1" si="118"/>
        <v>-3.0851948829088371E-2</v>
      </c>
    </row>
    <row r="5097" spans="6:7" x14ac:dyDescent="0.3">
      <c r="F5097" s="64">
        <v>5094</v>
      </c>
      <c r="G5097" s="64">
        <f t="shared" ca="1" si="118"/>
        <v>-2.0463164537256849E-2</v>
      </c>
    </row>
    <row r="5098" spans="6:7" x14ac:dyDescent="0.3">
      <c r="F5098" s="64">
        <v>5095</v>
      </c>
      <c r="G5098" s="64">
        <f t="shared" ca="1" si="118"/>
        <v>2.3733960084115387E-2</v>
      </c>
    </row>
    <row r="5099" spans="6:7" x14ac:dyDescent="0.3">
      <c r="F5099" s="64">
        <v>5096</v>
      </c>
      <c r="G5099" s="64">
        <f t="shared" ca="1" si="118"/>
        <v>1.7624941762763947E-2</v>
      </c>
    </row>
    <row r="5100" spans="6:7" x14ac:dyDescent="0.3">
      <c r="F5100" s="64">
        <v>5097</v>
      </c>
      <c r="G5100" s="64">
        <f t="shared" ca="1" si="118"/>
        <v>-8.7946470406888126E-3</v>
      </c>
    </row>
    <row r="5101" spans="6:7" x14ac:dyDescent="0.3">
      <c r="F5101" s="64">
        <v>5098</v>
      </c>
      <c r="G5101" s="64">
        <f t="shared" ca="1" si="118"/>
        <v>6.1512727038841126E-3</v>
      </c>
    </row>
    <row r="5102" spans="6:7" x14ac:dyDescent="0.3">
      <c r="F5102" s="64">
        <v>5099</v>
      </c>
      <c r="G5102" s="64">
        <f t="shared" ca="1" si="118"/>
        <v>1.9741630156661041E-2</v>
      </c>
    </row>
    <row r="5103" spans="6:7" x14ac:dyDescent="0.3">
      <c r="F5103" s="64">
        <v>5100</v>
      </c>
      <c r="G5103" s="64">
        <f t="shared" ca="1" si="118"/>
        <v>2.7774344407505806E-2</v>
      </c>
    </row>
    <row r="5104" spans="6:7" x14ac:dyDescent="0.3">
      <c r="F5104" s="64">
        <v>5101</v>
      </c>
      <c r="G5104" s="64">
        <f t="shared" ca="1" si="118"/>
        <v>7.1431352162178103E-3</v>
      </c>
    </row>
    <row r="5105" spans="6:7" x14ac:dyDescent="0.3">
      <c r="F5105" s="64">
        <v>5102</v>
      </c>
      <c r="G5105" s="64">
        <f t="shared" ca="1" si="118"/>
        <v>-2.8569078433377797E-2</v>
      </c>
    </row>
    <row r="5106" spans="6:7" x14ac:dyDescent="0.3">
      <c r="F5106" s="64">
        <v>5103</v>
      </c>
      <c r="G5106" s="64">
        <f t="shared" ca="1" si="118"/>
        <v>8.7562027152825132E-3</v>
      </c>
    </row>
    <row r="5107" spans="6:7" x14ac:dyDescent="0.3">
      <c r="F5107" s="64">
        <v>5104</v>
      </c>
      <c r="G5107" s="64">
        <f t="shared" ca="1" si="118"/>
        <v>2.7109179153013991E-3</v>
      </c>
    </row>
    <row r="5108" spans="6:7" x14ac:dyDescent="0.3">
      <c r="F5108" s="64">
        <v>5105</v>
      </c>
      <c r="G5108" s="64">
        <f t="shared" ca="1" si="118"/>
        <v>7.1542709594399701E-3</v>
      </c>
    </row>
    <row r="5109" spans="6:7" x14ac:dyDescent="0.3">
      <c r="F5109" s="64">
        <v>5106</v>
      </c>
      <c r="G5109" s="64">
        <f t="shared" ca="1" si="118"/>
        <v>-1.0876657475852029E-2</v>
      </c>
    </row>
    <row r="5110" spans="6:7" x14ac:dyDescent="0.3">
      <c r="F5110" s="64">
        <v>5107</v>
      </c>
      <c r="G5110" s="64">
        <f t="shared" ca="1" si="118"/>
        <v>-1.9068422931596163E-2</v>
      </c>
    </row>
    <row r="5111" spans="6:7" x14ac:dyDescent="0.3">
      <c r="F5111" s="64">
        <v>5108</v>
      </c>
      <c r="G5111" s="64">
        <f t="shared" ca="1" si="118"/>
        <v>-4.8313796030953829E-3</v>
      </c>
    </row>
    <row r="5112" spans="6:7" x14ac:dyDescent="0.3">
      <c r="F5112" s="64">
        <v>5109</v>
      </c>
      <c r="G5112" s="64">
        <f t="shared" ca="1" si="118"/>
        <v>-3.8648909849796657E-3</v>
      </c>
    </row>
    <row r="5113" spans="6:7" x14ac:dyDescent="0.3">
      <c r="F5113" s="64">
        <v>5110</v>
      </c>
      <c r="G5113" s="64">
        <f t="shared" ca="1" si="118"/>
        <v>-4.1745988931203057E-2</v>
      </c>
    </row>
    <row r="5114" spans="6:7" x14ac:dyDescent="0.3">
      <c r="F5114" s="64">
        <v>5111</v>
      </c>
      <c r="G5114" s="64">
        <f t="shared" ca="1" si="118"/>
        <v>1.301209620406075E-2</v>
      </c>
    </row>
    <row r="5115" spans="6:7" x14ac:dyDescent="0.3">
      <c r="F5115" s="64">
        <v>5112</v>
      </c>
      <c r="G5115" s="64">
        <f t="shared" ca="1" si="118"/>
        <v>2.3272956346337373E-2</v>
      </c>
    </row>
    <row r="5116" spans="6:7" x14ac:dyDescent="0.3">
      <c r="F5116" s="64">
        <v>5113</v>
      </c>
      <c r="G5116" s="64">
        <f t="shared" ca="1" si="118"/>
        <v>-1.1780068885822574E-3</v>
      </c>
    </row>
    <row r="5117" spans="6:7" x14ac:dyDescent="0.3">
      <c r="F5117" s="64">
        <v>5114</v>
      </c>
      <c r="G5117" s="64">
        <f t="shared" ca="1" si="118"/>
        <v>1.8393902600977376E-2</v>
      </c>
    </row>
    <row r="5118" spans="6:7" x14ac:dyDescent="0.3">
      <c r="F5118" s="64">
        <v>5115</v>
      </c>
      <c r="G5118" s="64">
        <f t="shared" ca="1" si="118"/>
        <v>-9.572908070968009E-3</v>
      </c>
    </row>
    <row r="5119" spans="6:7" x14ac:dyDescent="0.3">
      <c r="F5119" s="64">
        <v>5116</v>
      </c>
      <c r="G5119" s="64">
        <f t="shared" ca="1" si="118"/>
        <v>1.2735801032307068E-2</v>
      </c>
    </row>
    <row r="5120" spans="6:7" x14ac:dyDescent="0.3">
      <c r="F5120" s="64">
        <v>5117</v>
      </c>
      <c r="G5120" s="64">
        <f t="shared" ca="1" si="118"/>
        <v>-3.1483428570668895E-2</v>
      </c>
    </row>
    <row r="5121" spans="6:7" x14ac:dyDescent="0.3">
      <c r="F5121" s="64">
        <v>5118</v>
      </c>
      <c r="G5121" s="64">
        <f t="shared" ca="1" si="118"/>
        <v>2.6562611706639101E-2</v>
      </c>
    </row>
    <row r="5122" spans="6:7" x14ac:dyDescent="0.3">
      <c r="F5122" s="64">
        <v>5119</v>
      </c>
      <c r="G5122" s="64">
        <f t="shared" ca="1" si="118"/>
        <v>1.9262628671849497E-2</v>
      </c>
    </row>
    <row r="5123" spans="6:7" x14ac:dyDescent="0.3">
      <c r="F5123" s="64">
        <v>5120</v>
      </c>
      <c r="G5123" s="64">
        <f t="shared" ca="1" si="118"/>
        <v>5.3660399568449101E-3</v>
      </c>
    </row>
    <row r="5124" spans="6:7" x14ac:dyDescent="0.3">
      <c r="F5124" s="64">
        <v>5121</v>
      </c>
      <c r="G5124" s="64">
        <f t="shared" ca="1" si="118"/>
        <v>4.6540000796513759E-5</v>
      </c>
    </row>
    <row r="5125" spans="6:7" x14ac:dyDescent="0.3">
      <c r="F5125" s="64">
        <v>5122</v>
      </c>
      <c r="G5125" s="64">
        <f t="shared" ref="G5125:G5188" ca="1" si="119">_xlfn.NORM.INV(RAND(),K$6,K$7)</f>
        <v>-4.1563760428913243E-2</v>
      </c>
    </row>
    <row r="5126" spans="6:7" x14ac:dyDescent="0.3">
      <c r="F5126" s="64">
        <v>5123</v>
      </c>
      <c r="G5126" s="64">
        <f t="shared" ca="1" si="119"/>
        <v>-1.652054810294943E-2</v>
      </c>
    </row>
    <row r="5127" spans="6:7" x14ac:dyDescent="0.3">
      <c r="F5127" s="64">
        <v>5124</v>
      </c>
      <c r="G5127" s="64">
        <f t="shared" ca="1" si="119"/>
        <v>1.9293565315802154E-2</v>
      </c>
    </row>
    <row r="5128" spans="6:7" x14ac:dyDescent="0.3">
      <c r="F5128" s="64">
        <v>5125</v>
      </c>
      <c r="G5128" s="64">
        <f t="shared" ca="1" si="119"/>
        <v>5.0407228228354972E-2</v>
      </c>
    </row>
    <row r="5129" spans="6:7" x14ac:dyDescent="0.3">
      <c r="F5129" s="64">
        <v>5126</v>
      </c>
      <c r="G5129" s="64">
        <f t="shared" ca="1" si="119"/>
        <v>-2.0777990607750853E-2</v>
      </c>
    </row>
    <row r="5130" spans="6:7" x14ac:dyDescent="0.3">
      <c r="F5130" s="64">
        <v>5127</v>
      </c>
      <c r="G5130" s="64">
        <f t="shared" ca="1" si="119"/>
        <v>1.0831641057993504E-2</v>
      </c>
    </row>
    <row r="5131" spans="6:7" x14ac:dyDescent="0.3">
      <c r="F5131" s="64">
        <v>5128</v>
      </c>
      <c r="G5131" s="64">
        <f t="shared" ca="1" si="119"/>
        <v>1.9476873577674268E-2</v>
      </c>
    </row>
    <row r="5132" spans="6:7" x14ac:dyDescent="0.3">
      <c r="F5132" s="64">
        <v>5129</v>
      </c>
      <c r="G5132" s="64">
        <f t="shared" ca="1" si="119"/>
        <v>-2.4247656864201167E-3</v>
      </c>
    </row>
    <row r="5133" spans="6:7" x14ac:dyDescent="0.3">
      <c r="F5133" s="64">
        <v>5130</v>
      </c>
      <c r="G5133" s="64">
        <f t="shared" ca="1" si="119"/>
        <v>-9.3880054905771514E-3</v>
      </c>
    </row>
    <row r="5134" spans="6:7" x14ac:dyDescent="0.3">
      <c r="F5134" s="64">
        <v>5131</v>
      </c>
      <c r="G5134" s="64">
        <f t="shared" ca="1" si="119"/>
        <v>-1.6181654885429719E-2</v>
      </c>
    </row>
    <row r="5135" spans="6:7" x14ac:dyDescent="0.3">
      <c r="F5135" s="64">
        <v>5132</v>
      </c>
      <c r="G5135" s="64">
        <f t="shared" ca="1" si="119"/>
        <v>2.9454644882658886E-2</v>
      </c>
    </row>
    <row r="5136" spans="6:7" x14ac:dyDescent="0.3">
      <c r="F5136" s="64">
        <v>5133</v>
      </c>
      <c r="G5136" s="64">
        <f t="shared" ca="1" si="119"/>
        <v>5.0588299279693116E-3</v>
      </c>
    </row>
    <row r="5137" spans="6:7" x14ac:dyDescent="0.3">
      <c r="F5137" s="64">
        <v>5134</v>
      </c>
      <c r="G5137" s="64">
        <f t="shared" ca="1" si="119"/>
        <v>-1.101586274289142E-2</v>
      </c>
    </row>
    <row r="5138" spans="6:7" x14ac:dyDescent="0.3">
      <c r="F5138" s="64">
        <v>5135</v>
      </c>
      <c r="G5138" s="64">
        <f t="shared" ca="1" si="119"/>
        <v>1.9814914246344746E-2</v>
      </c>
    </row>
    <row r="5139" spans="6:7" x14ac:dyDescent="0.3">
      <c r="F5139" s="64">
        <v>5136</v>
      </c>
      <c r="G5139" s="64">
        <f t="shared" ca="1" si="119"/>
        <v>-7.9617088450400896E-3</v>
      </c>
    </row>
    <row r="5140" spans="6:7" x14ac:dyDescent="0.3">
      <c r="F5140" s="64">
        <v>5137</v>
      </c>
      <c r="G5140" s="64">
        <f t="shared" ca="1" si="119"/>
        <v>4.8092183098087538E-3</v>
      </c>
    </row>
    <row r="5141" spans="6:7" x14ac:dyDescent="0.3">
      <c r="F5141" s="64">
        <v>5138</v>
      </c>
      <c r="G5141" s="64">
        <f t="shared" ca="1" si="119"/>
        <v>3.3240814708860407E-4</v>
      </c>
    </row>
    <row r="5142" spans="6:7" x14ac:dyDescent="0.3">
      <c r="F5142" s="64">
        <v>5139</v>
      </c>
      <c r="G5142" s="64">
        <f t="shared" ca="1" si="119"/>
        <v>-2.455952465494049E-2</v>
      </c>
    </row>
    <row r="5143" spans="6:7" x14ac:dyDescent="0.3">
      <c r="F5143" s="64">
        <v>5140</v>
      </c>
      <c r="G5143" s="64">
        <f t="shared" ca="1" si="119"/>
        <v>2.9554015649657229E-3</v>
      </c>
    </row>
    <row r="5144" spans="6:7" x14ac:dyDescent="0.3">
      <c r="F5144" s="64">
        <v>5141</v>
      </c>
      <c r="G5144" s="64">
        <f t="shared" ca="1" si="119"/>
        <v>1.3075022089953771E-2</v>
      </c>
    </row>
    <row r="5145" spans="6:7" x14ac:dyDescent="0.3">
      <c r="F5145" s="64">
        <v>5142</v>
      </c>
      <c r="G5145" s="64">
        <f t="shared" ca="1" si="119"/>
        <v>4.8088025358479405E-4</v>
      </c>
    </row>
    <row r="5146" spans="6:7" x14ac:dyDescent="0.3">
      <c r="F5146" s="64">
        <v>5143</v>
      </c>
      <c r="G5146" s="64">
        <f t="shared" ca="1" si="119"/>
        <v>-1.4864869082265522E-2</v>
      </c>
    </row>
    <row r="5147" spans="6:7" x14ac:dyDescent="0.3">
      <c r="F5147" s="64">
        <v>5144</v>
      </c>
      <c r="G5147" s="64">
        <f t="shared" ca="1" si="119"/>
        <v>5.5562454214153198E-3</v>
      </c>
    </row>
    <row r="5148" spans="6:7" x14ac:dyDescent="0.3">
      <c r="F5148" s="64">
        <v>5145</v>
      </c>
      <c r="G5148" s="64">
        <f t="shared" ca="1" si="119"/>
        <v>2.2221961402921646E-2</v>
      </c>
    </row>
    <row r="5149" spans="6:7" x14ac:dyDescent="0.3">
      <c r="F5149" s="64">
        <v>5146</v>
      </c>
      <c r="G5149" s="64">
        <f t="shared" ca="1" si="119"/>
        <v>1.0806524054766316E-2</v>
      </c>
    </row>
    <row r="5150" spans="6:7" x14ac:dyDescent="0.3">
      <c r="F5150" s="64">
        <v>5147</v>
      </c>
      <c r="G5150" s="64">
        <f t="shared" ca="1" si="119"/>
        <v>-7.2846880969825063E-3</v>
      </c>
    </row>
    <row r="5151" spans="6:7" x14ac:dyDescent="0.3">
      <c r="F5151" s="64">
        <v>5148</v>
      </c>
      <c r="G5151" s="64">
        <f t="shared" ca="1" si="119"/>
        <v>5.5337875783913948E-3</v>
      </c>
    </row>
    <row r="5152" spans="6:7" x14ac:dyDescent="0.3">
      <c r="F5152" s="64">
        <v>5149</v>
      </c>
      <c r="G5152" s="64">
        <f t="shared" ca="1" si="119"/>
        <v>1.0559883380650939E-2</v>
      </c>
    </row>
    <row r="5153" spans="6:7" x14ac:dyDescent="0.3">
      <c r="F5153" s="64">
        <v>5150</v>
      </c>
      <c r="G5153" s="64">
        <f t="shared" ca="1" si="119"/>
        <v>7.0701661061684249E-3</v>
      </c>
    </row>
    <row r="5154" spans="6:7" x14ac:dyDescent="0.3">
      <c r="F5154" s="64">
        <v>5151</v>
      </c>
      <c r="G5154" s="64">
        <f t="shared" ca="1" si="119"/>
        <v>-2.1028510568102854E-4</v>
      </c>
    </row>
    <row r="5155" spans="6:7" x14ac:dyDescent="0.3">
      <c r="F5155" s="64">
        <v>5152</v>
      </c>
      <c r="G5155" s="64">
        <f t="shared" ca="1" si="119"/>
        <v>-6.8041092880854661E-3</v>
      </c>
    </row>
    <row r="5156" spans="6:7" x14ac:dyDescent="0.3">
      <c r="F5156" s="64">
        <v>5153</v>
      </c>
      <c r="G5156" s="64">
        <f t="shared" ca="1" si="119"/>
        <v>6.4731257644709116E-3</v>
      </c>
    </row>
    <row r="5157" spans="6:7" x14ac:dyDescent="0.3">
      <c r="F5157" s="64">
        <v>5154</v>
      </c>
      <c r="G5157" s="64">
        <f t="shared" ca="1" si="119"/>
        <v>2.848427454690089E-2</v>
      </c>
    </row>
    <row r="5158" spans="6:7" x14ac:dyDescent="0.3">
      <c r="F5158" s="64">
        <v>5155</v>
      </c>
      <c r="G5158" s="64">
        <f t="shared" ca="1" si="119"/>
        <v>2.1241293832003377E-2</v>
      </c>
    </row>
    <row r="5159" spans="6:7" x14ac:dyDescent="0.3">
      <c r="F5159" s="64">
        <v>5156</v>
      </c>
      <c r="G5159" s="64">
        <f t="shared" ca="1" si="119"/>
        <v>-2.2529744897318404E-2</v>
      </c>
    </row>
    <row r="5160" spans="6:7" x14ac:dyDescent="0.3">
      <c r="F5160" s="64">
        <v>5157</v>
      </c>
      <c r="G5160" s="64">
        <f t="shared" ca="1" si="119"/>
        <v>-2.6363334533579433E-2</v>
      </c>
    </row>
    <row r="5161" spans="6:7" x14ac:dyDescent="0.3">
      <c r="F5161" s="64">
        <v>5158</v>
      </c>
      <c r="G5161" s="64">
        <f t="shared" ca="1" si="119"/>
        <v>-1.4050713071790375E-2</v>
      </c>
    </row>
    <row r="5162" spans="6:7" x14ac:dyDescent="0.3">
      <c r="F5162" s="64">
        <v>5159</v>
      </c>
      <c r="G5162" s="64">
        <f t="shared" ca="1" si="119"/>
        <v>-9.3120018852662616E-3</v>
      </c>
    </row>
    <row r="5163" spans="6:7" x14ac:dyDescent="0.3">
      <c r="F5163" s="64">
        <v>5160</v>
      </c>
      <c r="G5163" s="64">
        <f t="shared" ca="1" si="119"/>
        <v>2.6695904511776086E-2</v>
      </c>
    </row>
    <row r="5164" spans="6:7" x14ac:dyDescent="0.3">
      <c r="F5164" s="64">
        <v>5161</v>
      </c>
      <c r="G5164" s="64">
        <f t="shared" ca="1" si="119"/>
        <v>-1.572585106725178E-2</v>
      </c>
    </row>
    <row r="5165" spans="6:7" x14ac:dyDescent="0.3">
      <c r="F5165" s="64">
        <v>5162</v>
      </c>
      <c r="G5165" s="64">
        <f t="shared" ca="1" si="119"/>
        <v>2.5626478160247296E-2</v>
      </c>
    </row>
    <row r="5166" spans="6:7" x14ac:dyDescent="0.3">
      <c r="F5166" s="64">
        <v>5163</v>
      </c>
      <c r="G5166" s="64">
        <f t="shared" ca="1" si="119"/>
        <v>2.028214347826137E-2</v>
      </c>
    </row>
    <row r="5167" spans="6:7" x14ac:dyDescent="0.3">
      <c r="F5167" s="64">
        <v>5164</v>
      </c>
      <c r="G5167" s="64">
        <f t="shared" ca="1" si="119"/>
        <v>7.4086270758535216E-2</v>
      </c>
    </row>
    <row r="5168" spans="6:7" x14ac:dyDescent="0.3">
      <c r="F5168" s="64">
        <v>5165</v>
      </c>
      <c r="G5168" s="64">
        <f t="shared" ca="1" si="119"/>
        <v>-3.3219318828888083E-3</v>
      </c>
    </row>
    <row r="5169" spans="6:7" x14ac:dyDescent="0.3">
      <c r="F5169" s="64">
        <v>5166</v>
      </c>
      <c r="G5169" s="64">
        <f t="shared" ca="1" si="119"/>
        <v>-5.819735776776979E-3</v>
      </c>
    </row>
    <row r="5170" spans="6:7" x14ac:dyDescent="0.3">
      <c r="F5170" s="64">
        <v>5167</v>
      </c>
      <c r="G5170" s="64">
        <f t="shared" ca="1" si="119"/>
        <v>-1.4478770682583254E-2</v>
      </c>
    </row>
    <row r="5171" spans="6:7" x14ac:dyDescent="0.3">
      <c r="F5171" s="64">
        <v>5168</v>
      </c>
      <c r="G5171" s="64">
        <f t="shared" ca="1" si="119"/>
        <v>3.4962781505829058E-2</v>
      </c>
    </row>
    <row r="5172" spans="6:7" x14ac:dyDescent="0.3">
      <c r="F5172" s="64">
        <v>5169</v>
      </c>
      <c r="G5172" s="64">
        <f t="shared" ca="1" si="119"/>
        <v>3.0771318732908996E-2</v>
      </c>
    </row>
    <row r="5173" spans="6:7" x14ac:dyDescent="0.3">
      <c r="F5173" s="64">
        <v>5170</v>
      </c>
      <c r="G5173" s="64">
        <f t="shared" ca="1" si="119"/>
        <v>-7.0156330895376623E-3</v>
      </c>
    </row>
    <row r="5174" spans="6:7" x14ac:dyDescent="0.3">
      <c r="F5174" s="64">
        <v>5171</v>
      </c>
      <c r="G5174" s="64">
        <f t="shared" ca="1" si="119"/>
        <v>-2.0548836923797463E-2</v>
      </c>
    </row>
    <row r="5175" spans="6:7" x14ac:dyDescent="0.3">
      <c r="F5175" s="64">
        <v>5172</v>
      </c>
      <c r="G5175" s="64">
        <f t="shared" ca="1" si="119"/>
        <v>2.7757248732709842E-2</v>
      </c>
    </row>
    <row r="5176" spans="6:7" x14ac:dyDescent="0.3">
      <c r="F5176" s="64">
        <v>5173</v>
      </c>
      <c r="G5176" s="64">
        <f t="shared" ca="1" si="119"/>
        <v>-6.9020554590772847E-4</v>
      </c>
    </row>
    <row r="5177" spans="6:7" x14ac:dyDescent="0.3">
      <c r="F5177" s="64">
        <v>5174</v>
      </c>
      <c r="G5177" s="64">
        <f t="shared" ca="1" si="119"/>
        <v>3.0232512676739334E-2</v>
      </c>
    </row>
    <row r="5178" spans="6:7" x14ac:dyDescent="0.3">
      <c r="F5178" s="64">
        <v>5175</v>
      </c>
      <c r="G5178" s="64">
        <f t="shared" ca="1" si="119"/>
        <v>1.7137605199888165E-3</v>
      </c>
    </row>
    <row r="5179" spans="6:7" x14ac:dyDescent="0.3">
      <c r="F5179" s="64">
        <v>5176</v>
      </c>
      <c r="G5179" s="64">
        <f t="shared" ca="1" si="119"/>
        <v>2.662539956538823E-2</v>
      </c>
    </row>
    <row r="5180" spans="6:7" x14ac:dyDescent="0.3">
      <c r="F5180" s="64">
        <v>5177</v>
      </c>
      <c r="G5180" s="64">
        <f t="shared" ca="1" si="119"/>
        <v>5.0400726266208035E-3</v>
      </c>
    </row>
    <row r="5181" spans="6:7" x14ac:dyDescent="0.3">
      <c r="F5181" s="64">
        <v>5178</v>
      </c>
      <c r="G5181" s="64">
        <f t="shared" ca="1" si="119"/>
        <v>3.4231069399649927E-2</v>
      </c>
    </row>
    <row r="5182" spans="6:7" x14ac:dyDescent="0.3">
      <c r="F5182" s="64">
        <v>5179</v>
      </c>
      <c r="G5182" s="64">
        <f t="shared" ca="1" si="119"/>
        <v>4.1907151427975624E-2</v>
      </c>
    </row>
    <row r="5183" spans="6:7" x14ac:dyDescent="0.3">
      <c r="F5183" s="64">
        <v>5180</v>
      </c>
      <c r="G5183" s="64">
        <f t="shared" ca="1" si="119"/>
        <v>-2.426141335510959E-2</v>
      </c>
    </row>
    <row r="5184" spans="6:7" x14ac:dyDescent="0.3">
      <c r="F5184" s="64">
        <v>5181</v>
      </c>
      <c r="G5184" s="64">
        <f t="shared" ca="1" si="119"/>
        <v>-1.5710935738514058E-2</v>
      </c>
    </row>
    <row r="5185" spans="6:7" x14ac:dyDescent="0.3">
      <c r="F5185" s="64">
        <v>5182</v>
      </c>
      <c r="G5185" s="64">
        <f t="shared" ca="1" si="119"/>
        <v>8.7303749699812194E-3</v>
      </c>
    </row>
    <row r="5186" spans="6:7" x14ac:dyDescent="0.3">
      <c r="F5186" s="64">
        <v>5183</v>
      </c>
      <c r="G5186" s="64">
        <f t="shared" ca="1" si="119"/>
        <v>-1.1901215821796256E-2</v>
      </c>
    </row>
    <row r="5187" spans="6:7" x14ac:dyDescent="0.3">
      <c r="F5187" s="64">
        <v>5184</v>
      </c>
      <c r="G5187" s="64">
        <f t="shared" ca="1" si="119"/>
        <v>2.6928201665999504E-2</v>
      </c>
    </row>
    <row r="5188" spans="6:7" x14ac:dyDescent="0.3">
      <c r="F5188" s="64">
        <v>5185</v>
      </c>
      <c r="G5188" s="64">
        <f t="shared" ca="1" si="119"/>
        <v>-3.4662980138835207E-3</v>
      </c>
    </row>
    <row r="5189" spans="6:7" x14ac:dyDescent="0.3">
      <c r="F5189" s="64">
        <v>5186</v>
      </c>
      <c r="G5189" s="64">
        <f t="shared" ref="G5189:G5252" ca="1" si="120">_xlfn.NORM.INV(RAND(),K$6,K$7)</f>
        <v>1.0676026076134276E-2</v>
      </c>
    </row>
    <row r="5190" spans="6:7" x14ac:dyDescent="0.3">
      <c r="F5190" s="64">
        <v>5187</v>
      </c>
      <c r="G5190" s="64">
        <f t="shared" ca="1" si="120"/>
        <v>-4.4570458818719476E-3</v>
      </c>
    </row>
    <row r="5191" spans="6:7" x14ac:dyDescent="0.3">
      <c r="F5191" s="64">
        <v>5188</v>
      </c>
      <c r="G5191" s="64">
        <f t="shared" ca="1" si="120"/>
        <v>4.3173689119252031E-3</v>
      </c>
    </row>
    <row r="5192" spans="6:7" x14ac:dyDescent="0.3">
      <c r="F5192" s="64">
        <v>5189</v>
      </c>
      <c r="G5192" s="64">
        <f t="shared" ca="1" si="120"/>
        <v>5.685178675054238E-2</v>
      </c>
    </row>
    <row r="5193" spans="6:7" x14ac:dyDescent="0.3">
      <c r="F5193" s="64">
        <v>5190</v>
      </c>
      <c r="G5193" s="64">
        <f t="shared" ca="1" si="120"/>
        <v>-1.3042778954447543E-2</v>
      </c>
    </row>
    <row r="5194" spans="6:7" x14ac:dyDescent="0.3">
      <c r="F5194" s="64">
        <v>5191</v>
      </c>
      <c r="G5194" s="64">
        <f t="shared" ca="1" si="120"/>
        <v>3.146778741826505E-3</v>
      </c>
    </row>
    <row r="5195" spans="6:7" x14ac:dyDescent="0.3">
      <c r="F5195" s="64">
        <v>5192</v>
      </c>
      <c r="G5195" s="64">
        <f t="shared" ca="1" si="120"/>
        <v>2.0573951323114181E-2</v>
      </c>
    </row>
    <row r="5196" spans="6:7" x14ac:dyDescent="0.3">
      <c r="F5196" s="64">
        <v>5193</v>
      </c>
      <c r="G5196" s="64">
        <f t="shared" ca="1" si="120"/>
        <v>-2.326138285891885E-2</v>
      </c>
    </row>
    <row r="5197" spans="6:7" x14ac:dyDescent="0.3">
      <c r="F5197" s="64">
        <v>5194</v>
      </c>
      <c r="G5197" s="64">
        <f t="shared" ca="1" si="120"/>
        <v>3.7616527353969226E-2</v>
      </c>
    </row>
    <row r="5198" spans="6:7" x14ac:dyDescent="0.3">
      <c r="F5198" s="64">
        <v>5195</v>
      </c>
      <c r="G5198" s="64">
        <f t="shared" ca="1" si="120"/>
        <v>2.8550663600620453E-2</v>
      </c>
    </row>
    <row r="5199" spans="6:7" x14ac:dyDescent="0.3">
      <c r="F5199" s="64">
        <v>5196</v>
      </c>
      <c r="G5199" s="64">
        <f t="shared" ca="1" si="120"/>
        <v>-1.0331044949785312E-2</v>
      </c>
    </row>
    <row r="5200" spans="6:7" x14ac:dyDescent="0.3">
      <c r="F5200" s="64">
        <v>5197</v>
      </c>
      <c r="G5200" s="64">
        <f t="shared" ca="1" si="120"/>
        <v>-6.3813251422014184E-3</v>
      </c>
    </row>
    <row r="5201" spans="6:7" x14ac:dyDescent="0.3">
      <c r="F5201" s="64">
        <v>5198</v>
      </c>
      <c r="G5201" s="64">
        <f t="shared" ca="1" si="120"/>
        <v>-1.5731667701591859E-2</v>
      </c>
    </row>
    <row r="5202" spans="6:7" x14ac:dyDescent="0.3">
      <c r="F5202" s="64">
        <v>5199</v>
      </c>
      <c r="G5202" s="64">
        <f t="shared" ca="1" si="120"/>
        <v>2.2841647101059799E-2</v>
      </c>
    </row>
    <row r="5203" spans="6:7" x14ac:dyDescent="0.3">
      <c r="F5203" s="64">
        <v>5200</v>
      </c>
      <c r="G5203" s="64">
        <f t="shared" ca="1" si="120"/>
        <v>-2.4906144409902173E-2</v>
      </c>
    </row>
    <row r="5204" spans="6:7" x14ac:dyDescent="0.3">
      <c r="F5204" s="64">
        <v>5201</v>
      </c>
      <c r="G5204" s="64">
        <f t="shared" ca="1" si="120"/>
        <v>-1.4020776717650384E-2</v>
      </c>
    </row>
    <row r="5205" spans="6:7" x14ac:dyDescent="0.3">
      <c r="F5205" s="64">
        <v>5202</v>
      </c>
      <c r="G5205" s="64">
        <f t="shared" ca="1" si="120"/>
        <v>1.317160976604223E-2</v>
      </c>
    </row>
    <row r="5206" spans="6:7" x14ac:dyDescent="0.3">
      <c r="F5206" s="64">
        <v>5203</v>
      </c>
      <c r="G5206" s="64">
        <f t="shared" ca="1" si="120"/>
        <v>-1.2109294585873769E-2</v>
      </c>
    </row>
    <row r="5207" spans="6:7" x14ac:dyDescent="0.3">
      <c r="F5207" s="64">
        <v>5204</v>
      </c>
      <c r="G5207" s="64">
        <f t="shared" ca="1" si="120"/>
        <v>-4.7136378122940885E-3</v>
      </c>
    </row>
    <row r="5208" spans="6:7" x14ac:dyDescent="0.3">
      <c r="F5208" s="64">
        <v>5205</v>
      </c>
      <c r="G5208" s="64">
        <f t="shared" ca="1" si="120"/>
        <v>-2.9525275661484163E-3</v>
      </c>
    </row>
    <row r="5209" spans="6:7" x14ac:dyDescent="0.3">
      <c r="F5209" s="64">
        <v>5206</v>
      </c>
      <c r="G5209" s="64">
        <f t="shared" ca="1" si="120"/>
        <v>-2.3807072063403946E-3</v>
      </c>
    </row>
    <row r="5210" spans="6:7" x14ac:dyDescent="0.3">
      <c r="F5210" s="64">
        <v>5207</v>
      </c>
      <c r="G5210" s="64">
        <f t="shared" ca="1" si="120"/>
        <v>-4.0565845563322774E-2</v>
      </c>
    </row>
    <row r="5211" spans="6:7" x14ac:dyDescent="0.3">
      <c r="F5211" s="64">
        <v>5208</v>
      </c>
      <c r="G5211" s="64">
        <f t="shared" ca="1" si="120"/>
        <v>-3.2549678272390296E-2</v>
      </c>
    </row>
    <row r="5212" spans="6:7" x14ac:dyDescent="0.3">
      <c r="F5212" s="64">
        <v>5209</v>
      </c>
      <c r="G5212" s="64">
        <f t="shared" ca="1" si="120"/>
        <v>-3.9382378085651586E-2</v>
      </c>
    </row>
    <row r="5213" spans="6:7" x14ac:dyDescent="0.3">
      <c r="F5213" s="64">
        <v>5210</v>
      </c>
      <c r="G5213" s="64">
        <f t="shared" ca="1" si="120"/>
        <v>1.5512550815653611E-2</v>
      </c>
    </row>
    <row r="5214" spans="6:7" x14ac:dyDescent="0.3">
      <c r="F5214" s="64">
        <v>5211</v>
      </c>
      <c r="G5214" s="64">
        <f t="shared" ca="1" si="120"/>
        <v>6.5974716739783676E-3</v>
      </c>
    </row>
    <row r="5215" spans="6:7" x14ac:dyDescent="0.3">
      <c r="F5215" s="64">
        <v>5212</v>
      </c>
      <c r="G5215" s="64">
        <f t="shared" ca="1" si="120"/>
        <v>8.9617268021041229E-4</v>
      </c>
    </row>
    <row r="5216" spans="6:7" x14ac:dyDescent="0.3">
      <c r="F5216" s="64">
        <v>5213</v>
      </c>
      <c r="G5216" s="64">
        <f t="shared" ca="1" si="120"/>
        <v>2.129055686853501E-2</v>
      </c>
    </row>
    <row r="5217" spans="6:7" x14ac:dyDescent="0.3">
      <c r="F5217" s="64">
        <v>5214</v>
      </c>
      <c r="G5217" s="64">
        <f t="shared" ca="1" si="120"/>
        <v>1.9315523858876318E-2</v>
      </c>
    </row>
    <row r="5218" spans="6:7" x14ac:dyDescent="0.3">
      <c r="F5218" s="64">
        <v>5215</v>
      </c>
      <c r="G5218" s="64">
        <f t="shared" ca="1" si="120"/>
        <v>-1.5190986862623659E-3</v>
      </c>
    </row>
    <row r="5219" spans="6:7" x14ac:dyDescent="0.3">
      <c r="F5219" s="64">
        <v>5216</v>
      </c>
      <c r="G5219" s="64">
        <f t="shared" ca="1" si="120"/>
        <v>-4.6595296276869423E-3</v>
      </c>
    </row>
    <row r="5220" spans="6:7" x14ac:dyDescent="0.3">
      <c r="F5220" s="64">
        <v>5217</v>
      </c>
      <c r="G5220" s="64">
        <f t="shared" ca="1" si="120"/>
        <v>1.0969045070844846E-2</v>
      </c>
    </row>
    <row r="5221" spans="6:7" x14ac:dyDescent="0.3">
      <c r="F5221" s="64">
        <v>5218</v>
      </c>
      <c r="G5221" s="64">
        <f t="shared" ca="1" si="120"/>
        <v>-4.0768839013019073E-2</v>
      </c>
    </row>
    <row r="5222" spans="6:7" x14ac:dyDescent="0.3">
      <c r="F5222" s="64">
        <v>5219</v>
      </c>
      <c r="G5222" s="64">
        <f t="shared" ca="1" si="120"/>
        <v>-1.2254875609863372E-3</v>
      </c>
    </row>
    <row r="5223" spans="6:7" x14ac:dyDescent="0.3">
      <c r="F5223" s="64">
        <v>5220</v>
      </c>
      <c r="G5223" s="64">
        <f t="shared" ca="1" si="120"/>
        <v>-1.7599284813357076E-2</v>
      </c>
    </row>
    <row r="5224" spans="6:7" x14ac:dyDescent="0.3">
      <c r="F5224" s="64">
        <v>5221</v>
      </c>
      <c r="G5224" s="64">
        <f t="shared" ca="1" si="120"/>
        <v>1.3513046441457927E-2</v>
      </c>
    </row>
    <row r="5225" spans="6:7" x14ac:dyDescent="0.3">
      <c r="F5225" s="64">
        <v>5222</v>
      </c>
      <c r="G5225" s="64">
        <f t="shared" ca="1" si="120"/>
        <v>8.2554371555828253E-3</v>
      </c>
    </row>
    <row r="5226" spans="6:7" x14ac:dyDescent="0.3">
      <c r="F5226" s="64">
        <v>5223</v>
      </c>
      <c r="G5226" s="64">
        <f t="shared" ca="1" si="120"/>
        <v>-1.327358663473089E-2</v>
      </c>
    </row>
    <row r="5227" spans="6:7" x14ac:dyDescent="0.3">
      <c r="F5227" s="64">
        <v>5224</v>
      </c>
      <c r="G5227" s="64">
        <f t="shared" ca="1" si="120"/>
        <v>-1.8433665379538125E-2</v>
      </c>
    </row>
    <row r="5228" spans="6:7" x14ac:dyDescent="0.3">
      <c r="F5228" s="64">
        <v>5225</v>
      </c>
      <c r="G5228" s="64">
        <f t="shared" ca="1" si="120"/>
        <v>-2.375230401203323E-2</v>
      </c>
    </row>
    <row r="5229" spans="6:7" x14ac:dyDescent="0.3">
      <c r="F5229" s="64">
        <v>5226</v>
      </c>
      <c r="G5229" s="64">
        <f t="shared" ca="1" si="120"/>
        <v>2.6516716471933564E-2</v>
      </c>
    </row>
    <row r="5230" spans="6:7" x14ac:dyDescent="0.3">
      <c r="F5230" s="64">
        <v>5227</v>
      </c>
      <c r="G5230" s="64">
        <f t="shared" ca="1" si="120"/>
        <v>-3.6027792664584148E-2</v>
      </c>
    </row>
    <row r="5231" spans="6:7" x14ac:dyDescent="0.3">
      <c r="F5231" s="64">
        <v>5228</v>
      </c>
      <c r="G5231" s="64">
        <f t="shared" ca="1" si="120"/>
        <v>-1.5480538069318414E-3</v>
      </c>
    </row>
    <row r="5232" spans="6:7" x14ac:dyDescent="0.3">
      <c r="F5232" s="64">
        <v>5229</v>
      </c>
      <c r="G5232" s="64">
        <f t="shared" ca="1" si="120"/>
        <v>2.242047313691465E-2</v>
      </c>
    </row>
    <row r="5233" spans="6:7" x14ac:dyDescent="0.3">
      <c r="F5233" s="64">
        <v>5230</v>
      </c>
      <c r="G5233" s="64">
        <f t="shared" ca="1" si="120"/>
        <v>3.4332586602998254E-2</v>
      </c>
    </row>
    <row r="5234" spans="6:7" x14ac:dyDescent="0.3">
      <c r="F5234" s="64">
        <v>5231</v>
      </c>
      <c r="G5234" s="64">
        <f t="shared" ca="1" si="120"/>
        <v>4.6888505279673916E-3</v>
      </c>
    </row>
    <row r="5235" spans="6:7" x14ac:dyDescent="0.3">
      <c r="F5235" s="64">
        <v>5232</v>
      </c>
      <c r="G5235" s="64">
        <f t="shared" ca="1" si="120"/>
        <v>-1.4651321830040398E-2</v>
      </c>
    </row>
    <row r="5236" spans="6:7" x14ac:dyDescent="0.3">
      <c r="F5236" s="64">
        <v>5233</v>
      </c>
      <c r="G5236" s="64">
        <f t="shared" ca="1" si="120"/>
        <v>4.6726153443432727E-2</v>
      </c>
    </row>
    <row r="5237" spans="6:7" x14ac:dyDescent="0.3">
      <c r="F5237" s="64">
        <v>5234</v>
      </c>
      <c r="G5237" s="64">
        <f t="shared" ca="1" si="120"/>
        <v>2.448274758481897E-2</v>
      </c>
    </row>
    <row r="5238" spans="6:7" x14ac:dyDescent="0.3">
      <c r="F5238" s="64">
        <v>5235</v>
      </c>
      <c r="G5238" s="64">
        <f t="shared" ca="1" si="120"/>
        <v>-1.2744472036070457E-2</v>
      </c>
    </row>
    <row r="5239" spans="6:7" x14ac:dyDescent="0.3">
      <c r="F5239" s="64">
        <v>5236</v>
      </c>
      <c r="G5239" s="64">
        <f t="shared" ca="1" si="120"/>
        <v>9.6559307765905229E-3</v>
      </c>
    </row>
    <row r="5240" spans="6:7" x14ac:dyDescent="0.3">
      <c r="F5240" s="64">
        <v>5237</v>
      </c>
      <c r="G5240" s="64">
        <f t="shared" ca="1" si="120"/>
        <v>-4.8588279770224122E-3</v>
      </c>
    </row>
    <row r="5241" spans="6:7" x14ac:dyDescent="0.3">
      <c r="F5241" s="64">
        <v>5238</v>
      </c>
      <c r="G5241" s="64">
        <f t="shared" ca="1" si="120"/>
        <v>-8.7447152581477654E-3</v>
      </c>
    </row>
    <row r="5242" spans="6:7" x14ac:dyDescent="0.3">
      <c r="F5242" s="64">
        <v>5239</v>
      </c>
      <c r="G5242" s="64">
        <f t="shared" ca="1" si="120"/>
        <v>2.0565912482949401E-2</v>
      </c>
    </row>
    <row r="5243" spans="6:7" x14ac:dyDescent="0.3">
      <c r="F5243" s="64">
        <v>5240</v>
      </c>
      <c r="G5243" s="64">
        <f t="shared" ca="1" si="120"/>
        <v>-1.7868480486091499E-2</v>
      </c>
    </row>
    <row r="5244" spans="6:7" x14ac:dyDescent="0.3">
      <c r="F5244" s="64">
        <v>5241</v>
      </c>
      <c r="G5244" s="64">
        <f t="shared" ca="1" si="120"/>
        <v>1.8486468512351882E-2</v>
      </c>
    </row>
    <row r="5245" spans="6:7" x14ac:dyDescent="0.3">
      <c r="F5245" s="64">
        <v>5242</v>
      </c>
      <c r="G5245" s="64">
        <f t="shared" ca="1" si="120"/>
        <v>2.6211397242968573E-2</v>
      </c>
    </row>
    <row r="5246" spans="6:7" x14ac:dyDescent="0.3">
      <c r="F5246" s="64">
        <v>5243</v>
      </c>
      <c r="G5246" s="64">
        <f t="shared" ca="1" si="120"/>
        <v>-2.3167799702778928E-2</v>
      </c>
    </row>
    <row r="5247" spans="6:7" x14ac:dyDescent="0.3">
      <c r="F5247" s="64">
        <v>5244</v>
      </c>
      <c r="G5247" s="64">
        <f t="shared" ca="1" si="120"/>
        <v>7.930675388034214E-3</v>
      </c>
    </row>
    <row r="5248" spans="6:7" x14ac:dyDescent="0.3">
      <c r="F5248" s="64">
        <v>5245</v>
      </c>
      <c r="G5248" s="64">
        <f t="shared" ca="1" si="120"/>
        <v>3.9453680292438314E-4</v>
      </c>
    </row>
    <row r="5249" spans="6:7" x14ac:dyDescent="0.3">
      <c r="F5249" s="64">
        <v>5246</v>
      </c>
      <c r="G5249" s="64">
        <f t="shared" ca="1" si="120"/>
        <v>-1.1295472291783676E-2</v>
      </c>
    </row>
    <row r="5250" spans="6:7" x14ac:dyDescent="0.3">
      <c r="F5250" s="64">
        <v>5247</v>
      </c>
      <c r="G5250" s="64">
        <f t="shared" ca="1" si="120"/>
        <v>-1.6498560282249122E-2</v>
      </c>
    </row>
    <row r="5251" spans="6:7" x14ac:dyDescent="0.3">
      <c r="F5251" s="64">
        <v>5248</v>
      </c>
      <c r="G5251" s="64">
        <f t="shared" ca="1" si="120"/>
        <v>-4.3731647257270093E-2</v>
      </c>
    </row>
    <row r="5252" spans="6:7" x14ac:dyDescent="0.3">
      <c r="F5252" s="64">
        <v>5249</v>
      </c>
      <c r="G5252" s="64">
        <f t="shared" ca="1" si="120"/>
        <v>3.4115498133797981E-2</v>
      </c>
    </row>
    <row r="5253" spans="6:7" x14ac:dyDescent="0.3">
      <c r="F5253" s="64">
        <v>5250</v>
      </c>
      <c r="G5253" s="64">
        <f t="shared" ref="G5253:G5316" ca="1" si="121">_xlfn.NORM.INV(RAND(),K$6,K$7)</f>
        <v>1.6854871130110218E-3</v>
      </c>
    </row>
    <row r="5254" spans="6:7" x14ac:dyDescent="0.3">
      <c r="F5254" s="64">
        <v>5251</v>
      </c>
      <c r="G5254" s="64">
        <f t="shared" ca="1" si="121"/>
        <v>-5.7120226099594629E-3</v>
      </c>
    </row>
    <row r="5255" spans="6:7" x14ac:dyDescent="0.3">
      <c r="F5255" s="64">
        <v>5252</v>
      </c>
      <c r="G5255" s="64">
        <f t="shared" ca="1" si="121"/>
        <v>3.2699814919300567E-2</v>
      </c>
    </row>
    <row r="5256" spans="6:7" x14ac:dyDescent="0.3">
      <c r="F5256" s="64">
        <v>5253</v>
      </c>
      <c r="G5256" s="64">
        <f t="shared" ca="1" si="121"/>
        <v>2.9704658521605656E-2</v>
      </c>
    </row>
    <row r="5257" spans="6:7" x14ac:dyDescent="0.3">
      <c r="F5257" s="64">
        <v>5254</v>
      </c>
      <c r="G5257" s="64">
        <f t="shared" ca="1" si="121"/>
        <v>-4.3953793535165065E-3</v>
      </c>
    </row>
    <row r="5258" spans="6:7" x14ac:dyDescent="0.3">
      <c r="F5258" s="64">
        <v>5255</v>
      </c>
      <c r="G5258" s="64">
        <f t="shared" ca="1" si="121"/>
        <v>1.2285550009595404E-2</v>
      </c>
    </row>
    <row r="5259" spans="6:7" x14ac:dyDescent="0.3">
      <c r="F5259" s="64">
        <v>5256</v>
      </c>
      <c r="G5259" s="64">
        <f t="shared" ca="1" si="121"/>
        <v>-3.1123194741878172E-3</v>
      </c>
    </row>
    <row r="5260" spans="6:7" x14ac:dyDescent="0.3">
      <c r="F5260" s="64">
        <v>5257</v>
      </c>
      <c r="G5260" s="64">
        <f t="shared" ca="1" si="121"/>
        <v>2.4682793813587116E-2</v>
      </c>
    </row>
    <row r="5261" spans="6:7" x14ac:dyDescent="0.3">
      <c r="F5261" s="64">
        <v>5258</v>
      </c>
      <c r="G5261" s="64">
        <f t="shared" ca="1" si="121"/>
        <v>2.7158246565985355E-3</v>
      </c>
    </row>
    <row r="5262" spans="6:7" x14ac:dyDescent="0.3">
      <c r="F5262" s="64">
        <v>5259</v>
      </c>
      <c r="G5262" s="64">
        <f t="shared" ca="1" si="121"/>
        <v>3.5470142926434425E-2</v>
      </c>
    </row>
    <row r="5263" spans="6:7" x14ac:dyDescent="0.3">
      <c r="F5263" s="64">
        <v>5260</v>
      </c>
      <c r="G5263" s="64">
        <f t="shared" ca="1" si="121"/>
        <v>1.8938812506161147E-2</v>
      </c>
    </row>
    <row r="5264" spans="6:7" x14ac:dyDescent="0.3">
      <c r="F5264" s="64">
        <v>5261</v>
      </c>
      <c r="G5264" s="64">
        <f t="shared" ca="1" si="121"/>
        <v>-2.5153287230233717E-2</v>
      </c>
    </row>
    <row r="5265" spans="6:7" x14ac:dyDescent="0.3">
      <c r="F5265" s="64">
        <v>5262</v>
      </c>
      <c r="G5265" s="64">
        <f t="shared" ca="1" si="121"/>
        <v>-1.3862066503985727E-2</v>
      </c>
    </row>
    <row r="5266" spans="6:7" x14ac:dyDescent="0.3">
      <c r="F5266" s="64">
        <v>5263</v>
      </c>
      <c r="G5266" s="64">
        <f t="shared" ca="1" si="121"/>
        <v>-2.4477079009164238E-2</v>
      </c>
    </row>
    <row r="5267" spans="6:7" x14ac:dyDescent="0.3">
      <c r="F5267" s="64">
        <v>5264</v>
      </c>
      <c r="G5267" s="64">
        <f t="shared" ca="1" si="121"/>
        <v>-2.2650186752786999E-3</v>
      </c>
    </row>
    <row r="5268" spans="6:7" x14ac:dyDescent="0.3">
      <c r="F5268" s="64">
        <v>5265</v>
      </c>
      <c r="G5268" s="64">
        <f t="shared" ca="1" si="121"/>
        <v>-1.496840851794772E-3</v>
      </c>
    </row>
    <row r="5269" spans="6:7" x14ac:dyDescent="0.3">
      <c r="F5269" s="64">
        <v>5266</v>
      </c>
      <c r="G5269" s="64">
        <f t="shared" ca="1" si="121"/>
        <v>3.0103910950068619E-2</v>
      </c>
    </row>
    <row r="5270" spans="6:7" x14ac:dyDescent="0.3">
      <c r="F5270" s="64">
        <v>5267</v>
      </c>
      <c r="G5270" s="64">
        <f t="shared" ca="1" si="121"/>
        <v>5.6163887873396916E-3</v>
      </c>
    </row>
    <row r="5271" spans="6:7" x14ac:dyDescent="0.3">
      <c r="F5271" s="64">
        <v>5268</v>
      </c>
      <c r="G5271" s="64">
        <f t="shared" ca="1" si="121"/>
        <v>2.1670863075716291E-3</v>
      </c>
    </row>
    <row r="5272" spans="6:7" x14ac:dyDescent="0.3">
      <c r="F5272" s="64">
        <v>5269</v>
      </c>
      <c r="G5272" s="64">
        <f t="shared" ca="1" si="121"/>
        <v>1.7696491907367148E-2</v>
      </c>
    </row>
    <row r="5273" spans="6:7" x14ac:dyDescent="0.3">
      <c r="F5273" s="64">
        <v>5270</v>
      </c>
      <c r="G5273" s="64">
        <f t="shared" ca="1" si="121"/>
        <v>2.8496249659715686E-3</v>
      </c>
    </row>
    <row r="5274" spans="6:7" x14ac:dyDescent="0.3">
      <c r="F5274" s="64">
        <v>5271</v>
      </c>
      <c r="G5274" s="64">
        <f t="shared" ca="1" si="121"/>
        <v>1.6026902847486677E-2</v>
      </c>
    </row>
    <row r="5275" spans="6:7" x14ac:dyDescent="0.3">
      <c r="F5275" s="64">
        <v>5272</v>
      </c>
      <c r="G5275" s="64">
        <f t="shared" ca="1" si="121"/>
        <v>-4.5282015486791248E-2</v>
      </c>
    </row>
    <row r="5276" spans="6:7" x14ac:dyDescent="0.3">
      <c r="F5276" s="64">
        <v>5273</v>
      </c>
      <c r="G5276" s="64">
        <f t="shared" ca="1" si="121"/>
        <v>-5.3803338120878242E-3</v>
      </c>
    </row>
    <row r="5277" spans="6:7" x14ac:dyDescent="0.3">
      <c r="F5277" s="64">
        <v>5274</v>
      </c>
      <c r="G5277" s="64">
        <f t="shared" ca="1" si="121"/>
        <v>-8.4420257888772072E-3</v>
      </c>
    </row>
    <row r="5278" spans="6:7" x14ac:dyDescent="0.3">
      <c r="F5278" s="64">
        <v>5275</v>
      </c>
      <c r="G5278" s="64">
        <f t="shared" ca="1" si="121"/>
        <v>-5.525539850859143E-3</v>
      </c>
    </row>
    <row r="5279" spans="6:7" x14ac:dyDescent="0.3">
      <c r="F5279" s="64">
        <v>5276</v>
      </c>
      <c r="G5279" s="64">
        <f t="shared" ca="1" si="121"/>
        <v>-2.3473023687824245E-2</v>
      </c>
    </row>
    <row r="5280" spans="6:7" x14ac:dyDescent="0.3">
      <c r="F5280" s="64">
        <v>5277</v>
      </c>
      <c r="G5280" s="64">
        <f t="shared" ca="1" si="121"/>
        <v>-8.4096278811496093E-3</v>
      </c>
    </row>
    <row r="5281" spans="6:7" x14ac:dyDescent="0.3">
      <c r="F5281" s="64">
        <v>5278</v>
      </c>
      <c r="G5281" s="64">
        <f t="shared" ca="1" si="121"/>
        <v>-7.6006314048795605E-3</v>
      </c>
    </row>
    <row r="5282" spans="6:7" x14ac:dyDescent="0.3">
      <c r="F5282" s="64">
        <v>5279</v>
      </c>
      <c r="G5282" s="64">
        <f t="shared" ca="1" si="121"/>
        <v>-1.8599042764008464E-2</v>
      </c>
    </row>
    <row r="5283" spans="6:7" x14ac:dyDescent="0.3">
      <c r="F5283" s="64">
        <v>5280</v>
      </c>
      <c r="G5283" s="64">
        <f t="shared" ca="1" si="121"/>
        <v>3.0634018161749314E-2</v>
      </c>
    </row>
    <row r="5284" spans="6:7" x14ac:dyDescent="0.3">
      <c r="F5284" s="64">
        <v>5281</v>
      </c>
      <c r="G5284" s="64">
        <f t="shared" ca="1" si="121"/>
        <v>9.1548048934941891E-3</v>
      </c>
    </row>
    <row r="5285" spans="6:7" x14ac:dyDescent="0.3">
      <c r="F5285" s="64">
        <v>5282</v>
      </c>
      <c r="G5285" s="64">
        <f t="shared" ca="1" si="121"/>
        <v>2.5207328020943789E-2</v>
      </c>
    </row>
    <row r="5286" spans="6:7" x14ac:dyDescent="0.3">
      <c r="F5286" s="64">
        <v>5283</v>
      </c>
      <c r="G5286" s="64">
        <f t="shared" ca="1" si="121"/>
        <v>-1.5221480611145228E-3</v>
      </c>
    </row>
    <row r="5287" spans="6:7" x14ac:dyDescent="0.3">
      <c r="F5287" s="64">
        <v>5284</v>
      </c>
      <c r="G5287" s="64">
        <f t="shared" ca="1" si="121"/>
        <v>2.8100065532889872E-2</v>
      </c>
    </row>
    <row r="5288" spans="6:7" x14ac:dyDescent="0.3">
      <c r="F5288" s="64">
        <v>5285</v>
      </c>
      <c r="G5288" s="64">
        <f t="shared" ca="1" si="121"/>
        <v>-9.7601317030497937E-3</v>
      </c>
    </row>
    <row r="5289" spans="6:7" x14ac:dyDescent="0.3">
      <c r="F5289" s="64">
        <v>5286</v>
      </c>
      <c r="G5289" s="64">
        <f t="shared" ca="1" si="121"/>
        <v>-1.4213165057476607E-2</v>
      </c>
    </row>
    <row r="5290" spans="6:7" x14ac:dyDescent="0.3">
      <c r="F5290" s="64">
        <v>5287</v>
      </c>
      <c r="G5290" s="64">
        <f t="shared" ca="1" si="121"/>
        <v>9.9493970377439664E-4</v>
      </c>
    </row>
    <row r="5291" spans="6:7" x14ac:dyDescent="0.3">
      <c r="F5291" s="64">
        <v>5288</v>
      </c>
      <c r="G5291" s="64">
        <f t="shared" ca="1" si="121"/>
        <v>2.6361147366105932E-2</v>
      </c>
    </row>
    <row r="5292" spans="6:7" x14ac:dyDescent="0.3">
      <c r="F5292" s="64">
        <v>5289</v>
      </c>
      <c r="G5292" s="64">
        <f t="shared" ca="1" si="121"/>
        <v>2.3525873135506553E-2</v>
      </c>
    </row>
    <row r="5293" spans="6:7" x14ac:dyDescent="0.3">
      <c r="F5293" s="64">
        <v>5290</v>
      </c>
      <c r="G5293" s="64">
        <f t="shared" ca="1" si="121"/>
        <v>-1.3647397783799827E-2</v>
      </c>
    </row>
    <row r="5294" spans="6:7" x14ac:dyDescent="0.3">
      <c r="F5294" s="64">
        <v>5291</v>
      </c>
      <c r="G5294" s="64">
        <f t="shared" ca="1" si="121"/>
        <v>-3.615898991257737E-2</v>
      </c>
    </row>
    <row r="5295" spans="6:7" x14ac:dyDescent="0.3">
      <c r="F5295" s="64">
        <v>5292</v>
      </c>
      <c r="G5295" s="64">
        <f t="shared" ca="1" si="121"/>
        <v>3.1608334661567976E-2</v>
      </c>
    </row>
    <row r="5296" spans="6:7" x14ac:dyDescent="0.3">
      <c r="F5296" s="64">
        <v>5293</v>
      </c>
      <c r="G5296" s="64">
        <f t="shared" ca="1" si="121"/>
        <v>-1.5950141313918607E-2</v>
      </c>
    </row>
    <row r="5297" spans="6:7" x14ac:dyDescent="0.3">
      <c r="F5297" s="64">
        <v>5294</v>
      </c>
      <c r="G5297" s="64">
        <f t="shared" ca="1" si="121"/>
        <v>2.681505195258236E-2</v>
      </c>
    </row>
    <row r="5298" spans="6:7" x14ac:dyDescent="0.3">
      <c r="F5298" s="64">
        <v>5295</v>
      </c>
      <c r="G5298" s="64">
        <f t="shared" ca="1" si="121"/>
        <v>-6.3729078174582553E-3</v>
      </c>
    </row>
    <row r="5299" spans="6:7" x14ac:dyDescent="0.3">
      <c r="F5299" s="64">
        <v>5296</v>
      </c>
      <c r="G5299" s="64">
        <f t="shared" ca="1" si="121"/>
        <v>2.7584597144414157E-2</v>
      </c>
    </row>
    <row r="5300" spans="6:7" x14ac:dyDescent="0.3">
      <c r="F5300" s="64">
        <v>5297</v>
      </c>
      <c r="G5300" s="64">
        <f t="shared" ca="1" si="121"/>
        <v>-1.0322788215312982E-2</v>
      </c>
    </row>
    <row r="5301" spans="6:7" x14ac:dyDescent="0.3">
      <c r="F5301" s="64">
        <v>5298</v>
      </c>
      <c r="G5301" s="64">
        <f t="shared" ca="1" si="121"/>
        <v>7.2122292145017329E-3</v>
      </c>
    </row>
    <row r="5302" spans="6:7" x14ac:dyDescent="0.3">
      <c r="F5302" s="64">
        <v>5299</v>
      </c>
      <c r="G5302" s="64">
        <f t="shared" ca="1" si="121"/>
        <v>-3.7318557890400859E-2</v>
      </c>
    </row>
    <row r="5303" spans="6:7" x14ac:dyDescent="0.3">
      <c r="F5303" s="64">
        <v>5300</v>
      </c>
      <c r="G5303" s="64">
        <f t="shared" ca="1" si="121"/>
        <v>1.2469424424677961E-2</v>
      </c>
    </row>
    <row r="5304" spans="6:7" x14ac:dyDescent="0.3">
      <c r="F5304" s="64">
        <v>5301</v>
      </c>
      <c r="G5304" s="64">
        <f t="shared" ca="1" si="121"/>
        <v>2.6675329056925234E-3</v>
      </c>
    </row>
    <row r="5305" spans="6:7" x14ac:dyDescent="0.3">
      <c r="F5305" s="64">
        <v>5302</v>
      </c>
      <c r="G5305" s="64">
        <f t="shared" ca="1" si="121"/>
        <v>-1.8007109823275996E-2</v>
      </c>
    </row>
    <row r="5306" spans="6:7" x14ac:dyDescent="0.3">
      <c r="F5306" s="64">
        <v>5303</v>
      </c>
      <c r="G5306" s="64">
        <f t="shared" ca="1" si="121"/>
        <v>-1.4334664117738209E-2</v>
      </c>
    </row>
    <row r="5307" spans="6:7" x14ac:dyDescent="0.3">
      <c r="F5307" s="64">
        <v>5304</v>
      </c>
      <c r="G5307" s="64">
        <f t="shared" ca="1" si="121"/>
        <v>9.9924344824172933E-3</v>
      </c>
    </row>
    <row r="5308" spans="6:7" x14ac:dyDescent="0.3">
      <c r="F5308" s="64">
        <v>5305</v>
      </c>
      <c r="G5308" s="64">
        <f t="shared" ca="1" si="121"/>
        <v>1.0319620835563476E-2</v>
      </c>
    </row>
    <row r="5309" spans="6:7" x14ac:dyDescent="0.3">
      <c r="F5309" s="64">
        <v>5306</v>
      </c>
      <c r="G5309" s="64">
        <f t="shared" ca="1" si="121"/>
        <v>6.0343853830784992E-3</v>
      </c>
    </row>
    <row r="5310" spans="6:7" x14ac:dyDescent="0.3">
      <c r="F5310" s="64">
        <v>5307</v>
      </c>
      <c r="G5310" s="64">
        <f t="shared" ca="1" si="121"/>
        <v>-3.7193950087986809E-3</v>
      </c>
    </row>
    <row r="5311" spans="6:7" x14ac:dyDescent="0.3">
      <c r="F5311" s="64">
        <v>5308</v>
      </c>
      <c r="G5311" s="64">
        <f t="shared" ca="1" si="121"/>
        <v>-4.2220489715363626E-3</v>
      </c>
    </row>
    <row r="5312" spans="6:7" x14ac:dyDescent="0.3">
      <c r="F5312" s="64">
        <v>5309</v>
      </c>
      <c r="G5312" s="64">
        <f t="shared" ca="1" si="121"/>
        <v>-1.379427655744866E-2</v>
      </c>
    </row>
    <row r="5313" spans="6:7" x14ac:dyDescent="0.3">
      <c r="F5313" s="64">
        <v>5310</v>
      </c>
      <c r="G5313" s="64">
        <f t="shared" ca="1" si="121"/>
        <v>-2.1844688490784837E-2</v>
      </c>
    </row>
    <row r="5314" spans="6:7" x14ac:dyDescent="0.3">
      <c r="F5314" s="64">
        <v>5311</v>
      </c>
      <c r="G5314" s="64">
        <f t="shared" ca="1" si="121"/>
        <v>-9.8296529544435324E-3</v>
      </c>
    </row>
    <row r="5315" spans="6:7" x14ac:dyDescent="0.3">
      <c r="F5315" s="64">
        <v>5312</v>
      </c>
      <c r="G5315" s="64">
        <f t="shared" ca="1" si="121"/>
        <v>8.9658426044436842E-3</v>
      </c>
    </row>
    <row r="5316" spans="6:7" x14ac:dyDescent="0.3">
      <c r="F5316" s="64">
        <v>5313</v>
      </c>
      <c r="G5316" s="64">
        <f t="shared" ca="1" si="121"/>
        <v>1.7336546563642773E-2</v>
      </c>
    </row>
    <row r="5317" spans="6:7" x14ac:dyDescent="0.3">
      <c r="F5317" s="64">
        <v>5314</v>
      </c>
      <c r="G5317" s="64">
        <f t="shared" ref="G5317:G5380" ca="1" si="122">_xlfn.NORM.INV(RAND(),K$6,K$7)</f>
        <v>3.2724713817141309E-2</v>
      </c>
    </row>
    <row r="5318" spans="6:7" x14ac:dyDescent="0.3">
      <c r="F5318" s="64">
        <v>5315</v>
      </c>
      <c r="G5318" s="64">
        <f t="shared" ca="1" si="122"/>
        <v>-1.0165057160018729E-2</v>
      </c>
    </row>
    <row r="5319" spans="6:7" x14ac:dyDescent="0.3">
      <c r="F5319" s="64">
        <v>5316</v>
      </c>
      <c r="G5319" s="64">
        <f t="shared" ca="1" si="122"/>
        <v>1.8988114110480736E-2</v>
      </c>
    </row>
    <row r="5320" spans="6:7" x14ac:dyDescent="0.3">
      <c r="F5320" s="64">
        <v>5317</v>
      </c>
      <c r="G5320" s="64">
        <f t="shared" ca="1" si="122"/>
        <v>7.2951201421766051E-3</v>
      </c>
    </row>
    <row r="5321" spans="6:7" x14ac:dyDescent="0.3">
      <c r="F5321" s="64">
        <v>5318</v>
      </c>
      <c r="G5321" s="64">
        <f t="shared" ca="1" si="122"/>
        <v>-8.694709749419615E-3</v>
      </c>
    </row>
    <row r="5322" spans="6:7" x14ac:dyDescent="0.3">
      <c r="F5322" s="64">
        <v>5319</v>
      </c>
      <c r="G5322" s="64">
        <f t="shared" ca="1" si="122"/>
        <v>-2.5558586260147023E-2</v>
      </c>
    </row>
    <row r="5323" spans="6:7" x14ac:dyDescent="0.3">
      <c r="F5323" s="64">
        <v>5320</v>
      </c>
      <c r="G5323" s="64">
        <f t="shared" ca="1" si="122"/>
        <v>-5.8463665334519341E-3</v>
      </c>
    </row>
    <row r="5324" spans="6:7" x14ac:dyDescent="0.3">
      <c r="F5324" s="64">
        <v>5321</v>
      </c>
      <c r="G5324" s="64">
        <f t="shared" ca="1" si="122"/>
        <v>-7.4486014849402642E-3</v>
      </c>
    </row>
    <row r="5325" spans="6:7" x14ac:dyDescent="0.3">
      <c r="F5325" s="64">
        <v>5322</v>
      </c>
      <c r="G5325" s="64">
        <f t="shared" ca="1" si="122"/>
        <v>-2.4267205876873615E-2</v>
      </c>
    </row>
    <row r="5326" spans="6:7" x14ac:dyDescent="0.3">
      <c r="F5326" s="64">
        <v>5323</v>
      </c>
      <c r="G5326" s="64">
        <f t="shared" ca="1" si="122"/>
        <v>-3.1111519037463127E-2</v>
      </c>
    </row>
    <row r="5327" spans="6:7" x14ac:dyDescent="0.3">
      <c r="F5327" s="64">
        <v>5324</v>
      </c>
      <c r="G5327" s="64">
        <f t="shared" ca="1" si="122"/>
        <v>-1.3569777043240332E-3</v>
      </c>
    </row>
    <row r="5328" spans="6:7" x14ac:dyDescent="0.3">
      <c r="F5328" s="64">
        <v>5325</v>
      </c>
      <c r="G5328" s="64">
        <f t="shared" ca="1" si="122"/>
        <v>-8.8331336974450895E-3</v>
      </c>
    </row>
    <row r="5329" spans="6:7" x14ac:dyDescent="0.3">
      <c r="F5329" s="64">
        <v>5326</v>
      </c>
      <c r="G5329" s="64">
        <f t="shared" ca="1" si="122"/>
        <v>-9.9592007936626092E-3</v>
      </c>
    </row>
    <row r="5330" spans="6:7" x14ac:dyDescent="0.3">
      <c r="F5330" s="64">
        <v>5327</v>
      </c>
      <c r="G5330" s="64">
        <f t="shared" ca="1" si="122"/>
        <v>1.8989887357451649E-2</v>
      </c>
    </row>
    <row r="5331" spans="6:7" x14ac:dyDescent="0.3">
      <c r="F5331" s="64">
        <v>5328</v>
      </c>
      <c r="G5331" s="64">
        <f t="shared" ca="1" si="122"/>
        <v>-1.6605201725665618E-2</v>
      </c>
    </row>
    <row r="5332" spans="6:7" x14ac:dyDescent="0.3">
      <c r="F5332" s="64">
        <v>5329</v>
      </c>
      <c r="G5332" s="64">
        <f t="shared" ca="1" si="122"/>
        <v>8.3976127109971384E-3</v>
      </c>
    </row>
    <row r="5333" spans="6:7" x14ac:dyDescent="0.3">
      <c r="F5333" s="64">
        <v>5330</v>
      </c>
      <c r="G5333" s="64">
        <f t="shared" ca="1" si="122"/>
        <v>1.2399447791548035E-2</v>
      </c>
    </row>
    <row r="5334" spans="6:7" x14ac:dyDescent="0.3">
      <c r="F5334" s="64">
        <v>5331</v>
      </c>
      <c r="G5334" s="64">
        <f t="shared" ca="1" si="122"/>
        <v>-3.2887868159792062E-2</v>
      </c>
    </row>
    <row r="5335" spans="6:7" x14ac:dyDescent="0.3">
      <c r="F5335" s="64">
        <v>5332</v>
      </c>
      <c r="G5335" s="64">
        <f t="shared" ca="1" si="122"/>
        <v>-1.3935555379377703E-2</v>
      </c>
    </row>
    <row r="5336" spans="6:7" x14ac:dyDescent="0.3">
      <c r="F5336" s="64">
        <v>5333</v>
      </c>
      <c r="G5336" s="64">
        <f t="shared" ca="1" si="122"/>
        <v>8.9222959755312148E-4</v>
      </c>
    </row>
    <row r="5337" spans="6:7" x14ac:dyDescent="0.3">
      <c r="F5337" s="64">
        <v>5334</v>
      </c>
      <c r="G5337" s="64">
        <f t="shared" ca="1" si="122"/>
        <v>-5.3362702637748727E-2</v>
      </c>
    </row>
    <row r="5338" spans="6:7" x14ac:dyDescent="0.3">
      <c r="F5338" s="64">
        <v>5335</v>
      </c>
      <c r="G5338" s="64">
        <f t="shared" ca="1" si="122"/>
        <v>-2.1034324642797204E-2</v>
      </c>
    </row>
    <row r="5339" spans="6:7" x14ac:dyDescent="0.3">
      <c r="F5339" s="64">
        <v>5336</v>
      </c>
      <c r="G5339" s="64">
        <f t="shared" ca="1" si="122"/>
        <v>3.0227647582843124E-2</v>
      </c>
    </row>
    <row r="5340" spans="6:7" x14ac:dyDescent="0.3">
      <c r="F5340" s="64">
        <v>5337</v>
      </c>
      <c r="G5340" s="64">
        <f t="shared" ca="1" si="122"/>
        <v>-2.8907351827243857E-4</v>
      </c>
    </row>
    <row r="5341" spans="6:7" x14ac:dyDescent="0.3">
      <c r="F5341" s="64">
        <v>5338</v>
      </c>
      <c r="G5341" s="64">
        <f t="shared" ca="1" si="122"/>
        <v>-3.0909777268021806E-2</v>
      </c>
    </row>
    <row r="5342" spans="6:7" x14ac:dyDescent="0.3">
      <c r="F5342" s="64">
        <v>5339</v>
      </c>
      <c r="G5342" s="64">
        <f t="shared" ca="1" si="122"/>
        <v>3.389197273699706E-2</v>
      </c>
    </row>
    <row r="5343" spans="6:7" x14ac:dyDescent="0.3">
      <c r="F5343" s="64">
        <v>5340</v>
      </c>
      <c r="G5343" s="64">
        <f t="shared" ca="1" si="122"/>
        <v>1.2633665257160252E-2</v>
      </c>
    </row>
    <row r="5344" spans="6:7" x14ac:dyDescent="0.3">
      <c r="F5344" s="64">
        <v>5341</v>
      </c>
      <c r="G5344" s="64">
        <f t="shared" ca="1" si="122"/>
        <v>2.8981556251953963E-2</v>
      </c>
    </row>
    <row r="5345" spans="6:7" x14ac:dyDescent="0.3">
      <c r="F5345" s="64">
        <v>5342</v>
      </c>
      <c r="G5345" s="64">
        <f t="shared" ca="1" si="122"/>
        <v>3.2236574831829515E-3</v>
      </c>
    </row>
    <row r="5346" spans="6:7" x14ac:dyDescent="0.3">
      <c r="F5346" s="64">
        <v>5343</v>
      </c>
      <c r="G5346" s="64">
        <f t="shared" ca="1" si="122"/>
        <v>3.2096380139177323E-2</v>
      </c>
    </row>
    <row r="5347" spans="6:7" x14ac:dyDescent="0.3">
      <c r="F5347" s="64">
        <v>5344</v>
      </c>
      <c r="G5347" s="64">
        <f t="shared" ca="1" si="122"/>
        <v>-2.8991967104307223E-2</v>
      </c>
    </row>
    <row r="5348" spans="6:7" x14ac:dyDescent="0.3">
      <c r="F5348" s="64">
        <v>5345</v>
      </c>
      <c r="G5348" s="64">
        <f t="shared" ca="1" si="122"/>
        <v>-7.2731012838427658E-3</v>
      </c>
    </row>
    <row r="5349" spans="6:7" x14ac:dyDescent="0.3">
      <c r="F5349" s="64">
        <v>5346</v>
      </c>
      <c r="G5349" s="64">
        <f t="shared" ca="1" si="122"/>
        <v>-3.1609955822402537E-2</v>
      </c>
    </row>
    <row r="5350" spans="6:7" x14ac:dyDescent="0.3">
      <c r="F5350" s="64">
        <v>5347</v>
      </c>
      <c r="G5350" s="64">
        <f t="shared" ca="1" si="122"/>
        <v>2.102001968370194E-3</v>
      </c>
    </row>
    <row r="5351" spans="6:7" x14ac:dyDescent="0.3">
      <c r="F5351" s="64">
        <v>5348</v>
      </c>
      <c r="G5351" s="64">
        <f t="shared" ca="1" si="122"/>
        <v>5.9333940702925502E-3</v>
      </c>
    </row>
    <row r="5352" spans="6:7" x14ac:dyDescent="0.3">
      <c r="F5352" s="64">
        <v>5349</v>
      </c>
      <c r="G5352" s="64">
        <f t="shared" ca="1" si="122"/>
        <v>4.544931903575646E-3</v>
      </c>
    </row>
    <row r="5353" spans="6:7" x14ac:dyDescent="0.3">
      <c r="F5353" s="64">
        <v>5350</v>
      </c>
      <c r="G5353" s="64">
        <f t="shared" ca="1" si="122"/>
        <v>-1.1858842645192194E-3</v>
      </c>
    </row>
    <row r="5354" spans="6:7" x14ac:dyDescent="0.3">
      <c r="F5354" s="64">
        <v>5351</v>
      </c>
      <c r="G5354" s="64">
        <f t="shared" ca="1" si="122"/>
        <v>-1.9750687644740278E-2</v>
      </c>
    </row>
    <row r="5355" spans="6:7" x14ac:dyDescent="0.3">
      <c r="F5355" s="64">
        <v>5352</v>
      </c>
      <c r="G5355" s="64">
        <f t="shared" ca="1" si="122"/>
        <v>6.4010397068858978E-3</v>
      </c>
    </row>
    <row r="5356" spans="6:7" x14ac:dyDescent="0.3">
      <c r="F5356" s="64">
        <v>5353</v>
      </c>
      <c r="G5356" s="64">
        <f t="shared" ca="1" si="122"/>
        <v>3.1266376144795695E-2</v>
      </c>
    </row>
    <row r="5357" spans="6:7" x14ac:dyDescent="0.3">
      <c r="F5357" s="64">
        <v>5354</v>
      </c>
      <c r="G5357" s="64">
        <f t="shared" ca="1" si="122"/>
        <v>1.5889673051805095E-2</v>
      </c>
    </row>
    <row r="5358" spans="6:7" x14ac:dyDescent="0.3">
      <c r="F5358" s="64">
        <v>5355</v>
      </c>
      <c r="G5358" s="64">
        <f t="shared" ca="1" si="122"/>
        <v>-2.2582108764525877E-2</v>
      </c>
    </row>
    <row r="5359" spans="6:7" x14ac:dyDescent="0.3">
      <c r="F5359" s="64">
        <v>5356</v>
      </c>
      <c r="G5359" s="64">
        <f t="shared" ca="1" si="122"/>
        <v>4.421159695296787E-2</v>
      </c>
    </row>
    <row r="5360" spans="6:7" x14ac:dyDescent="0.3">
      <c r="F5360" s="64">
        <v>5357</v>
      </c>
      <c r="G5360" s="64">
        <f t="shared" ca="1" si="122"/>
        <v>-1.2723861904192946E-2</v>
      </c>
    </row>
    <row r="5361" spans="6:7" x14ac:dyDescent="0.3">
      <c r="F5361" s="64">
        <v>5358</v>
      </c>
      <c r="G5361" s="64">
        <f t="shared" ca="1" si="122"/>
        <v>-5.7318866198224332E-3</v>
      </c>
    </row>
    <row r="5362" spans="6:7" x14ac:dyDescent="0.3">
      <c r="F5362" s="64">
        <v>5359</v>
      </c>
      <c r="G5362" s="64">
        <f t="shared" ca="1" si="122"/>
        <v>1.0120589547230949E-2</v>
      </c>
    </row>
    <row r="5363" spans="6:7" x14ac:dyDescent="0.3">
      <c r="F5363" s="64">
        <v>5360</v>
      </c>
      <c r="G5363" s="64">
        <f t="shared" ca="1" si="122"/>
        <v>-2.9273121373148588E-3</v>
      </c>
    </row>
    <row r="5364" spans="6:7" x14ac:dyDescent="0.3">
      <c r="F5364" s="64">
        <v>5361</v>
      </c>
      <c r="G5364" s="64">
        <f t="shared" ca="1" si="122"/>
        <v>-7.2019617447205528E-4</v>
      </c>
    </row>
    <row r="5365" spans="6:7" x14ac:dyDescent="0.3">
      <c r="F5365" s="64">
        <v>5362</v>
      </c>
      <c r="G5365" s="64">
        <f t="shared" ca="1" si="122"/>
        <v>1.605381301548669E-3</v>
      </c>
    </row>
    <row r="5366" spans="6:7" x14ac:dyDescent="0.3">
      <c r="F5366" s="64">
        <v>5363</v>
      </c>
      <c r="G5366" s="64">
        <f t="shared" ca="1" si="122"/>
        <v>-9.4348228299670663E-4</v>
      </c>
    </row>
    <row r="5367" spans="6:7" x14ac:dyDescent="0.3">
      <c r="F5367" s="64">
        <v>5364</v>
      </c>
      <c r="G5367" s="64">
        <f t="shared" ca="1" si="122"/>
        <v>-3.1594557820557229E-2</v>
      </c>
    </row>
    <row r="5368" spans="6:7" x14ac:dyDescent="0.3">
      <c r="F5368" s="64">
        <v>5365</v>
      </c>
      <c r="G5368" s="64">
        <f t="shared" ca="1" si="122"/>
        <v>-1.4553058221860512E-2</v>
      </c>
    </row>
    <row r="5369" spans="6:7" x14ac:dyDescent="0.3">
      <c r="F5369" s="64">
        <v>5366</v>
      </c>
      <c r="G5369" s="64">
        <f t="shared" ca="1" si="122"/>
        <v>-1.3173687195781044E-2</v>
      </c>
    </row>
    <row r="5370" spans="6:7" x14ac:dyDescent="0.3">
      <c r="F5370" s="64">
        <v>5367</v>
      </c>
      <c r="G5370" s="64">
        <f t="shared" ca="1" si="122"/>
        <v>4.216521233081947E-3</v>
      </c>
    </row>
    <row r="5371" spans="6:7" x14ac:dyDescent="0.3">
      <c r="F5371" s="64">
        <v>5368</v>
      </c>
      <c r="G5371" s="64">
        <f t="shared" ca="1" si="122"/>
        <v>2.7981971859550635E-3</v>
      </c>
    </row>
    <row r="5372" spans="6:7" x14ac:dyDescent="0.3">
      <c r="F5372" s="64">
        <v>5369</v>
      </c>
      <c r="G5372" s="64">
        <f t="shared" ca="1" si="122"/>
        <v>4.9973269920143004E-3</v>
      </c>
    </row>
    <row r="5373" spans="6:7" x14ac:dyDescent="0.3">
      <c r="F5373" s="64">
        <v>5370</v>
      </c>
      <c r="G5373" s="64">
        <f t="shared" ca="1" si="122"/>
        <v>2.6493117133784341E-2</v>
      </c>
    </row>
    <row r="5374" spans="6:7" x14ac:dyDescent="0.3">
      <c r="F5374" s="64">
        <v>5371</v>
      </c>
      <c r="G5374" s="64">
        <f t="shared" ca="1" si="122"/>
        <v>1.1173227093123033E-2</v>
      </c>
    </row>
    <row r="5375" spans="6:7" x14ac:dyDescent="0.3">
      <c r="F5375" s="64">
        <v>5372</v>
      </c>
      <c r="G5375" s="64">
        <f t="shared" ca="1" si="122"/>
        <v>-4.3330327126679134E-2</v>
      </c>
    </row>
    <row r="5376" spans="6:7" x14ac:dyDescent="0.3">
      <c r="F5376" s="64">
        <v>5373</v>
      </c>
      <c r="G5376" s="64">
        <f t="shared" ca="1" si="122"/>
        <v>2.4446746226688902E-2</v>
      </c>
    </row>
    <row r="5377" spans="6:7" x14ac:dyDescent="0.3">
      <c r="F5377" s="64">
        <v>5374</v>
      </c>
      <c r="G5377" s="64">
        <f t="shared" ca="1" si="122"/>
        <v>2.8084317622235712E-2</v>
      </c>
    </row>
    <row r="5378" spans="6:7" x14ac:dyDescent="0.3">
      <c r="F5378" s="64">
        <v>5375</v>
      </c>
      <c r="G5378" s="64">
        <f t="shared" ca="1" si="122"/>
        <v>2.3773785744860665E-2</v>
      </c>
    </row>
    <row r="5379" spans="6:7" x14ac:dyDescent="0.3">
      <c r="F5379" s="64">
        <v>5376</v>
      </c>
      <c r="G5379" s="64">
        <f t="shared" ca="1" si="122"/>
        <v>-1.0782888141442343E-2</v>
      </c>
    </row>
    <row r="5380" spans="6:7" x14ac:dyDescent="0.3">
      <c r="F5380" s="64">
        <v>5377</v>
      </c>
      <c r="G5380" s="64">
        <f t="shared" ca="1" si="122"/>
        <v>1.3568059502870043E-2</v>
      </c>
    </row>
    <row r="5381" spans="6:7" x14ac:dyDescent="0.3">
      <c r="F5381" s="64">
        <v>5378</v>
      </c>
      <c r="G5381" s="64">
        <f t="shared" ref="G5381:G5444" ca="1" si="123">_xlfn.NORM.INV(RAND(),K$6,K$7)</f>
        <v>1.5095678268739037E-2</v>
      </c>
    </row>
    <row r="5382" spans="6:7" x14ac:dyDescent="0.3">
      <c r="F5382" s="64">
        <v>5379</v>
      </c>
      <c r="G5382" s="64">
        <f t="shared" ca="1" si="123"/>
        <v>1.8040948233045556E-2</v>
      </c>
    </row>
    <row r="5383" spans="6:7" x14ac:dyDescent="0.3">
      <c r="F5383" s="64">
        <v>5380</v>
      </c>
      <c r="G5383" s="64">
        <f t="shared" ca="1" si="123"/>
        <v>4.1725555304199975E-3</v>
      </c>
    </row>
    <row r="5384" spans="6:7" x14ac:dyDescent="0.3">
      <c r="F5384" s="64">
        <v>5381</v>
      </c>
      <c r="G5384" s="64">
        <f t="shared" ca="1" si="123"/>
        <v>2.7207124795083124E-2</v>
      </c>
    </row>
    <row r="5385" spans="6:7" x14ac:dyDescent="0.3">
      <c r="F5385" s="64">
        <v>5382</v>
      </c>
      <c r="G5385" s="64">
        <f t="shared" ca="1" si="123"/>
        <v>2.155305965312547E-2</v>
      </c>
    </row>
    <row r="5386" spans="6:7" x14ac:dyDescent="0.3">
      <c r="F5386" s="64">
        <v>5383</v>
      </c>
      <c r="G5386" s="64">
        <f t="shared" ca="1" si="123"/>
        <v>2.2088428893112864E-3</v>
      </c>
    </row>
    <row r="5387" spans="6:7" x14ac:dyDescent="0.3">
      <c r="F5387" s="64">
        <v>5384</v>
      </c>
      <c r="G5387" s="64">
        <f t="shared" ca="1" si="123"/>
        <v>-2.856981446085468E-2</v>
      </c>
    </row>
    <row r="5388" spans="6:7" x14ac:dyDescent="0.3">
      <c r="F5388" s="64">
        <v>5385</v>
      </c>
      <c r="G5388" s="64">
        <f t="shared" ca="1" si="123"/>
        <v>9.2492093569278237E-3</v>
      </c>
    </row>
    <row r="5389" spans="6:7" x14ac:dyDescent="0.3">
      <c r="F5389" s="64">
        <v>5386</v>
      </c>
      <c r="G5389" s="64">
        <f t="shared" ca="1" si="123"/>
        <v>2.2819649953902545E-2</v>
      </c>
    </row>
    <row r="5390" spans="6:7" x14ac:dyDescent="0.3">
      <c r="F5390" s="64">
        <v>5387</v>
      </c>
      <c r="G5390" s="64">
        <f t="shared" ca="1" si="123"/>
        <v>3.9858056241581325E-3</v>
      </c>
    </row>
    <row r="5391" spans="6:7" x14ac:dyDescent="0.3">
      <c r="F5391" s="64">
        <v>5388</v>
      </c>
      <c r="G5391" s="64">
        <f t="shared" ca="1" si="123"/>
        <v>-7.1539191053579289E-3</v>
      </c>
    </row>
    <row r="5392" spans="6:7" x14ac:dyDescent="0.3">
      <c r="F5392" s="64">
        <v>5389</v>
      </c>
      <c r="G5392" s="64">
        <f t="shared" ca="1" si="123"/>
        <v>-8.3075791599408477E-3</v>
      </c>
    </row>
    <row r="5393" spans="6:7" x14ac:dyDescent="0.3">
      <c r="F5393" s="64">
        <v>5390</v>
      </c>
      <c r="G5393" s="64">
        <f t="shared" ca="1" si="123"/>
        <v>2.6541972583196197E-2</v>
      </c>
    </row>
    <row r="5394" spans="6:7" x14ac:dyDescent="0.3">
      <c r="F5394" s="64">
        <v>5391</v>
      </c>
      <c r="G5394" s="64">
        <f t="shared" ca="1" si="123"/>
        <v>2.3306791840438157E-2</v>
      </c>
    </row>
    <row r="5395" spans="6:7" x14ac:dyDescent="0.3">
      <c r="F5395" s="64">
        <v>5392</v>
      </c>
      <c r="G5395" s="64">
        <f t="shared" ca="1" si="123"/>
        <v>-1.7955581946092251E-2</v>
      </c>
    </row>
    <row r="5396" spans="6:7" x14ac:dyDescent="0.3">
      <c r="F5396" s="64">
        <v>5393</v>
      </c>
      <c r="G5396" s="64">
        <f t="shared" ca="1" si="123"/>
        <v>7.3261334849382301E-4</v>
      </c>
    </row>
    <row r="5397" spans="6:7" x14ac:dyDescent="0.3">
      <c r="F5397" s="64">
        <v>5394</v>
      </c>
      <c r="G5397" s="64">
        <f t="shared" ca="1" si="123"/>
        <v>-3.4159159309885098E-2</v>
      </c>
    </row>
    <row r="5398" spans="6:7" x14ac:dyDescent="0.3">
      <c r="F5398" s="64">
        <v>5395</v>
      </c>
      <c r="G5398" s="64">
        <f t="shared" ca="1" si="123"/>
        <v>-5.8096918106079658E-3</v>
      </c>
    </row>
    <row r="5399" spans="6:7" x14ac:dyDescent="0.3">
      <c r="F5399" s="64">
        <v>5396</v>
      </c>
      <c r="G5399" s="64">
        <f t="shared" ca="1" si="123"/>
        <v>-6.9948910050116365E-3</v>
      </c>
    </row>
    <row r="5400" spans="6:7" x14ac:dyDescent="0.3">
      <c r="F5400" s="64">
        <v>5397</v>
      </c>
      <c r="G5400" s="64">
        <f t="shared" ca="1" si="123"/>
        <v>1.7785057087133647E-2</v>
      </c>
    </row>
    <row r="5401" spans="6:7" x14ac:dyDescent="0.3">
      <c r="F5401" s="64">
        <v>5398</v>
      </c>
      <c r="G5401" s="64">
        <f t="shared" ca="1" si="123"/>
        <v>2.6811485242770202E-3</v>
      </c>
    </row>
    <row r="5402" spans="6:7" x14ac:dyDescent="0.3">
      <c r="F5402" s="64">
        <v>5399</v>
      </c>
      <c r="G5402" s="64">
        <f t="shared" ca="1" si="123"/>
        <v>2.0090610043307089E-2</v>
      </c>
    </row>
    <row r="5403" spans="6:7" x14ac:dyDescent="0.3">
      <c r="F5403" s="64">
        <v>5400</v>
      </c>
      <c r="G5403" s="64">
        <f t="shared" ca="1" si="123"/>
        <v>-2.1000614748955884E-3</v>
      </c>
    </row>
    <row r="5404" spans="6:7" x14ac:dyDescent="0.3">
      <c r="F5404" s="64">
        <v>5401</v>
      </c>
      <c r="G5404" s="64">
        <f t="shared" ca="1" si="123"/>
        <v>1.1878022054246941E-2</v>
      </c>
    </row>
    <row r="5405" spans="6:7" x14ac:dyDescent="0.3">
      <c r="F5405" s="64">
        <v>5402</v>
      </c>
      <c r="G5405" s="64">
        <f t="shared" ca="1" si="123"/>
        <v>-2.0622631455735833E-2</v>
      </c>
    </row>
    <row r="5406" spans="6:7" x14ac:dyDescent="0.3">
      <c r="F5406" s="64">
        <v>5403</v>
      </c>
      <c r="G5406" s="64">
        <f t="shared" ca="1" si="123"/>
        <v>6.5825642789603608E-3</v>
      </c>
    </row>
    <row r="5407" spans="6:7" x14ac:dyDescent="0.3">
      <c r="F5407" s="64">
        <v>5404</v>
      </c>
      <c r="G5407" s="64">
        <f t="shared" ca="1" si="123"/>
        <v>3.2352450776477838E-2</v>
      </c>
    </row>
    <row r="5408" spans="6:7" x14ac:dyDescent="0.3">
      <c r="F5408" s="64">
        <v>5405</v>
      </c>
      <c r="G5408" s="64">
        <f t="shared" ca="1" si="123"/>
        <v>-4.4495376270345761E-3</v>
      </c>
    </row>
    <row r="5409" spans="6:7" x14ac:dyDescent="0.3">
      <c r="F5409" s="64">
        <v>5406</v>
      </c>
      <c r="G5409" s="64">
        <f t="shared" ca="1" si="123"/>
        <v>-7.5270548758574612E-3</v>
      </c>
    </row>
    <row r="5410" spans="6:7" x14ac:dyDescent="0.3">
      <c r="F5410" s="64">
        <v>5407</v>
      </c>
      <c r="G5410" s="64">
        <f t="shared" ca="1" si="123"/>
        <v>1.2235352021382227E-2</v>
      </c>
    </row>
    <row r="5411" spans="6:7" x14ac:dyDescent="0.3">
      <c r="F5411" s="64">
        <v>5408</v>
      </c>
      <c r="G5411" s="64">
        <f t="shared" ca="1" si="123"/>
        <v>4.3555389873225787E-3</v>
      </c>
    </row>
    <row r="5412" spans="6:7" x14ac:dyDescent="0.3">
      <c r="F5412" s="64">
        <v>5409</v>
      </c>
      <c r="G5412" s="64">
        <f t="shared" ca="1" si="123"/>
        <v>1.0548579123010722E-2</v>
      </c>
    </row>
    <row r="5413" spans="6:7" x14ac:dyDescent="0.3">
      <c r="F5413" s="64">
        <v>5410</v>
      </c>
      <c r="G5413" s="64">
        <f t="shared" ca="1" si="123"/>
        <v>-1.0186886168108828E-2</v>
      </c>
    </row>
    <row r="5414" spans="6:7" x14ac:dyDescent="0.3">
      <c r="F5414" s="64">
        <v>5411</v>
      </c>
      <c r="G5414" s="64">
        <f t="shared" ca="1" si="123"/>
        <v>2.7984305335444375E-2</v>
      </c>
    </row>
    <row r="5415" spans="6:7" x14ac:dyDescent="0.3">
      <c r="F5415" s="64">
        <v>5412</v>
      </c>
      <c r="G5415" s="64">
        <f t="shared" ca="1" si="123"/>
        <v>1.6919524994898086E-2</v>
      </c>
    </row>
    <row r="5416" spans="6:7" x14ac:dyDescent="0.3">
      <c r="F5416" s="64">
        <v>5413</v>
      </c>
      <c r="G5416" s="64">
        <f t="shared" ca="1" si="123"/>
        <v>-2.1039955944689971E-2</v>
      </c>
    </row>
    <row r="5417" spans="6:7" x14ac:dyDescent="0.3">
      <c r="F5417" s="64">
        <v>5414</v>
      </c>
      <c r="G5417" s="64">
        <f t="shared" ca="1" si="123"/>
        <v>2.7961163705926663E-3</v>
      </c>
    </row>
    <row r="5418" spans="6:7" x14ac:dyDescent="0.3">
      <c r="F5418" s="64">
        <v>5415</v>
      </c>
      <c r="G5418" s="64">
        <f t="shared" ca="1" si="123"/>
        <v>4.7056676565043469E-2</v>
      </c>
    </row>
    <row r="5419" spans="6:7" x14ac:dyDescent="0.3">
      <c r="F5419" s="64">
        <v>5416</v>
      </c>
      <c r="G5419" s="64">
        <f t="shared" ca="1" si="123"/>
        <v>-1.4267390009376053E-2</v>
      </c>
    </row>
    <row r="5420" spans="6:7" x14ac:dyDescent="0.3">
      <c r="F5420" s="64">
        <v>5417</v>
      </c>
      <c r="G5420" s="64">
        <f t="shared" ca="1" si="123"/>
        <v>-1.4513044385946498E-3</v>
      </c>
    </row>
    <row r="5421" spans="6:7" x14ac:dyDescent="0.3">
      <c r="F5421" s="64">
        <v>5418</v>
      </c>
      <c r="G5421" s="64">
        <f t="shared" ca="1" si="123"/>
        <v>8.7937692723368838E-3</v>
      </c>
    </row>
    <row r="5422" spans="6:7" x14ac:dyDescent="0.3">
      <c r="F5422" s="64">
        <v>5419</v>
      </c>
      <c r="G5422" s="64">
        <f t="shared" ca="1" si="123"/>
        <v>1.0793722687440001E-2</v>
      </c>
    </row>
    <row r="5423" spans="6:7" x14ac:dyDescent="0.3">
      <c r="F5423" s="64">
        <v>5420</v>
      </c>
      <c r="G5423" s="64">
        <f t="shared" ca="1" si="123"/>
        <v>7.5864302605554452E-3</v>
      </c>
    </row>
    <row r="5424" spans="6:7" x14ac:dyDescent="0.3">
      <c r="F5424" s="64">
        <v>5421</v>
      </c>
      <c r="G5424" s="64">
        <f t="shared" ca="1" si="123"/>
        <v>-3.0413771568447358E-2</v>
      </c>
    </row>
    <row r="5425" spans="6:7" x14ac:dyDescent="0.3">
      <c r="F5425" s="64">
        <v>5422</v>
      </c>
      <c r="G5425" s="64">
        <f t="shared" ca="1" si="123"/>
        <v>-1.9533462484152435E-2</v>
      </c>
    </row>
    <row r="5426" spans="6:7" x14ac:dyDescent="0.3">
      <c r="F5426" s="64">
        <v>5423</v>
      </c>
      <c r="G5426" s="64">
        <f t="shared" ca="1" si="123"/>
        <v>1.1653705246295479E-2</v>
      </c>
    </row>
    <row r="5427" spans="6:7" x14ac:dyDescent="0.3">
      <c r="F5427" s="64">
        <v>5424</v>
      </c>
      <c r="G5427" s="64">
        <f t="shared" ca="1" si="123"/>
        <v>-4.9211829290134596E-3</v>
      </c>
    </row>
    <row r="5428" spans="6:7" x14ac:dyDescent="0.3">
      <c r="F5428" s="64">
        <v>5425</v>
      </c>
      <c r="G5428" s="64">
        <f t="shared" ca="1" si="123"/>
        <v>3.5807443018747415E-2</v>
      </c>
    </row>
    <row r="5429" spans="6:7" x14ac:dyDescent="0.3">
      <c r="F5429" s="64">
        <v>5426</v>
      </c>
      <c r="G5429" s="64">
        <f t="shared" ca="1" si="123"/>
        <v>-6.9548571127571145E-3</v>
      </c>
    </row>
    <row r="5430" spans="6:7" x14ac:dyDescent="0.3">
      <c r="F5430" s="64">
        <v>5427</v>
      </c>
      <c r="G5430" s="64">
        <f t="shared" ca="1" si="123"/>
        <v>3.0515304718180605E-2</v>
      </c>
    </row>
    <row r="5431" spans="6:7" x14ac:dyDescent="0.3">
      <c r="F5431" s="64">
        <v>5428</v>
      </c>
      <c r="G5431" s="64">
        <f t="shared" ca="1" si="123"/>
        <v>1.2558856832963369E-2</v>
      </c>
    </row>
    <row r="5432" spans="6:7" x14ac:dyDescent="0.3">
      <c r="F5432" s="64">
        <v>5429</v>
      </c>
      <c r="G5432" s="64">
        <f t="shared" ca="1" si="123"/>
        <v>1.6828861784239223E-2</v>
      </c>
    </row>
    <row r="5433" spans="6:7" x14ac:dyDescent="0.3">
      <c r="F5433" s="64">
        <v>5430</v>
      </c>
      <c r="G5433" s="64">
        <f t="shared" ca="1" si="123"/>
        <v>3.2512825657784045E-2</v>
      </c>
    </row>
    <row r="5434" spans="6:7" x14ac:dyDescent="0.3">
      <c r="F5434" s="64">
        <v>5431</v>
      </c>
      <c r="G5434" s="64">
        <f t="shared" ca="1" si="123"/>
        <v>9.3955281086799906E-3</v>
      </c>
    </row>
    <row r="5435" spans="6:7" x14ac:dyDescent="0.3">
      <c r="F5435" s="64">
        <v>5432</v>
      </c>
      <c r="G5435" s="64">
        <f t="shared" ca="1" si="123"/>
        <v>-4.3933815493622616E-2</v>
      </c>
    </row>
    <row r="5436" spans="6:7" x14ac:dyDescent="0.3">
      <c r="F5436" s="64">
        <v>5433</v>
      </c>
      <c r="G5436" s="64">
        <f t="shared" ca="1" si="123"/>
        <v>-9.6305235075810972E-3</v>
      </c>
    </row>
    <row r="5437" spans="6:7" x14ac:dyDescent="0.3">
      <c r="F5437" s="64">
        <v>5434</v>
      </c>
      <c r="G5437" s="64">
        <f t="shared" ca="1" si="123"/>
        <v>-9.5062447642485885E-3</v>
      </c>
    </row>
    <row r="5438" spans="6:7" x14ac:dyDescent="0.3">
      <c r="F5438" s="64">
        <v>5435</v>
      </c>
      <c r="G5438" s="64">
        <f t="shared" ca="1" si="123"/>
        <v>1.5269868016491417E-2</v>
      </c>
    </row>
    <row r="5439" spans="6:7" x14ac:dyDescent="0.3">
      <c r="F5439" s="64">
        <v>5436</v>
      </c>
      <c r="G5439" s="64">
        <f t="shared" ca="1" si="123"/>
        <v>1.7801245478025689E-2</v>
      </c>
    </row>
    <row r="5440" spans="6:7" x14ac:dyDescent="0.3">
      <c r="F5440" s="64">
        <v>5437</v>
      </c>
      <c r="G5440" s="64">
        <f t="shared" ca="1" si="123"/>
        <v>-3.4376437951561651E-4</v>
      </c>
    </row>
    <row r="5441" spans="6:7" x14ac:dyDescent="0.3">
      <c r="F5441" s="64">
        <v>5438</v>
      </c>
      <c r="G5441" s="64">
        <f t="shared" ca="1" si="123"/>
        <v>1.0434804183904405E-2</v>
      </c>
    </row>
    <row r="5442" spans="6:7" x14ac:dyDescent="0.3">
      <c r="F5442" s="64">
        <v>5439</v>
      </c>
      <c r="G5442" s="64">
        <f t="shared" ca="1" si="123"/>
        <v>3.1018119838913047E-2</v>
      </c>
    </row>
    <row r="5443" spans="6:7" x14ac:dyDescent="0.3">
      <c r="F5443" s="64">
        <v>5440</v>
      </c>
      <c r="G5443" s="64">
        <f t="shared" ca="1" si="123"/>
        <v>-2.1443442034470295E-2</v>
      </c>
    </row>
    <row r="5444" spans="6:7" x14ac:dyDescent="0.3">
      <c r="F5444" s="64">
        <v>5441</v>
      </c>
      <c r="G5444" s="64">
        <f t="shared" ca="1" si="123"/>
        <v>-2.2846709686509696E-2</v>
      </c>
    </row>
    <row r="5445" spans="6:7" x14ac:dyDescent="0.3">
      <c r="F5445" s="64">
        <v>5442</v>
      </c>
      <c r="G5445" s="64">
        <f t="shared" ref="G5445:G5508" ca="1" si="124">_xlfn.NORM.INV(RAND(),K$6,K$7)</f>
        <v>-1.3838263280323147E-2</v>
      </c>
    </row>
    <row r="5446" spans="6:7" x14ac:dyDescent="0.3">
      <c r="F5446" s="64">
        <v>5443</v>
      </c>
      <c r="G5446" s="64">
        <f t="shared" ca="1" si="124"/>
        <v>-1.5915561534251214E-2</v>
      </c>
    </row>
    <row r="5447" spans="6:7" x14ac:dyDescent="0.3">
      <c r="F5447" s="64">
        <v>5444</v>
      </c>
      <c r="G5447" s="64">
        <f t="shared" ca="1" si="124"/>
        <v>-1.6462129803514969E-2</v>
      </c>
    </row>
    <row r="5448" spans="6:7" x14ac:dyDescent="0.3">
      <c r="F5448" s="64">
        <v>5445</v>
      </c>
      <c r="G5448" s="64">
        <f t="shared" ca="1" si="124"/>
        <v>-1.4694507346616347E-2</v>
      </c>
    </row>
    <row r="5449" spans="6:7" x14ac:dyDescent="0.3">
      <c r="F5449" s="64">
        <v>5446</v>
      </c>
      <c r="G5449" s="64">
        <f t="shared" ca="1" si="124"/>
        <v>2.4248868250548589E-2</v>
      </c>
    </row>
    <row r="5450" spans="6:7" x14ac:dyDescent="0.3">
      <c r="F5450" s="64">
        <v>5447</v>
      </c>
      <c r="G5450" s="64">
        <f t="shared" ca="1" si="124"/>
        <v>-7.491245964066787E-3</v>
      </c>
    </row>
    <row r="5451" spans="6:7" x14ac:dyDescent="0.3">
      <c r="F5451" s="64">
        <v>5448</v>
      </c>
      <c r="G5451" s="64">
        <f t="shared" ca="1" si="124"/>
        <v>-5.5231103677453762E-3</v>
      </c>
    </row>
    <row r="5452" spans="6:7" x14ac:dyDescent="0.3">
      <c r="F5452" s="64">
        <v>5449</v>
      </c>
      <c r="G5452" s="64">
        <f t="shared" ca="1" si="124"/>
        <v>-2.9898518230051199E-2</v>
      </c>
    </row>
    <row r="5453" spans="6:7" x14ac:dyDescent="0.3">
      <c r="F5453" s="64">
        <v>5450</v>
      </c>
      <c r="G5453" s="64">
        <f t="shared" ca="1" si="124"/>
        <v>1.1431719081830369E-2</v>
      </c>
    </row>
    <row r="5454" spans="6:7" x14ac:dyDescent="0.3">
      <c r="F5454" s="64">
        <v>5451</v>
      </c>
      <c r="G5454" s="64">
        <f t="shared" ca="1" si="124"/>
        <v>-7.051231731001105E-3</v>
      </c>
    </row>
    <row r="5455" spans="6:7" x14ac:dyDescent="0.3">
      <c r="F5455" s="64">
        <v>5452</v>
      </c>
      <c r="G5455" s="64">
        <f t="shared" ca="1" si="124"/>
        <v>1.8961335042207206E-2</v>
      </c>
    </row>
    <row r="5456" spans="6:7" x14ac:dyDescent="0.3">
      <c r="F5456" s="64">
        <v>5453</v>
      </c>
      <c r="G5456" s="64">
        <f t="shared" ca="1" si="124"/>
        <v>2.2622902935872297E-2</v>
      </c>
    </row>
    <row r="5457" spans="6:7" x14ac:dyDescent="0.3">
      <c r="F5457" s="64">
        <v>5454</v>
      </c>
      <c r="G5457" s="64">
        <f t="shared" ca="1" si="124"/>
        <v>2.359223144160541E-2</v>
      </c>
    </row>
    <row r="5458" spans="6:7" x14ac:dyDescent="0.3">
      <c r="F5458" s="64">
        <v>5455</v>
      </c>
      <c r="G5458" s="64">
        <f t="shared" ca="1" si="124"/>
        <v>-2.8979796124901031E-3</v>
      </c>
    </row>
    <row r="5459" spans="6:7" x14ac:dyDescent="0.3">
      <c r="F5459" s="64">
        <v>5456</v>
      </c>
      <c r="G5459" s="64">
        <f t="shared" ca="1" si="124"/>
        <v>-1.5561764675208692E-2</v>
      </c>
    </row>
    <row r="5460" spans="6:7" x14ac:dyDescent="0.3">
      <c r="F5460" s="64">
        <v>5457</v>
      </c>
      <c r="G5460" s="64">
        <f t="shared" ca="1" si="124"/>
        <v>9.1946325487108106E-3</v>
      </c>
    </row>
    <row r="5461" spans="6:7" x14ac:dyDescent="0.3">
      <c r="F5461" s="64">
        <v>5458</v>
      </c>
      <c r="G5461" s="64">
        <f t="shared" ca="1" si="124"/>
        <v>6.0839668831583387E-3</v>
      </c>
    </row>
    <row r="5462" spans="6:7" x14ac:dyDescent="0.3">
      <c r="F5462" s="64">
        <v>5459</v>
      </c>
      <c r="G5462" s="64">
        <f t="shared" ca="1" si="124"/>
        <v>1.9094882555813798E-2</v>
      </c>
    </row>
    <row r="5463" spans="6:7" x14ac:dyDescent="0.3">
      <c r="F5463" s="64">
        <v>5460</v>
      </c>
      <c r="G5463" s="64">
        <f t="shared" ca="1" si="124"/>
        <v>-2.1176242115122673E-2</v>
      </c>
    </row>
    <row r="5464" spans="6:7" x14ac:dyDescent="0.3">
      <c r="F5464" s="64">
        <v>5461</v>
      </c>
      <c r="G5464" s="64">
        <f t="shared" ca="1" si="124"/>
        <v>6.3779197514737436E-3</v>
      </c>
    </row>
    <row r="5465" spans="6:7" x14ac:dyDescent="0.3">
      <c r="F5465" s="64">
        <v>5462</v>
      </c>
      <c r="G5465" s="64">
        <f t="shared" ca="1" si="124"/>
        <v>2.7805662226977397E-2</v>
      </c>
    </row>
    <row r="5466" spans="6:7" x14ac:dyDescent="0.3">
      <c r="F5466" s="64">
        <v>5463</v>
      </c>
      <c r="G5466" s="64">
        <f t="shared" ca="1" si="124"/>
        <v>3.1501117953212095E-2</v>
      </c>
    </row>
    <row r="5467" spans="6:7" x14ac:dyDescent="0.3">
      <c r="F5467" s="64">
        <v>5464</v>
      </c>
      <c r="G5467" s="64">
        <f t="shared" ca="1" si="124"/>
        <v>-3.009426602134134E-2</v>
      </c>
    </row>
    <row r="5468" spans="6:7" x14ac:dyDescent="0.3">
      <c r="F5468" s="64">
        <v>5465</v>
      </c>
      <c r="G5468" s="64">
        <f t="shared" ca="1" si="124"/>
        <v>-4.7958888855934466E-3</v>
      </c>
    </row>
    <row r="5469" spans="6:7" x14ac:dyDescent="0.3">
      <c r="F5469" s="64">
        <v>5466</v>
      </c>
      <c r="G5469" s="64">
        <f t="shared" ca="1" si="124"/>
        <v>4.3234225373564715E-2</v>
      </c>
    </row>
    <row r="5470" spans="6:7" x14ac:dyDescent="0.3">
      <c r="F5470" s="64">
        <v>5467</v>
      </c>
      <c r="G5470" s="64">
        <f t="shared" ca="1" si="124"/>
        <v>8.3758614836281983E-3</v>
      </c>
    </row>
    <row r="5471" spans="6:7" x14ac:dyDescent="0.3">
      <c r="F5471" s="64">
        <v>5468</v>
      </c>
      <c r="G5471" s="64">
        <f t="shared" ca="1" si="124"/>
        <v>-2.599618500395174E-2</v>
      </c>
    </row>
    <row r="5472" spans="6:7" x14ac:dyDescent="0.3">
      <c r="F5472" s="64">
        <v>5469</v>
      </c>
      <c r="G5472" s="64">
        <f t="shared" ca="1" si="124"/>
        <v>-8.0495150056004005E-3</v>
      </c>
    </row>
    <row r="5473" spans="6:7" x14ac:dyDescent="0.3">
      <c r="F5473" s="64">
        <v>5470</v>
      </c>
      <c r="G5473" s="64">
        <f t="shared" ca="1" si="124"/>
        <v>-1.9274898508544379E-2</v>
      </c>
    </row>
    <row r="5474" spans="6:7" x14ac:dyDescent="0.3">
      <c r="F5474" s="64">
        <v>5471</v>
      </c>
      <c r="G5474" s="64">
        <f t="shared" ca="1" si="124"/>
        <v>-1.5376300679816929E-2</v>
      </c>
    </row>
    <row r="5475" spans="6:7" x14ac:dyDescent="0.3">
      <c r="F5475" s="64">
        <v>5472</v>
      </c>
      <c r="G5475" s="64">
        <f t="shared" ca="1" si="124"/>
        <v>-2.8925861545295545E-3</v>
      </c>
    </row>
    <row r="5476" spans="6:7" x14ac:dyDescent="0.3">
      <c r="F5476" s="64">
        <v>5473</v>
      </c>
      <c r="G5476" s="64">
        <f t="shared" ca="1" si="124"/>
        <v>3.361264982982675E-2</v>
      </c>
    </row>
    <row r="5477" spans="6:7" x14ac:dyDescent="0.3">
      <c r="F5477" s="64">
        <v>5474</v>
      </c>
      <c r="G5477" s="64">
        <f t="shared" ca="1" si="124"/>
        <v>-1.3836589631126045E-2</v>
      </c>
    </row>
    <row r="5478" spans="6:7" x14ac:dyDescent="0.3">
      <c r="F5478" s="64">
        <v>5475</v>
      </c>
      <c r="G5478" s="64">
        <f t="shared" ca="1" si="124"/>
        <v>-1.8089454967605535E-2</v>
      </c>
    </row>
    <row r="5479" spans="6:7" x14ac:dyDescent="0.3">
      <c r="F5479" s="64">
        <v>5476</v>
      </c>
      <c r="G5479" s="64">
        <f t="shared" ca="1" si="124"/>
        <v>2.0359608782817944E-2</v>
      </c>
    </row>
    <row r="5480" spans="6:7" x14ac:dyDescent="0.3">
      <c r="F5480" s="64">
        <v>5477</v>
      </c>
      <c r="G5480" s="64">
        <f t="shared" ca="1" si="124"/>
        <v>1.075424370363833E-2</v>
      </c>
    </row>
    <row r="5481" spans="6:7" x14ac:dyDescent="0.3">
      <c r="F5481" s="64">
        <v>5478</v>
      </c>
      <c r="G5481" s="64">
        <f t="shared" ca="1" si="124"/>
        <v>-7.0027932760928537E-3</v>
      </c>
    </row>
    <row r="5482" spans="6:7" x14ac:dyDescent="0.3">
      <c r="F5482" s="64">
        <v>5479</v>
      </c>
      <c r="G5482" s="64">
        <f t="shared" ca="1" si="124"/>
        <v>1.4519518958949354E-2</v>
      </c>
    </row>
    <row r="5483" spans="6:7" x14ac:dyDescent="0.3">
      <c r="F5483" s="64">
        <v>5480</v>
      </c>
      <c r="G5483" s="64">
        <f t="shared" ca="1" si="124"/>
        <v>1.1892343144786641E-2</v>
      </c>
    </row>
    <row r="5484" spans="6:7" x14ac:dyDescent="0.3">
      <c r="F5484" s="64">
        <v>5481</v>
      </c>
      <c r="G5484" s="64">
        <f t="shared" ca="1" si="124"/>
        <v>1.2554290130153432E-2</v>
      </c>
    </row>
    <row r="5485" spans="6:7" x14ac:dyDescent="0.3">
      <c r="F5485" s="64">
        <v>5482</v>
      </c>
      <c r="G5485" s="64">
        <f t="shared" ca="1" si="124"/>
        <v>-3.0195502163712787E-3</v>
      </c>
    </row>
    <row r="5486" spans="6:7" x14ac:dyDescent="0.3">
      <c r="F5486" s="64">
        <v>5483</v>
      </c>
      <c r="G5486" s="64">
        <f t="shared" ca="1" si="124"/>
        <v>-4.9964049595965843E-2</v>
      </c>
    </row>
    <row r="5487" spans="6:7" x14ac:dyDescent="0.3">
      <c r="F5487" s="64">
        <v>5484</v>
      </c>
      <c r="G5487" s="64">
        <f t="shared" ca="1" si="124"/>
        <v>-1.2334884418217664E-2</v>
      </c>
    </row>
    <row r="5488" spans="6:7" x14ac:dyDescent="0.3">
      <c r="F5488" s="64">
        <v>5485</v>
      </c>
      <c r="G5488" s="64">
        <f t="shared" ca="1" si="124"/>
        <v>2.3849449552868093E-2</v>
      </c>
    </row>
    <row r="5489" spans="6:7" x14ac:dyDescent="0.3">
      <c r="F5489" s="64">
        <v>5486</v>
      </c>
      <c r="G5489" s="64">
        <f t="shared" ca="1" si="124"/>
        <v>-8.6207980471103545E-3</v>
      </c>
    </row>
    <row r="5490" spans="6:7" x14ac:dyDescent="0.3">
      <c r="F5490" s="64">
        <v>5487</v>
      </c>
      <c r="G5490" s="64">
        <f t="shared" ca="1" si="124"/>
        <v>1.8569722208029375E-2</v>
      </c>
    </row>
    <row r="5491" spans="6:7" x14ac:dyDescent="0.3">
      <c r="F5491" s="64">
        <v>5488</v>
      </c>
      <c r="G5491" s="64">
        <f t="shared" ca="1" si="124"/>
        <v>1.3981999251317965E-2</v>
      </c>
    </row>
    <row r="5492" spans="6:7" x14ac:dyDescent="0.3">
      <c r="F5492" s="64">
        <v>5489</v>
      </c>
      <c r="G5492" s="64">
        <f t="shared" ca="1" si="124"/>
        <v>1.1631180006674808E-2</v>
      </c>
    </row>
    <row r="5493" spans="6:7" x14ac:dyDescent="0.3">
      <c r="F5493" s="64">
        <v>5490</v>
      </c>
      <c r="G5493" s="64">
        <f t="shared" ca="1" si="124"/>
        <v>2.9357492693144131E-2</v>
      </c>
    </row>
    <row r="5494" spans="6:7" x14ac:dyDescent="0.3">
      <c r="F5494" s="64">
        <v>5491</v>
      </c>
      <c r="G5494" s="64">
        <f t="shared" ca="1" si="124"/>
        <v>1.6343236403105948E-2</v>
      </c>
    </row>
    <row r="5495" spans="6:7" x14ac:dyDescent="0.3">
      <c r="F5495" s="64">
        <v>5492</v>
      </c>
      <c r="G5495" s="64">
        <f t="shared" ca="1" si="124"/>
        <v>2.7557690087924719E-2</v>
      </c>
    </row>
    <row r="5496" spans="6:7" x14ac:dyDescent="0.3">
      <c r="F5496" s="64">
        <v>5493</v>
      </c>
      <c r="G5496" s="64">
        <f t="shared" ca="1" si="124"/>
        <v>-1.0432501078287658E-2</v>
      </c>
    </row>
    <row r="5497" spans="6:7" x14ac:dyDescent="0.3">
      <c r="F5497" s="64">
        <v>5494</v>
      </c>
      <c r="G5497" s="64">
        <f t="shared" ca="1" si="124"/>
        <v>-1.7578273310447055E-2</v>
      </c>
    </row>
    <row r="5498" spans="6:7" x14ac:dyDescent="0.3">
      <c r="F5498" s="64">
        <v>5495</v>
      </c>
      <c r="G5498" s="64">
        <f t="shared" ca="1" si="124"/>
        <v>-2.8678092223438784E-3</v>
      </c>
    </row>
    <row r="5499" spans="6:7" x14ac:dyDescent="0.3">
      <c r="F5499" s="64">
        <v>5496</v>
      </c>
      <c r="G5499" s="64">
        <f t="shared" ca="1" si="124"/>
        <v>-1.9548564442798129E-2</v>
      </c>
    </row>
    <row r="5500" spans="6:7" x14ac:dyDescent="0.3">
      <c r="F5500" s="64">
        <v>5497</v>
      </c>
      <c r="G5500" s="64">
        <f t="shared" ca="1" si="124"/>
        <v>1.9087053616023725E-2</v>
      </c>
    </row>
    <row r="5501" spans="6:7" x14ac:dyDescent="0.3">
      <c r="F5501" s="64">
        <v>5498</v>
      </c>
      <c r="G5501" s="64">
        <f t="shared" ca="1" si="124"/>
        <v>-3.2219030301666963E-3</v>
      </c>
    </row>
    <row r="5502" spans="6:7" x14ac:dyDescent="0.3">
      <c r="F5502" s="64">
        <v>5499</v>
      </c>
      <c r="G5502" s="64">
        <f t="shared" ca="1" si="124"/>
        <v>-2.1078059218967264E-2</v>
      </c>
    </row>
    <row r="5503" spans="6:7" x14ac:dyDescent="0.3">
      <c r="F5503" s="64">
        <v>5500</v>
      </c>
      <c r="G5503" s="64">
        <f t="shared" ca="1" si="124"/>
        <v>3.103602682749558E-2</v>
      </c>
    </row>
    <row r="5504" spans="6:7" x14ac:dyDescent="0.3">
      <c r="F5504" s="64">
        <v>5501</v>
      </c>
      <c r="G5504" s="64">
        <f t="shared" ca="1" si="124"/>
        <v>-2.8729722763964391E-2</v>
      </c>
    </row>
    <row r="5505" spans="6:7" x14ac:dyDescent="0.3">
      <c r="F5505" s="64">
        <v>5502</v>
      </c>
      <c r="G5505" s="64">
        <f t="shared" ca="1" si="124"/>
        <v>-4.6604582253858612E-3</v>
      </c>
    </row>
    <row r="5506" spans="6:7" x14ac:dyDescent="0.3">
      <c r="F5506" s="64">
        <v>5503</v>
      </c>
      <c r="G5506" s="64">
        <f t="shared" ca="1" si="124"/>
        <v>-2.8041628442919343E-4</v>
      </c>
    </row>
    <row r="5507" spans="6:7" x14ac:dyDescent="0.3">
      <c r="F5507" s="64">
        <v>5504</v>
      </c>
      <c r="G5507" s="64">
        <f t="shared" ca="1" si="124"/>
        <v>1.1000640465801987E-3</v>
      </c>
    </row>
    <row r="5508" spans="6:7" x14ac:dyDescent="0.3">
      <c r="F5508" s="64">
        <v>5505</v>
      </c>
      <c r="G5508" s="64">
        <f t="shared" ca="1" si="124"/>
        <v>1.3720346521529829E-2</v>
      </c>
    </row>
    <row r="5509" spans="6:7" x14ac:dyDescent="0.3">
      <c r="F5509" s="64">
        <v>5506</v>
      </c>
      <c r="G5509" s="64">
        <f t="shared" ref="G5509:G5572" ca="1" si="125">_xlfn.NORM.INV(RAND(),K$6,K$7)</f>
        <v>-8.3238749688043217E-3</v>
      </c>
    </row>
    <row r="5510" spans="6:7" x14ac:dyDescent="0.3">
      <c r="F5510" s="64">
        <v>5507</v>
      </c>
      <c r="G5510" s="64">
        <f t="shared" ca="1" si="125"/>
        <v>-6.9975500250346618E-3</v>
      </c>
    </row>
    <row r="5511" spans="6:7" x14ac:dyDescent="0.3">
      <c r="F5511" s="64">
        <v>5508</v>
      </c>
      <c r="G5511" s="64">
        <f t="shared" ca="1" si="125"/>
        <v>-4.6256882273887974E-2</v>
      </c>
    </row>
    <row r="5512" spans="6:7" x14ac:dyDescent="0.3">
      <c r="F5512" s="64">
        <v>5509</v>
      </c>
      <c r="G5512" s="64">
        <f t="shared" ca="1" si="125"/>
        <v>-6.4495383893135574E-3</v>
      </c>
    </row>
    <row r="5513" spans="6:7" x14ac:dyDescent="0.3">
      <c r="F5513" s="64">
        <v>5510</v>
      </c>
      <c r="G5513" s="64">
        <f t="shared" ca="1" si="125"/>
        <v>1.0029190636181108E-2</v>
      </c>
    </row>
    <row r="5514" spans="6:7" x14ac:dyDescent="0.3">
      <c r="F5514" s="64">
        <v>5511</v>
      </c>
      <c r="G5514" s="64">
        <f t="shared" ca="1" si="125"/>
        <v>4.0272934733203571E-2</v>
      </c>
    </row>
    <row r="5515" spans="6:7" x14ac:dyDescent="0.3">
      <c r="F5515" s="64">
        <v>5512</v>
      </c>
      <c r="G5515" s="64">
        <f t="shared" ca="1" si="125"/>
        <v>5.8184040971187177E-4</v>
      </c>
    </row>
    <row r="5516" spans="6:7" x14ac:dyDescent="0.3">
      <c r="F5516" s="64">
        <v>5513</v>
      </c>
      <c r="G5516" s="64">
        <f t="shared" ca="1" si="125"/>
        <v>2.0745430297031955E-3</v>
      </c>
    </row>
    <row r="5517" spans="6:7" x14ac:dyDescent="0.3">
      <c r="F5517" s="64">
        <v>5514</v>
      </c>
      <c r="G5517" s="64">
        <f t="shared" ca="1" si="125"/>
        <v>2.5013965735187431E-2</v>
      </c>
    </row>
    <row r="5518" spans="6:7" x14ac:dyDescent="0.3">
      <c r="F5518" s="64">
        <v>5515</v>
      </c>
      <c r="G5518" s="64">
        <f t="shared" ca="1" si="125"/>
        <v>8.7433968706726282E-3</v>
      </c>
    </row>
    <row r="5519" spans="6:7" x14ac:dyDescent="0.3">
      <c r="F5519" s="64">
        <v>5516</v>
      </c>
      <c r="G5519" s="64">
        <f t="shared" ca="1" si="125"/>
        <v>-1.9699704434787031E-2</v>
      </c>
    </row>
    <row r="5520" spans="6:7" x14ac:dyDescent="0.3">
      <c r="F5520" s="64">
        <v>5517</v>
      </c>
      <c r="G5520" s="64">
        <f t="shared" ca="1" si="125"/>
        <v>-1.3160210306413928E-2</v>
      </c>
    </row>
    <row r="5521" spans="6:7" x14ac:dyDescent="0.3">
      <c r="F5521" s="64">
        <v>5518</v>
      </c>
      <c r="G5521" s="64">
        <f t="shared" ca="1" si="125"/>
        <v>1.3659325085332071E-2</v>
      </c>
    </row>
    <row r="5522" spans="6:7" x14ac:dyDescent="0.3">
      <c r="F5522" s="64">
        <v>5519</v>
      </c>
      <c r="G5522" s="64">
        <f t="shared" ca="1" si="125"/>
        <v>7.0455168647387805E-3</v>
      </c>
    </row>
    <row r="5523" spans="6:7" x14ac:dyDescent="0.3">
      <c r="F5523" s="64">
        <v>5520</v>
      </c>
      <c r="G5523" s="64">
        <f t="shared" ca="1" si="125"/>
        <v>7.8480870412111648E-3</v>
      </c>
    </row>
    <row r="5524" spans="6:7" x14ac:dyDescent="0.3">
      <c r="F5524" s="64">
        <v>5521</v>
      </c>
      <c r="G5524" s="64">
        <f t="shared" ca="1" si="125"/>
        <v>2.9808269483408111E-3</v>
      </c>
    </row>
    <row r="5525" spans="6:7" x14ac:dyDescent="0.3">
      <c r="F5525" s="64">
        <v>5522</v>
      </c>
      <c r="G5525" s="64">
        <f t="shared" ca="1" si="125"/>
        <v>-8.0107156565169969E-3</v>
      </c>
    </row>
    <row r="5526" spans="6:7" x14ac:dyDescent="0.3">
      <c r="F5526" s="64">
        <v>5523</v>
      </c>
      <c r="G5526" s="64">
        <f t="shared" ca="1" si="125"/>
        <v>-2.2324970250204662E-2</v>
      </c>
    </row>
    <row r="5527" spans="6:7" x14ac:dyDescent="0.3">
      <c r="F5527" s="64">
        <v>5524</v>
      </c>
      <c r="G5527" s="64">
        <f t="shared" ca="1" si="125"/>
        <v>-6.2723831202133795E-3</v>
      </c>
    </row>
    <row r="5528" spans="6:7" x14ac:dyDescent="0.3">
      <c r="F5528" s="64">
        <v>5525</v>
      </c>
      <c r="G5528" s="64">
        <f t="shared" ca="1" si="125"/>
        <v>-1.2498423579413942E-2</v>
      </c>
    </row>
    <row r="5529" spans="6:7" x14ac:dyDescent="0.3">
      <c r="F5529" s="64">
        <v>5526</v>
      </c>
      <c r="G5529" s="64">
        <f t="shared" ca="1" si="125"/>
        <v>1.298202097570513E-2</v>
      </c>
    </row>
    <row r="5530" spans="6:7" x14ac:dyDescent="0.3">
      <c r="F5530" s="64">
        <v>5527</v>
      </c>
      <c r="G5530" s="64">
        <f t="shared" ca="1" si="125"/>
        <v>3.4737632232001062E-2</v>
      </c>
    </row>
    <row r="5531" spans="6:7" x14ac:dyDescent="0.3">
      <c r="F5531" s="64">
        <v>5528</v>
      </c>
      <c r="G5531" s="64">
        <f t="shared" ca="1" si="125"/>
        <v>1.8639298817084531E-2</v>
      </c>
    </row>
    <row r="5532" spans="6:7" x14ac:dyDescent="0.3">
      <c r="F5532" s="64">
        <v>5529</v>
      </c>
      <c r="G5532" s="64">
        <f t="shared" ca="1" si="125"/>
        <v>-1.5943429964151934E-2</v>
      </c>
    </row>
    <row r="5533" spans="6:7" x14ac:dyDescent="0.3">
      <c r="F5533" s="64">
        <v>5530</v>
      </c>
      <c r="G5533" s="64">
        <f t="shared" ca="1" si="125"/>
        <v>7.7600585873036348E-3</v>
      </c>
    </row>
    <row r="5534" spans="6:7" x14ac:dyDescent="0.3">
      <c r="F5534" s="64">
        <v>5531</v>
      </c>
      <c r="G5534" s="64">
        <f t="shared" ca="1" si="125"/>
        <v>1.594639508685438E-2</v>
      </c>
    </row>
    <row r="5535" spans="6:7" x14ac:dyDescent="0.3">
      <c r="F5535" s="64">
        <v>5532</v>
      </c>
      <c r="G5535" s="64">
        <f t="shared" ca="1" si="125"/>
        <v>-2.8206473507016244E-2</v>
      </c>
    </row>
    <row r="5536" spans="6:7" x14ac:dyDescent="0.3">
      <c r="F5536" s="64">
        <v>5533</v>
      </c>
      <c r="G5536" s="64">
        <f t="shared" ca="1" si="125"/>
        <v>-3.0560195994461577E-3</v>
      </c>
    </row>
    <row r="5537" spans="6:7" x14ac:dyDescent="0.3">
      <c r="F5537" s="64">
        <v>5534</v>
      </c>
      <c r="G5537" s="64">
        <f t="shared" ca="1" si="125"/>
        <v>-3.0906421379186408E-2</v>
      </c>
    </row>
    <row r="5538" spans="6:7" x14ac:dyDescent="0.3">
      <c r="F5538" s="64">
        <v>5535</v>
      </c>
      <c r="G5538" s="64">
        <f t="shared" ca="1" si="125"/>
        <v>-3.2068304027597638E-2</v>
      </c>
    </row>
    <row r="5539" spans="6:7" x14ac:dyDescent="0.3">
      <c r="F5539" s="64">
        <v>5536</v>
      </c>
      <c r="G5539" s="64">
        <f t="shared" ca="1" si="125"/>
        <v>-4.2677365373203933E-3</v>
      </c>
    </row>
    <row r="5540" spans="6:7" x14ac:dyDescent="0.3">
      <c r="F5540" s="64">
        <v>5537</v>
      </c>
      <c r="G5540" s="64">
        <f t="shared" ca="1" si="125"/>
        <v>1.9872514681393474E-3</v>
      </c>
    </row>
    <row r="5541" spans="6:7" x14ac:dyDescent="0.3">
      <c r="F5541" s="64">
        <v>5538</v>
      </c>
      <c r="G5541" s="64">
        <f t="shared" ca="1" si="125"/>
        <v>2.4760696717690718E-2</v>
      </c>
    </row>
    <row r="5542" spans="6:7" x14ac:dyDescent="0.3">
      <c r="F5542" s="64">
        <v>5539</v>
      </c>
      <c r="G5542" s="64">
        <f t="shared" ca="1" si="125"/>
        <v>-3.8210934320049468E-2</v>
      </c>
    </row>
    <row r="5543" spans="6:7" x14ac:dyDescent="0.3">
      <c r="F5543" s="64">
        <v>5540</v>
      </c>
      <c r="G5543" s="64">
        <f t="shared" ca="1" si="125"/>
        <v>8.2215265045318918E-3</v>
      </c>
    </row>
    <row r="5544" spans="6:7" x14ac:dyDescent="0.3">
      <c r="F5544" s="64">
        <v>5541</v>
      </c>
      <c r="G5544" s="64">
        <f t="shared" ca="1" si="125"/>
        <v>2.1888710575066347E-2</v>
      </c>
    </row>
    <row r="5545" spans="6:7" x14ac:dyDescent="0.3">
      <c r="F5545" s="64">
        <v>5542</v>
      </c>
      <c r="G5545" s="64">
        <f t="shared" ca="1" si="125"/>
        <v>-3.3802175887746852E-2</v>
      </c>
    </row>
    <row r="5546" spans="6:7" x14ac:dyDescent="0.3">
      <c r="F5546" s="64">
        <v>5543</v>
      </c>
      <c r="G5546" s="64">
        <f t="shared" ca="1" si="125"/>
        <v>2.0221559038816575E-2</v>
      </c>
    </row>
    <row r="5547" spans="6:7" x14ac:dyDescent="0.3">
      <c r="F5547" s="64">
        <v>5544</v>
      </c>
      <c r="G5547" s="64">
        <f t="shared" ca="1" si="125"/>
        <v>4.6206964395488241E-3</v>
      </c>
    </row>
    <row r="5548" spans="6:7" x14ac:dyDescent="0.3">
      <c r="F5548" s="64">
        <v>5545</v>
      </c>
      <c r="G5548" s="64">
        <f t="shared" ca="1" si="125"/>
        <v>-1.1193337501983069E-2</v>
      </c>
    </row>
    <row r="5549" spans="6:7" x14ac:dyDescent="0.3">
      <c r="F5549" s="64">
        <v>5546</v>
      </c>
      <c r="G5549" s="64">
        <f t="shared" ca="1" si="125"/>
        <v>-2.8919639955130283E-3</v>
      </c>
    </row>
    <row r="5550" spans="6:7" x14ac:dyDescent="0.3">
      <c r="F5550" s="64">
        <v>5547</v>
      </c>
      <c r="G5550" s="64">
        <f t="shared" ca="1" si="125"/>
        <v>-5.7123023004997525E-3</v>
      </c>
    </row>
    <row r="5551" spans="6:7" x14ac:dyDescent="0.3">
      <c r="F5551" s="64">
        <v>5548</v>
      </c>
      <c r="G5551" s="64">
        <f t="shared" ca="1" si="125"/>
        <v>2.3193263179064449E-2</v>
      </c>
    </row>
    <row r="5552" spans="6:7" x14ac:dyDescent="0.3">
      <c r="F5552" s="64">
        <v>5549</v>
      </c>
      <c r="G5552" s="64">
        <f t="shared" ca="1" si="125"/>
        <v>-2.8306116243402978E-2</v>
      </c>
    </row>
    <row r="5553" spans="6:7" x14ac:dyDescent="0.3">
      <c r="F5553" s="64">
        <v>5550</v>
      </c>
      <c r="G5553" s="64">
        <f t="shared" ca="1" si="125"/>
        <v>-2.8047899046014325E-2</v>
      </c>
    </row>
    <row r="5554" spans="6:7" x14ac:dyDescent="0.3">
      <c r="F5554" s="64">
        <v>5551</v>
      </c>
      <c r="G5554" s="64">
        <f t="shared" ca="1" si="125"/>
        <v>1.0368549153006095E-2</v>
      </c>
    </row>
    <row r="5555" spans="6:7" x14ac:dyDescent="0.3">
      <c r="F5555" s="64">
        <v>5552</v>
      </c>
      <c r="G5555" s="64">
        <f t="shared" ca="1" si="125"/>
        <v>1.69659349779902E-3</v>
      </c>
    </row>
    <row r="5556" spans="6:7" x14ac:dyDescent="0.3">
      <c r="F5556" s="64">
        <v>5553</v>
      </c>
      <c r="G5556" s="64">
        <f t="shared" ca="1" si="125"/>
        <v>-2.0793039848062203E-2</v>
      </c>
    </row>
    <row r="5557" spans="6:7" x14ac:dyDescent="0.3">
      <c r="F5557" s="64">
        <v>5554</v>
      </c>
      <c r="G5557" s="64">
        <f t="shared" ca="1" si="125"/>
        <v>1.6533952499064419E-3</v>
      </c>
    </row>
    <row r="5558" spans="6:7" x14ac:dyDescent="0.3">
      <c r="F5558" s="64">
        <v>5555</v>
      </c>
      <c r="G5558" s="64">
        <f t="shared" ca="1" si="125"/>
        <v>2.1893451890356054E-2</v>
      </c>
    </row>
    <row r="5559" spans="6:7" x14ac:dyDescent="0.3">
      <c r="F5559" s="64">
        <v>5556</v>
      </c>
      <c r="G5559" s="64">
        <f t="shared" ca="1" si="125"/>
        <v>-2.3135259694843188E-2</v>
      </c>
    </row>
    <row r="5560" spans="6:7" x14ac:dyDescent="0.3">
      <c r="F5560" s="64">
        <v>5557</v>
      </c>
      <c r="G5560" s="64">
        <f t="shared" ca="1" si="125"/>
        <v>9.6191226240353641E-3</v>
      </c>
    </row>
    <row r="5561" spans="6:7" x14ac:dyDescent="0.3">
      <c r="F5561" s="64">
        <v>5558</v>
      </c>
      <c r="G5561" s="64">
        <f t="shared" ca="1" si="125"/>
        <v>-2.7053363332499754E-3</v>
      </c>
    </row>
    <row r="5562" spans="6:7" x14ac:dyDescent="0.3">
      <c r="F5562" s="64">
        <v>5559</v>
      </c>
      <c r="G5562" s="64">
        <f t="shared" ca="1" si="125"/>
        <v>9.3686176508537434E-3</v>
      </c>
    </row>
    <row r="5563" spans="6:7" x14ac:dyDescent="0.3">
      <c r="F5563" s="64">
        <v>5560</v>
      </c>
      <c r="G5563" s="64">
        <f t="shared" ca="1" si="125"/>
        <v>-6.3881775396841664E-3</v>
      </c>
    </row>
    <row r="5564" spans="6:7" x14ac:dyDescent="0.3">
      <c r="F5564" s="64">
        <v>5561</v>
      </c>
      <c r="G5564" s="64">
        <f t="shared" ca="1" si="125"/>
        <v>-6.032903131227352E-3</v>
      </c>
    </row>
    <row r="5565" spans="6:7" x14ac:dyDescent="0.3">
      <c r="F5565" s="64">
        <v>5562</v>
      </c>
      <c r="G5565" s="64">
        <f t="shared" ca="1" si="125"/>
        <v>-2.0083626559220025E-2</v>
      </c>
    </row>
    <row r="5566" spans="6:7" x14ac:dyDescent="0.3">
      <c r="F5566" s="64">
        <v>5563</v>
      </c>
      <c r="G5566" s="64">
        <f t="shared" ca="1" si="125"/>
        <v>4.3197140180510464E-3</v>
      </c>
    </row>
    <row r="5567" spans="6:7" x14ac:dyDescent="0.3">
      <c r="F5567" s="64">
        <v>5564</v>
      </c>
      <c r="G5567" s="64">
        <f t="shared" ca="1" si="125"/>
        <v>2.6050339958151363E-2</v>
      </c>
    </row>
    <row r="5568" spans="6:7" x14ac:dyDescent="0.3">
      <c r="F5568" s="64">
        <v>5565</v>
      </c>
      <c r="G5568" s="64">
        <f t="shared" ca="1" si="125"/>
        <v>1.3699396392671767E-2</v>
      </c>
    </row>
    <row r="5569" spans="6:7" x14ac:dyDescent="0.3">
      <c r="F5569" s="64">
        <v>5566</v>
      </c>
      <c r="G5569" s="64">
        <f t="shared" ca="1" si="125"/>
        <v>1.3045930282953651E-2</v>
      </c>
    </row>
    <row r="5570" spans="6:7" x14ac:dyDescent="0.3">
      <c r="F5570" s="64">
        <v>5567</v>
      </c>
      <c r="G5570" s="64">
        <f t="shared" ca="1" si="125"/>
        <v>9.9567346380994969E-3</v>
      </c>
    </row>
    <row r="5571" spans="6:7" x14ac:dyDescent="0.3">
      <c r="F5571" s="64">
        <v>5568</v>
      </c>
      <c r="G5571" s="64">
        <f t="shared" ca="1" si="125"/>
        <v>-1.4141155980596965E-2</v>
      </c>
    </row>
    <row r="5572" spans="6:7" x14ac:dyDescent="0.3">
      <c r="F5572" s="64">
        <v>5569</v>
      </c>
      <c r="G5572" s="64">
        <f t="shared" ca="1" si="125"/>
        <v>1.263011583128742E-2</v>
      </c>
    </row>
    <row r="5573" spans="6:7" x14ac:dyDescent="0.3">
      <c r="F5573" s="64">
        <v>5570</v>
      </c>
      <c r="G5573" s="64">
        <f t="shared" ref="G5573:G5636" ca="1" si="126">_xlfn.NORM.INV(RAND(),K$6,K$7)</f>
        <v>-3.9664781003181148E-3</v>
      </c>
    </row>
    <row r="5574" spans="6:7" x14ac:dyDescent="0.3">
      <c r="F5574" s="64">
        <v>5571</v>
      </c>
      <c r="G5574" s="64">
        <f t="shared" ca="1" si="126"/>
        <v>-1.2720518809913371E-2</v>
      </c>
    </row>
    <row r="5575" spans="6:7" x14ac:dyDescent="0.3">
      <c r="F5575" s="64">
        <v>5572</v>
      </c>
      <c r="G5575" s="64">
        <f t="shared" ca="1" si="126"/>
        <v>1.2741905384162491E-2</v>
      </c>
    </row>
    <row r="5576" spans="6:7" x14ac:dyDescent="0.3">
      <c r="F5576" s="64">
        <v>5573</v>
      </c>
      <c r="G5576" s="64">
        <f t="shared" ca="1" si="126"/>
        <v>-1.2908532170375282E-2</v>
      </c>
    </row>
    <row r="5577" spans="6:7" x14ac:dyDescent="0.3">
      <c r="F5577" s="64">
        <v>5574</v>
      </c>
      <c r="G5577" s="64">
        <f t="shared" ca="1" si="126"/>
        <v>-1.973265170007827E-2</v>
      </c>
    </row>
    <row r="5578" spans="6:7" x14ac:dyDescent="0.3">
      <c r="F5578" s="64">
        <v>5575</v>
      </c>
      <c r="G5578" s="64">
        <f t="shared" ca="1" si="126"/>
        <v>-1.6818623752900552E-2</v>
      </c>
    </row>
    <row r="5579" spans="6:7" x14ac:dyDescent="0.3">
      <c r="F5579" s="64">
        <v>5576</v>
      </c>
      <c r="G5579" s="64">
        <f t="shared" ca="1" si="126"/>
        <v>-1.419335237447336E-2</v>
      </c>
    </row>
    <row r="5580" spans="6:7" x14ac:dyDescent="0.3">
      <c r="F5580" s="64">
        <v>5577</v>
      </c>
      <c r="G5580" s="64">
        <f t="shared" ca="1" si="126"/>
        <v>-6.4974115443603344E-3</v>
      </c>
    </row>
    <row r="5581" spans="6:7" x14ac:dyDescent="0.3">
      <c r="F5581" s="64">
        <v>5578</v>
      </c>
      <c r="G5581" s="64">
        <f t="shared" ca="1" si="126"/>
        <v>3.2367851631412793E-2</v>
      </c>
    </row>
    <row r="5582" spans="6:7" x14ac:dyDescent="0.3">
      <c r="F5582" s="64">
        <v>5579</v>
      </c>
      <c r="G5582" s="64">
        <f t="shared" ca="1" si="126"/>
        <v>2.7293097446177937E-2</v>
      </c>
    </row>
    <row r="5583" spans="6:7" x14ac:dyDescent="0.3">
      <c r="F5583" s="64">
        <v>5580</v>
      </c>
      <c r="G5583" s="64">
        <f t="shared" ca="1" si="126"/>
        <v>-8.5295361898391122E-3</v>
      </c>
    </row>
    <row r="5584" spans="6:7" x14ac:dyDescent="0.3">
      <c r="F5584" s="64">
        <v>5581</v>
      </c>
      <c r="G5584" s="64">
        <f t="shared" ca="1" si="126"/>
        <v>-1.217586893313331E-2</v>
      </c>
    </row>
    <row r="5585" spans="6:7" x14ac:dyDescent="0.3">
      <c r="F5585" s="64">
        <v>5582</v>
      </c>
      <c r="G5585" s="64">
        <f t="shared" ca="1" si="126"/>
        <v>2.5627132950822577E-2</v>
      </c>
    </row>
    <row r="5586" spans="6:7" x14ac:dyDescent="0.3">
      <c r="F5586" s="64">
        <v>5583</v>
      </c>
      <c r="G5586" s="64">
        <f t="shared" ca="1" si="126"/>
        <v>-2.9423505317968071E-2</v>
      </c>
    </row>
    <row r="5587" spans="6:7" x14ac:dyDescent="0.3">
      <c r="F5587" s="64">
        <v>5584</v>
      </c>
      <c r="G5587" s="64">
        <f t="shared" ca="1" si="126"/>
        <v>3.014377869585117E-3</v>
      </c>
    </row>
    <row r="5588" spans="6:7" x14ac:dyDescent="0.3">
      <c r="F5588" s="64">
        <v>5585</v>
      </c>
      <c r="G5588" s="64">
        <f t="shared" ca="1" si="126"/>
        <v>-8.233767869961061E-3</v>
      </c>
    </row>
    <row r="5589" spans="6:7" x14ac:dyDescent="0.3">
      <c r="F5589" s="64">
        <v>5586</v>
      </c>
      <c r="G5589" s="64">
        <f t="shared" ca="1" si="126"/>
        <v>4.2046935103659255E-3</v>
      </c>
    </row>
    <row r="5590" spans="6:7" x14ac:dyDescent="0.3">
      <c r="F5590" s="64">
        <v>5587</v>
      </c>
      <c r="G5590" s="64">
        <f t="shared" ca="1" si="126"/>
        <v>1.1013976545438611E-2</v>
      </c>
    </row>
    <row r="5591" spans="6:7" x14ac:dyDescent="0.3">
      <c r="F5591" s="64">
        <v>5588</v>
      </c>
      <c r="G5591" s="64">
        <f t="shared" ca="1" si="126"/>
        <v>7.0384604460728634E-4</v>
      </c>
    </row>
    <row r="5592" spans="6:7" x14ac:dyDescent="0.3">
      <c r="F5592" s="64">
        <v>5589</v>
      </c>
      <c r="G5592" s="64">
        <f t="shared" ca="1" si="126"/>
        <v>1.6411096616839968E-2</v>
      </c>
    </row>
    <row r="5593" spans="6:7" x14ac:dyDescent="0.3">
      <c r="F5593" s="64">
        <v>5590</v>
      </c>
      <c r="G5593" s="64">
        <f t="shared" ca="1" si="126"/>
        <v>-4.5660327701329195E-4</v>
      </c>
    </row>
    <row r="5594" spans="6:7" x14ac:dyDescent="0.3">
      <c r="F5594" s="64">
        <v>5591</v>
      </c>
      <c r="G5594" s="64">
        <f t="shared" ca="1" si="126"/>
        <v>-1.6836805833781034E-2</v>
      </c>
    </row>
    <row r="5595" spans="6:7" x14ac:dyDescent="0.3">
      <c r="F5595" s="64">
        <v>5592</v>
      </c>
      <c r="G5595" s="64">
        <f t="shared" ca="1" si="126"/>
        <v>-1.1519879099204962E-2</v>
      </c>
    </row>
    <row r="5596" spans="6:7" x14ac:dyDescent="0.3">
      <c r="F5596" s="64">
        <v>5593</v>
      </c>
      <c r="G5596" s="64">
        <f t="shared" ca="1" si="126"/>
        <v>9.3708847988325916E-3</v>
      </c>
    </row>
    <row r="5597" spans="6:7" x14ac:dyDescent="0.3">
      <c r="F5597" s="64">
        <v>5594</v>
      </c>
      <c r="G5597" s="64">
        <f t="shared" ca="1" si="126"/>
        <v>1.5184892893682835E-2</v>
      </c>
    </row>
    <row r="5598" spans="6:7" x14ac:dyDescent="0.3">
      <c r="F5598" s="64">
        <v>5595</v>
      </c>
      <c r="G5598" s="64">
        <f t="shared" ca="1" si="126"/>
        <v>-1.4409472870477795E-2</v>
      </c>
    </row>
    <row r="5599" spans="6:7" x14ac:dyDescent="0.3">
      <c r="F5599" s="64">
        <v>5596</v>
      </c>
      <c r="G5599" s="64">
        <f t="shared" ca="1" si="126"/>
        <v>-1.1359684101584517E-2</v>
      </c>
    </row>
    <row r="5600" spans="6:7" x14ac:dyDescent="0.3">
      <c r="F5600" s="64">
        <v>5597</v>
      </c>
      <c r="G5600" s="64">
        <f t="shared" ca="1" si="126"/>
        <v>-1.7677886467312033E-2</v>
      </c>
    </row>
    <row r="5601" spans="6:7" x14ac:dyDescent="0.3">
      <c r="F5601" s="64">
        <v>5598</v>
      </c>
      <c r="G5601" s="64">
        <f t="shared" ca="1" si="126"/>
        <v>2.1045100260355776E-2</v>
      </c>
    </row>
    <row r="5602" spans="6:7" x14ac:dyDescent="0.3">
      <c r="F5602" s="64">
        <v>5599</v>
      </c>
      <c r="G5602" s="64">
        <f t="shared" ca="1" si="126"/>
        <v>1.1281491354372748E-2</v>
      </c>
    </row>
    <row r="5603" spans="6:7" x14ac:dyDescent="0.3">
      <c r="F5603" s="64">
        <v>5600</v>
      </c>
      <c r="G5603" s="64">
        <f t="shared" ca="1" si="126"/>
        <v>-6.8972763580212731E-3</v>
      </c>
    </row>
    <row r="5604" spans="6:7" x14ac:dyDescent="0.3">
      <c r="F5604" s="64">
        <v>5601</v>
      </c>
      <c r="G5604" s="64">
        <f t="shared" ca="1" si="126"/>
        <v>1.1562205719644177E-2</v>
      </c>
    </row>
    <row r="5605" spans="6:7" x14ac:dyDescent="0.3">
      <c r="F5605" s="64">
        <v>5602</v>
      </c>
      <c r="G5605" s="64">
        <f t="shared" ca="1" si="126"/>
        <v>-5.6731263170362499E-2</v>
      </c>
    </row>
    <row r="5606" spans="6:7" x14ac:dyDescent="0.3">
      <c r="F5606" s="64">
        <v>5603</v>
      </c>
      <c r="G5606" s="64">
        <f t="shared" ca="1" si="126"/>
        <v>1.0798757046568368E-2</v>
      </c>
    </row>
    <row r="5607" spans="6:7" x14ac:dyDescent="0.3">
      <c r="F5607" s="64">
        <v>5604</v>
      </c>
      <c r="G5607" s="64">
        <f t="shared" ca="1" si="126"/>
        <v>1.3460267884527808E-2</v>
      </c>
    </row>
    <row r="5608" spans="6:7" x14ac:dyDescent="0.3">
      <c r="F5608" s="64">
        <v>5605</v>
      </c>
      <c r="G5608" s="64">
        <f t="shared" ca="1" si="126"/>
        <v>-2.2732240679066415E-2</v>
      </c>
    </row>
    <row r="5609" spans="6:7" x14ac:dyDescent="0.3">
      <c r="F5609" s="64">
        <v>5606</v>
      </c>
      <c r="G5609" s="64">
        <f t="shared" ca="1" si="126"/>
        <v>-1.7933411582258765E-2</v>
      </c>
    </row>
    <row r="5610" spans="6:7" x14ac:dyDescent="0.3">
      <c r="F5610" s="64">
        <v>5607</v>
      </c>
      <c r="G5610" s="64">
        <f t="shared" ca="1" si="126"/>
        <v>-6.3343442655607613E-3</v>
      </c>
    </row>
    <row r="5611" spans="6:7" x14ac:dyDescent="0.3">
      <c r="F5611" s="64">
        <v>5608</v>
      </c>
      <c r="G5611" s="64">
        <f t="shared" ca="1" si="126"/>
        <v>1.8448812202728052E-2</v>
      </c>
    </row>
    <row r="5612" spans="6:7" x14ac:dyDescent="0.3">
      <c r="F5612" s="64">
        <v>5609</v>
      </c>
      <c r="G5612" s="64">
        <f t="shared" ca="1" si="126"/>
        <v>4.7312641457877332E-3</v>
      </c>
    </row>
    <row r="5613" spans="6:7" x14ac:dyDescent="0.3">
      <c r="F5613" s="64">
        <v>5610</v>
      </c>
      <c r="G5613" s="64">
        <f t="shared" ca="1" si="126"/>
        <v>-3.6837175484603461E-2</v>
      </c>
    </row>
    <row r="5614" spans="6:7" x14ac:dyDescent="0.3">
      <c r="F5614" s="64">
        <v>5611</v>
      </c>
      <c r="G5614" s="64">
        <f t="shared" ca="1" si="126"/>
        <v>-3.0475676024502019E-3</v>
      </c>
    </row>
    <row r="5615" spans="6:7" x14ac:dyDescent="0.3">
      <c r="F5615" s="64">
        <v>5612</v>
      </c>
      <c r="G5615" s="64">
        <f t="shared" ca="1" si="126"/>
        <v>-4.4434029787301351E-3</v>
      </c>
    </row>
    <row r="5616" spans="6:7" x14ac:dyDescent="0.3">
      <c r="F5616" s="64">
        <v>5613</v>
      </c>
      <c r="G5616" s="64">
        <f t="shared" ca="1" si="126"/>
        <v>2.0899203373321927E-2</v>
      </c>
    </row>
    <row r="5617" spans="6:7" x14ac:dyDescent="0.3">
      <c r="F5617" s="64">
        <v>5614</v>
      </c>
      <c r="G5617" s="64">
        <f t="shared" ca="1" si="126"/>
        <v>-1.9586967550140534E-2</v>
      </c>
    </row>
    <row r="5618" spans="6:7" x14ac:dyDescent="0.3">
      <c r="F5618" s="64">
        <v>5615</v>
      </c>
      <c r="G5618" s="64">
        <f t="shared" ca="1" si="126"/>
        <v>2.9399809199408718E-2</v>
      </c>
    </row>
    <row r="5619" spans="6:7" x14ac:dyDescent="0.3">
      <c r="F5619" s="64">
        <v>5616</v>
      </c>
      <c r="G5619" s="64">
        <f t="shared" ca="1" si="126"/>
        <v>3.5364954288344226E-3</v>
      </c>
    </row>
    <row r="5620" spans="6:7" x14ac:dyDescent="0.3">
      <c r="F5620" s="64">
        <v>5617</v>
      </c>
      <c r="G5620" s="64">
        <f t="shared" ca="1" si="126"/>
        <v>-1.0576100301060773E-2</v>
      </c>
    </row>
    <row r="5621" spans="6:7" x14ac:dyDescent="0.3">
      <c r="F5621" s="64">
        <v>5618</v>
      </c>
      <c r="G5621" s="64">
        <f t="shared" ca="1" si="126"/>
        <v>2.1911348934944799E-2</v>
      </c>
    </row>
    <row r="5622" spans="6:7" x14ac:dyDescent="0.3">
      <c r="F5622" s="64">
        <v>5619</v>
      </c>
      <c r="G5622" s="64">
        <f t="shared" ca="1" si="126"/>
        <v>6.8334165944894353E-3</v>
      </c>
    </row>
    <row r="5623" spans="6:7" x14ac:dyDescent="0.3">
      <c r="F5623" s="64">
        <v>5620</v>
      </c>
      <c r="G5623" s="64">
        <f t="shared" ca="1" si="126"/>
        <v>2.3693124822130672E-2</v>
      </c>
    </row>
    <row r="5624" spans="6:7" x14ac:dyDescent="0.3">
      <c r="F5624" s="64">
        <v>5621</v>
      </c>
      <c r="G5624" s="64">
        <f t="shared" ca="1" si="126"/>
        <v>-2.379892180912168E-2</v>
      </c>
    </row>
    <row r="5625" spans="6:7" x14ac:dyDescent="0.3">
      <c r="F5625" s="64">
        <v>5622</v>
      </c>
      <c r="G5625" s="64">
        <f t="shared" ca="1" si="126"/>
        <v>3.6670964375891922E-2</v>
      </c>
    </row>
    <row r="5626" spans="6:7" x14ac:dyDescent="0.3">
      <c r="F5626" s="64">
        <v>5623</v>
      </c>
      <c r="G5626" s="64">
        <f t="shared" ca="1" si="126"/>
        <v>6.979045676491478E-3</v>
      </c>
    </row>
    <row r="5627" spans="6:7" x14ac:dyDescent="0.3">
      <c r="F5627" s="64">
        <v>5624</v>
      </c>
      <c r="G5627" s="64">
        <f t="shared" ca="1" si="126"/>
        <v>1.4720855940622019E-2</v>
      </c>
    </row>
    <row r="5628" spans="6:7" x14ac:dyDescent="0.3">
      <c r="F5628" s="64">
        <v>5625</v>
      </c>
      <c r="G5628" s="64">
        <f t="shared" ca="1" si="126"/>
        <v>-1.1163298020025466E-2</v>
      </c>
    </row>
    <row r="5629" spans="6:7" x14ac:dyDescent="0.3">
      <c r="F5629" s="64">
        <v>5626</v>
      </c>
      <c r="G5629" s="64">
        <f t="shared" ca="1" si="126"/>
        <v>-2.5153180142478073E-3</v>
      </c>
    </row>
    <row r="5630" spans="6:7" x14ac:dyDescent="0.3">
      <c r="F5630" s="64">
        <v>5627</v>
      </c>
      <c r="G5630" s="64">
        <f t="shared" ca="1" si="126"/>
        <v>1.6781092900700754E-2</v>
      </c>
    </row>
    <row r="5631" spans="6:7" x14ac:dyDescent="0.3">
      <c r="F5631" s="64">
        <v>5628</v>
      </c>
      <c r="G5631" s="64">
        <f t="shared" ca="1" si="126"/>
        <v>1.537110125580674E-2</v>
      </c>
    </row>
    <row r="5632" spans="6:7" x14ac:dyDescent="0.3">
      <c r="F5632" s="64">
        <v>5629</v>
      </c>
      <c r="G5632" s="64">
        <f t="shared" ca="1" si="126"/>
        <v>-1.9564952227656626E-3</v>
      </c>
    </row>
    <row r="5633" spans="6:7" x14ac:dyDescent="0.3">
      <c r="F5633" s="64">
        <v>5630</v>
      </c>
      <c r="G5633" s="64">
        <f t="shared" ca="1" si="126"/>
        <v>-9.4123416793991683E-3</v>
      </c>
    </row>
    <row r="5634" spans="6:7" x14ac:dyDescent="0.3">
      <c r="F5634" s="64">
        <v>5631</v>
      </c>
      <c r="G5634" s="64">
        <f t="shared" ca="1" si="126"/>
        <v>1.7881411616870568E-2</v>
      </c>
    </row>
    <row r="5635" spans="6:7" x14ac:dyDescent="0.3">
      <c r="F5635" s="64">
        <v>5632</v>
      </c>
      <c r="G5635" s="64">
        <f t="shared" ca="1" si="126"/>
        <v>-3.4224096790104595E-2</v>
      </c>
    </row>
    <row r="5636" spans="6:7" x14ac:dyDescent="0.3">
      <c r="F5636" s="64">
        <v>5633</v>
      </c>
      <c r="G5636" s="64">
        <f t="shared" ca="1" si="126"/>
        <v>1.0224167510520502E-2</v>
      </c>
    </row>
    <row r="5637" spans="6:7" x14ac:dyDescent="0.3">
      <c r="F5637" s="64">
        <v>5634</v>
      </c>
      <c r="G5637" s="64">
        <f t="shared" ref="G5637:G5700" ca="1" si="127">_xlfn.NORM.INV(RAND(),K$6,K$7)</f>
        <v>1.2337074652687416E-2</v>
      </c>
    </row>
    <row r="5638" spans="6:7" x14ac:dyDescent="0.3">
      <c r="F5638" s="64">
        <v>5635</v>
      </c>
      <c r="G5638" s="64">
        <f t="shared" ca="1" si="127"/>
        <v>-3.014291500513115E-3</v>
      </c>
    </row>
    <row r="5639" spans="6:7" x14ac:dyDescent="0.3">
      <c r="F5639" s="64">
        <v>5636</v>
      </c>
      <c r="G5639" s="64">
        <f t="shared" ca="1" si="127"/>
        <v>3.622101185939434E-3</v>
      </c>
    </row>
    <row r="5640" spans="6:7" x14ac:dyDescent="0.3">
      <c r="F5640" s="64">
        <v>5637</v>
      </c>
      <c r="G5640" s="64">
        <f t="shared" ca="1" si="127"/>
        <v>9.6414559118217433E-3</v>
      </c>
    </row>
    <row r="5641" spans="6:7" x14ac:dyDescent="0.3">
      <c r="F5641" s="64">
        <v>5638</v>
      </c>
      <c r="G5641" s="64">
        <f t="shared" ca="1" si="127"/>
        <v>5.268395908457555E-2</v>
      </c>
    </row>
    <row r="5642" spans="6:7" x14ac:dyDescent="0.3">
      <c r="F5642" s="64">
        <v>5639</v>
      </c>
      <c r="G5642" s="64">
        <f t="shared" ca="1" si="127"/>
        <v>-2.9345258837501498E-2</v>
      </c>
    </row>
    <row r="5643" spans="6:7" x14ac:dyDescent="0.3">
      <c r="F5643" s="64">
        <v>5640</v>
      </c>
      <c r="G5643" s="64">
        <f t="shared" ca="1" si="127"/>
        <v>2.6637489580209868E-3</v>
      </c>
    </row>
    <row r="5644" spans="6:7" x14ac:dyDescent="0.3">
      <c r="F5644" s="64">
        <v>5641</v>
      </c>
      <c r="G5644" s="64">
        <f t="shared" ca="1" si="127"/>
        <v>-1.2306267398888263E-3</v>
      </c>
    </row>
    <row r="5645" spans="6:7" x14ac:dyDescent="0.3">
      <c r="F5645" s="64">
        <v>5642</v>
      </c>
      <c r="G5645" s="64">
        <f t="shared" ca="1" si="127"/>
        <v>7.8941658452041825E-3</v>
      </c>
    </row>
    <row r="5646" spans="6:7" x14ac:dyDescent="0.3">
      <c r="F5646" s="64">
        <v>5643</v>
      </c>
      <c r="G5646" s="64">
        <f t="shared" ca="1" si="127"/>
        <v>1.6395768547303999E-2</v>
      </c>
    </row>
    <row r="5647" spans="6:7" x14ac:dyDescent="0.3">
      <c r="F5647" s="64">
        <v>5644</v>
      </c>
      <c r="G5647" s="64">
        <f t="shared" ca="1" si="127"/>
        <v>1.1598783592584453E-2</v>
      </c>
    </row>
    <row r="5648" spans="6:7" x14ac:dyDescent="0.3">
      <c r="F5648" s="64">
        <v>5645</v>
      </c>
      <c r="G5648" s="64">
        <f t="shared" ca="1" si="127"/>
        <v>4.1323978344182093E-3</v>
      </c>
    </row>
    <row r="5649" spans="6:7" x14ac:dyDescent="0.3">
      <c r="F5649" s="64">
        <v>5646</v>
      </c>
      <c r="G5649" s="64">
        <f t="shared" ca="1" si="127"/>
        <v>-9.2767110635105917E-4</v>
      </c>
    </row>
    <row r="5650" spans="6:7" x14ac:dyDescent="0.3">
      <c r="F5650" s="64">
        <v>5647</v>
      </c>
      <c r="G5650" s="64">
        <f t="shared" ca="1" si="127"/>
        <v>3.349472994427278E-3</v>
      </c>
    </row>
    <row r="5651" spans="6:7" x14ac:dyDescent="0.3">
      <c r="F5651" s="64">
        <v>5648</v>
      </c>
      <c r="G5651" s="64">
        <f t="shared" ca="1" si="127"/>
        <v>-2.1612865155381041E-3</v>
      </c>
    </row>
    <row r="5652" spans="6:7" x14ac:dyDescent="0.3">
      <c r="F5652" s="64">
        <v>5649</v>
      </c>
      <c r="G5652" s="64">
        <f t="shared" ca="1" si="127"/>
        <v>7.9573644147837887E-3</v>
      </c>
    </row>
    <row r="5653" spans="6:7" x14ac:dyDescent="0.3">
      <c r="F5653" s="64">
        <v>5650</v>
      </c>
      <c r="G5653" s="64">
        <f t="shared" ca="1" si="127"/>
        <v>-8.5218651726439512E-3</v>
      </c>
    </row>
    <row r="5654" spans="6:7" x14ac:dyDescent="0.3">
      <c r="F5654" s="64">
        <v>5651</v>
      </c>
      <c r="G5654" s="64">
        <f t="shared" ca="1" si="127"/>
        <v>-4.2956352438849876E-2</v>
      </c>
    </row>
    <row r="5655" spans="6:7" x14ac:dyDescent="0.3">
      <c r="F5655" s="64">
        <v>5652</v>
      </c>
      <c r="G5655" s="64">
        <f t="shared" ca="1" si="127"/>
        <v>-5.3538184389840321E-3</v>
      </c>
    </row>
    <row r="5656" spans="6:7" x14ac:dyDescent="0.3">
      <c r="F5656" s="64">
        <v>5653</v>
      </c>
      <c r="G5656" s="64">
        <f t="shared" ca="1" si="127"/>
        <v>1.3110834738407488E-2</v>
      </c>
    </row>
    <row r="5657" spans="6:7" x14ac:dyDescent="0.3">
      <c r="F5657" s="64">
        <v>5654</v>
      </c>
      <c r="G5657" s="64">
        <f t="shared" ca="1" si="127"/>
        <v>3.3707303709840206E-3</v>
      </c>
    </row>
    <row r="5658" spans="6:7" x14ac:dyDescent="0.3">
      <c r="F5658" s="64">
        <v>5655</v>
      </c>
      <c r="G5658" s="64">
        <f t="shared" ca="1" si="127"/>
        <v>-1.2880976860023818E-2</v>
      </c>
    </row>
    <row r="5659" spans="6:7" x14ac:dyDescent="0.3">
      <c r="F5659" s="64">
        <v>5656</v>
      </c>
      <c r="G5659" s="64">
        <f t="shared" ca="1" si="127"/>
        <v>1.8821511513713481E-2</v>
      </c>
    </row>
    <row r="5660" spans="6:7" x14ac:dyDescent="0.3">
      <c r="F5660" s="64">
        <v>5657</v>
      </c>
      <c r="G5660" s="64">
        <f t="shared" ca="1" si="127"/>
        <v>4.8749304952769731E-2</v>
      </c>
    </row>
    <row r="5661" spans="6:7" x14ac:dyDescent="0.3">
      <c r="F5661" s="64">
        <v>5658</v>
      </c>
      <c r="G5661" s="64">
        <f t="shared" ca="1" si="127"/>
        <v>1.1606517604587183E-2</v>
      </c>
    </row>
    <row r="5662" spans="6:7" x14ac:dyDescent="0.3">
      <c r="F5662" s="64">
        <v>5659</v>
      </c>
      <c r="G5662" s="64">
        <f t="shared" ca="1" si="127"/>
        <v>1.4429165615844584E-2</v>
      </c>
    </row>
    <row r="5663" spans="6:7" x14ac:dyDescent="0.3">
      <c r="F5663" s="64">
        <v>5660</v>
      </c>
      <c r="G5663" s="64">
        <f t="shared" ca="1" si="127"/>
        <v>1.0072784260116792E-2</v>
      </c>
    </row>
    <row r="5664" spans="6:7" x14ac:dyDescent="0.3">
      <c r="F5664" s="64">
        <v>5661</v>
      </c>
      <c r="G5664" s="64">
        <f t="shared" ca="1" si="127"/>
        <v>2.9705266504223844E-2</v>
      </c>
    </row>
    <row r="5665" spans="6:7" x14ac:dyDescent="0.3">
      <c r="F5665" s="64">
        <v>5662</v>
      </c>
      <c r="G5665" s="64">
        <f t="shared" ca="1" si="127"/>
        <v>-1.5003423767906707E-2</v>
      </c>
    </row>
    <row r="5666" spans="6:7" x14ac:dyDescent="0.3">
      <c r="F5666" s="64">
        <v>5663</v>
      </c>
      <c r="G5666" s="64">
        <f t="shared" ca="1" si="127"/>
        <v>-1.4854243698180768E-2</v>
      </c>
    </row>
    <row r="5667" spans="6:7" x14ac:dyDescent="0.3">
      <c r="F5667" s="64">
        <v>5664</v>
      </c>
      <c r="G5667" s="64">
        <f t="shared" ca="1" si="127"/>
        <v>1.4944432816221449E-2</v>
      </c>
    </row>
    <row r="5668" spans="6:7" x14ac:dyDescent="0.3">
      <c r="F5668" s="64">
        <v>5665</v>
      </c>
      <c r="G5668" s="64">
        <f t="shared" ca="1" si="127"/>
        <v>-1.4062154321888676E-2</v>
      </c>
    </row>
    <row r="5669" spans="6:7" x14ac:dyDescent="0.3">
      <c r="F5669" s="64">
        <v>5666</v>
      </c>
      <c r="G5669" s="64">
        <f t="shared" ca="1" si="127"/>
        <v>2.2054097939164741E-2</v>
      </c>
    </row>
    <row r="5670" spans="6:7" x14ac:dyDescent="0.3">
      <c r="F5670" s="64">
        <v>5667</v>
      </c>
      <c r="G5670" s="64">
        <f t="shared" ca="1" si="127"/>
        <v>7.6836175773127057E-3</v>
      </c>
    </row>
    <row r="5671" spans="6:7" x14ac:dyDescent="0.3">
      <c r="F5671" s="64">
        <v>5668</v>
      </c>
      <c r="G5671" s="64">
        <f t="shared" ca="1" si="127"/>
        <v>3.3748901881091475E-2</v>
      </c>
    </row>
    <row r="5672" spans="6:7" x14ac:dyDescent="0.3">
      <c r="F5672" s="64">
        <v>5669</v>
      </c>
      <c r="G5672" s="64">
        <f t="shared" ca="1" si="127"/>
        <v>2.32118715145763E-3</v>
      </c>
    </row>
    <row r="5673" spans="6:7" x14ac:dyDescent="0.3">
      <c r="F5673" s="64">
        <v>5670</v>
      </c>
      <c r="G5673" s="64">
        <f t="shared" ca="1" si="127"/>
        <v>-3.9620282659357268E-3</v>
      </c>
    </row>
    <row r="5674" spans="6:7" x14ac:dyDescent="0.3">
      <c r="F5674" s="64">
        <v>5671</v>
      </c>
      <c r="G5674" s="64">
        <f t="shared" ca="1" si="127"/>
        <v>7.382638147804787E-3</v>
      </c>
    </row>
    <row r="5675" spans="6:7" x14ac:dyDescent="0.3">
      <c r="F5675" s="64">
        <v>5672</v>
      </c>
      <c r="G5675" s="64">
        <f t="shared" ca="1" si="127"/>
        <v>-1.9547089633045051E-2</v>
      </c>
    </row>
    <row r="5676" spans="6:7" x14ac:dyDescent="0.3">
      <c r="F5676" s="64">
        <v>5673</v>
      </c>
      <c r="G5676" s="64">
        <f t="shared" ca="1" si="127"/>
        <v>-2.4795119832849037E-2</v>
      </c>
    </row>
    <row r="5677" spans="6:7" x14ac:dyDescent="0.3">
      <c r="F5677" s="64">
        <v>5674</v>
      </c>
      <c r="G5677" s="64">
        <f t="shared" ca="1" si="127"/>
        <v>4.5995020107184809E-3</v>
      </c>
    </row>
    <row r="5678" spans="6:7" x14ac:dyDescent="0.3">
      <c r="F5678" s="64">
        <v>5675</v>
      </c>
      <c r="G5678" s="64">
        <f t="shared" ca="1" si="127"/>
        <v>-1.0104672597093328E-2</v>
      </c>
    </row>
    <row r="5679" spans="6:7" x14ac:dyDescent="0.3">
      <c r="F5679" s="64">
        <v>5676</v>
      </c>
      <c r="G5679" s="64">
        <f t="shared" ca="1" si="127"/>
        <v>-4.5198387654600596E-2</v>
      </c>
    </row>
    <row r="5680" spans="6:7" x14ac:dyDescent="0.3">
      <c r="F5680" s="64">
        <v>5677</v>
      </c>
      <c r="G5680" s="64">
        <f t="shared" ca="1" si="127"/>
        <v>9.707134492721552E-3</v>
      </c>
    </row>
    <row r="5681" spans="6:7" x14ac:dyDescent="0.3">
      <c r="F5681" s="64">
        <v>5678</v>
      </c>
      <c r="G5681" s="64">
        <f t="shared" ca="1" si="127"/>
        <v>-2.1722886427900825E-3</v>
      </c>
    </row>
    <row r="5682" spans="6:7" x14ac:dyDescent="0.3">
      <c r="F5682" s="64">
        <v>5679</v>
      </c>
      <c r="G5682" s="64">
        <f t="shared" ca="1" si="127"/>
        <v>1.3338012082081473E-2</v>
      </c>
    </row>
    <row r="5683" spans="6:7" x14ac:dyDescent="0.3">
      <c r="F5683" s="64">
        <v>5680</v>
      </c>
      <c r="G5683" s="64">
        <f t="shared" ca="1" si="127"/>
        <v>-1.0303197640476471E-2</v>
      </c>
    </row>
    <row r="5684" spans="6:7" x14ac:dyDescent="0.3">
      <c r="F5684" s="64">
        <v>5681</v>
      </c>
      <c r="G5684" s="64">
        <f t="shared" ca="1" si="127"/>
        <v>-9.7588950823366671E-3</v>
      </c>
    </row>
    <row r="5685" spans="6:7" x14ac:dyDescent="0.3">
      <c r="F5685" s="64">
        <v>5682</v>
      </c>
      <c r="G5685" s="64">
        <f t="shared" ca="1" si="127"/>
        <v>2.6717643621987218E-2</v>
      </c>
    </row>
    <row r="5686" spans="6:7" x14ac:dyDescent="0.3">
      <c r="F5686" s="64">
        <v>5683</v>
      </c>
      <c r="G5686" s="64">
        <f t="shared" ca="1" si="127"/>
        <v>-8.3355218577069509E-3</v>
      </c>
    </row>
    <row r="5687" spans="6:7" x14ac:dyDescent="0.3">
      <c r="F5687" s="64">
        <v>5684</v>
      </c>
      <c r="G5687" s="64">
        <f t="shared" ca="1" si="127"/>
        <v>2.3173641617417412E-3</v>
      </c>
    </row>
    <row r="5688" spans="6:7" x14ac:dyDescent="0.3">
      <c r="F5688" s="64">
        <v>5685</v>
      </c>
      <c r="G5688" s="64">
        <f t="shared" ca="1" si="127"/>
        <v>-9.1190422146123096E-3</v>
      </c>
    </row>
    <row r="5689" spans="6:7" x14ac:dyDescent="0.3">
      <c r="F5689" s="64">
        <v>5686</v>
      </c>
      <c r="G5689" s="64">
        <f t="shared" ca="1" si="127"/>
        <v>-3.7636367013740929E-2</v>
      </c>
    </row>
    <row r="5690" spans="6:7" x14ac:dyDescent="0.3">
      <c r="F5690" s="64">
        <v>5687</v>
      </c>
      <c r="G5690" s="64">
        <f t="shared" ca="1" si="127"/>
        <v>1.2299815713407231E-2</v>
      </c>
    </row>
    <row r="5691" spans="6:7" x14ac:dyDescent="0.3">
      <c r="F5691" s="64">
        <v>5688</v>
      </c>
      <c r="G5691" s="64">
        <f t="shared" ca="1" si="127"/>
        <v>-2.7068828958893211E-2</v>
      </c>
    </row>
    <row r="5692" spans="6:7" x14ac:dyDescent="0.3">
      <c r="F5692" s="64">
        <v>5689</v>
      </c>
      <c r="G5692" s="64">
        <f t="shared" ca="1" si="127"/>
        <v>-1.5763206646735299E-2</v>
      </c>
    </row>
    <row r="5693" spans="6:7" x14ac:dyDescent="0.3">
      <c r="F5693" s="64">
        <v>5690</v>
      </c>
      <c r="G5693" s="64">
        <f t="shared" ca="1" si="127"/>
        <v>-1.5337107763802543E-2</v>
      </c>
    </row>
    <row r="5694" spans="6:7" x14ac:dyDescent="0.3">
      <c r="F5694" s="64">
        <v>5691</v>
      </c>
      <c r="G5694" s="64">
        <f t="shared" ca="1" si="127"/>
        <v>-9.7430240213039355E-3</v>
      </c>
    </row>
    <row r="5695" spans="6:7" x14ac:dyDescent="0.3">
      <c r="F5695" s="64">
        <v>5692</v>
      </c>
      <c r="G5695" s="64">
        <f t="shared" ca="1" si="127"/>
        <v>-1.1844327717426967E-2</v>
      </c>
    </row>
    <row r="5696" spans="6:7" x14ac:dyDescent="0.3">
      <c r="F5696" s="64">
        <v>5693</v>
      </c>
      <c r="G5696" s="64">
        <f t="shared" ca="1" si="127"/>
        <v>3.4215870042656187E-2</v>
      </c>
    </row>
    <row r="5697" spans="6:7" x14ac:dyDescent="0.3">
      <c r="F5697" s="64">
        <v>5694</v>
      </c>
      <c r="G5697" s="64">
        <f t="shared" ca="1" si="127"/>
        <v>5.1042953186086195E-3</v>
      </c>
    </row>
    <row r="5698" spans="6:7" x14ac:dyDescent="0.3">
      <c r="F5698" s="64">
        <v>5695</v>
      </c>
      <c r="G5698" s="64">
        <f t="shared" ca="1" si="127"/>
        <v>1.1788222784781014E-2</v>
      </c>
    </row>
    <row r="5699" spans="6:7" x14ac:dyDescent="0.3">
      <c r="F5699" s="64">
        <v>5696</v>
      </c>
      <c r="G5699" s="64">
        <f t="shared" ca="1" si="127"/>
        <v>-4.8628052178209817E-4</v>
      </c>
    </row>
    <row r="5700" spans="6:7" x14ac:dyDescent="0.3">
      <c r="F5700" s="64">
        <v>5697</v>
      </c>
      <c r="G5700" s="64">
        <f t="shared" ca="1" si="127"/>
        <v>-3.7313622438147256E-3</v>
      </c>
    </row>
    <row r="5701" spans="6:7" x14ac:dyDescent="0.3">
      <c r="F5701" s="64">
        <v>5698</v>
      </c>
      <c r="G5701" s="64">
        <f t="shared" ref="G5701:G5764" ca="1" si="128">_xlfn.NORM.INV(RAND(),K$6,K$7)</f>
        <v>-6.0825554631178539E-3</v>
      </c>
    </row>
    <row r="5702" spans="6:7" x14ac:dyDescent="0.3">
      <c r="F5702" s="64">
        <v>5699</v>
      </c>
      <c r="G5702" s="64">
        <f t="shared" ca="1" si="128"/>
        <v>1.8198037447007737E-3</v>
      </c>
    </row>
    <row r="5703" spans="6:7" x14ac:dyDescent="0.3">
      <c r="F5703" s="64">
        <v>5700</v>
      </c>
      <c r="G5703" s="64">
        <f t="shared" ca="1" si="128"/>
        <v>1.3634780232228685E-3</v>
      </c>
    </row>
    <row r="5704" spans="6:7" x14ac:dyDescent="0.3">
      <c r="F5704" s="64">
        <v>5701</v>
      </c>
      <c r="G5704" s="64">
        <f t="shared" ca="1" si="128"/>
        <v>-2.1603960038884991E-2</v>
      </c>
    </row>
    <row r="5705" spans="6:7" x14ac:dyDescent="0.3">
      <c r="F5705" s="64">
        <v>5702</v>
      </c>
      <c r="G5705" s="64">
        <f t="shared" ca="1" si="128"/>
        <v>-5.7952356115803239E-3</v>
      </c>
    </row>
    <row r="5706" spans="6:7" x14ac:dyDescent="0.3">
      <c r="F5706" s="64">
        <v>5703</v>
      </c>
      <c r="G5706" s="64">
        <f t="shared" ca="1" si="128"/>
        <v>2.3960768140609774E-2</v>
      </c>
    </row>
    <row r="5707" spans="6:7" x14ac:dyDescent="0.3">
      <c r="F5707" s="64">
        <v>5704</v>
      </c>
      <c r="G5707" s="64">
        <f t="shared" ca="1" si="128"/>
        <v>-3.5193153186198348E-3</v>
      </c>
    </row>
    <row r="5708" spans="6:7" x14ac:dyDescent="0.3">
      <c r="F5708" s="64">
        <v>5705</v>
      </c>
      <c r="G5708" s="64">
        <f t="shared" ca="1" si="128"/>
        <v>1.3128482048981722E-2</v>
      </c>
    </row>
    <row r="5709" spans="6:7" x14ac:dyDescent="0.3">
      <c r="F5709" s="64">
        <v>5706</v>
      </c>
      <c r="G5709" s="64">
        <f t="shared" ca="1" si="128"/>
        <v>-4.3870798466825109E-3</v>
      </c>
    </row>
    <row r="5710" spans="6:7" x14ac:dyDescent="0.3">
      <c r="F5710" s="64">
        <v>5707</v>
      </c>
      <c r="G5710" s="64">
        <f t="shared" ca="1" si="128"/>
        <v>-1.4124140086359541E-2</v>
      </c>
    </row>
    <row r="5711" spans="6:7" x14ac:dyDescent="0.3">
      <c r="F5711" s="64">
        <v>5708</v>
      </c>
      <c r="G5711" s="64">
        <f t="shared" ca="1" si="128"/>
        <v>-2.5373817158447651E-2</v>
      </c>
    </row>
    <row r="5712" spans="6:7" x14ac:dyDescent="0.3">
      <c r="F5712" s="64">
        <v>5709</v>
      </c>
      <c r="G5712" s="64">
        <f t="shared" ca="1" si="128"/>
        <v>1.3798102300853319E-2</v>
      </c>
    </row>
    <row r="5713" spans="6:7" x14ac:dyDescent="0.3">
      <c r="F5713" s="64">
        <v>5710</v>
      </c>
      <c r="G5713" s="64">
        <f t="shared" ca="1" si="128"/>
        <v>2.0068019967273511E-2</v>
      </c>
    </row>
    <row r="5714" spans="6:7" x14ac:dyDescent="0.3">
      <c r="F5714" s="64">
        <v>5711</v>
      </c>
      <c r="G5714" s="64">
        <f t="shared" ca="1" si="128"/>
        <v>1.0738617407605799E-2</v>
      </c>
    </row>
    <row r="5715" spans="6:7" x14ac:dyDescent="0.3">
      <c r="F5715" s="64">
        <v>5712</v>
      </c>
      <c r="G5715" s="64">
        <f t="shared" ca="1" si="128"/>
        <v>3.2446917921596423E-2</v>
      </c>
    </row>
    <row r="5716" spans="6:7" x14ac:dyDescent="0.3">
      <c r="F5716" s="64">
        <v>5713</v>
      </c>
      <c r="G5716" s="64">
        <f t="shared" ca="1" si="128"/>
        <v>-1.6094561982340022E-2</v>
      </c>
    </row>
    <row r="5717" spans="6:7" x14ac:dyDescent="0.3">
      <c r="F5717" s="64">
        <v>5714</v>
      </c>
      <c r="G5717" s="64">
        <f t="shared" ca="1" si="128"/>
        <v>-1.0610293113385067E-2</v>
      </c>
    </row>
    <row r="5718" spans="6:7" x14ac:dyDescent="0.3">
      <c r="F5718" s="64">
        <v>5715</v>
      </c>
      <c r="G5718" s="64">
        <f t="shared" ca="1" si="128"/>
        <v>2.0575393712234817E-2</v>
      </c>
    </row>
    <row r="5719" spans="6:7" x14ac:dyDescent="0.3">
      <c r="F5719" s="64">
        <v>5716</v>
      </c>
      <c r="G5719" s="64">
        <f t="shared" ca="1" si="128"/>
        <v>-3.1125085562166664E-2</v>
      </c>
    </row>
    <row r="5720" spans="6:7" x14ac:dyDescent="0.3">
      <c r="F5720" s="64">
        <v>5717</v>
      </c>
      <c r="G5720" s="64">
        <f t="shared" ca="1" si="128"/>
        <v>-1.8668293047743368E-4</v>
      </c>
    </row>
    <row r="5721" spans="6:7" x14ac:dyDescent="0.3">
      <c r="F5721" s="64">
        <v>5718</v>
      </c>
      <c r="G5721" s="64">
        <f t="shared" ca="1" si="128"/>
        <v>2.4444194382215914E-2</v>
      </c>
    </row>
    <row r="5722" spans="6:7" x14ac:dyDescent="0.3">
      <c r="F5722" s="64">
        <v>5719</v>
      </c>
      <c r="G5722" s="64">
        <f t="shared" ca="1" si="128"/>
        <v>-3.3223315009404822E-3</v>
      </c>
    </row>
    <row r="5723" spans="6:7" x14ac:dyDescent="0.3">
      <c r="F5723" s="64">
        <v>5720</v>
      </c>
      <c r="G5723" s="64">
        <f t="shared" ca="1" si="128"/>
        <v>-2.8616898934726694E-2</v>
      </c>
    </row>
    <row r="5724" spans="6:7" x14ac:dyDescent="0.3">
      <c r="F5724" s="64">
        <v>5721</v>
      </c>
      <c r="G5724" s="64">
        <f t="shared" ca="1" si="128"/>
        <v>-2.6260552194544026E-2</v>
      </c>
    </row>
    <row r="5725" spans="6:7" x14ac:dyDescent="0.3">
      <c r="F5725" s="64">
        <v>5722</v>
      </c>
      <c r="G5725" s="64">
        <f t="shared" ca="1" si="128"/>
        <v>-1.1174863063120925E-2</v>
      </c>
    </row>
    <row r="5726" spans="6:7" x14ac:dyDescent="0.3">
      <c r="F5726" s="64">
        <v>5723</v>
      </c>
      <c r="G5726" s="64">
        <f t="shared" ca="1" si="128"/>
        <v>2.3108366934048358E-2</v>
      </c>
    </row>
    <row r="5727" spans="6:7" x14ac:dyDescent="0.3">
      <c r="F5727" s="64">
        <v>5724</v>
      </c>
      <c r="G5727" s="64">
        <f t="shared" ca="1" si="128"/>
        <v>3.1892493122429311E-2</v>
      </c>
    </row>
    <row r="5728" spans="6:7" x14ac:dyDescent="0.3">
      <c r="F5728" s="64">
        <v>5725</v>
      </c>
      <c r="G5728" s="64">
        <f t="shared" ca="1" si="128"/>
        <v>-4.258159880301414E-2</v>
      </c>
    </row>
    <row r="5729" spans="6:7" x14ac:dyDescent="0.3">
      <c r="F5729" s="64">
        <v>5726</v>
      </c>
      <c r="G5729" s="64">
        <f t="shared" ca="1" si="128"/>
        <v>1.6545074415418078E-2</v>
      </c>
    </row>
    <row r="5730" spans="6:7" x14ac:dyDescent="0.3">
      <c r="F5730" s="64">
        <v>5727</v>
      </c>
      <c r="G5730" s="64">
        <f t="shared" ca="1" si="128"/>
        <v>-1.9673858900773812E-2</v>
      </c>
    </row>
    <row r="5731" spans="6:7" x14ac:dyDescent="0.3">
      <c r="F5731" s="64">
        <v>5728</v>
      </c>
      <c r="G5731" s="64">
        <f t="shared" ca="1" si="128"/>
        <v>3.4274563661517349E-2</v>
      </c>
    </row>
    <row r="5732" spans="6:7" x14ac:dyDescent="0.3">
      <c r="F5732" s="64">
        <v>5729</v>
      </c>
      <c r="G5732" s="64">
        <f t="shared" ca="1" si="128"/>
        <v>-1.1932401914966627E-2</v>
      </c>
    </row>
    <row r="5733" spans="6:7" x14ac:dyDescent="0.3">
      <c r="F5733" s="64">
        <v>5730</v>
      </c>
      <c r="G5733" s="64">
        <f t="shared" ca="1" si="128"/>
        <v>4.7060736065169105E-2</v>
      </c>
    </row>
    <row r="5734" spans="6:7" x14ac:dyDescent="0.3">
      <c r="F5734" s="64">
        <v>5731</v>
      </c>
      <c r="G5734" s="64">
        <f t="shared" ca="1" si="128"/>
        <v>-2.3551864696718321E-2</v>
      </c>
    </row>
    <row r="5735" spans="6:7" x14ac:dyDescent="0.3">
      <c r="F5735" s="64">
        <v>5732</v>
      </c>
      <c r="G5735" s="64">
        <f t="shared" ca="1" si="128"/>
        <v>-3.5520907113088432E-2</v>
      </c>
    </row>
    <row r="5736" spans="6:7" x14ac:dyDescent="0.3">
      <c r="F5736" s="64">
        <v>5733</v>
      </c>
      <c r="G5736" s="64">
        <f t="shared" ca="1" si="128"/>
        <v>-2.3594060558851541E-2</v>
      </c>
    </row>
    <row r="5737" spans="6:7" x14ac:dyDescent="0.3">
      <c r="F5737" s="64">
        <v>5734</v>
      </c>
      <c r="G5737" s="64">
        <f t="shared" ca="1" si="128"/>
        <v>4.3635864149645556E-2</v>
      </c>
    </row>
    <row r="5738" spans="6:7" x14ac:dyDescent="0.3">
      <c r="F5738" s="64">
        <v>5735</v>
      </c>
      <c r="G5738" s="64">
        <f t="shared" ca="1" si="128"/>
        <v>-1.2134522888856093E-2</v>
      </c>
    </row>
    <row r="5739" spans="6:7" x14ac:dyDescent="0.3">
      <c r="F5739" s="64">
        <v>5736</v>
      </c>
      <c r="G5739" s="64">
        <f t="shared" ca="1" si="128"/>
        <v>3.1149144799913868E-2</v>
      </c>
    </row>
    <row r="5740" spans="6:7" x14ac:dyDescent="0.3">
      <c r="F5740" s="64">
        <v>5737</v>
      </c>
      <c r="G5740" s="64">
        <f t="shared" ca="1" si="128"/>
        <v>-2.3121350666244864E-2</v>
      </c>
    </row>
    <row r="5741" spans="6:7" x14ac:dyDescent="0.3">
      <c r="F5741" s="64">
        <v>5738</v>
      </c>
      <c r="G5741" s="64">
        <f t="shared" ca="1" si="128"/>
        <v>1.0072191191815865E-2</v>
      </c>
    </row>
    <row r="5742" spans="6:7" x14ac:dyDescent="0.3">
      <c r="F5742" s="64">
        <v>5739</v>
      </c>
      <c r="G5742" s="64">
        <f t="shared" ca="1" si="128"/>
        <v>-1.9491694942863222E-2</v>
      </c>
    </row>
    <row r="5743" spans="6:7" x14ac:dyDescent="0.3">
      <c r="F5743" s="64">
        <v>5740</v>
      </c>
      <c r="G5743" s="64">
        <f t="shared" ca="1" si="128"/>
        <v>-3.2031544084877905E-2</v>
      </c>
    </row>
    <row r="5744" spans="6:7" x14ac:dyDescent="0.3">
      <c r="F5744" s="64">
        <v>5741</v>
      </c>
      <c r="G5744" s="64">
        <f t="shared" ca="1" si="128"/>
        <v>-1.6476030796182199E-2</v>
      </c>
    </row>
    <row r="5745" spans="6:7" x14ac:dyDescent="0.3">
      <c r="F5745" s="64">
        <v>5742</v>
      </c>
      <c r="G5745" s="64">
        <f t="shared" ca="1" si="128"/>
        <v>3.0134347786309121E-3</v>
      </c>
    </row>
    <row r="5746" spans="6:7" x14ac:dyDescent="0.3">
      <c r="F5746" s="64">
        <v>5743</v>
      </c>
      <c r="G5746" s="64">
        <f t="shared" ca="1" si="128"/>
        <v>-3.2906725213754694E-3</v>
      </c>
    </row>
    <row r="5747" spans="6:7" x14ac:dyDescent="0.3">
      <c r="F5747" s="64">
        <v>5744</v>
      </c>
      <c r="G5747" s="64">
        <f t="shared" ca="1" si="128"/>
        <v>-1.8203434898358122E-2</v>
      </c>
    </row>
    <row r="5748" spans="6:7" x14ac:dyDescent="0.3">
      <c r="F5748" s="64">
        <v>5745</v>
      </c>
      <c r="G5748" s="64">
        <f t="shared" ca="1" si="128"/>
        <v>-8.0751685788768516E-3</v>
      </c>
    </row>
    <row r="5749" spans="6:7" x14ac:dyDescent="0.3">
      <c r="F5749" s="64">
        <v>5746</v>
      </c>
      <c r="G5749" s="64">
        <f t="shared" ca="1" si="128"/>
        <v>-1.4213851540472309E-2</v>
      </c>
    </row>
    <row r="5750" spans="6:7" x14ac:dyDescent="0.3">
      <c r="F5750" s="64">
        <v>5747</v>
      </c>
      <c r="G5750" s="64">
        <f t="shared" ca="1" si="128"/>
        <v>2.3171125062562588E-2</v>
      </c>
    </row>
    <row r="5751" spans="6:7" x14ac:dyDescent="0.3">
      <c r="F5751" s="64">
        <v>5748</v>
      </c>
      <c r="G5751" s="64">
        <f t="shared" ca="1" si="128"/>
        <v>-1.6667367197459475E-2</v>
      </c>
    </row>
    <row r="5752" spans="6:7" x14ac:dyDescent="0.3">
      <c r="F5752" s="64">
        <v>5749</v>
      </c>
      <c r="G5752" s="64">
        <f t="shared" ca="1" si="128"/>
        <v>2.3254430632818266E-4</v>
      </c>
    </row>
    <row r="5753" spans="6:7" x14ac:dyDescent="0.3">
      <c r="F5753" s="64">
        <v>5750</v>
      </c>
      <c r="G5753" s="64">
        <f t="shared" ca="1" si="128"/>
        <v>-2.8767468757352983E-2</v>
      </c>
    </row>
    <row r="5754" spans="6:7" x14ac:dyDescent="0.3">
      <c r="F5754" s="64">
        <v>5751</v>
      </c>
      <c r="G5754" s="64">
        <f t="shared" ca="1" si="128"/>
        <v>-1.9524339596960823E-2</v>
      </c>
    </row>
    <row r="5755" spans="6:7" x14ac:dyDescent="0.3">
      <c r="F5755" s="64">
        <v>5752</v>
      </c>
      <c r="G5755" s="64">
        <f t="shared" ca="1" si="128"/>
        <v>2.0642630644157389E-2</v>
      </c>
    </row>
    <row r="5756" spans="6:7" x14ac:dyDescent="0.3">
      <c r="F5756" s="64">
        <v>5753</v>
      </c>
      <c r="G5756" s="64">
        <f t="shared" ca="1" si="128"/>
        <v>1.5789081263625569E-2</v>
      </c>
    </row>
    <row r="5757" spans="6:7" x14ac:dyDescent="0.3">
      <c r="F5757" s="64">
        <v>5754</v>
      </c>
      <c r="G5757" s="64">
        <f t="shared" ca="1" si="128"/>
        <v>-8.6189937539009006E-4</v>
      </c>
    </row>
    <row r="5758" spans="6:7" x14ac:dyDescent="0.3">
      <c r="F5758" s="64">
        <v>5755</v>
      </c>
      <c r="G5758" s="64">
        <f t="shared" ca="1" si="128"/>
        <v>1.2155172083843705E-2</v>
      </c>
    </row>
    <row r="5759" spans="6:7" x14ac:dyDescent="0.3">
      <c r="F5759" s="64">
        <v>5756</v>
      </c>
      <c r="G5759" s="64">
        <f t="shared" ca="1" si="128"/>
        <v>1.2981675959900336E-3</v>
      </c>
    </row>
    <row r="5760" spans="6:7" x14ac:dyDescent="0.3">
      <c r="F5760" s="64">
        <v>5757</v>
      </c>
      <c r="G5760" s="64">
        <f t="shared" ca="1" si="128"/>
        <v>1.079171518437963E-2</v>
      </c>
    </row>
    <row r="5761" spans="6:7" x14ac:dyDescent="0.3">
      <c r="F5761" s="64">
        <v>5758</v>
      </c>
      <c r="G5761" s="64">
        <f t="shared" ca="1" si="128"/>
        <v>2.5976430304631391E-2</v>
      </c>
    </row>
    <row r="5762" spans="6:7" x14ac:dyDescent="0.3">
      <c r="F5762" s="64">
        <v>5759</v>
      </c>
      <c r="G5762" s="64">
        <f t="shared" ca="1" si="128"/>
        <v>1.476932372224472E-2</v>
      </c>
    </row>
    <row r="5763" spans="6:7" x14ac:dyDescent="0.3">
      <c r="F5763" s="64">
        <v>5760</v>
      </c>
      <c r="G5763" s="64">
        <f t="shared" ca="1" si="128"/>
        <v>-3.6701198894103643E-2</v>
      </c>
    </row>
    <row r="5764" spans="6:7" x14ac:dyDescent="0.3">
      <c r="F5764" s="64">
        <v>5761</v>
      </c>
      <c r="G5764" s="64">
        <f t="shared" ca="1" si="128"/>
        <v>3.8744839134284552E-2</v>
      </c>
    </row>
    <row r="5765" spans="6:7" x14ac:dyDescent="0.3">
      <c r="F5765" s="64">
        <v>5762</v>
      </c>
      <c r="G5765" s="64">
        <f t="shared" ref="G5765:G5828" ca="1" si="129">_xlfn.NORM.INV(RAND(),K$6,K$7)</f>
        <v>1.3405853039911705E-2</v>
      </c>
    </row>
    <row r="5766" spans="6:7" x14ac:dyDescent="0.3">
      <c r="F5766" s="64">
        <v>5763</v>
      </c>
      <c r="G5766" s="64">
        <f t="shared" ca="1" si="129"/>
        <v>2.6481302443874121E-3</v>
      </c>
    </row>
    <row r="5767" spans="6:7" x14ac:dyDescent="0.3">
      <c r="F5767" s="64">
        <v>5764</v>
      </c>
      <c r="G5767" s="64">
        <f t="shared" ca="1" si="129"/>
        <v>4.4227557126700283E-2</v>
      </c>
    </row>
    <row r="5768" spans="6:7" x14ac:dyDescent="0.3">
      <c r="F5768" s="64">
        <v>5765</v>
      </c>
      <c r="G5768" s="64">
        <f t="shared" ca="1" si="129"/>
        <v>2.0497474826322239E-3</v>
      </c>
    </row>
    <row r="5769" spans="6:7" x14ac:dyDescent="0.3">
      <c r="F5769" s="64">
        <v>5766</v>
      </c>
      <c r="G5769" s="64">
        <f t="shared" ca="1" si="129"/>
        <v>2.2318318101832615E-2</v>
      </c>
    </row>
    <row r="5770" spans="6:7" x14ac:dyDescent="0.3">
      <c r="F5770" s="64">
        <v>5767</v>
      </c>
      <c r="G5770" s="64">
        <f t="shared" ca="1" si="129"/>
        <v>8.1151080023385419E-3</v>
      </c>
    </row>
    <row r="5771" spans="6:7" x14ac:dyDescent="0.3">
      <c r="F5771" s="64">
        <v>5768</v>
      </c>
      <c r="G5771" s="64">
        <f t="shared" ca="1" si="129"/>
        <v>1.946938561956625E-3</v>
      </c>
    </row>
    <row r="5772" spans="6:7" x14ac:dyDescent="0.3">
      <c r="F5772" s="64">
        <v>5769</v>
      </c>
      <c r="G5772" s="64">
        <f t="shared" ca="1" si="129"/>
        <v>-1.2708148745778258E-2</v>
      </c>
    </row>
    <row r="5773" spans="6:7" x14ac:dyDescent="0.3">
      <c r="F5773" s="64">
        <v>5770</v>
      </c>
      <c r="G5773" s="64">
        <f t="shared" ca="1" si="129"/>
        <v>2.8872624608333049E-3</v>
      </c>
    </row>
    <row r="5774" spans="6:7" x14ac:dyDescent="0.3">
      <c r="F5774" s="64">
        <v>5771</v>
      </c>
      <c r="G5774" s="64">
        <f t="shared" ca="1" si="129"/>
        <v>2.2308610462225008E-2</v>
      </c>
    </row>
    <row r="5775" spans="6:7" x14ac:dyDescent="0.3">
      <c r="F5775" s="64">
        <v>5772</v>
      </c>
      <c r="G5775" s="64">
        <f t="shared" ca="1" si="129"/>
        <v>-2.9064548904080847E-2</v>
      </c>
    </row>
    <row r="5776" spans="6:7" x14ac:dyDescent="0.3">
      <c r="F5776" s="64">
        <v>5773</v>
      </c>
      <c r="G5776" s="64">
        <f t="shared" ca="1" si="129"/>
        <v>3.0188898008584313E-2</v>
      </c>
    </row>
    <row r="5777" spans="6:7" x14ac:dyDescent="0.3">
      <c r="F5777" s="64">
        <v>5774</v>
      </c>
      <c r="G5777" s="64">
        <f t="shared" ca="1" si="129"/>
        <v>5.7899153215393451E-3</v>
      </c>
    </row>
    <row r="5778" spans="6:7" x14ac:dyDescent="0.3">
      <c r="F5778" s="64">
        <v>5775</v>
      </c>
      <c r="G5778" s="64">
        <f t="shared" ca="1" si="129"/>
        <v>1.1752379449415894E-2</v>
      </c>
    </row>
    <row r="5779" spans="6:7" x14ac:dyDescent="0.3">
      <c r="F5779" s="64">
        <v>5776</v>
      </c>
      <c r="G5779" s="64">
        <f t="shared" ca="1" si="129"/>
        <v>-3.3708694205783953E-3</v>
      </c>
    </row>
    <row r="5780" spans="6:7" x14ac:dyDescent="0.3">
      <c r="F5780" s="64">
        <v>5777</v>
      </c>
      <c r="G5780" s="64">
        <f t="shared" ca="1" si="129"/>
        <v>2.8495541940891144E-3</v>
      </c>
    </row>
    <row r="5781" spans="6:7" x14ac:dyDescent="0.3">
      <c r="F5781" s="64">
        <v>5778</v>
      </c>
      <c r="G5781" s="64">
        <f t="shared" ca="1" si="129"/>
        <v>-2.6011880434466373E-4</v>
      </c>
    </row>
    <row r="5782" spans="6:7" x14ac:dyDescent="0.3">
      <c r="F5782" s="64">
        <v>5779</v>
      </c>
      <c r="G5782" s="64">
        <f t="shared" ca="1" si="129"/>
        <v>-5.9208588442089746E-3</v>
      </c>
    </row>
    <row r="5783" spans="6:7" x14ac:dyDescent="0.3">
      <c r="F5783" s="64">
        <v>5780</v>
      </c>
      <c r="G5783" s="64">
        <f t="shared" ca="1" si="129"/>
        <v>2.8000271325160059E-2</v>
      </c>
    </row>
    <row r="5784" spans="6:7" x14ac:dyDescent="0.3">
      <c r="F5784" s="64">
        <v>5781</v>
      </c>
      <c r="G5784" s="64">
        <f t="shared" ca="1" si="129"/>
        <v>-2.5742420895700065E-2</v>
      </c>
    </row>
    <row r="5785" spans="6:7" x14ac:dyDescent="0.3">
      <c r="F5785" s="64">
        <v>5782</v>
      </c>
      <c r="G5785" s="64">
        <f t="shared" ca="1" si="129"/>
        <v>2.0515707297681422E-2</v>
      </c>
    </row>
    <row r="5786" spans="6:7" x14ac:dyDescent="0.3">
      <c r="F5786" s="64">
        <v>5783</v>
      </c>
      <c r="G5786" s="64">
        <f t="shared" ca="1" si="129"/>
        <v>-3.0256239000379458E-2</v>
      </c>
    </row>
    <row r="5787" spans="6:7" x14ac:dyDescent="0.3">
      <c r="F5787" s="64">
        <v>5784</v>
      </c>
      <c r="G5787" s="64">
        <f t="shared" ca="1" si="129"/>
        <v>-2.0978883367150446E-2</v>
      </c>
    </row>
    <row r="5788" spans="6:7" x14ac:dyDescent="0.3">
      <c r="F5788" s="64">
        <v>5785</v>
      </c>
      <c r="G5788" s="64">
        <f t="shared" ca="1" si="129"/>
        <v>-2.5025468705495192E-2</v>
      </c>
    </row>
    <row r="5789" spans="6:7" x14ac:dyDescent="0.3">
      <c r="F5789" s="64">
        <v>5786</v>
      </c>
      <c r="G5789" s="64">
        <f t="shared" ca="1" si="129"/>
        <v>1.932181827974528E-2</v>
      </c>
    </row>
    <row r="5790" spans="6:7" x14ac:dyDescent="0.3">
      <c r="F5790" s="64">
        <v>5787</v>
      </c>
      <c r="G5790" s="64">
        <f t="shared" ca="1" si="129"/>
        <v>2.3853434588819653E-2</v>
      </c>
    </row>
    <row r="5791" spans="6:7" x14ac:dyDescent="0.3">
      <c r="F5791" s="64">
        <v>5788</v>
      </c>
      <c r="G5791" s="64">
        <f t="shared" ca="1" si="129"/>
        <v>-2.782046707036092E-2</v>
      </c>
    </row>
    <row r="5792" spans="6:7" x14ac:dyDescent="0.3">
      <c r="F5792" s="64">
        <v>5789</v>
      </c>
      <c r="G5792" s="64">
        <f t="shared" ca="1" si="129"/>
        <v>5.2002875689180213E-4</v>
      </c>
    </row>
    <row r="5793" spans="6:7" x14ac:dyDescent="0.3">
      <c r="F5793" s="64">
        <v>5790</v>
      </c>
      <c r="G5793" s="64">
        <f t="shared" ca="1" si="129"/>
        <v>1.7178846804742125E-2</v>
      </c>
    </row>
    <row r="5794" spans="6:7" x14ac:dyDescent="0.3">
      <c r="F5794" s="64">
        <v>5791</v>
      </c>
      <c r="G5794" s="64">
        <f t="shared" ca="1" si="129"/>
        <v>7.9802915979326652E-4</v>
      </c>
    </row>
    <row r="5795" spans="6:7" x14ac:dyDescent="0.3">
      <c r="F5795" s="64">
        <v>5792</v>
      </c>
      <c r="G5795" s="64">
        <f t="shared" ca="1" si="129"/>
        <v>4.5073639941255003E-2</v>
      </c>
    </row>
    <row r="5796" spans="6:7" x14ac:dyDescent="0.3">
      <c r="F5796" s="64">
        <v>5793</v>
      </c>
      <c r="G5796" s="64">
        <f t="shared" ca="1" si="129"/>
        <v>-1.9647657275698609E-2</v>
      </c>
    </row>
    <row r="5797" spans="6:7" x14ac:dyDescent="0.3">
      <c r="F5797" s="64">
        <v>5794</v>
      </c>
      <c r="G5797" s="64">
        <f t="shared" ca="1" si="129"/>
        <v>2.4904918417587012E-2</v>
      </c>
    </row>
    <row r="5798" spans="6:7" x14ac:dyDescent="0.3">
      <c r="F5798" s="64">
        <v>5795</v>
      </c>
      <c r="G5798" s="64">
        <f t="shared" ca="1" si="129"/>
        <v>-2.3717868555331333E-2</v>
      </c>
    </row>
    <row r="5799" spans="6:7" x14ac:dyDescent="0.3">
      <c r="F5799" s="64">
        <v>5796</v>
      </c>
      <c r="G5799" s="64">
        <f t="shared" ca="1" si="129"/>
        <v>3.5317627867410217E-2</v>
      </c>
    </row>
    <row r="5800" spans="6:7" x14ac:dyDescent="0.3">
      <c r="F5800" s="64">
        <v>5797</v>
      </c>
      <c r="G5800" s="64">
        <f t="shared" ca="1" si="129"/>
        <v>-5.5140327282186315E-3</v>
      </c>
    </row>
    <row r="5801" spans="6:7" x14ac:dyDescent="0.3">
      <c r="F5801" s="64">
        <v>5798</v>
      </c>
      <c r="G5801" s="64">
        <f t="shared" ca="1" si="129"/>
        <v>-3.0340596197492381E-2</v>
      </c>
    </row>
    <row r="5802" spans="6:7" x14ac:dyDescent="0.3">
      <c r="F5802" s="64">
        <v>5799</v>
      </c>
      <c r="G5802" s="64">
        <f t="shared" ca="1" si="129"/>
        <v>6.579604247460593E-3</v>
      </c>
    </row>
    <row r="5803" spans="6:7" x14ac:dyDescent="0.3">
      <c r="F5803" s="64">
        <v>5800</v>
      </c>
      <c r="G5803" s="64">
        <f t="shared" ca="1" si="129"/>
        <v>-2.0995091495412629E-3</v>
      </c>
    </row>
    <row r="5804" spans="6:7" x14ac:dyDescent="0.3">
      <c r="F5804" s="64">
        <v>5801</v>
      </c>
      <c r="G5804" s="64">
        <f t="shared" ca="1" si="129"/>
        <v>2.4107090877906232E-2</v>
      </c>
    </row>
    <row r="5805" spans="6:7" x14ac:dyDescent="0.3">
      <c r="F5805" s="64">
        <v>5802</v>
      </c>
      <c r="G5805" s="64">
        <f t="shared" ca="1" si="129"/>
        <v>-5.783608675149733E-3</v>
      </c>
    </row>
    <row r="5806" spans="6:7" x14ac:dyDescent="0.3">
      <c r="F5806" s="64">
        <v>5803</v>
      </c>
      <c r="G5806" s="64">
        <f t="shared" ca="1" si="129"/>
        <v>-5.3682119665594721E-4</v>
      </c>
    </row>
    <row r="5807" spans="6:7" x14ac:dyDescent="0.3">
      <c r="F5807" s="64">
        <v>5804</v>
      </c>
      <c r="G5807" s="64">
        <f t="shared" ca="1" si="129"/>
        <v>1.4537055254620391E-4</v>
      </c>
    </row>
    <row r="5808" spans="6:7" x14ac:dyDescent="0.3">
      <c r="F5808" s="64">
        <v>5805</v>
      </c>
      <c r="G5808" s="64">
        <f t="shared" ca="1" si="129"/>
        <v>-9.4277461677724182E-3</v>
      </c>
    </row>
    <row r="5809" spans="6:7" x14ac:dyDescent="0.3">
      <c r="F5809" s="64">
        <v>5806</v>
      </c>
      <c r="G5809" s="64">
        <f t="shared" ca="1" si="129"/>
        <v>7.6659936005075121E-3</v>
      </c>
    </row>
    <row r="5810" spans="6:7" x14ac:dyDescent="0.3">
      <c r="F5810" s="64">
        <v>5807</v>
      </c>
      <c r="G5810" s="64">
        <f t="shared" ca="1" si="129"/>
        <v>-1.024245486958178E-2</v>
      </c>
    </row>
    <row r="5811" spans="6:7" x14ac:dyDescent="0.3">
      <c r="F5811" s="64">
        <v>5808</v>
      </c>
      <c r="G5811" s="64">
        <f t="shared" ca="1" si="129"/>
        <v>-2.8208777979388199E-3</v>
      </c>
    </row>
    <row r="5812" spans="6:7" x14ac:dyDescent="0.3">
      <c r="F5812" s="64">
        <v>5809</v>
      </c>
      <c r="G5812" s="64">
        <f t="shared" ca="1" si="129"/>
        <v>-3.3354700865453508E-2</v>
      </c>
    </row>
    <row r="5813" spans="6:7" x14ac:dyDescent="0.3">
      <c r="F5813" s="64">
        <v>5810</v>
      </c>
      <c r="G5813" s="64">
        <f t="shared" ca="1" si="129"/>
        <v>-3.2266744768391822E-2</v>
      </c>
    </row>
    <row r="5814" spans="6:7" x14ac:dyDescent="0.3">
      <c r="F5814" s="64">
        <v>5811</v>
      </c>
      <c r="G5814" s="64">
        <f t="shared" ca="1" si="129"/>
        <v>-3.5954445452696618E-2</v>
      </c>
    </row>
    <row r="5815" spans="6:7" x14ac:dyDescent="0.3">
      <c r="F5815" s="64">
        <v>5812</v>
      </c>
      <c r="G5815" s="64">
        <f t="shared" ca="1" si="129"/>
        <v>3.0527265235435331E-3</v>
      </c>
    </row>
    <row r="5816" spans="6:7" x14ac:dyDescent="0.3">
      <c r="F5816" s="64">
        <v>5813</v>
      </c>
      <c r="G5816" s="64">
        <f t="shared" ca="1" si="129"/>
        <v>2.11045240101283E-2</v>
      </c>
    </row>
    <row r="5817" spans="6:7" x14ac:dyDescent="0.3">
      <c r="F5817" s="64">
        <v>5814</v>
      </c>
      <c r="G5817" s="64">
        <f t="shared" ca="1" si="129"/>
        <v>-7.5975383603603709E-3</v>
      </c>
    </row>
    <row r="5818" spans="6:7" x14ac:dyDescent="0.3">
      <c r="F5818" s="64">
        <v>5815</v>
      </c>
      <c r="G5818" s="64">
        <f t="shared" ca="1" si="129"/>
        <v>2.5332003847660508E-3</v>
      </c>
    </row>
    <row r="5819" spans="6:7" x14ac:dyDescent="0.3">
      <c r="F5819" s="64">
        <v>5816</v>
      </c>
      <c r="G5819" s="64">
        <f t="shared" ca="1" si="129"/>
        <v>-1.3867808749321935E-2</v>
      </c>
    </row>
    <row r="5820" spans="6:7" x14ac:dyDescent="0.3">
      <c r="F5820" s="64">
        <v>5817</v>
      </c>
      <c r="G5820" s="64">
        <f t="shared" ca="1" si="129"/>
        <v>2.0761067215505774E-2</v>
      </c>
    </row>
    <row r="5821" spans="6:7" x14ac:dyDescent="0.3">
      <c r="F5821" s="64">
        <v>5818</v>
      </c>
      <c r="G5821" s="64">
        <f t="shared" ca="1" si="129"/>
        <v>2.1204475234433216E-2</v>
      </c>
    </row>
    <row r="5822" spans="6:7" x14ac:dyDescent="0.3">
      <c r="F5822" s="64">
        <v>5819</v>
      </c>
      <c r="G5822" s="64">
        <f t="shared" ca="1" si="129"/>
        <v>-2.1503192568782553E-2</v>
      </c>
    </row>
    <row r="5823" spans="6:7" x14ac:dyDescent="0.3">
      <c r="F5823" s="64">
        <v>5820</v>
      </c>
      <c r="G5823" s="64">
        <f t="shared" ca="1" si="129"/>
        <v>1.8546385144733064E-2</v>
      </c>
    </row>
    <row r="5824" spans="6:7" x14ac:dyDescent="0.3">
      <c r="F5824" s="64">
        <v>5821</v>
      </c>
      <c r="G5824" s="64">
        <f t="shared" ca="1" si="129"/>
        <v>-1.5522555964894457E-3</v>
      </c>
    </row>
    <row r="5825" spans="6:7" x14ac:dyDescent="0.3">
      <c r="F5825" s="64">
        <v>5822</v>
      </c>
      <c r="G5825" s="64">
        <f t="shared" ca="1" si="129"/>
        <v>1.3940551687172367E-2</v>
      </c>
    </row>
    <row r="5826" spans="6:7" x14ac:dyDescent="0.3">
      <c r="F5826" s="64">
        <v>5823</v>
      </c>
      <c r="G5826" s="64">
        <f t="shared" ca="1" si="129"/>
        <v>-3.2317395611168647E-3</v>
      </c>
    </row>
    <row r="5827" spans="6:7" x14ac:dyDescent="0.3">
      <c r="F5827" s="64">
        <v>5824</v>
      </c>
      <c r="G5827" s="64">
        <f t="shared" ca="1" si="129"/>
        <v>-9.5421137902492875E-3</v>
      </c>
    </row>
    <row r="5828" spans="6:7" x14ac:dyDescent="0.3">
      <c r="F5828" s="64">
        <v>5825</v>
      </c>
      <c r="G5828" s="64">
        <f t="shared" ca="1" si="129"/>
        <v>-1.8554925906736894E-2</v>
      </c>
    </row>
    <row r="5829" spans="6:7" x14ac:dyDescent="0.3">
      <c r="F5829" s="64">
        <v>5826</v>
      </c>
      <c r="G5829" s="64">
        <f t="shared" ref="G5829:G5892" ca="1" si="130">_xlfn.NORM.INV(RAND(),K$6,K$7)</f>
        <v>1.3338037258500409E-2</v>
      </c>
    </row>
    <row r="5830" spans="6:7" x14ac:dyDescent="0.3">
      <c r="F5830" s="64">
        <v>5827</v>
      </c>
      <c r="G5830" s="64">
        <f t="shared" ca="1" si="130"/>
        <v>-6.7329308876496498E-3</v>
      </c>
    </row>
    <row r="5831" spans="6:7" x14ac:dyDescent="0.3">
      <c r="F5831" s="64">
        <v>5828</v>
      </c>
      <c r="G5831" s="64">
        <f t="shared" ca="1" si="130"/>
        <v>-1.9802795974007956E-2</v>
      </c>
    </row>
    <row r="5832" spans="6:7" x14ac:dyDescent="0.3">
      <c r="F5832" s="64">
        <v>5829</v>
      </c>
      <c r="G5832" s="64">
        <f t="shared" ca="1" si="130"/>
        <v>1.1199544718788623E-2</v>
      </c>
    </row>
    <row r="5833" spans="6:7" x14ac:dyDescent="0.3">
      <c r="F5833" s="64">
        <v>5830</v>
      </c>
      <c r="G5833" s="64">
        <f t="shared" ca="1" si="130"/>
        <v>1.686881545200756E-3</v>
      </c>
    </row>
    <row r="5834" spans="6:7" x14ac:dyDescent="0.3">
      <c r="F5834" s="64">
        <v>5831</v>
      </c>
      <c r="G5834" s="64">
        <f t="shared" ca="1" si="130"/>
        <v>2.2044426831692818E-2</v>
      </c>
    </row>
    <row r="5835" spans="6:7" x14ac:dyDescent="0.3">
      <c r="F5835" s="64">
        <v>5832</v>
      </c>
      <c r="G5835" s="64">
        <f t="shared" ca="1" si="130"/>
        <v>5.4405605402445033E-3</v>
      </c>
    </row>
    <row r="5836" spans="6:7" x14ac:dyDescent="0.3">
      <c r="F5836" s="64">
        <v>5833</v>
      </c>
      <c r="G5836" s="64">
        <f t="shared" ca="1" si="130"/>
        <v>-9.0462593954524634E-3</v>
      </c>
    </row>
    <row r="5837" spans="6:7" x14ac:dyDescent="0.3">
      <c r="F5837" s="64">
        <v>5834</v>
      </c>
      <c r="G5837" s="64">
        <f t="shared" ca="1" si="130"/>
        <v>1.8687620309087341E-2</v>
      </c>
    </row>
    <row r="5838" spans="6:7" x14ac:dyDescent="0.3">
      <c r="F5838" s="64">
        <v>5835</v>
      </c>
      <c r="G5838" s="64">
        <f t="shared" ca="1" si="130"/>
        <v>-1.7359622497401285E-2</v>
      </c>
    </row>
    <row r="5839" spans="6:7" x14ac:dyDescent="0.3">
      <c r="F5839" s="64">
        <v>5836</v>
      </c>
      <c r="G5839" s="64">
        <f t="shared" ca="1" si="130"/>
        <v>4.1050682044805331E-2</v>
      </c>
    </row>
    <row r="5840" spans="6:7" x14ac:dyDescent="0.3">
      <c r="F5840" s="64">
        <v>5837</v>
      </c>
      <c r="G5840" s="64">
        <f t="shared" ca="1" si="130"/>
        <v>-2.1389673022211897E-2</v>
      </c>
    </row>
    <row r="5841" spans="6:7" x14ac:dyDescent="0.3">
      <c r="F5841" s="64">
        <v>5838</v>
      </c>
      <c r="G5841" s="64">
        <f t="shared" ca="1" si="130"/>
        <v>-1.2276384043789862E-2</v>
      </c>
    </row>
    <row r="5842" spans="6:7" x14ac:dyDescent="0.3">
      <c r="F5842" s="64">
        <v>5839</v>
      </c>
      <c r="G5842" s="64">
        <f t="shared" ca="1" si="130"/>
        <v>-9.6789370785114841E-3</v>
      </c>
    </row>
    <row r="5843" spans="6:7" x14ac:dyDescent="0.3">
      <c r="F5843" s="64">
        <v>5840</v>
      </c>
      <c r="G5843" s="64">
        <f t="shared" ca="1" si="130"/>
        <v>1.0744510047853475E-2</v>
      </c>
    </row>
    <row r="5844" spans="6:7" x14ac:dyDescent="0.3">
      <c r="F5844" s="64">
        <v>5841</v>
      </c>
      <c r="G5844" s="64">
        <f t="shared" ca="1" si="130"/>
        <v>1.086222036577065E-2</v>
      </c>
    </row>
    <row r="5845" spans="6:7" x14ac:dyDescent="0.3">
      <c r="F5845" s="64">
        <v>5842</v>
      </c>
      <c r="G5845" s="64">
        <f t="shared" ca="1" si="130"/>
        <v>-1.3065397682048677E-2</v>
      </c>
    </row>
    <row r="5846" spans="6:7" x14ac:dyDescent="0.3">
      <c r="F5846" s="64">
        <v>5843</v>
      </c>
      <c r="G5846" s="64">
        <f t="shared" ca="1" si="130"/>
        <v>-2.6869923938914859E-2</v>
      </c>
    </row>
    <row r="5847" spans="6:7" x14ac:dyDescent="0.3">
      <c r="F5847" s="64">
        <v>5844</v>
      </c>
      <c r="G5847" s="64">
        <f t="shared" ca="1" si="130"/>
        <v>-2.2902561848611648E-2</v>
      </c>
    </row>
    <row r="5848" spans="6:7" x14ac:dyDescent="0.3">
      <c r="F5848" s="64">
        <v>5845</v>
      </c>
      <c r="G5848" s="64">
        <f t="shared" ca="1" si="130"/>
        <v>-8.8924783797840676E-3</v>
      </c>
    </row>
    <row r="5849" spans="6:7" x14ac:dyDescent="0.3">
      <c r="F5849" s="64">
        <v>5846</v>
      </c>
      <c r="G5849" s="64">
        <f t="shared" ca="1" si="130"/>
        <v>2.3529830292608134E-2</v>
      </c>
    </row>
    <row r="5850" spans="6:7" x14ac:dyDescent="0.3">
      <c r="F5850" s="64">
        <v>5847</v>
      </c>
      <c r="G5850" s="64">
        <f t="shared" ca="1" si="130"/>
        <v>-1.9317390752710537E-2</v>
      </c>
    </row>
    <row r="5851" spans="6:7" x14ac:dyDescent="0.3">
      <c r="F5851" s="64">
        <v>5848</v>
      </c>
      <c r="G5851" s="64">
        <f t="shared" ca="1" si="130"/>
        <v>7.8326983130085973E-3</v>
      </c>
    </row>
    <row r="5852" spans="6:7" x14ac:dyDescent="0.3">
      <c r="F5852" s="64">
        <v>5849</v>
      </c>
      <c r="G5852" s="64">
        <f t="shared" ca="1" si="130"/>
        <v>-1.4844345168470557E-2</v>
      </c>
    </row>
    <row r="5853" spans="6:7" x14ac:dyDescent="0.3">
      <c r="F5853" s="64">
        <v>5850</v>
      </c>
      <c r="G5853" s="64">
        <f t="shared" ca="1" si="130"/>
        <v>-4.1474528849641959E-3</v>
      </c>
    </row>
    <row r="5854" spans="6:7" x14ac:dyDescent="0.3">
      <c r="F5854" s="64">
        <v>5851</v>
      </c>
      <c r="G5854" s="64">
        <f t="shared" ca="1" si="130"/>
        <v>-8.3210958647151993E-3</v>
      </c>
    </row>
    <row r="5855" spans="6:7" x14ac:dyDescent="0.3">
      <c r="F5855" s="64">
        <v>5852</v>
      </c>
      <c r="G5855" s="64">
        <f t="shared" ca="1" si="130"/>
        <v>3.5496689243478003E-3</v>
      </c>
    </row>
    <row r="5856" spans="6:7" x14ac:dyDescent="0.3">
      <c r="F5856" s="64">
        <v>5853</v>
      </c>
      <c r="G5856" s="64">
        <f t="shared" ca="1" si="130"/>
        <v>1.9907357864588276E-2</v>
      </c>
    </row>
    <row r="5857" spans="6:7" x14ac:dyDescent="0.3">
      <c r="F5857" s="64">
        <v>5854</v>
      </c>
      <c r="G5857" s="64">
        <f t="shared" ca="1" si="130"/>
        <v>1.6447154629612864E-2</v>
      </c>
    </row>
    <row r="5858" spans="6:7" x14ac:dyDescent="0.3">
      <c r="F5858" s="64">
        <v>5855</v>
      </c>
      <c r="G5858" s="64">
        <f t="shared" ca="1" si="130"/>
        <v>-1.4687380569574913E-2</v>
      </c>
    </row>
    <row r="5859" spans="6:7" x14ac:dyDescent="0.3">
      <c r="F5859" s="64">
        <v>5856</v>
      </c>
      <c r="G5859" s="64">
        <f t="shared" ca="1" si="130"/>
        <v>2.1890133717093981E-2</v>
      </c>
    </row>
    <row r="5860" spans="6:7" x14ac:dyDescent="0.3">
      <c r="F5860" s="64">
        <v>5857</v>
      </c>
      <c r="G5860" s="64">
        <f t="shared" ca="1" si="130"/>
        <v>4.02020418670034E-2</v>
      </c>
    </row>
    <row r="5861" spans="6:7" x14ac:dyDescent="0.3">
      <c r="F5861" s="64">
        <v>5858</v>
      </c>
      <c r="G5861" s="64">
        <f t="shared" ca="1" si="130"/>
        <v>2.7624394214437473E-3</v>
      </c>
    </row>
    <row r="5862" spans="6:7" x14ac:dyDescent="0.3">
      <c r="F5862" s="64">
        <v>5859</v>
      </c>
      <c r="G5862" s="64">
        <f t="shared" ca="1" si="130"/>
        <v>5.5214862198862256E-2</v>
      </c>
    </row>
    <row r="5863" spans="6:7" x14ac:dyDescent="0.3">
      <c r="F5863" s="64">
        <v>5860</v>
      </c>
      <c r="G5863" s="64">
        <f t="shared" ca="1" si="130"/>
        <v>9.0339111151118839E-3</v>
      </c>
    </row>
    <row r="5864" spans="6:7" x14ac:dyDescent="0.3">
      <c r="F5864" s="64">
        <v>5861</v>
      </c>
      <c r="G5864" s="64">
        <f t="shared" ca="1" si="130"/>
        <v>5.5505808756278561E-3</v>
      </c>
    </row>
    <row r="5865" spans="6:7" x14ac:dyDescent="0.3">
      <c r="F5865" s="64">
        <v>5862</v>
      </c>
      <c r="G5865" s="64">
        <f t="shared" ca="1" si="130"/>
        <v>-2.0389619281201295E-3</v>
      </c>
    </row>
    <row r="5866" spans="6:7" x14ac:dyDescent="0.3">
      <c r="F5866" s="64">
        <v>5863</v>
      </c>
      <c r="G5866" s="64">
        <f t="shared" ca="1" si="130"/>
        <v>3.0552440915503298E-2</v>
      </c>
    </row>
    <row r="5867" spans="6:7" x14ac:dyDescent="0.3">
      <c r="F5867" s="64">
        <v>5864</v>
      </c>
      <c r="G5867" s="64">
        <f t="shared" ca="1" si="130"/>
        <v>1.0185107128008529E-3</v>
      </c>
    </row>
    <row r="5868" spans="6:7" x14ac:dyDescent="0.3">
      <c r="F5868" s="64">
        <v>5865</v>
      </c>
      <c r="G5868" s="64">
        <f t="shared" ca="1" si="130"/>
        <v>7.399610831224277E-4</v>
      </c>
    </row>
    <row r="5869" spans="6:7" x14ac:dyDescent="0.3">
      <c r="F5869" s="64">
        <v>5866</v>
      </c>
      <c r="G5869" s="64">
        <f t="shared" ca="1" si="130"/>
        <v>-7.2000757001811581E-3</v>
      </c>
    </row>
    <row r="5870" spans="6:7" x14ac:dyDescent="0.3">
      <c r="F5870" s="64">
        <v>5867</v>
      </c>
      <c r="G5870" s="64">
        <f t="shared" ca="1" si="130"/>
        <v>1.7832531333865684E-2</v>
      </c>
    </row>
    <row r="5871" spans="6:7" x14ac:dyDescent="0.3">
      <c r="F5871" s="64">
        <v>5868</v>
      </c>
      <c r="G5871" s="64">
        <f t="shared" ca="1" si="130"/>
        <v>-3.4388471211829502E-2</v>
      </c>
    </row>
    <row r="5872" spans="6:7" x14ac:dyDescent="0.3">
      <c r="F5872" s="64">
        <v>5869</v>
      </c>
      <c r="G5872" s="64">
        <f t="shared" ca="1" si="130"/>
        <v>-1.5515021052031392E-2</v>
      </c>
    </row>
    <row r="5873" spans="6:7" x14ac:dyDescent="0.3">
      <c r="F5873" s="64">
        <v>5870</v>
      </c>
      <c r="G5873" s="64">
        <f t="shared" ca="1" si="130"/>
        <v>-6.9007072907988423E-3</v>
      </c>
    </row>
    <row r="5874" spans="6:7" x14ac:dyDescent="0.3">
      <c r="F5874" s="64">
        <v>5871</v>
      </c>
      <c r="G5874" s="64">
        <f t="shared" ca="1" si="130"/>
        <v>7.554734943689502E-3</v>
      </c>
    </row>
    <row r="5875" spans="6:7" x14ac:dyDescent="0.3">
      <c r="F5875" s="64">
        <v>5872</v>
      </c>
      <c r="G5875" s="64">
        <f t="shared" ca="1" si="130"/>
        <v>1.5379065109386173E-3</v>
      </c>
    </row>
    <row r="5876" spans="6:7" x14ac:dyDescent="0.3">
      <c r="F5876" s="64">
        <v>5873</v>
      </c>
      <c r="G5876" s="64">
        <f t="shared" ca="1" si="130"/>
        <v>-3.6066784227947049E-3</v>
      </c>
    </row>
    <row r="5877" spans="6:7" x14ac:dyDescent="0.3">
      <c r="F5877" s="64">
        <v>5874</v>
      </c>
      <c r="G5877" s="64">
        <f t="shared" ca="1" si="130"/>
        <v>2.9703312811921373E-2</v>
      </c>
    </row>
    <row r="5878" spans="6:7" x14ac:dyDescent="0.3">
      <c r="F5878" s="64">
        <v>5875</v>
      </c>
      <c r="G5878" s="64">
        <f t="shared" ca="1" si="130"/>
        <v>-1.3272894959824625E-2</v>
      </c>
    </row>
    <row r="5879" spans="6:7" x14ac:dyDescent="0.3">
      <c r="F5879" s="64">
        <v>5876</v>
      </c>
      <c r="G5879" s="64">
        <f t="shared" ca="1" si="130"/>
        <v>-2.1539360580549276E-3</v>
      </c>
    </row>
    <row r="5880" spans="6:7" x14ac:dyDescent="0.3">
      <c r="F5880" s="64">
        <v>5877</v>
      </c>
      <c r="G5880" s="64">
        <f t="shared" ca="1" si="130"/>
        <v>1.6031381873532903E-2</v>
      </c>
    </row>
    <row r="5881" spans="6:7" x14ac:dyDescent="0.3">
      <c r="F5881" s="64">
        <v>5878</v>
      </c>
      <c r="G5881" s="64">
        <f t="shared" ca="1" si="130"/>
        <v>2.9465348449519209E-2</v>
      </c>
    </row>
    <row r="5882" spans="6:7" x14ac:dyDescent="0.3">
      <c r="F5882" s="64">
        <v>5879</v>
      </c>
      <c r="G5882" s="64">
        <f t="shared" ca="1" si="130"/>
        <v>4.51574663731671E-3</v>
      </c>
    </row>
    <row r="5883" spans="6:7" x14ac:dyDescent="0.3">
      <c r="F5883" s="64">
        <v>5880</v>
      </c>
      <c r="G5883" s="64">
        <f t="shared" ca="1" si="130"/>
        <v>-1.9674306437571461E-2</v>
      </c>
    </row>
    <row r="5884" spans="6:7" x14ac:dyDescent="0.3">
      <c r="F5884" s="64">
        <v>5881</v>
      </c>
      <c r="G5884" s="64">
        <f t="shared" ca="1" si="130"/>
        <v>1.7444595243716644E-2</v>
      </c>
    </row>
    <row r="5885" spans="6:7" x14ac:dyDescent="0.3">
      <c r="F5885" s="64">
        <v>5882</v>
      </c>
      <c r="G5885" s="64">
        <f t="shared" ca="1" si="130"/>
        <v>-3.3346525502765557E-3</v>
      </c>
    </row>
    <row r="5886" spans="6:7" x14ac:dyDescent="0.3">
      <c r="F5886" s="64">
        <v>5883</v>
      </c>
      <c r="G5886" s="64">
        <f t="shared" ca="1" si="130"/>
        <v>7.7212529363083395E-3</v>
      </c>
    </row>
    <row r="5887" spans="6:7" x14ac:dyDescent="0.3">
      <c r="F5887" s="64">
        <v>5884</v>
      </c>
      <c r="G5887" s="64">
        <f t="shared" ca="1" si="130"/>
        <v>-2.8251212754108405E-2</v>
      </c>
    </row>
    <row r="5888" spans="6:7" x14ac:dyDescent="0.3">
      <c r="F5888" s="64">
        <v>5885</v>
      </c>
      <c r="G5888" s="64">
        <f t="shared" ca="1" si="130"/>
        <v>1.108029886872572E-2</v>
      </c>
    </row>
    <row r="5889" spans="6:7" x14ac:dyDescent="0.3">
      <c r="F5889" s="64">
        <v>5886</v>
      </c>
      <c r="G5889" s="64">
        <f t="shared" ca="1" si="130"/>
        <v>2.5511167040158413E-2</v>
      </c>
    </row>
    <row r="5890" spans="6:7" x14ac:dyDescent="0.3">
      <c r="F5890" s="64">
        <v>5887</v>
      </c>
      <c r="G5890" s="64">
        <f t="shared" ca="1" si="130"/>
        <v>-3.4545882702423356E-2</v>
      </c>
    </row>
    <row r="5891" spans="6:7" x14ac:dyDescent="0.3">
      <c r="F5891" s="64">
        <v>5888</v>
      </c>
      <c r="G5891" s="64">
        <f t="shared" ca="1" si="130"/>
        <v>2.9897031125950511E-2</v>
      </c>
    </row>
    <row r="5892" spans="6:7" x14ac:dyDescent="0.3">
      <c r="F5892" s="64">
        <v>5889</v>
      </c>
      <c r="G5892" s="64">
        <f t="shared" ca="1" si="130"/>
        <v>6.9620488887465201E-4</v>
      </c>
    </row>
    <row r="5893" spans="6:7" x14ac:dyDescent="0.3">
      <c r="F5893" s="64">
        <v>5890</v>
      </c>
      <c r="G5893" s="64">
        <f t="shared" ref="G5893:G5956" ca="1" si="131">_xlfn.NORM.INV(RAND(),K$6,K$7)</f>
        <v>1.4570170823429495E-2</v>
      </c>
    </row>
    <row r="5894" spans="6:7" x14ac:dyDescent="0.3">
      <c r="F5894" s="64">
        <v>5891</v>
      </c>
      <c r="G5894" s="64">
        <f t="shared" ca="1" si="131"/>
        <v>6.0705155081712658E-3</v>
      </c>
    </row>
    <row r="5895" spans="6:7" x14ac:dyDescent="0.3">
      <c r="F5895" s="64">
        <v>5892</v>
      </c>
      <c r="G5895" s="64">
        <f t="shared" ca="1" si="131"/>
        <v>1.9798268945539377E-2</v>
      </c>
    </row>
    <row r="5896" spans="6:7" x14ac:dyDescent="0.3">
      <c r="F5896" s="64">
        <v>5893</v>
      </c>
      <c r="G5896" s="64">
        <f t="shared" ca="1" si="131"/>
        <v>1.9659481431149706E-2</v>
      </c>
    </row>
    <row r="5897" spans="6:7" x14ac:dyDescent="0.3">
      <c r="F5897" s="64">
        <v>5894</v>
      </c>
      <c r="G5897" s="64">
        <f t="shared" ca="1" si="131"/>
        <v>2.8718588052019246E-2</v>
      </c>
    </row>
    <row r="5898" spans="6:7" x14ac:dyDescent="0.3">
      <c r="F5898" s="64">
        <v>5895</v>
      </c>
      <c r="G5898" s="64">
        <f t="shared" ca="1" si="131"/>
        <v>1.6244823825504441E-2</v>
      </c>
    </row>
    <row r="5899" spans="6:7" x14ac:dyDescent="0.3">
      <c r="F5899" s="64">
        <v>5896</v>
      </c>
      <c r="G5899" s="64">
        <f t="shared" ca="1" si="131"/>
        <v>1.1284824213006592E-2</v>
      </c>
    </row>
    <row r="5900" spans="6:7" x14ac:dyDescent="0.3">
      <c r="F5900" s="64">
        <v>5897</v>
      </c>
      <c r="G5900" s="64">
        <f t="shared" ca="1" si="131"/>
        <v>8.6936919841652215E-3</v>
      </c>
    </row>
    <row r="5901" spans="6:7" x14ac:dyDescent="0.3">
      <c r="F5901" s="64">
        <v>5898</v>
      </c>
      <c r="G5901" s="64">
        <f t="shared" ca="1" si="131"/>
        <v>-1.6342091365402406E-2</v>
      </c>
    </row>
    <row r="5902" spans="6:7" x14ac:dyDescent="0.3">
      <c r="F5902" s="64">
        <v>5899</v>
      </c>
      <c r="G5902" s="64">
        <f t="shared" ca="1" si="131"/>
        <v>-1.445184865927779E-2</v>
      </c>
    </row>
    <row r="5903" spans="6:7" x14ac:dyDescent="0.3">
      <c r="F5903" s="64">
        <v>5900</v>
      </c>
      <c r="G5903" s="64">
        <f t="shared" ca="1" si="131"/>
        <v>-1.6497927781502678E-2</v>
      </c>
    </row>
    <row r="5904" spans="6:7" x14ac:dyDescent="0.3">
      <c r="F5904" s="64">
        <v>5901</v>
      </c>
      <c r="G5904" s="64">
        <f t="shared" ca="1" si="131"/>
        <v>3.3855883767430562E-3</v>
      </c>
    </row>
    <row r="5905" spans="6:7" x14ac:dyDescent="0.3">
      <c r="F5905" s="64">
        <v>5902</v>
      </c>
      <c r="G5905" s="64">
        <f t="shared" ca="1" si="131"/>
        <v>5.7574985453961221E-3</v>
      </c>
    </row>
    <row r="5906" spans="6:7" x14ac:dyDescent="0.3">
      <c r="F5906" s="64">
        <v>5903</v>
      </c>
      <c r="G5906" s="64">
        <f t="shared" ca="1" si="131"/>
        <v>-2.3005499837089854E-2</v>
      </c>
    </row>
    <row r="5907" spans="6:7" x14ac:dyDescent="0.3">
      <c r="F5907" s="64">
        <v>5904</v>
      </c>
      <c r="G5907" s="64">
        <f t="shared" ca="1" si="131"/>
        <v>1.6578746003294152E-2</v>
      </c>
    </row>
    <row r="5908" spans="6:7" x14ac:dyDescent="0.3">
      <c r="F5908" s="64">
        <v>5905</v>
      </c>
      <c r="G5908" s="64">
        <f t="shared" ca="1" si="131"/>
        <v>-9.1498628281378013E-3</v>
      </c>
    </row>
    <row r="5909" spans="6:7" x14ac:dyDescent="0.3">
      <c r="F5909" s="64">
        <v>5906</v>
      </c>
      <c r="G5909" s="64">
        <f t="shared" ca="1" si="131"/>
        <v>-1.0639559052332747E-3</v>
      </c>
    </row>
    <row r="5910" spans="6:7" x14ac:dyDescent="0.3">
      <c r="F5910" s="64">
        <v>5907</v>
      </c>
      <c r="G5910" s="64">
        <f t="shared" ca="1" si="131"/>
        <v>-1.6933053964535941E-2</v>
      </c>
    </row>
    <row r="5911" spans="6:7" x14ac:dyDescent="0.3">
      <c r="F5911" s="64">
        <v>5908</v>
      </c>
      <c r="G5911" s="64">
        <f t="shared" ca="1" si="131"/>
        <v>-3.6539704443711791E-3</v>
      </c>
    </row>
    <row r="5912" spans="6:7" x14ac:dyDescent="0.3">
      <c r="F5912" s="64">
        <v>5909</v>
      </c>
      <c r="G5912" s="64">
        <f t="shared" ca="1" si="131"/>
        <v>5.3199708546141132E-3</v>
      </c>
    </row>
    <row r="5913" spans="6:7" x14ac:dyDescent="0.3">
      <c r="F5913" s="64">
        <v>5910</v>
      </c>
      <c r="G5913" s="64">
        <f t="shared" ca="1" si="131"/>
        <v>4.0564431064991548E-3</v>
      </c>
    </row>
    <row r="5914" spans="6:7" x14ac:dyDescent="0.3">
      <c r="F5914" s="64">
        <v>5911</v>
      </c>
      <c r="G5914" s="64">
        <f t="shared" ca="1" si="131"/>
        <v>2.4611493769329848E-2</v>
      </c>
    </row>
    <row r="5915" spans="6:7" x14ac:dyDescent="0.3">
      <c r="F5915" s="64">
        <v>5912</v>
      </c>
      <c r="G5915" s="64">
        <f t="shared" ca="1" si="131"/>
        <v>-1.9288730859270055E-2</v>
      </c>
    </row>
    <row r="5916" spans="6:7" x14ac:dyDescent="0.3">
      <c r="F5916" s="64">
        <v>5913</v>
      </c>
      <c r="G5916" s="64">
        <f t="shared" ca="1" si="131"/>
        <v>-6.8370785430354568E-3</v>
      </c>
    </row>
    <row r="5917" spans="6:7" x14ac:dyDescent="0.3">
      <c r="F5917" s="64">
        <v>5914</v>
      </c>
      <c r="G5917" s="64">
        <f t="shared" ca="1" si="131"/>
        <v>8.2400375973568085E-3</v>
      </c>
    </row>
    <row r="5918" spans="6:7" x14ac:dyDescent="0.3">
      <c r="F5918" s="64">
        <v>5915</v>
      </c>
      <c r="G5918" s="64">
        <f t="shared" ca="1" si="131"/>
        <v>-1.1758866535219051E-4</v>
      </c>
    </row>
    <row r="5919" spans="6:7" x14ac:dyDescent="0.3">
      <c r="F5919" s="64">
        <v>5916</v>
      </c>
      <c r="G5919" s="64">
        <f t="shared" ca="1" si="131"/>
        <v>6.4708480932364155E-3</v>
      </c>
    </row>
    <row r="5920" spans="6:7" x14ac:dyDescent="0.3">
      <c r="F5920" s="64">
        <v>5917</v>
      </c>
      <c r="G5920" s="64">
        <f t="shared" ca="1" si="131"/>
        <v>1.8841583816243547E-2</v>
      </c>
    </row>
    <row r="5921" spans="6:7" x14ac:dyDescent="0.3">
      <c r="F5921" s="64">
        <v>5918</v>
      </c>
      <c r="G5921" s="64">
        <f t="shared" ca="1" si="131"/>
        <v>-1.0186764020670248E-2</v>
      </c>
    </row>
    <row r="5922" spans="6:7" x14ac:dyDescent="0.3">
      <c r="F5922" s="64">
        <v>5919</v>
      </c>
      <c r="G5922" s="64">
        <f t="shared" ca="1" si="131"/>
        <v>3.5570683727784592E-4</v>
      </c>
    </row>
    <row r="5923" spans="6:7" x14ac:dyDescent="0.3">
      <c r="F5923" s="64">
        <v>5920</v>
      </c>
      <c r="G5923" s="64">
        <f t="shared" ca="1" si="131"/>
        <v>9.9502807142944905E-3</v>
      </c>
    </row>
    <row r="5924" spans="6:7" x14ac:dyDescent="0.3">
      <c r="F5924" s="64">
        <v>5921</v>
      </c>
      <c r="G5924" s="64">
        <f t="shared" ca="1" si="131"/>
        <v>1.3041735981558389E-2</v>
      </c>
    </row>
    <row r="5925" spans="6:7" x14ac:dyDescent="0.3">
      <c r="F5925" s="64">
        <v>5922</v>
      </c>
      <c r="G5925" s="64">
        <f t="shared" ca="1" si="131"/>
        <v>7.7728061018426031E-3</v>
      </c>
    </row>
    <row r="5926" spans="6:7" x14ac:dyDescent="0.3">
      <c r="F5926" s="64">
        <v>5923</v>
      </c>
      <c r="G5926" s="64">
        <f t="shared" ca="1" si="131"/>
        <v>1.8365185735483847E-2</v>
      </c>
    </row>
    <row r="5927" spans="6:7" x14ac:dyDescent="0.3">
      <c r="F5927" s="64">
        <v>5924</v>
      </c>
      <c r="G5927" s="64">
        <f t="shared" ca="1" si="131"/>
        <v>2.9636486919324273E-3</v>
      </c>
    </row>
    <row r="5928" spans="6:7" x14ac:dyDescent="0.3">
      <c r="F5928" s="64">
        <v>5925</v>
      </c>
      <c r="G5928" s="64">
        <f t="shared" ca="1" si="131"/>
        <v>-1.143798556387089E-2</v>
      </c>
    </row>
    <row r="5929" spans="6:7" x14ac:dyDescent="0.3">
      <c r="F5929" s="64">
        <v>5926</v>
      </c>
      <c r="G5929" s="64">
        <f t="shared" ca="1" si="131"/>
        <v>9.444353040470848E-3</v>
      </c>
    </row>
    <row r="5930" spans="6:7" x14ac:dyDescent="0.3">
      <c r="F5930" s="64">
        <v>5927</v>
      </c>
      <c r="G5930" s="64">
        <f t="shared" ca="1" si="131"/>
        <v>-2.8572830145636774E-2</v>
      </c>
    </row>
    <row r="5931" spans="6:7" x14ac:dyDescent="0.3">
      <c r="F5931" s="64">
        <v>5928</v>
      </c>
      <c r="G5931" s="64">
        <f t="shared" ca="1" si="131"/>
        <v>-7.9361758210926923E-3</v>
      </c>
    </row>
    <row r="5932" spans="6:7" x14ac:dyDescent="0.3">
      <c r="F5932" s="64">
        <v>5929</v>
      </c>
      <c r="G5932" s="64">
        <f t="shared" ca="1" si="131"/>
        <v>-1.4782281414972556E-2</v>
      </c>
    </row>
    <row r="5933" spans="6:7" x14ac:dyDescent="0.3">
      <c r="F5933" s="64">
        <v>5930</v>
      </c>
      <c r="G5933" s="64">
        <f t="shared" ca="1" si="131"/>
        <v>-5.8408136509992348E-3</v>
      </c>
    </row>
    <row r="5934" spans="6:7" x14ac:dyDescent="0.3">
      <c r="F5934" s="64">
        <v>5931</v>
      </c>
      <c r="G5934" s="64">
        <f t="shared" ca="1" si="131"/>
        <v>-2.0774355233938453E-2</v>
      </c>
    </row>
    <row r="5935" spans="6:7" x14ac:dyDescent="0.3">
      <c r="F5935" s="64">
        <v>5932</v>
      </c>
      <c r="G5935" s="64">
        <f t="shared" ca="1" si="131"/>
        <v>-2.2009695478788283E-2</v>
      </c>
    </row>
    <row r="5936" spans="6:7" x14ac:dyDescent="0.3">
      <c r="F5936" s="64">
        <v>5933</v>
      </c>
      <c r="G5936" s="64">
        <f t="shared" ca="1" si="131"/>
        <v>1.8138607574803303E-2</v>
      </c>
    </row>
    <row r="5937" spans="6:7" x14ac:dyDescent="0.3">
      <c r="F5937" s="64">
        <v>5934</v>
      </c>
      <c r="G5937" s="64">
        <f t="shared" ca="1" si="131"/>
        <v>-2.2345416396738031E-2</v>
      </c>
    </row>
    <row r="5938" spans="6:7" x14ac:dyDescent="0.3">
      <c r="F5938" s="64">
        <v>5935</v>
      </c>
      <c r="G5938" s="64">
        <f t="shared" ca="1" si="131"/>
        <v>-4.1612797402937544E-2</v>
      </c>
    </row>
    <row r="5939" spans="6:7" x14ac:dyDescent="0.3">
      <c r="F5939" s="64">
        <v>5936</v>
      </c>
      <c r="G5939" s="64">
        <f t="shared" ca="1" si="131"/>
        <v>3.7220406267458865E-2</v>
      </c>
    </row>
    <row r="5940" spans="6:7" x14ac:dyDescent="0.3">
      <c r="F5940" s="64">
        <v>5937</v>
      </c>
      <c r="G5940" s="64">
        <f t="shared" ca="1" si="131"/>
        <v>2.1806620951626381E-2</v>
      </c>
    </row>
    <row r="5941" spans="6:7" x14ac:dyDescent="0.3">
      <c r="F5941" s="64">
        <v>5938</v>
      </c>
      <c r="G5941" s="64">
        <f t="shared" ca="1" si="131"/>
        <v>1.5407585317005701E-2</v>
      </c>
    </row>
    <row r="5942" spans="6:7" x14ac:dyDescent="0.3">
      <c r="F5942" s="64">
        <v>5939</v>
      </c>
      <c r="G5942" s="64">
        <f t="shared" ca="1" si="131"/>
        <v>-1.8413042075876657E-2</v>
      </c>
    </row>
    <row r="5943" spans="6:7" x14ac:dyDescent="0.3">
      <c r="F5943" s="64">
        <v>5940</v>
      </c>
      <c r="G5943" s="64">
        <f t="shared" ca="1" si="131"/>
        <v>2.1149435804406362E-2</v>
      </c>
    </row>
    <row r="5944" spans="6:7" x14ac:dyDescent="0.3">
      <c r="F5944" s="64">
        <v>5941</v>
      </c>
      <c r="G5944" s="64">
        <f t="shared" ca="1" si="131"/>
        <v>1.1379126083387949E-2</v>
      </c>
    </row>
    <row r="5945" spans="6:7" x14ac:dyDescent="0.3">
      <c r="F5945" s="64">
        <v>5942</v>
      </c>
      <c r="G5945" s="64">
        <f t="shared" ca="1" si="131"/>
        <v>-6.9433835931133987E-4</v>
      </c>
    </row>
    <row r="5946" spans="6:7" x14ac:dyDescent="0.3">
      <c r="F5946" s="64">
        <v>5943</v>
      </c>
      <c r="G5946" s="64">
        <f t="shared" ca="1" si="131"/>
        <v>2.466823972647466E-2</v>
      </c>
    </row>
    <row r="5947" spans="6:7" x14ac:dyDescent="0.3">
      <c r="F5947" s="64">
        <v>5944</v>
      </c>
      <c r="G5947" s="64">
        <f t="shared" ca="1" si="131"/>
        <v>1.1350965249286596E-2</v>
      </c>
    </row>
    <row r="5948" spans="6:7" x14ac:dyDescent="0.3">
      <c r="F5948" s="64">
        <v>5945</v>
      </c>
      <c r="G5948" s="64">
        <f t="shared" ca="1" si="131"/>
        <v>2.9145308987353659E-2</v>
      </c>
    </row>
    <row r="5949" spans="6:7" x14ac:dyDescent="0.3">
      <c r="F5949" s="64">
        <v>5946</v>
      </c>
      <c r="G5949" s="64">
        <f t="shared" ca="1" si="131"/>
        <v>1.4684383469658632E-2</v>
      </c>
    </row>
    <row r="5950" spans="6:7" x14ac:dyDescent="0.3">
      <c r="F5950" s="64">
        <v>5947</v>
      </c>
      <c r="G5950" s="64">
        <f t="shared" ca="1" si="131"/>
        <v>-2.0458412555791887E-2</v>
      </c>
    </row>
    <row r="5951" spans="6:7" x14ac:dyDescent="0.3">
      <c r="F5951" s="64">
        <v>5948</v>
      </c>
      <c r="G5951" s="64">
        <f t="shared" ca="1" si="131"/>
        <v>-4.4749860448367006E-3</v>
      </c>
    </row>
    <row r="5952" spans="6:7" x14ac:dyDescent="0.3">
      <c r="F5952" s="64">
        <v>5949</v>
      </c>
      <c r="G5952" s="64">
        <f t="shared" ca="1" si="131"/>
        <v>-2.0463570900722247E-2</v>
      </c>
    </row>
    <row r="5953" spans="6:7" x14ac:dyDescent="0.3">
      <c r="F5953" s="64">
        <v>5950</v>
      </c>
      <c r="G5953" s="64">
        <f t="shared" ca="1" si="131"/>
        <v>-2.626614763511588E-2</v>
      </c>
    </row>
    <row r="5954" spans="6:7" x14ac:dyDescent="0.3">
      <c r="F5954" s="64">
        <v>5951</v>
      </c>
      <c r="G5954" s="64">
        <f t="shared" ca="1" si="131"/>
        <v>1.4960451986279825E-2</v>
      </c>
    </row>
    <row r="5955" spans="6:7" x14ac:dyDescent="0.3">
      <c r="F5955" s="64">
        <v>5952</v>
      </c>
      <c r="G5955" s="64">
        <f t="shared" ca="1" si="131"/>
        <v>-7.654392520763607E-3</v>
      </c>
    </row>
    <row r="5956" spans="6:7" x14ac:dyDescent="0.3">
      <c r="F5956" s="64">
        <v>5953</v>
      </c>
      <c r="G5956" s="64">
        <f t="shared" ca="1" si="131"/>
        <v>-1.5254098116675123E-2</v>
      </c>
    </row>
    <row r="5957" spans="6:7" x14ac:dyDescent="0.3">
      <c r="F5957" s="64">
        <v>5954</v>
      </c>
      <c r="G5957" s="64">
        <f t="shared" ref="G5957:G6020" ca="1" si="132">_xlfn.NORM.INV(RAND(),K$6,K$7)</f>
        <v>4.832636834885988E-2</v>
      </c>
    </row>
    <row r="5958" spans="6:7" x14ac:dyDescent="0.3">
      <c r="F5958" s="64">
        <v>5955</v>
      </c>
      <c r="G5958" s="64">
        <f t="shared" ca="1" si="132"/>
        <v>2.5089378721365185E-2</v>
      </c>
    </row>
    <row r="5959" spans="6:7" x14ac:dyDescent="0.3">
      <c r="F5959" s="64">
        <v>5956</v>
      </c>
      <c r="G5959" s="64">
        <f t="shared" ca="1" si="132"/>
        <v>6.9359464349729432E-3</v>
      </c>
    </row>
    <row r="5960" spans="6:7" x14ac:dyDescent="0.3">
      <c r="F5960" s="64">
        <v>5957</v>
      </c>
      <c r="G5960" s="64">
        <f t="shared" ca="1" si="132"/>
        <v>6.7644201674971931E-4</v>
      </c>
    </row>
    <row r="5961" spans="6:7" x14ac:dyDescent="0.3">
      <c r="F5961" s="64">
        <v>5958</v>
      </c>
      <c r="G5961" s="64">
        <f t="shared" ca="1" si="132"/>
        <v>9.4107701444549208E-3</v>
      </c>
    </row>
    <row r="5962" spans="6:7" x14ac:dyDescent="0.3">
      <c r="F5962" s="64">
        <v>5959</v>
      </c>
      <c r="G5962" s="64">
        <f t="shared" ca="1" si="132"/>
        <v>2.8742361353178512E-3</v>
      </c>
    </row>
    <row r="5963" spans="6:7" x14ac:dyDescent="0.3">
      <c r="F5963" s="64">
        <v>5960</v>
      </c>
      <c r="G5963" s="64">
        <f t="shared" ca="1" si="132"/>
        <v>5.9216736847534611E-3</v>
      </c>
    </row>
    <row r="5964" spans="6:7" x14ac:dyDescent="0.3">
      <c r="F5964" s="64">
        <v>5961</v>
      </c>
      <c r="G5964" s="64">
        <f t="shared" ca="1" si="132"/>
        <v>-4.5254058073411442E-3</v>
      </c>
    </row>
    <row r="5965" spans="6:7" x14ac:dyDescent="0.3">
      <c r="F5965" s="64">
        <v>5962</v>
      </c>
      <c r="G5965" s="64">
        <f t="shared" ca="1" si="132"/>
        <v>-5.3800763650970048E-3</v>
      </c>
    </row>
    <row r="5966" spans="6:7" x14ac:dyDescent="0.3">
      <c r="F5966" s="64">
        <v>5963</v>
      </c>
      <c r="G5966" s="64">
        <f t="shared" ca="1" si="132"/>
        <v>2.2351772337166419E-2</v>
      </c>
    </row>
    <row r="5967" spans="6:7" x14ac:dyDescent="0.3">
      <c r="F5967" s="64">
        <v>5964</v>
      </c>
      <c r="G5967" s="64">
        <f t="shared" ca="1" si="132"/>
        <v>-2.389175748760284E-2</v>
      </c>
    </row>
    <row r="5968" spans="6:7" x14ac:dyDescent="0.3">
      <c r="F5968" s="64">
        <v>5965</v>
      </c>
      <c r="G5968" s="64">
        <f t="shared" ca="1" si="132"/>
        <v>3.486587328457668E-2</v>
      </c>
    </row>
    <row r="5969" spans="6:7" x14ac:dyDescent="0.3">
      <c r="F5969" s="64">
        <v>5966</v>
      </c>
      <c r="G5969" s="64">
        <f t="shared" ca="1" si="132"/>
        <v>3.7574835128217194E-5</v>
      </c>
    </row>
    <row r="5970" spans="6:7" x14ac:dyDescent="0.3">
      <c r="F5970" s="64">
        <v>5967</v>
      </c>
      <c r="G5970" s="64">
        <f t="shared" ca="1" si="132"/>
        <v>-4.0250248453866542E-3</v>
      </c>
    </row>
    <row r="5971" spans="6:7" x14ac:dyDescent="0.3">
      <c r="F5971" s="64">
        <v>5968</v>
      </c>
      <c r="G5971" s="64">
        <f t="shared" ca="1" si="132"/>
        <v>2.893046365245544E-2</v>
      </c>
    </row>
    <row r="5972" spans="6:7" x14ac:dyDescent="0.3">
      <c r="F5972" s="64">
        <v>5969</v>
      </c>
      <c r="G5972" s="64">
        <f t="shared" ca="1" si="132"/>
        <v>3.9671184579957892E-3</v>
      </c>
    </row>
    <row r="5973" spans="6:7" x14ac:dyDescent="0.3">
      <c r="F5973" s="64">
        <v>5970</v>
      </c>
      <c r="G5973" s="64">
        <f t="shared" ca="1" si="132"/>
        <v>6.8820148836855333E-3</v>
      </c>
    </row>
    <row r="5974" spans="6:7" x14ac:dyDescent="0.3">
      <c r="F5974" s="64">
        <v>5971</v>
      </c>
      <c r="G5974" s="64">
        <f t="shared" ca="1" si="132"/>
        <v>-1.7757766246739019E-2</v>
      </c>
    </row>
    <row r="5975" spans="6:7" x14ac:dyDescent="0.3">
      <c r="F5975" s="64">
        <v>5972</v>
      </c>
      <c r="G5975" s="64">
        <f t="shared" ca="1" si="132"/>
        <v>4.2349150177789473E-3</v>
      </c>
    </row>
    <row r="5976" spans="6:7" x14ac:dyDescent="0.3">
      <c r="F5976" s="64">
        <v>5973</v>
      </c>
      <c r="G5976" s="64">
        <f t="shared" ca="1" si="132"/>
        <v>1.7152796004688789E-2</v>
      </c>
    </row>
    <row r="5977" spans="6:7" x14ac:dyDescent="0.3">
      <c r="F5977" s="64">
        <v>5974</v>
      </c>
      <c r="G5977" s="64">
        <f t="shared" ca="1" si="132"/>
        <v>5.2827586163079775E-2</v>
      </c>
    </row>
    <row r="5978" spans="6:7" x14ac:dyDescent="0.3">
      <c r="F5978" s="64">
        <v>5975</v>
      </c>
      <c r="G5978" s="64">
        <f t="shared" ca="1" si="132"/>
        <v>-3.647096808756343E-3</v>
      </c>
    </row>
    <row r="5979" spans="6:7" x14ac:dyDescent="0.3">
      <c r="F5979" s="64">
        <v>5976</v>
      </c>
      <c r="G5979" s="64">
        <f t="shared" ca="1" si="132"/>
        <v>1.3732673006733804E-3</v>
      </c>
    </row>
    <row r="5980" spans="6:7" x14ac:dyDescent="0.3">
      <c r="F5980" s="64">
        <v>5977</v>
      </c>
      <c r="G5980" s="64">
        <f t="shared" ca="1" si="132"/>
        <v>-1.5659953220867412E-2</v>
      </c>
    </row>
    <row r="5981" spans="6:7" x14ac:dyDescent="0.3">
      <c r="F5981" s="64">
        <v>5978</v>
      </c>
      <c r="G5981" s="64">
        <f t="shared" ca="1" si="132"/>
        <v>-1.0399351458301719E-2</v>
      </c>
    </row>
    <row r="5982" spans="6:7" x14ac:dyDescent="0.3">
      <c r="F5982" s="64">
        <v>5979</v>
      </c>
      <c r="G5982" s="64">
        <f t="shared" ca="1" si="132"/>
        <v>3.7917556187668539E-2</v>
      </c>
    </row>
    <row r="5983" spans="6:7" x14ac:dyDescent="0.3">
      <c r="F5983" s="64">
        <v>5980</v>
      </c>
      <c r="G5983" s="64">
        <f t="shared" ca="1" si="132"/>
        <v>-1.8365559070530099E-2</v>
      </c>
    </row>
    <row r="5984" spans="6:7" x14ac:dyDescent="0.3">
      <c r="F5984" s="64">
        <v>5981</v>
      </c>
      <c r="G5984" s="64">
        <f t="shared" ca="1" si="132"/>
        <v>-2.5470967841664215E-2</v>
      </c>
    </row>
    <row r="5985" spans="6:7" x14ac:dyDescent="0.3">
      <c r="F5985" s="64">
        <v>5982</v>
      </c>
      <c r="G5985" s="64">
        <f t="shared" ca="1" si="132"/>
        <v>6.0301142396341463E-3</v>
      </c>
    </row>
    <row r="5986" spans="6:7" x14ac:dyDescent="0.3">
      <c r="F5986" s="64">
        <v>5983</v>
      </c>
      <c r="G5986" s="64">
        <f t="shared" ca="1" si="132"/>
        <v>-1.6192180981081029E-2</v>
      </c>
    </row>
    <row r="5987" spans="6:7" x14ac:dyDescent="0.3">
      <c r="F5987" s="64">
        <v>5984</v>
      </c>
      <c r="G5987" s="64">
        <f t="shared" ca="1" si="132"/>
        <v>1.2739088532295937E-2</v>
      </c>
    </row>
    <row r="5988" spans="6:7" x14ac:dyDescent="0.3">
      <c r="F5988" s="64">
        <v>5985</v>
      </c>
      <c r="G5988" s="64">
        <f t="shared" ca="1" si="132"/>
        <v>5.9942837192581136E-3</v>
      </c>
    </row>
    <row r="5989" spans="6:7" x14ac:dyDescent="0.3">
      <c r="F5989" s="64">
        <v>5986</v>
      </c>
      <c r="G5989" s="64">
        <f t="shared" ca="1" si="132"/>
        <v>2.0652547279328727E-2</v>
      </c>
    </row>
    <row r="5990" spans="6:7" x14ac:dyDescent="0.3">
      <c r="F5990" s="64">
        <v>5987</v>
      </c>
      <c r="G5990" s="64">
        <f t="shared" ca="1" si="132"/>
        <v>1.225642494926007E-2</v>
      </c>
    </row>
    <row r="5991" spans="6:7" x14ac:dyDescent="0.3">
      <c r="F5991" s="64">
        <v>5988</v>
      </c>
      <c r="G5991" s="64">
        <f t="shared" ca="1" si="132"/>
        <v>2.9906634786348439E-2</v>
      </c>
    </row>
    <row r="5992" spans="6:7" x14ac:dyDescent="0.3">
      <c r="F5992" s="64">
        <v>5989</v>
      </c>
      <c r="G5992" s="64">
        <f t="shared" ca="1" si="132"/>
        <v>7.4771167378664656E-3</v>
      </c>
    </row>
    <row r="5993" spans="6:7" x14ac:dyDescent="0.3">
      <c r="F5993" s="64">
        <v>5990</v>
      </c>
      <c r="G5993" s="64">
        <f t="shared" ca="1" si="132"/>
        <v>-2.1265592542673593E-2</v>
      </c>
    </row>
    <row r="5994" spans="6:7" x14ac:dyDescent="0.3">
      <c r="F5994" s="64">
        <v>5991</v>
      </c>
      <c r="G5994" s="64">
        <f t="shared" ca="1" si="132"/>
        <v>5.8285430211386501E-3</v>
      </c>
    </row>
    <row r="5995" spans="6:7" x14ac:dyDescent="0.3">
      <c r="F5995" s="64">
        <v>5992</v>
      </c>
      <c r="G5995" s="64">
        <f t="shared" ca="1" si="132"/>
        <v>-2.7471224355946351E-2</v>
      </c>
    </row>
    <row r="5996" spans="6:7" x14ac:dyDescent="0.3">
      <c r="F5996" s="64">
        <v>5993</v>
      </c>
      <c r="G5996" s="64">
        <f t="shared" ca="1" si="132"/>
        <v>2.5164866373673565E-2</v>
      </c>
    </row>
    <row r="5997" spans="6:7" x14ac:dyDescent="0.3">
      <c r="F5997" s="64">
        <v>5994</v>
      </c>
      <c r="G5997" s="64">
        <f t="shared" ca="1" si="132"/>
        <v>-8.3708752788011764E-3</v>
      </c>
    </row>
    <row r="5998" spans="6:7" x14ac:dyDescent="0.3">
      <c r="F5998" s="64">
        <v>5995</v>
      </c>
      <c r="G5998" s="64">
        <f t="shared" ca="1" si="132"/>
        <v>-7.6989616246559249E-3</v>
      </c>
    </row>
    <row r="5999" spans="6:7" x14ac:dyDescent="0.3">
      <c r="F5999" s="64">
        <v>5996</v>
      </c>
      <c r="G5999" s="64">
        <f t="shared" ca="1" si="132"/>
        <v>-1.098601095670843E-3</v>
      </c>
    </row>
    <row r="6000" spans="6:7" x14ac:dyDescent="0.3">
      <c r="F6000" s="64">
        <v>5997</v>
      </c>
      <c r="G6000" s="64">
        <f t="shared" ca="1" si="132"/>
        <v>-9.6123931344438036E-3</v>
      </c>
    </row>
    <row r="6001" spans="6:7" x14ac:dyDescent="0.3">
      <c r="F6001" s="64">
        <v>5998</v>
      </c>
      <c r="G6001" s="64">
        <f t="shared" ca="1" si="132"/>
        <v>-1.37860056483909E-2</v>
      </c>
    </row>
    <row r="6002" spans="6:7" x14ac:dyDescent="0.3">
      <c r="F6002" s="64">
        <v>5999</v>
      </c>
      <c r="G6002" s="64">
        <f t="shared" ca="1" si="132"/>
        <v>9.0787783588108552E-3</v>
      </c>
    </row>
    <row r="6003" spans="6:7" x14ac:dyDescent="0.3">
      <c r="F6003" s="64">
        <v>6000</v>
      </c>
      <c r="G6003" s="64">
        <f t="shared" ca="1" si="132"/>
        <v>3.5131779992164588E-3</v>
      </c>
    </row>
    <row r="6004" spans="6:7" x14ac:dyDescent="0.3">
      <c r="F6004" s="64">
        <v>6001</v>
      </c>
      <c r="G6004" s="64">
        <f t="shared" ca="1" si="132"/>
        <v>1.9262641287142425E-2</v>
      </c>
    </row>
    <row r="6005" spans="6:7" x14ac:dyDescent="0.3">
      <c r="F6005" s="64">
        <v>6002</v>
      </c>
      <c r="G6005" s="64">
        <f t="shared" ca="1" si="132"/>
        <v>-1.1803073623221281E-2</v>
      </c>
    </row>
    <row r="6006" spans="6:7" x14ac:dyDescent="0.3">
      <c r="F6006" s="64">
        <v>6003</v>
      </c>
      <c r="G6006" s="64">
        <f t="shared" ca="1" si="132"/>
        <v>-7.3008844342240461E-3</v>
      </c>
    </row>
    <row r="6007" spans="6:7" x14ac:dyDescent="0.3">
      <c r="F6007" s="64">
        <v>6004</v>
      </c>
      <c r="G6007" s="64">
        <f t="shared" ca="1" si="132"/>
        <v>1.167735098591451E-3</v>
      </c>
    </row>
    <row r="6008" spans="6:7" x14ac:dyDescent="0.3">
      <c r="F6008" s="64">
        <v>6005</v>
      </c>
      <c r="G6008" s="64">
        <f t="shared" ca="1" si="132"/>
        <v>2.1503617653759098E-2</v>
      </c>
    </row>
    <row r="6009" spans="6:7" x14ac:dyDescent="0.3">
      <c r="F6009" s="64">
        <v>6006</v>
      </c>
      <c r="G6009" s="64">
        <f t="shared" ca="1" si="132"/>
        <v>-1.6453417073334621E-2</v>
      </c>
    </row>
    <row r="6010" spans="6:7" x14ac:dyDescent="0.3">
      <c r="F6010" s="64">
        <v>6007</v>
      </c>
      <c r="G6010" s="64">
        <f t="shared" ca="1" si="132"/>
        <v>5.6225490818208393E-3</v>
      </c>
    </row>
    <row r="6011" spans="6:7" x14ac:dyDescent="0.3">
      <c r="F6011" s="64">
        <v>6008</v>
      </c>
      <c r="G6011" s="64">
        <f t="shared" ca="1" si="132"/>
        <v>-4.1693003291068333E-4</v>
      </c>
    </row>
    <row r="6012" spans="6:7" x14ac:dyDescent="0.3">
      <c r="F6012" s="64">
        <v>6009</v>
      </c>
      <c r="G6012" s="64">
        <f t="shared" ca="1" si="132"/>
        <v>-7.7397989108861087E-3</v>
      </c>
    </row>
    <row r="6013" spans="6:7" x14ac:dyDescent="0.3">
      <c r="F6013" s="64">
        <v>6010</v>
      </c>
      <c r="G6013" s="64">
        <f t="shared" ca="1" si="132"/>
        <v>3.0494553124297559E-2</v>
      </c>
    </row>
    <row r="6014" spans="6:7" x14ac:dyDescent="0.3">
      <c r="F6014" s="64">
        <v>6011</v>
      </c>
      <c r="G6014" s="64">
        <f t="shared" ca="1" si="132"/>
        <v>8.3187960456659674E-3</v>
      </c>
    </row>
    <row r="6015" spans="6:7" x14ac:dyDescent="0.3">
      <c r="F6015" s="64">
        <v>6012</v>
      </c>
      <c r="G6015" s="64">
        <f t="shared" ca="1" si="132"/>
        <v>5.1075511853269882E-3</v>
      </c>
    </row>
    <row r="6016" spans="6:7" x14ac:dyDescent="0.3">
      <c r="F6016" s="64">
        <v>6013</v>
      </c>
      <c r="G6016" s="64">
        <f t="shared" ca="1" si="132"/>
        <v>-2.1695272429488079E-2</v>
      </c>
    </row>
    <row r="6017" spans="6:7" x14ac:dyDescent="0.3">
      <c r="F6017" s="64">
        <v>6014</v>
      </c>
      <c r="G6017" s="64">
        <f t="shared" ca="1" si="132"/>
        <v>-3.3860520090657598E-2</v>
      </c>
    </row>
    <row r="6018" spans="6:7" x14ac:dyDescent="0.3">
      <c r="F6018" s="64">
        <v>6015</v>
      </c>
      <c r="G6018" s="64">
        <f t="shared" ca="1" si="132"/>
        <v>2.5682096772565218E-3</v>
      </c>
    </row>
    <row r="6019" spans="6:7" x14ac:dyDescent="0.3">
      <c r="F6019" s="64">
        <v>6016</v>
      </c>
      <c r="G6019" s="64">
        <f t="shared" ca="1" si="132"/>
        <v>1.9784208032980706E-2</v>
      </c>
    </row>
    <row r="6020" spans="6:7" x14ac:dyDescent="0.3">
      <c r="F6020" s="64">
        <v>6017</v>
      </c>
      <c r="G6020" s="64">
        <f t="shared" ca="1" si="132"/>
        <v>-5.5038897585561169E-3</v>
      </c>
    </row>
    <row r="6021" spans="6:7" x14ac:dyDescent="0.3">
      <c r="F6021" s="64">
        <v>6018</v>
      </c>
      <c r="G6021" s="64">
        <f t="shared" ref="G6021:G6084" ca="1" si="133">_xlfn.NORM.INV(RAND(),K$6,K$7)</f>
        <v>1.4837572263056483E-2</v>
      </c>
    </row>
    <row r="6022" spans="6:7" x14ac:dyDescent="0.3">
      <c r="F6022" s="64">
        <v>6019</v>
      </c>
      <c r="G6022" s="64">
        <f t="shared" ca="1" si="133"/>
        <v>-2.5839839370786578E-2</v>
      </c>
    </row>
    <row r="6023" spans="6:7" x14ac:dyDescent="0.3">
      <c r="F6023" s="64">
        <v>6020</v>
      </c>
      <c r="G6023" s="64">
        <f t="shared" ca="1" si="133"/>
        <v>-2.2005061137561441E-2</v>
      </c>
    </row>
    <row r="6024" spans="6:7" x14ac:dyDescent="0.3">
      <c r="F6024" s="64">
        <v>6021</v>
      </c>
      <c r="G6024" s="64">
        <f t="shared" ca="1" si="133"/>
        <v>-2.7876348990465054E-3</v>
      </c>
    </row>
    <row r="6025" spans="6:7" x14ac:dyDescent="0.3">
      <c r="F6025" s="64">
        <v>6022</v>
      </c>
      <c r="G6025" s="64">
        <f t="shared" ca="1" si="133"/>
        <v>-3.1487430080397345E-3</v>
      </c>
    </row>
    <row r="6026" spans="6:7" x14ac:dyDescent="0.3">
      <c r="F6026" s="64">
        <v>6023</v>
      </c>
      <c r="G6026" s="64">
        <f t="shared" ca="1" si="133"/>
        <v>1.0303899862385323E-2</v>
      </c>
    </row>
    <row r="6027" spans="6:7" x14ac:dyDescent="0.3">
      <c r="F6027" s="64">
        <v>6024</v>
      </c>
      <c r="G6027" s="64">
        <f t="shared" ca="1" si="133"/>
        <v>-1.3140807698415273E-2</v>
      </c>
    </row>
    <row r="6028" spans="6:7" x14ac:dyDescent="0.3">
      <c r="F6028" s="64">
        <v>6025</v>
      </c>
      <c r="G6028" s="64">
        <f t="shared" ca="1" si="133"/>
        <v>1.7429368513755532E-2</v>
      </c>
    </row>
    <row r="6029" spans="6:7" x14ac:dyDescent="0.3">
      <c r="F6029" s="64">
        <v>6026</v>
      </c>
      <c r="G6029" s="64">
        <f t="shared" ca="1" si="133"/>
        <v>-8.9631071445649812E-3</v>
      </c>
    </row>
    <row r="6030" spans="6:7" x14ac:dyDescent="0.3">
      <c r="F6030" s="64">
        <v>6027</v>
      </c>
      <c r="G6030" s="64">
        <f t="shared" ca="1" si="133"/>
        <v>-2.9948959202543445E-2</v>
      </c>
    </row>
    <row r="6031" spans="6:7" x14ac:dyDescent="0.3">
      <c r="F6031" s="64">
        <v>6028</v>
      </c>
      <c r="G6031" s="64">
        <f t="shared" ca="1" si="133"/>
        <v>3.6405777989339358E-3</v>
      </c>
    </row>
    <row r="6032" spans="6:7" x14ac:dyDescent="0.3">
      <c r="F6032" s="64">
        <v>6029</v>
      </c>
      <c r="G6032" s="64">
        <f t="shared" ca="1" si="133"/>
        <v>2.5859949852618858E-2</v>
      </c>
    </row>
    <row r="6033" spans="6:7" x14ac:dyDescent="0.3">
      <c r="F6033" s="64">
        <v>6030</v>
      </c>
      <c r="G6033" s="64">
        <f t="shared" ca="1" si="133"/>
        <v>3.8954462338202739E-2</v>
      </c>
    </row>
    <row r="6034" spans="6:7" x14ac:dyDescent="0.3">
      <c r="F6034" s="64">
        <v>6031</v>
      </c>
      <c r="G6034" s="64">
        <f t="shared" ca="1" si="133"/>
        <v>-3.303402982658527E-3</v>
      </c>
    </row>
    <row r="6035" spans="6:7" x14ac:dyDescent="0.3">
      <c r="F6035" s="64">
        <v>6032</v>
      </c>
      <c r="G6035" s="64">
        <f t="shared" ca="1" si="133"/>
        <v>-1.286207378707421E-2</v>
      </c>
    </row>
    <row r="6036" spans="6:7" x14ac:dyDescent="0.3">
      <c r="F6036" s="64">
        <v>6033</v>
      </c>
      <c r="G6036" s="64">
        <f t="shared" ca="1" si="133"/>
        <v>2.7777953912062202E-3</v>
      </c>
    </row>
    <row r="6037" spans="6:7" x14ac:dyDescent="0.3">
      <c r="F6037" s="64">
        <v>6034</v>
      </c>
      <c r="G6037" s="64">
        <f t="shared" ca="1" si="133"/>
        <v>-2.8140087290547322E-3</v>
      </c>
    </row>
    <row r="6038" spans="6:7" x14ac:dyDescent="0.3">
      <c r="F6038" s="64">
        <v>6035</v>
      </c>
      <c r="G6038" s="64">
        <f t="shared" ca="1" si="133"/>
        <v>4.1500749554924388E-2</v>
      </c>
    </row>
    <row r="6039" spans="6:7" x14ac:dyDescent="0.3">
      <c r="F6039" s="64">
        <v>6036</v>
      </c>
      <c r="G6039" s="64">
        <f t="shared" ca="1" si="133"/>
        <v>3.1859562620488502E-2</v>
      </c>
    </row>
    <row r="6040" spans="6:7" x14ac:dyDescent="0.3">
      <c r="F6040" s="64">
        <v>6037</v>
      </c>
      <c r="G6040" s="64">
        <f t="shared" ca="1" si="133"/>
        <v>4.6044403760560617E-3</v>
      </c>
    </row>
    <row r="6041" spans="6:7" x14ac:dyDescent="0.3">
      <c r="F6041" s="64">
        <v>6038</v>
      </c>
      <c r="G6041" s="64">
        <f t="shared" ca="1" si="133"/>
        <v>-2.9047134023268591E-2</v>
      </c>
    </row>
    <row r="6042" spans="6:7" x14ac:dyDescent="0.3">
      <c r="F6042" s="64">
        <v>6039</v>
      </c>
      <c r="G6042" s="64">
        <f t="shared" ca="1" si="133"/>
        <v>7.6213086049140965E-3</v>
      </c>
    </row>
    <row r="6043" spans="6:7" x14ac:dyDescent="0.3">
      <c r="F6043" s="64">
        <v>6040</v>
      </c>
      <c r="G6043" s="64">
        <f t="shared" ca="1" si="133"/>
        <v>-2.4189525474678793E-2</v>
      </c>
    </row>
    <row r="6044" spans="6:7" x14ac:dyDescent="0.3">
      <c r="F6044" s="64">
        <v>6041</v>
      </c>
      <c r="G6044" s="64">
        <f t="shared" ca="1" si="133"/>
        <v>-6.999951035076668E-3</v>
      </c>
    </row>
    <row r="6045" spans="6:7" x14ac:dyDescent="0.3">
      <c r="F6045" s="64">
        <v>6042</v>
      </c>
      <c r="G6045" s="64">
        <f t="shared" ca="1" si="133"/>
        <v>2.0040458715053994E-3</v>
      </c>
    </row>
    <row r="6046" spans="6:7" x14ac:dyDescent="0.3">
      <c r="F6046" s="64">
        <v>6043</v>
      </c>
      <c r="G6046" s="64">
        <f t="shared" ca="1" si="133"/>
        <v>-7.0642776036051701E-3</v>
      </c>
    </row>
    <row r="6047" spans="6:7" x14ac:dyDescent="0.3">
      <c r="F6047" s="64">
        <v>6044</v>
      </c>
      <c r="G6047" s="64">
        <f t="shared" ca="1" si="133"/>
        <v>-2.4633088265151398E-2</v>
      </c>
    </row>
    <row r="6048" spans="6:7" x14ac:dyDescent="0.3">
      <c r="F6048" s="64">
        <v>6045</v>
      </c>
      <c r="G6048" s="64">
        <f t="shared" ca="1" si="133"/>
        <v>-2.5956552953807208E-2</v>
      </c>
    </row>
    <row r="6049" spans="6:7" x14ac:dyDescent="0.3">
      <c r="F6049" s="64">
        <v>6046</v>
      </c>
      <c r="G6049" s="64">
        <f t="shared" ca="1" si="133"/>
        <v>1.1924415179419926E-2</v>
      </c>
    </row>
    <row r="6050" spans="6:7" x14ac:dyDescent="0.3">
      <c r="F6050" s="64">
        <v>6047</v>
      </c>
      <c r="G6050" s="64">
        <f t="shared" ca="1" si="133"/>
        <v>-1.2541045598289859E-2</v>
      </c>
    </row>
    <row r="6051" spans="6:7" x14ac:dyDescent="0.3">
      <c r="F6051" s="64">
        <v>6048</v>
      </c>
      <c r="G6051" s="64">
        <f t="shared" ca="1" si="133"/>
        <v>1.3942143339803616E-2</v>
      </c>
    </row>
    <row r="6052" spans="6:7" x14ac:dyDescent="0.3">
      <c r="F6052" s="64">
        <v>6049</v>
      </c>
      <c r="G6052" s="64">
        <f t="shared" ca="1" si="133"/>
        <v>-1.2835084040807722E-2</v>
      </c>
    </row>
    <row r="6053" spans="6:7" x14ac:dyDescent="0.3">
      <c r="F6053" s="64">
        <v>6050</v>
      </c>
      <c r="G6053" s="64">
        <f t="shared" ca="1" si="133"/>
        <v>1.1475232217040142E-3</v>
      </c>
    </row>
    <row r="6054" spans="6:7" x14ac:dyDescent="0.3">
      <c r="F6054" s="64">
        <v>6051</v>
      </c>
      <c r="G6054" s="64">
        <f t="shared" ca="1" si="133"/>
        <v>-8.6987429943758809E-3</v>
      </c>
    </row>
    <row r="6055" spans="6:7" x14ac:dyDescent="0.3">
      <c r="F6055" s="64">
        <v>6052</v>
      </c>
      <c r="G6055" s="64">
        <f t="shared" ca="1" si="133"/>
        <v>1.0433771242505264E-2</v>
      </c>
    </row>
    <row r="6056" spans="6:7" x14ac:dyDescent="0.3">
      <c r="F6056" s="64">
        <v>6053</v>
      </c>
      <c r="G6056" s="64">
        <f t="shared" ca="1" si="133"/>
        <v>-2.8165658336256998E-2</v>
      </c>
    </row>
    <row r="6057" spans="6:7" x14ac:dyDescent="0.3">
      <c r="F6057" s="64">
        <v>6054</v>
      </c>
      <c r="G6057" s="64">
        <f t="shared" ca="1" si="133"/>
        <v>-1.4824855995977488E-2</v>
      </c>
    </row>
    <row r="6058" spans="6:7" x14ac:dyDescent="0.3">
      <c r="F6058" s="64">
        <v>6055</v>
      </c>
      <c r="G6058" s="64">
        <f t="shared" ca="1" si="133"/>
        <v>4.2476259286245856E-2</v>
      </c>
    </row>
    <row r="6059" spans="6:7" x14ac:dyDescent="0.3">
      <c r="F6059" s="64">
        <v>6056</v>
      </c>
      <c r="G6059" s="64">
        <f t="shared" ca="1" si="133"/>
        <v>-2.6399549481160002E-2</v>
      </c>
    </row>
    <row r="6060" spans="6:7" x14ac:dyDescent="0.3">
      <c r="F6060" s="64">
        <v>6057</v>
      </c>
      <c r="G6060" s="64">
        <f t="shared" ca="1" si="133"/>
        <v>1.5329195411926233E-2</v>
      </c>
    </row>
    <row r="6061" spans="6:7" x14ac:dyDescent="0.3">
      <c r="F6061" s="64">
        <v>6058</v>
      </c>
      <c r="G6061" s="64">
        <f t="shared" ca="1" si="133"/>
        <v>9.6365706229784819E-3</v>
      </c>
    </row>
    <row r="6062" spans="6:7" x14ac:dyDescent="0.3">
      <c r="F6062" s="64">
        <v>6059</v>
      </c>
      <c r="G6062" s="64">
        <f t="shared" ca="1" si="133"/>
        <v>3.7135125967739407E-2</v>
      </c>
    </row>
    <row r="6063" spans="6:7" x14ac:dyDescent="0.3">
      <c r="F6063" s="64">
        <v>6060</v>
      </c>
      <c r="G6063" s="64">
        <f t="shared" ca="1" si="133"/>
        <v>-1.338468888838799E-2</v>
      </c>
    </row>
    <row r="6064" spans="6:7" x14ac:dyDescent="0.3">
      <c r="F6064" s="64">
        <v>6061</v>
      </c>
      <c r="G6064" s="64">
        <f t="shared" ca="1" si="133"/>
        <v>-5.2074724144897267E-3</v>
      </c>
    </row>
    <row r="6065" spans="6:7" x14ac:dyDescent="0.3">
      <c r="F6065" s="64">
        <v>6062</v>
      </c>
      <c r="G6065" s="64">
        <f t="shared" ca="1" si="133"/>
        <v>1.8459071141999593E-2</v>
      </c>
    </row>
    <row r="6066" spans="6:7" x14ac:dyDescent="0.3">
      <c r="F6066" s="64">
        <v>6063</v>
      </c>
      <c r="G6066" s="64">
        <f t="shared" ca="1" si="133"/>
        <v>2.4568058786121227E-2</v>
      </c>
    </row>
    <row r="6067" spans="6:7" x14ac:dyDescent="0.3">
      <c r="F6067" s="64">
        <v>6064</v>
      </c>
      <c r="G6067" s="64">
        <f t="shared" ca="1" si="133"/>
        <v>1.8551397505408691E-2</v>
      </c>
    </row>
    <row r="6068" spans="6:7" x14ac:dyDescent="0.3">
      <c r="F6068" s="64">
        <v>6065</v>
      </c>
      <c r="G6068" s="64">
        <f t="shared" ca="1" si="133"/>
        <v>7.0681697096828646E-3</v>
      </c>
    </row>
    <row r="6069" spans="6:7" x14ac:dyDescent="0.3">
      <c r="F6069" s="64">
        <v>6066</v>
      </c>
      <c r="G6069" s="64">
        <f t="shared" ca="1" si="133"/>
        <v>2.0760630652666132E-2</v>
      </c>
    </row>
    <row r="6070" spans="6:7" x14ac:dyDescent="0.3">
      <c r="F6070" s="64">
        <v>6067</v>
      </c>
      <c r="G6070" s="64">
        <f t="shared" ca="1" si="133"/>
        <v>-2.1107983538443828E-2</v>
      </c>
    </row>
    <row r="6071" spans="6:7" x14ac:dyDescent="0.3">
      <c r="F6071" s="64">
        <v>6068</v>
      </c>
      <c r="G6071" s="64">
        <f t="shared" ca="1" si="133"/>
        <v>-3.8278026875561396E-3</v>
      </c>
    </row>
    <row r="6072" spans="6:7" x14ac:dyDescent="0.3">
      <c r="F6072" s="64">
        <v>6069</v>
      </c>
      <c r="G6072" s="64">
        <f t="shared" ca="1" si="133"/>
        <v>1.2594404893599026E-2</v>
      </c>
    </row>
    <row r="6073" spans="6:7" x14ac:dyDescent="0.3">
      <c r="F6073" s="64">
        <v>6070</v>
      </c>
      <c r="G6073" s="64">
        <f t="shared" ca="1" si="133"/>
        <v>-3.3350328781789465E-2</v>
      </c>
    </row>
    <row r="6074" spans="6:7" x14ac:dyDescent="0.3">
      <c r="F6074" s="64">
        <v>6071</v>
      </c>
      <c r="G6074" s="64">
        <f t="shared" ca="1" si="133"/>
        <v>-3.4634288392696465E-2</v>
      </c>
    </row>
    <row r="6075" spans="6:7" x14ac:dyDescent="0.3">
      <c r="F6075" s="64">
        <v>6072</v>
      </c>
      <c r="G6075" s="64">
        <f t="shared" ca="1" si="133"/>
        <v>-2.6878889017840795E-3</v>
      </c>
    </row>
    <row r="6076" spans="6:7" x14ac:dyDescent="0.3">
      <c r="F6076" s="64">
        <v>6073</v>
      </c>
      <c r="G6076" s="64">
        <f t="shared" ca="1" si="133"/>
        <v>-6.9222835850444569E-3</v>
      </c>
    </row>
    <row r="6077" spans="6:7" x14ac:dyDescent="0.3">
      <c r="F6077" s="64">
        <v>6074</v>
      </c>
      <c r="G6077" s="64">
        <f t="shared" ca="1" si="133"/>
        <v>5.5250426552143654E-3</v>
      </c>
    </row>
    <row r="6078" spans="6:7" x14ac:dyDescent="0.3">
      <c r="F6078" s="64">
        <v>6075</v>
      </c>
      <c r="G6078" s="64">
        <f t="shared" ca="1" si="133"/>
        <v>-1.6853067460167966E-2</v>
      </c>
    </row>
    <row r="6079" spans="6:7" x14ac:dyDescent="0.3">
      <c r="F6079" s="64">
        <v>6076</v>
      </c>
      <c r="G6079" s="64">
        <f t="shared" ca="1" si="133"/>
        <v>-1.9164782818801983E-2</v>
      </c>
    </row>
    <row r="6080" spans="6:7" x14ac:dyDescent="0.3">
      <c r="F6080" s="64">
        <v>6077</v>
      </c>
      <c r="G6080" s="64">
        <f t="shared" ca="1" si="133"/>
        <v>-3.4100244924411393E-3</v>
      </c>
    </row>
    <row r="6081" spans="6:7" x14ac:dyDescent="0.3">
      <c r="F6081" s="64">
        <v>6078</v>
      </c>
      <c r="G6081" s="64">
        <f t="shared" ca="1" si="133"/>
        <v>-1.3963679561091591E-2</v>
      </c>
    </row>
    <row r="6082" spans="6:7" x14ac:dyDescent="0.3">
      <c r="F6082" s="64">
        <v>6079</v>
      </c>
      <c r="G6082" s="64">
        <f t="shared" ca="1" si="133"/>
        <v>3.0324492639725201E-3</v>
      </c>
    </row>
    <row r="6083" spans="6:7" x14ac:dyDescent="0.3">
      <c r="F6083" s="64">
        <v>6080</v>
      </c>
      <c r="G6083" s="64">
        <f t="shared" ca="1" si="133"/>
        <v>4.634503228718269E-3</v>
      </c>
    </row>
    <row r="6084" spans="6:7" x14ac:dyDescent="0.3">
      <c r="F6084" s="64">
        <v>6081</v>
      </c>
      <c r="G6084" s="64">
        <f t="shared" ca="1" si="133"/>
        <v>-3.3049894753940899E-2</v>
      </c>
    </row>
    <row r="6085" spans="6:7" x14ac:dyDescent="0.3">
      <c r="F6085" s="64">
        <v>6082</v>
      </c>
      <c r="G6085" s="64">
        <f t="shared" ref="G6085:G6148" ca="1" si="134">_xlfn.NORM.INV(RAND(),K$6,K$7)</f>
        <v>7.6414657646339682E-3</v>
      </c>
    </row>
    <row r="6086" spans="6:7" x14ac:dyDescent="0.3">
      <c r="F6086" s="64">
        <v>6083</v>
      </c>
      <c r="G6086" s="64">
        <f t="shared" ca="1" si="134"/>
        <v>4.9246041577304623E-3</v>
      </c>
    </row>
    <row r="6087" spans="6:7" x14ac:dyDescent="0.3">
      <c r="F6087" s="64">
        <v>6084</v>
      </c>
      <c r="G6087" s="64">
        <f t="shared" ca="1" si="134"/>
        <v>-4.4821508329218017E-3</v>
      </c>
    </row>
    <row r="6088" spans="6:7" x14ac:dyDescent="0.3">
      <c r="F6088" s="64">
        <v>6085</v>
      </c>
      <c r="G6088" s="64">
        <f t="shared" ca="1" si="134"/>
        <v>-2.9703871520755189E-2</v>
      </c>
    </row>
    <row r="6089" spans="6:7" x14ac:dyDescent="0.3">
      <c r="F6089" s="64">
        <v>6086</v>
      </c>
      <c r="G6089" s="64">
        <f t="shared" ca="1" si="134"/>
        <v>2.0550720776155107E-2</v>
      </c>
    </row>
    <row r="6090" spans="6:7" x14ac:dyDescent="0.3">
      <c r="F6090" s="64">
        <v>6087</v>
      </c>
      <c r="G6090" s="64">
        <f t="shared" ca="1" si="134"/>
        <v>-4.2352782690961658E-3</v>
      </c>
    </row>
    <row r="6091" spans="6:7" x14ac:dyDescent="0.3">
      <c r="F6091" s="64">
        <v>6088</v>
      </c>
      <c r="G6091" s="64">
        <f t="shared" ca="1" si="134"/>
        <v>-3.0238656872516784E-2</v>
      </c>
    </row>
    <row r="6092" spans="6:7" x14ac:dyDescent="0.3">
      <c r="F6092" s="64">
        <v>6089</v>
      </c>
      <c r="G6092" s="64">
        <f t="shared" ca="1" si="134"/>
        <v>2.9441616000763231E-3</v>
      </c>
    </row>
    <row r="6093" spans="6:7" x14ac:dyDescent="0.3">
      <c r="F6093" s="64">
        <v>6090</v>
      </c>
      <c r="G6093" s="64">
        <f t="shared" ca="1" si="134"/>
        <v>1.6547909137763145E-3</v>
      </c>
    </row>
    <row r="6094" spans="6:7" x14ac:dyDescent="0.3">
      <c r="F6094" s="64">
        <v>6091</v>
      </c>
      <c r="G6094" s="64">
        <f t="shared" ca="1" si="134"/>
        <v>1.1387035648730151E-2</v>
      </c>
    </row>
    <row r="6095" spans="6:7" x14ac:dyDescent="0.3">
      <c r="F6095" s="64">
        <v>6092</v>
      </c>
      <c r="G6095" s="64">
        <f t="shared" ca="1" si="134"/>
        <v>2.6693036708570615E-2</v>
      </c>
    </row>
    <row r="6096" spans="6:7" x14ac:dyDescent="0.3">
      <c r="F6096" s="64">
        <v>6093</v>
      </c>
      <c r="G6096" s="64">
        <f t="shared" ca="1" si="134"/>
        <v>-2.6124741268122989E-2</v>
      </c>
    </row>
    <row r="6097" spans="6:7" x14ac:dyDescent="0.3">
      <c r="F6097" s="64">
        <v>6094</v>
      </c>
      <c r="G6097" s="64">
        <f t="shared" ca="1" si="134"/>
        <v>1.3379301862915912E-2</v>
      </c>
    </row>
    <row r="6098" spans="6:7" x14ac:dyDescent="0.3">
      <c r="F6098" s="64">
        <v>6095</v>
      </c>
      <c r="G6098" s="64">
        <f t="shared" ca="1" si="134"/>
        <v>-7.515746830416465E-3</v>
      </c>
    </row>
    <row r="6099" spans="6:7" x14ac:dyDescent="0.3">
      <c r="F6099" s="64">
        <v>6096</v>
      </c>
      <c r="G6099" s="64">
        <f t="shared" ca="1" si="134"/>
        <v>-1.4827019128551994E-2</v>
      </c>
    </row>
    <row r="6100" spans="6:7" x14ac:dyDescent="0.3">
      <c r="F6100" s="64">
        <v>6097</v>
      </c>
      <c r="G6100" s="64">
        <f t="shared" ca="1" si="134"/>
        <v>2.7081995777747211E-2</v>
      </c>
    </row>
    <row r="6101" spans="6:7" x14ac:dyDescent="0.3">
      <c r="F6101" s="64">
        <v>6098</v>
      </c>
      <c r="G6101" s="64">
        <f t="shared" ca="1" si="134"/>
        <v>-1.6996865612298524E-2</v>
      </c>
    </row>
    <row r="6102" spans="6:7" x14ac:dyDescent="0.3">
      <c r="F6102" s="64">
        <v>6099</v>
      </c>
      <c r="G6102" s="64">
        <f t="shared" ca="1" si="134"/>
        <v>-9.6675995572208465E-3</v>
      </c>
    </row>
    <row r="6103" spans="6:7" x14ac:dyDescent="0.3">
      <c r="F6103" s="64">
        <v>6100</v>
      </c>
      <c r="G6103" s="64">
        <f t="shared" ca="1" si="134"/>
        <v>-9.6820579942339235E-3</v>
      </c>
    </row>
    <row r="6104" spans="6:7" x14ac:dyDescent="0.3">
      <c r="F6104" s="64">
        <v>6101</v>
      </c>
      <c r="G6104" s="64">
        <f t="shared" ca="1" si="134"/>
        <v>9.1708928171124089E-3</v>
      </c>
    </row>
    <row r="6105" spans="6:7" x14ac:dyDescent="0.3">
      <c r="F6105" s="64">
        <v>6102</v>
      </c>
      <c r="G6105" s="64">
        <f t="shared" ca="1" si="134"/>
        <v>-1.5806094375182922E-3</v>
      </c>
    </row>
    <row r="6106" spans="6:7" x14ac:dyDescent="0.3">
      <c r="F6106" s="64">
        <v>6103</v>
      </c>
      <c r="G6106" s="64">
        <f t="shared" ca="1" si="134"/>
        <v>3.8227634597340757E-2</v>
      </c>
    </row>
    <row r="6107" spans="6:7" x14ac:dyDescent="0.3">
      <c r="F6107" s="64">
        <v>6104</v>
      </c>
      <c r="G6107" s="64">
        <f t="shared" ca="1" si="134"/>
        <v>1.9485899680411777E-3</v>
      </c>
    </row>
    <row r="6108" spans="6:7" x14ac:dyDescent="0.3">
      <c r="F6108" s="64">
        <v>6105</v>
      </c>
      <c r="G6108" s="64">
        <f t="shared" ca="1" si="134"/>
        <v>-7.4005044631787042E-3</v>
      </c>
    </row>
    <row r="6109" spans="6:7" x14ac:dyDescent="0.3">
      <c r="F6109" s="64">
        <v>6106</v>
      </c>
      <c r="G6109" s="64">
        <f t="shared" ca="1" si="134"/>
        <v>1.1974477366427302E-2</v>
      </c>
    </row>
    <row r="6110" spans="6:7" x14ac:dyDescent="0.3">
      <c r="F6110" s="64">
        <v>6107</v>
      </c>
      <c r="G6110" s="64">
        <f t="shared" ca="1" si="134"/>
        <v>-2.7541598311782017E-2</v>
      </c>
    </row>
    <row r="6111" spans="6:7" x14ac:dyDescent="0.3">
      <c r="F6111" s="64">
        <v>6108</v>
      </c>
      <c r="G6111" s="64">
        <f t="shared" ca="1" si="134"/>
        <v>6.8607100262534221E-3</v>
      </c>
    </row>
    <row r="6112" spans="6:7" x14ac:dyDescent="0.3">
      <c r="F6112" s="64">
        <v>6109</v>
      </c>
      <c r="G6112" s="64">
        <f t="shared" ca="1" si="134"/>
        <v>-1.7960517846630684E-2</v>
      </c>
    </row>
    <row r="6113" spans="6:7" x14ac:dyDescent="0.3">
      <c r="F6113" s="64">
        <v>6110</v>
      </c>
      <c r="G6113" s="64">
        <f t="shared" ca="1" si="134"/>
        <v>-2.1369819460017571E-2</v>
      </c>
    </row>
    <row r="6114" spans="6:7" x14ac:dyDescent="0.3">
      <c r="F6114" s="64">
        <v>6111</v>
      </c>
      <c r="G6114" s="64">
        <f t="shared" ca="1" si="134"/>
        <v>1.2435026819752469E-2</v>
      </c>
    </row>
    <row r="6115" spans="6:7" x14ac:dyDescent="0.3">
      <c r="F6115" s="64">
        <v>6112</v>
      </c>
      <c r="G6115" s="64">
        <f t="shared" ca="1" si="134"/>
        <v>2.6865817910246101E-2</v>
      </c>
    </row>
    <row r="6116" spans="6:7" x14ac:dyDescent="0.3">
      <c r="F6116" s="64">
        <v>6113</v>
      </c>
      <c r="G6116" s="64">
        <f t="shared" ca="1" si="134"/>
        <v>1.8264369949280795E-2</v>
      </c>
    </row>
    <row r="6117" spans="6:7" x14ac:dyDescent="0.3">
      <c r="F6117" s="64">
        <v>6114</v>
      </c>
      <c r="G6117" s="64">
        <f t="shared" ca="1" si="134"/>
        <v>4.0496502355899966E-2</v>
      </c>
    </row>
    <row r="6118" spans="6:7" x14ac:dyDescent="0.3">
      <c r="F6118" s="64">
        <v>6115</v>
      </c>
      <c r="G6118" s="64">
        <f t="shared" ca="1" si="134"/>
        <v>-1.2810846759813959E-2</v>
      </c>
    </row>
    <row r="6119" spans="6:7" x14ac:dyDescent="0.3">
      <c r="F6119" s="64">
        <v>6116</v>
      </c>
      <c r="G6119" s="64">
        <f t="shared" ca="1" si="134"/>
        <v>2.9490876802248926E-2</v>
      </c>
    </row>
    <row r="6120" spans="6:7" x14ac:dyDescent="0.3">
      <c r="F6120" s="64">
        <v>6117</v>
      </c>
      <c r="G6120" s="64">
        <f t="shared" ca="1" si="134"/>
        <v>8.1683799358955454E-4</v>
      </c>
    </row>
    <row r="6121" spans="6:7" x14ac:dyDescent="0.3">
      <c r="F6121" s="64">
        <v>6118</v>
      </c>
      <c r="G6121" s="64">
        <f t="shared" ca="1" si="134"/>
        <v>-1.361969091150873E-2</v>
      </c>
    </row>
    <row r="6122" spans="6:7" x14ac:dyDescent="0.3">
      <c r="F6122" s="64">
        <v>6119</v>
      </c>
      <c r="G6122" s="64">
        <f t="shared" ca="1" si="134"/>
        <v>3.9114249450877478E-3</v>
      </c>
    </row>
    <row r="6123" spans="6:7" x14ac:dyDescent="0.3">
      <c r="F6123" s="64">
        <v>6120</v>
      </c>
      <c r="G6123" s="64">
        <f t="shared" ca="1" si="134"/>
        <v>9.7612184149940373E-5</v>
      </c>
    </row>
    <row r="6124" spans="6:7" x14ac:dyDescent="0.3">
      <c r="F6124" s="64">
        <v>6121</v>
      </c>
      <c r="G6124" s="64">
        <f t="shared" ca="1" si="134"/>
        <v>2.2488623269929883E-2</v>
      </c>
    </row>
    <row r="6125" spans="6:7" x14ac:dyDescent="0.3">
      <c r="F6125" s="64">
        <v>6122</v>
      </c>
      <c r="G6125" s="64">
        <f t="shared" ca="1" si="134"/>
        <v>4.5132132452503797E-2</v>
      </c>
    </row>
    <row r="6126" spans="6:7" x14ac:dyDescent="0.3">
      <c r="F6126" s="64">
        <v>6123</v>
      </c>
      <c r="G6126" s="64">
        <f t="shared" ca="1" si="134"/>
        <v>-6.5103290050849104E-3</v>
      </c>
    </row>
    <row r="6127" spans="6:7" x14ac:dyDescent="0.3">
      <c r="F6127" s="64">
        <v>6124</v>
      </c>
      <c r="G6127" s="64">
        <f t="shared" ca="1" si="134"/>
        <v>1.2825541182986202E-2</v>
      </c>
    </row>
    <row r="6128" spans="6:7" x14ac:dyDescent="0.3">
      <c r="F6128" s="64">
        <v>6125</v>
      </c>
      <c r="G6128" s="64">
        <f t="shared" ca="1" si="134"/>
        <v>3.8094202317828789E-3</v>
      </c>
    </row>
    <row r="6129" spans="6:7" x14ac:dyDescent="0.3">
      <c r="F6129" s="64">
        <v>6126</v>
      </c>
      <c r="G6129" s="64">
        <f t="shared" ca="1" si="134"/>
        <v>-2.8027812091509036E-2</v>
      </c>
    </row>
    <row r="6130" spans="6:7" x14ac:dyDescent="0.3">
      <c r="F6130" s="64">
        <v>6127</v>
      </c>
      <c r="G6130" s="64">
        <f t="shared" ca="1" si="134"/>
        <v>-7.4003900434613124E-3</v>
      </c>
    </row>
    <row r="6131" spans="6:7" x14ac:dyDescent="0.3">
      <c r="F6131" s="64">
        <v>6128</v>
      </c>
      <c r="G6131" s="64">
        <f t="shared" ca="1" si="134"/>
        <v>2.9404086762956944E-2</v>
      </c>
    </row>
    <row r="6132" spans="6:7" x14ac:dyDescent="0.3">
      <c r="F6132" s="64">
        <v>6129</v>
      </c>
      <c r="G6132" s="64">
        <f t="shared" ca="1" si="134"/>
        <v>1.0769021400472863E-2</v>
      </c>
    </row>
    <row r="6133" spans="6:7" x14ac:dyDescent="0.3">
      <c r="F6133" s="64">
        <v>6130</v>
      </c>
      <c r="G6133" s="64">
        <f t="shared" ca="1" si="134"/>
        <v>2.6581695992376086E-2</v>
      </c>
    </row>
    <row r="6134" spans="6:7" x14ac:dyDescent="0.3">
      <c r="F6134" s="64">
        <v>6131</v>
      </c>
      <c r="G6134" s="64">
        <f t="shared" ca="1" si="134"/>
        <v>-5.396939982069208E-3</v>
      </c>
    </row>
    <row r="6135" spans="6:7" x14ac:dyDescent="0.3">
      <c r="F6135" s="64">
        <v>6132</v>
      </c>
      <c r="G6135" s="64">
        <f t="shared" ca="1" si="134"/>
        <v>-1.2999846483741929E-2</v>
      </c>
    </row>
    <row r="6136" spans="6:7" x14ac:dyDescent="0.3">
      <c r="F6136" s="64">
        <v>6133</v>
      </c>
      <c r="G6136" s="64">
        <f t="shared" ca="1" si="134"/>
        <v>-5.3158076958428353E-3</v>
      </c>
    </row>
    <row r="6137" spans="6:7" x14ac:dyDescent="0.3">
      <c r="F6137" s="64">
        <v>6134</v>
      </c>
      <c r="G6137" s="64">
        <f t="shared" ca="1" si="134"/>
        <v>-9.8890408350465944E-4</v>
      </c>
    </row>
    <row r="6138" spans="6:7" x14ac:dyDescent="0.3">
      <c r="F6138" s="64">
        <v>6135</v>
      </c>
      <c r="G6138" s="64">
        <f t="shared" ca="1" si="134"/>
        <v>1.4740715917623022E-2</v>
      </c>
    </row>
    <row r="6139" spans="6:7" x14ac:dyDescent="0.3">
      <c r="F6139" s="64">
        <v>6136</v>
      </c>
      <c r="G6139" s="64">
        <f t="shared" ca="1" si="134"/>
        <v>-2.1537410944489709E-2</v>
      </c>
    </row>
    <row r="6140" spans="6:7" x14ac:dyDescent="0.3">
      <c r="F6140" s="64">
        <v>6137</v>
      </c>
      <c r="G6140" s="64">
        <f t="shared" ca="1" si="134"/>
        <v>4.4124745120994241E-3</v>
      </c>
    </row>
    <row r="6141" spans="6:7" x14ac:dyDescent="0.3">
      <c r="F6141" s="64">
        <v>6138</v>
      </c>
      <c r="G6141" s="64">
        <f t="shared" ca="1" si="134"/>
        <v>2.3916176009396703E-2</v>
      </c>
    </row>
    <row r="6142" spans="6:7" x14ac:dyDescent="0.3">
      <c r="F6142" s="64">
        <v>6139</v>
      </c>
      <c r="G6142" s="64">
        <f t="shared" ca="1" si="134"/>
        <v>5.398127124551547E-3</v>
      </c>
    </row>
    <row r="6143" spans="6:7" x14ac:dyDescent="0.3">
      <c r="F6143" s="64">
        <v>6140</v>
      </c>
      <c r="G6143" s="64">
        <f t="shared" ca="1" si="134"/>
        <v>-7.534296290012503E-3</v>
      </c>
    </row>
    <row r="6144" spans="6:7" x14ac:dyDescent="0.3">
      <c r="F6144" s="64">
        <v>6141</v>
      </c>
      <c r="G6144" s="64">
        <f t="shared" ca="1" si="134"/>
        <v>2.9057908849643266E-2</v>
      </c>
    </row>
    <row r="6145" spans="6:7" x14ac:dyDescent="0.3">
      <c r="F6145" s="64">
        <v>6142</v>
      </c>
      <c r="G6145" s="64">
        <f t="shared" ca="1" si="134"/>
        <v>-1.5618876709349175E-2</v>
      </c>
    </row>
    <row r="6146" spans="6:7" x14ac:dyDescent="0.3">
      <c r="F6146" s="64">
        <v>6143</v>
      </c>
      <c r="G6146" s="64">
        <f t="shared" ca="1" si="134"/>
        <v>-8.7344218489229363E-3</v>
      </c>
    </row>
    <row r="6147" spans="6:7" x14ac:dyDescent="0.3">
      <c r="F6147" s="64">
        <v>6144</v>
      </c>
      <c r="G6147" s="64">
        <f t="shared" ca="1" si="134"/>
        <v>2.0724529169390223E-2</v>
      </c>
    </row>
    <row r="6148" spans="6:7" x14ac:dyDescent="0.3">
      <c r="F6148" s="64">
        <v>6145</v>
      </c>
      <c r="G6148" s="64">
        <f t="shared" ca="1" si="134"/>
        <v>4.066957089930915E-2</v>
      </c>
    </row>
    <row r="6149" spans="6:7" x14ac:dyDescent="0.3">
      <c r="F6149" s="64">
        <v>6146</v>
      </c>
      <c r="G6149" s="64">
        <f t="shared" ref="G6149:G6212" ca="1" si="135">_xlfn.NORM.INV(RAND(),K$6,K$7)</f>
        <v>-2.7021137672620071E-2</v>
      </c>
    </row>
    <row r="6150" spans="6:7" x14ac:dyDescent="0.3">
      <c r="F6150" s="64">
        <v>6147</v>
      </c>
      <c r="G6150" s="64">
        <f t="shared" ca="1" si="135"/>
        <v>4.4076547345147044E-2</v>
      </c>
    </row>
    <row r="6151" spans="6:7" x14ac:dyDescent="0.3">
      <c r="F6151" s="64">
        <v>6148</v>
      </c>
      <c r="G6151" s="64">
        <f t="shared" ca="1" si="135"/>
        <v>5.2522875506856017E-3</v>
      </c>
    </row>
    <row r="6152" spans="6:7" x14ac:dyDescent="0.3">
      <c r="F6152" s="64">
        <v>6149</v>
      </c>
      <c r="G6152" s="64">
        <f t="shared" ca="1" si="135"/>
        <v>-3.3118755493997981E-2</v>
      </c>
    </row>
    <row r="6153" spans="6:7" x14ac:dyDescent="0.3">
      <c r="F6153" s="64">
        <v>6150</v>
      </c>
      <c r="G6153" s="64">
        <f t="shared" ca="1" si="135"/>
        <v>-2.3247681509805719E-3</v>
      </c>
    </row>
    <row r="6154" spans="6:7" x14ac:dyDescent="0.3">
      <c r="F6154" s="64">
        <v>6151</v>
      </c>
      <c r="G6154" s="64">
        <f t="shared" ca="1" si="135"/>
        <v>-1.9695230662135473E-2</v>
      </c>
    </row>
    <row r="6155" spans="6:7" x14ac:dyDescent="0.3">
      <c r="F6155" s="64">
        <v>6152</v>
      </c>
      <c r="G6155" s="64">
        <f t="shared" ca="1" si="135"/>
        <v>2.6452845100085172E-2</v>
      </c>
    </row>
    <row r="6156" spans="6:7" x14ac:dyDescent="0.3">
      <c r="F6156" s="64">
        <v>6153</v>
      </c>
      <c r="G6156" s="64">
        <f t="shared" ca="1" si="135"/>
        <v>-1.1162599935041349E-2</v>
      </c>
    </row>
    <row r="6157" spans="6:7" x14ac:dyDescent="0.3">
      <c r="F6157" s="64">
        <v>6154</v>
      </c>
      <c r="G6157" s="64">
        <f t="shared" ca="1" si="135"/>
        <v>4.3487830507257987E-3</v>
      </c>
    </row>
    <row r="6158" spans="6:7" x14ac:dyDescent="0.3">
      <c r="F6158" s="64">
        <v>6155</v>
      </c>
      <c r="G6158" s="64">
        <f t="shared" ca="1" si="135"/>
        <v>1.5100978394672771E-2</v>
      </c>
    </row>
    <row r="6159" spans="6:7" x14ac:dyDescent="0.3">
      <c r="F6159" s="64">
        <v>6156</v>
      </c>
      <c r="G6159" s="64">
        <f t="shared" ca="1" si="135"/>
        <v>4.8532812987223612E-3</v>
      </c>
    </row>
    <row r="6160" spans="6:7" x14ac:dyDescent="0.3">
      <c r="F6160" s="64">
        <v>6157</v>
      </c>
      <c r="G6160" s="64">
        <f t="shared" ca="1" si="135"/>
        <v>7.7191130677757222E-3</v>
      </c>
    </row>
    <row r="6161" spans="6:7" x14ac:dyDescent="0.3">
      <c r="F6161" s="64">
        <v>6158</v>
      </c>
      <c r="G6161" s="64">
        <f t="shared" ca="1" si="135"/>
        <v>-2.1837463274477615E-3</v>
      </c>
    </row>
    <row r="6162" spans="6:7" x14ac:dyDescent="0.3">
      <c r="F6162" s="64">
        <v>6159</v>
      </c>
      <c r="G6162" s="64">
        <f t="shared" ca="1" si="135"/>
        <v>-8.5580181510155427E-3</v>
      </c>
    </row>
    <row r="6163" spans="6:7" x14ac:dyDescent="0.3">
      <c r="F6163" s="64">
        <v>6160</v>
      </c>
      <c r="G6163" s="64">
        <f t="shared" ca="1" si="135"/>
        <v>6.37167581473969E-3</v>
      </c>
    </row>
    <row r="6164" spans="6:7" x14ac:dyDescent="0.3">
      <c r="F6164" s="64">
        <v>6161</v>
      </c>
      <c r="G6164" s="64">
        <f t="shared" ca="1" si="135"/>
        <v>5.6740252773258325E-3</v>
      </c>
    </row>
    <row r="6165" spans="6:7" x14ac:dyDescent="0.3">
      <c r="F6165" s="64">
        <v>6162</v>
      </c>
      <c r="G6165" s="64">
        <f t="shared" ca="1" si="135"/>
        <v>-8.1398943662050003E-3</v>
      </c>
    </row>
    <row r="6166" spans="6:7" x14ac:dyDescent="0.3">
      <c r="F6166" s="64">
        <v>6163</v>
      </c>
      <c r="G6166" s="64">
        <f t="shared" ca="1" si="135"/>
        <v>-4.1175019035807397E-3</v>
      </c>
    </row>
    <row r="6167" spans="6:7" x14ac:dyDescent="0.3">
      <c r="F6167" s="64">
        <v>6164</v>
      </c>
      <c r="G6167" s="64">
        <f t="shared" ca="1" si="135"/>
        <v>-5.5354288672608224E-3</v>
      </c>
    </row>
    <row r="6168" spans="6:7" x14ac:dyDescent="0.3">
      <c r="F6168" s="64">
        <v>6165</v>
      </c>
      <c r="G6168" s="64">
        <f t="shared" ca="1" si="135"/>
        <v>2.6424424736207226E-3</v>
      </c>
    </row>
    <row r="6169" spans="6:7" x14ac:dyDescent="0.3">
      <c r="F6169" s="64">
        <v>6166</v>
      </c>
      <c r="G6169" s="64">
        <f t="shared" ca="1" si="135"/>
        <v>4.0393765413433556E-2</v>
      </c>
    </row>
    <row r="6170" spans="6:7" x14ac:dyDescent="0.3">
      <c r="F6170" s="64">
        <v>6167</v>
      </c>
      <c r="G6170" s="64">
        <f t="shared" ca="1" si="135"/>
        <v>-1.8646730924414441E-2</v>
      </c>
    </row>
    <row r="6171" spans="6:7" x14ac:dyDescent="0.3">
      <c r="F6171" s="64">
        <v>6168</v>
      </c>
      <c r="G6171" s="64">
        <f t="shared" ca="1" si="135"/>
        <v>-2.4053808246173461E-3</v>
      </c>
    </row>
    <row r="6172" spans="6:7" x14ac:dyDescent="0.3">
      <c r="F6172" s="64">
        <v>6169</v>
      </c>
      <c r="G6172" s="64">
        <f t="shared" ca="1" si="135"/>
        <v>-1.342213105622991E-2</v>
      </c>
    </row>
    <row r="6173" spans="6:7" x14ac:dyDescent="0.3">
      <c r="F6173" s="64">
        <v>6170</v>
      </c>
      <c r="G6173" s="64">
        <f t="shared" ca="1" si="135"/>
        <v>1.0180634808737602E-2</v>
      </c>
    </row>
    <row r="6174" spans="6:7" x14ac:dyDescent="0.3">
      <c r="F6174" s="64">
        <v>6171</v>
      </c>
      <c r="G6174" s="64">
        <f t="shared" ca="1" si="135"/>
        <v>-3.4925566371648752E-2</v>
      </c>
    </row>
    <row r="6175" spans="6:7" x14ac:dyDescent="0.3">
      <c r="F6175" s="64">
        <v>6172</v>
      </c>
      <c r="G6175" s="64">
        <f t="shared" ca="1" si="135"/>
        <v>-1.2219225018901769E-2</v>
      </c>
    </row>
    <row r="6176" spans="6:7" x14ac:dyDescent="0.3">
      <c r="F6176" s="64">
        <v>6173</v>
      </c>
      <c r="G6176" s="64">
        <f t="shared" ca="1" si="135"/>
        <v>2.2024077752652391E-3</v>
      </c>
    </row>
    <row r="6177" spans="6:7" x14ac:dyDescent="0.3">
      <c r="F6177" s="64">
        <v>6174</v>
      </c>
      <c r="G6177" s="64">
        <f t="shared" ca="1" si="135"/>
        <v>3.5106860136370287E-2</v>
      </c>
    </row>
    <row r="6178" spans="6:7" x14ac:dyDescent="0.3">
      <c r="F6178" s="64">
        <v>6175</v>
      </c>
      <c r="G6178" s="64">
        <f t="shared" ca="1" si="135"/>
        <v>1.25143942673266E-2</v>
      </c>
    </row>
    <row r="6179" spans="6:7" x14ac:dyDescent="0.3">
      <c r="F6179" s="64">
        <v>6176</v>
      </c>
      <c r="G6179" s="64">
        <f t="shared" ca="1" si="135"/>
        <v>-2.2854984815886756E-2</v>
      </c>
    </row>
    <row r="6180" spans="6:7" x14ac:dyDescent="0.3">
      <c r="F6180" s="64">
        <v>6177</v>
      </c>
      <c r="G6180" s="64">
        <f t="shared" ca="1" si="135"/>
        <v>-2.5566799114335355E-2</v>
      </c>
    </row>
    <row r="6181" spans="6:7" x14ac:dyDescent="0.3">
      <c r="F6181" s="64">
        <v>6178</v>
      </c>
      <c r="G6181" s="64">
        <f t="shared" ca="1" si="135"/>
        <v>-6.9445183906058725E-3</v>
      </c>
    </row>
    <row r="6182" spans="6:7" x14ac:dyDescent="0.3">
      <c r="F6182" s="64">
        <v>6179</v>
      </c>
      <c r="G6182" s="64">
        <f t="shared" ca="1" si="135"/>
        <v>-1.0383127516239115E-3</v>
      </c>
    </row>
    <row r="6183" spans="6:7" x14ac:dyDescent="0.3">
      <c r="F6183" s="64">
        <v>6180</v>
      </c>
      <c r="G6183" s="64">
        <f t="shared" ca="1" si="135"/>
        <v>-2.7726929076993846E-2</v>
      </c>
    </row>
    <row r="6184" spans="6:7" x14ac:dyDescent="0.3">
      <c r="F6184" s="64">
        <v>6181</v>
      </c>
      <c r="G6184" s="64">
        <f t="shared" ca="1" si="135"/>
        <v>-3.4163964996883733E-2</v>
      </c>
    </row>
    <row r="6185" spans="6:7" x14ac:dyDescent="0.3">
      <c r="F6185" s="64">
        <v>6182</v>
      </c>
      <c r="G6185" s="64">
        <f t="shared" ca="1" si="135"/>
        <v>3.0967922046870114E-2</v>
      </c>
    </row>
    <row r="6186" spans="6:7" x14ac:dyDescent="0.3">
      <c r="F6186" s="64">
        <v>6183</v>
      </c>
      <c r="G6186" s="64">
        <f t="shared" ca="1" si="135"/>
        <v>6.3556301225151986E-3</v>
      </c>
    </row>
    <row r="6187" spans="6:7" x14ac:dyDescent="0.3">
      <c r="F6187" s="64">
        <v>6184</v>
      </c>
      <c r="G6187" s="64">
        <f t="shared" ca="1" si="135"/>
        <v>8.8197441265218772E-3</v>
      </c>
    </row>
    <row r="6188" spans="6:7" x14ac:dyDescent="0.3">
      <c r="F6188" s="64">
        <v>6185</v>
      </c>
      <c r="G6188" s="64">
        <f t="shared" ca="1" si="135"/>
        <v>-1.8492179170193017E-2</v>
      </c>
    </row>
    <row r="6189" spans="6:7" x14ac:dyDescent="0.3">
      <c r="F6189" s="64">
        <v>6186</v>
      </c>
      <c r="G6189" s="64">
        <f t="shared" ca="1" si="135"/>
        <v>-2.9959339655409676E-6</v>
      </c>
    </row>
    <row r="6190" spans="6:7" x14ac:dyDescent="0.3">
      <c r="F6190" s="64">
        <v>6187</v>
      </c>
      <c r="G6190" s="64">
        <f t="shared" ca="1" si="135"/>
        <v>1.2209391444781307E-3</v>
      </c>
    </row>
    <row r="6191" spans="6:7" x14ac:dyDescent="0.3">
      <c r="F6191" s="64">
        <v>6188</v>
      </c>
      <c r="G6191" s="64">
        <f t="shared" ca="1" si="135"/>
        <v>3.373408803133646E-3</v>
      </c>
    </row>
    <row r="6192" spans="6:7" x14ac:dyDescent="0.3">
      <c r="F6192" s="64">
        <v>6189</v>
      </c>
      <c r="G6192" s="64">
        <f t="shared" ca="1" si="135"/>
        <v>-2.503382452010449E-2</v>
      </c>
    </row>
    <row r="6193" spans="6:7" x14ac:dyDescent="0.3">
      <c r="F6193" s="64">
        <v>6190</v>
      </c>
      <c r="G6193" s="64">
        <f t="shared" ca="1" si="135"/>
        <v>4.4957057189382969E-3</v>
      </c>
    </row>
    <row r="6194" spans="6:7" x14ac:dyDescent="0.3">
      <c r="F6194" s="64">
        <v>6191</v>
      </c>
      <c r="G6194" s="64">
        <f t="shared" ca="1" si="135"/>
        <v>7.5528693853000152E-3</v>
      </c>
    </row>
    <row r="6195" spans="6:7" x14ac:dyDescent="0.3">
      <c r="F6195" s="64">
        <v>6192</v>
      </c>
      <c r="G6195" s="64">
        <f t="shared" ca="1" si="135"/>
        <v>-1.471907852691721E-2</v>
      </c>
    </row>
    <row r="6196" spans="6:7" x14ac:dyDescent="0.3">
      <c r="F6196" s="64">
        <v>6193</v>
      </c>
      <c r="G6196" s="64">
        <f t="shared" ca="1" si="135"/>
        <v>2.1708748500950358E-2</v>
      </c>
    </row>
    <row r="6197" spans="6:7" x14ac:dyDescent="0.3">
      <c r="F6197" s="64">
        <v>6194</v>
      </c>
      <c r="G6197" s="64">
        <f t="shared" ca="1" si="135"/>
        <v>-1.5590813655495488E-2</v>
      </c>
    </row>
    <row r="6198" spans="6:7" x14ac:dyDescent="0.3">
      <c r="F6198" s="64">
        <v>6195</v>
      </c>
      <c r="G6198" s="64">
        <f t="shared" ca="1" si="135"/>
        <v>1.4019213599088395E-3</v>
      </c>
    </row>
    <row r="6199" spans="6:7" x14ac:dyDescent="0.3">
      <c r="F6199" s="64">
        <v>6196</v>
      </c>
      <c r="G6199" s="64">
        <f t="shared" ca="1" si="135"/>
        <v>2.1601976321365526E-2</v>
      </c>
    </row>
    <row r="6200" spans="6:7" x14ac:dyDescent="0.3">
      <c r="F6200" s="64">
        <v>6197</v>
      </c>
      <c r="G6200" s="64">
        <f t="shared" ca="1" si="135"/>
        <v>-4.3905948034220765E-2</v>
      </c>
    </row>
    <row r="6201" spans="6:7" x14ac:dyDescent="0.3">
      <c r="F6201" s="64">
        <v>6198</v>
      </c>
      <c r="G6201" s="64">
        <f t="shared" ca="1" si="135"/>
        <v>-1.5749229184152495E-2</v>
      </c>
    </row>
    <row r="6202" spans="6:7" x14ac:dyDescent="0.3">
      <c r="F6202" s="64">
        <v>6199</v>
      </c>
      <c r="G6202" s="64">
        <f t="shared" ca="1" si="135"/>
        <v>-1.8215801126473155E-2</v>
      </c>
    </row>
    <row r="6203" spans="6:7" x14ac:dyDescent="0.3">
      <c r="F6203" s="64">
        <v>6200</v>
      </c>
      <c r="G6203" s="64">
        <f t="shared" ca="1" si="135"/>
        <v>-3.4219439157749623E-2</v>
      </c>
    </row>
    <row r="6204" spans="6:7" x14ac:dyDescent="0.3">
      <c r="F6204" s="64">
        <v>6201</v>
      </c>
      <c r="G6204" s="64">
        <f t="shared" ca="1" si="135"/>
        <v>1.2046599224276056E-2</v>
      </c>
    </row>
    <row r="6205" spans="6:7" x14ac:dyDescent="0.3">
      <c r="F6205" s="64">
        <v>6202</v>
      </c>
      <c r="G6205" s="64">
        <f t="shared" ca="1" si="135"/>
        <v>-1.4665723143146408E-2</v>
      </c>
    </row>
    <row r="6206" spans="6:7" x14ac:dyDescent="0.3">
      <c r="F6206" s="64">
        <v>6203</v>
      </c>
      <c r="G6206" s="64">
        <f t="shared" ca="1" si="135"/>
        <v>-7.2075447733483677E-3</v>
      </c>
    </row>
    <row r="6207" spans="6:7" x14ac:dyDescent="0.3">
      <c r="F6207" s="64">
        <v>6204</v>
      </c>
      <c r="G6207" s="64">
        <f t="shared" ca="1" si="135"/>
        <v>2.0136318523099189E-2</v>
      </c>
    </row>
    <row r="6208" spans="6:7" x14ac:dyDescent="0.3">
      <c r="F6208" s="64">
        <v>6205</v>
      </c>
      <c r="G6208" s="64">
        <f t="shared" ca="1" si="135"/>
        <v>1.3519449597765172E-2</v>
      </c>
    </row>
    <row r="6209" spans="6:7" x14ac:dyDescent="0.3">
      <c r="F6209" s="64">
        <v>6206</v>
      </c>
      <c r="G6209" s="64">
        <f t="shared" ca="1" si="135"/>
        <v>-2.2733576142074884E-3</v>
      </c>
    </row>
    <row r="6210" spans="6:7" x14ac:dyDescent="0.3">
      <c r="F6210" s="64">
        <v>6207</v>
      </c>
      <c r="G6210" s="64">
        <f t="shared" ca="1" si="135"/>
        <v>-1.623265219481218E-2</v>
      </c>
    </row>
    <row r="6211" spans="6:7" x14ac:dyDescent="0.3">
      <c r="F6211" s="64">
        <v>6208</v>
      </c>
      <c r="G6211" s="64">
        <f t="shared" ca="1" si="135"/>
        <v>1.0660046798393049E-2</v>
      </c>
    </row>
    <row r="6212" spans="6:7" x14ac:dyDescent="0.3">
      <c r="F6212" s="64">
        <v>6209</v>
      </c>
      <c r="G6212" s="64">
        <f t="shared" ca="1" si="135"/>
        <v>6.0837427128907599E-3</v>
      </c>
    </row>
    <row r="6213" spans="6:7" x14ac:dyDescent="0.3">
      <c r="F6213" s="64">
        <v>6210</v>
      </c>
      <c r="G6213" s="64">
        <f t="shared" ref="G6213:G6276" ca="1" si="136">_xlfn.NORM.INV(RAND(),K$6,K$7)</f>
        <v>-6.0408262659585307E-2</v>
      </c>
    </row>
    <row r="6214" spans="6:7" x14ac:dyDescent="0.3">
      <c r="F6214" s="64">
        <v>6211</v>
      </c>
      <c r="G6214" s="64">
        <f t="shared" ca="1" si="136"/>
        <v>2.7088287834207296E-2</v>
      </c>
    </row>
    <row r="6215" spans="6:7" x14ac:dyDescent="0.3">
      <c r="F6215" s="64">
        <v>6212</v>
      </c>
      <c r="G6215" s="64">
        <f t="shared" ca="1" si="136"/>
        <v>-1.5517567189062316E-2</v>
      </c>
    </row>
    <row r="6216" spans="6:7" x14ac:dyDescent="0.3">
      <c r="F6216" s="64">
        <v>6213</v>
      </c>
      <c r="G6216" s="64">
        <f t="shared" ca="1" si="136"/>
        <v>8.5070966815207409E-4</v>
      </c>
    </row>
    <row r="6217" spans="6:7" x14ac:dyDescent="0.3">
      <c r="F6217" s="64">
        <v>6214</v>
      </c>
      <c r="G6217" s="64">
        <f t="shared" ca="1" si="136"/>
        <v>-1.4597604480831309E-2</v>
      </c>
    </row>
    <row r="6218" spans="6:7" x14ac:dyDescent="0.3">
      <c r="F6218" s="64">
        <v>6215</v>
      </c>
      <c r="G6218" s="64">
        <f t="shared" ca="1" si="136"/>
        <v>-1.2996542704796902E-3</v>
      </c>
    </row>
    <row r="6219" spans="6:7" x14ac:dyDescent="0.3">
      <c r="F6219" s="64">
        <v>6216</v>
      </c>
      <c r="G6219" s="64">
        <f t="shared" ca="1" si="136"/>
        <v>1.3127077093447776E-2</v>
      </c>
    </row>
    <row r="6220" spans="6:7" x14ac:dyDescent="0.3">
      <c r="F6220" s="64">
        <v>6217</v>
      </c>
      <c r="G6220" s="64">
        <f t="shared" ca="1" si="136"/>
        <v>4.4373994552174736E-2</v>
      </c>
    </row>
    <row r="6221" spans="6:7" x14ac:dyDescent="0.3">
      <c r="F6221" s="64">
        <v>6218</v>
      </c>
      <c r="G6221" s="64">
        <f t="shared" ca="1" si="136"/>
        <v>-3.9686597703868015E-3</v>
      </c>
    </row>
    <row r="6222" spans="6:7" x14ac:dyDescent="0.3">
      <c r="F6222" s="64">
        <v>6219</v>
      </c>
      <c r="G6222" s="64">
        <f t="shared" ca="1" si="136"/>
        <v>-9.1617724551595354E-3</v>
      </c>
    </row>
    <row r="6223" spans="6:7" x14ac:dyDescent="0.3">
      <c r="F6223" s="64">
        <v>6220</v>
      </c>
      <c r="G6223" s="64">
        <f t="shared" ca="1" si="136"/>
        <v>1.0881843057418879E-2</v>
      </c>
    </row>
    <row r="6224" spans="6:7" x14ac:dyDescent="0.3">
      <c r="F6224" s="64">
        <v>6221</v>
      </c>
      <c r="G6224" s="64">
        <f t="shared" ca="1" si="136"/>
        <v>-4.305715330583014E-2</v>
      </c>
    </row>
    <row r="6225" spans="6:7" x14ac:dyDescent="0.3">
      <c r="F6225" s="64">
        <v>6222</v>
      </c>
      <c r="G6225" s="64">
        <f t="shared" ca="1" si="136"/>
        <v>-2.4232437340976618E-2</v>
      </c>
    </row>
    <row r="6226" spans="6:7" x14ac:dyDescent="0.3">
      <c r="F6226" s="64">
        <v>6223</v>
      </c>
      <c r="G6226" s="64">
        <f t="shared" ca="1" si="136"/>
        <v>5.568441738088766E-4</v>
      </c>
    </row>
    <row r="6227" spans="6:7" x14ac:dyDescent="0.3">
      <c r="F6227" s="64">
        <v>6224</v>
      </c>
      <c r="G6227" s="64">
        <f t="shared" ca="1" si="136"/>
        <v>7.3530836111038661E-3</v>
      </c>
    </row>
    <row r="6228" spans="6:7" x14ac:dyDescent="0.3">
      <c r="F6228" s="64">
        <v>6225</v>
      </c>
      <c r="G6228" s="64">
        <f t="shared" ca="1" si="136"/>
        <v>1.4882100183316056E-3</v>
      </c>
    </row>
    <row r="6229" spans="6:7" x14ac:dyDescent="0.3">
      <c r="F6229" s="64">
        <v>6226</v>
      </c>
      <c r="G6229" s="64">
        <f t="shared" ca="1" si="136"/>
        <v>-1.7327433172308424E-3</v>
      </c>
    </row>
    <row r="6230" spans="6:7" x14ac:dyDescent="0.3">
      <c r="F6230" s="64">
        <v>6227</v>
      </c>
      <c r="G6230" s="64">
        <f t="shared" ca="1" si="136"/>
        <v>1.7706925290951463E-2</v>
      </c>
    </row>
    <row r="6231" spans="6:7" x14ac:dyDescent="0.3">
      <c r="F6231" s="64">
        <v>6228</v>
      </c>
      <c r="G6231" s="64">
        <f t="shared" ca="1" si="136"/>
        <v>-1.5125883253189124E-2</v>
      </c>
    </row>
    <row r="6232" spans="6:7" x14ac:dyDescent="0.3">
      <c r="F6232" s="64">
        <v>6229</v>
      </c>
      <c r="G6232" s="64">
        <f t="shared" ca="1" si="136"/>
        <v>5.5361229855741554E-3</v>
      </c>
    </row>
    <row r="6233" spans="6:7" x14ac:dyDescent="0.3">
      <c r="F6233" s="64">
        <v>6230</v>
      </c>
      <c r="G6233" s="64">
        <f t="shared" ca="1" si="136"/>
        <v>2.1167206954346041E-2</v>
      </c>
    </row>
    <row r="6234" spans="6:7" x14ac:dyDescent="0.3">
      <c r="F6234" s="64">
        <v>6231</v>
      </c>
      <c r="G6234" s="64">
        <f t="shared" ca="1" si="136"/>
        <v>-2.1379431016608362E-3</v>
      </c>
    </row>
    <row r="6235" spans="6:7" x14ac:dyDescent="0.3">
      <c r="F6235" s="64">
        <v>6232</v>
      </c>
      <c r="G6235" s="64">
        <f t="shared" ca="1" si="136"/>
        <v>-6.7344851943291484E-3</v>
      </c>
    </row>
    <row r="6236" spans="6:7" x14ac:dyDescent="0.3">
      <c r="F6236" s="64">
        <v>6233</v>
      </c>
      <c r="G6236" s="64">
        <f t="shared" ca="1" si="136"/>
        <v>1.731687470400594E-2</v>
      </c>
    </row>
    <row r="6237" spans="6:7" x14ac:dyDescent="0.3">
      <c r="F6237" s="64">
        <v>6234</v>
      </c>
      <c r="G6237" s="64">
        <f t="shared" ca="1" si="136"/>
        <v>-2.0857315947294147E-2</v>
      </c>
    </row>
    <row r="6238" spans="6:7" x14ac:dyDescent="0.3">
      <c r="F6238" s="64">
        <v>6235</v>
      </c>
      <c r="G6238" s="64">
        <f t="shared" ca="1" si="136"/>
        <v>-2.6559435507661766E-2</v>
      </c>
    </row>
    <row r="6239" spans="6:7" x14ac:dyDescent="0.3">
      <c r="F6239" s="64">
        <v>6236</v>
      </c>
      <c r="G6239" s="64">
        <f t="shared" ca="1" si="136"/>
        <v>-7.367255669747691E-3</v>
      </c>
    </row>
    <row r="6240" spans="6:7" x14ac:dyDescent="0.3">
      <c r="F6240" s="64">
        <v>6237</v>
      </c>
      <c r="G6240" s="64">
        <f t="shared" ca="1" si="136"/>
        <v>-2.8026228016765856E-3</v>
      </c>
    </row>
    <row r="6241" spans="6:7" x14ac:dyDescent="0.3">
      <c r="F6241" s="64">
        <v>6238</v>
      </c>
      <c r="G6241" s="64">
        <f t="shared" ca="1" si="136"/>
        <v>-2.9842278304125232E-2</v>
      </c>
    </row>
    <row r="6242" spans="6:7" x14ac:dyDescent="0.3">
      <c r="F6242" s="64">
        <v>6239</v>
      </c>
      <c r="G6242" s="64">
        <f t="shared" ca="1" si="136"/>
        <v>-3.3066314650358388E-3</v>
      </c>
    </row>
    <row r="6243" spans="6:7" x14ac:dyDescent="0.3">
      <c r="F6243" s="64">
        <v>6240</v>
      </c>
      <c r="G6243" s="64">
        <f t="shared" ca="1" si="136"/>
        <v>4.0335417139686226E-2</v>
      </c>
    </row>
    <row r="6244" spans="6:7" x14ac:dyDescent="0.3">
      <c r="F6244" s="64">
        <v>6241</v>
      </c>
      <c r="G6244" s="64">
        <f t="shared" ca="1" si="136"/>
        <v>4.1072898628334742E-2</v>
      </c>
    </row>
    <row r="6245" spans="6:7" x14ac:dyDescent="0.3">
      <c r="F6245" s="64">
        <v>6242</v>
      </c>
      <c r="G6245" s="64">
        <f t="shared" ca="1" si="136"/>
        <v>5.7414351065793361E-3</v>
      </c>
    </row>
    <row r="6246" spans="6:7" x14ac:dyDescent="0.3">
      <c r="F6246" s="64">
        <v>6243</v>
      </c>
      <c r="G6246" s="64">
        <f t="shared" ca="1" si="136"/>
        <v>1.0355536213893219E-2</v>
      </c>
    </row>
    <row r="6247" spans="6:7" x14ac:dyDescent="0.3">
      <c r="F6247" s="64">
        <v>6244</v>
      </c>
      <c r="G6247" s="64">
        <f t="shared" ca="1" si="136"/>
        <v>-9.4979685783193324E-3</v>
      </c>
    </row>
    <row r="6248" spans="6:7" x14ac:dyDescent="0.3">
      <c r="F6248" s="64">
        <v>6245</v>
      </c>
      <c r="G6248" s="64">
        <f t="shared" ca="1" si="136"/>
        <v>8.797733244029873E-3</v>
      </c>
    </row>
    <row r="6249" spans="6:7" x14ac:dyDescent="0.3">
      <c r="F6249" s="64">
        <v>6246</v>
      </c>
      <c r="G6249" s="64">
        <f t="shared" ca="1" si="136"/>
        <v>5.153519857658504E-4</v>
      </c>
    </row>
    <row r="6250" spans="6:7" x14ac:dyDescent="0.3">
      <c r="F6250" s="64">
        <v>6247</v>
      </c>
      <c r="G6250" s="64">
        <f t="shared" ca="1" si="136"/>
        <v>1.1881403761050156E-2</v>
      </c>
    </row>
    <row r="6251" spans="6:7" x14ac:dyDescent="0.3">
      <c r="F6251" s="64">
        <v>6248</v>
      </c>
      <c r="G6251" s="64">
        <f t="shared" ca="1" si="136"/>
        <v>-1.1243867730231623E-2</v>
      </c>
    </row>
    <row r="6252" spans="6:7" x14ac:dyDescent="0.3">
      <c r="F6252" s="64">
        <v>6249</v>
      </c>
      <c r="G6252" s="64">
        <f t="shared" ca="1" si="136"/>
        <v>-1.0002065413150466E-2</v>
      </c>
    </row>
    <row r="6253" spans="6:7" x14ac:dyDescent="0.3">
      <c r="F6253" s="64">
        <v>6250</v>
      </c>
      <c r="G6253" s="64">
        <f t="shared" ca="1" si="136"/>
        <v>-2.7972330606196383E-3</v>
      </c>
    </row>
    <row r="6254" spans="6:7" x14ac:dyDescent="0.3">
      <c r="F6254" s="64">
        <v>6251</v>
      </c>
      <c r="G6254" s="64">
        <f t="shared" ca="1" si="136"/>
        <v>-1.4834584924390383E-2</v>
      </c>
    </row>
    <row r="6255" spans="6:7" x14ac:dyDescent="0.3">
      <c r="F6255" s="64">
        <v>6252</v>
      </c>
      <c r="G6255" s="64">
        <f t="shared" ca="1" si="136"/>
        <v>2.5577994441188065E-2</v>
      </c>
    </row>
    <row r="6256" spans="6:7" x14ac:dyDescent="0.3">
      <c r="F6256" s="64">
        <v>6253</v>
      </c>
      <c r="G6256" s="64">
        <f t="shared" ca="1" si="136"/>
        <v>2.3940724840231679E-2</v>
      </c>
    </row>
    <row r="6257" spans="6:7" x14ac:dyDescent="0.3">
      <c r="F6257" s="64">
        <v>6254</v>
      </c>
      <c r="G6257" s="64">
        <f t="shared" ca="1" si="136"/>
        <v>-4.9878224538556573E-3</v>
      </c>
    </row>
    <row r="6258" spans="6:7" x14ac:dyDescent="0.3">
      <c r="F6258" s="64">
        <v>6255</v>
      </c>
      <c r="G6258" s="64">
        <f t="shared" ca="1" si="136"/>
        <v>-7.5604117929509978E-3</v>
      </c>
    </row>
    <row r="6259" spans="6:7" x14ac:dyDescent="0.3">
      <c r="F6259" s="64">
        <v>6256</v>
      </c>
      <c r="G6259" s="64">
        <f t="shared" ca="1" si="136"/>
        <v>-4.9363183155409548E-3</v>
      </c>
    </row>
    <row r="6260" spans="6:7" x14ac:dyDescent="0.3">
      <c r="F6260" s="64">
        <v>6257</v>
      </c>
      <c r="G6260" s="64">
        <f t="shared" ca="1" si="136"/>
        <v>3.8800335759910922E-3</v>
      </c>
    </row>
    <row r="6261" spans="6:7" x14ac:dyDescent="0.3">
      <c r="F6261" s="64">
        <v>6258</v>
      </c>
      <c r="G6261" s="64">
        <f t="shared" ca="1" si="136"/>
        <v>-1.1780540387006013E-3</v>
      </c>
    </row>
    <row r="6262" spans="6:7" x14ac:dyDescent="0.3">
      <c r="F6262" s="64">
        <v>6259</v>
      </c>
      <c r="G6262" s="64">
        <f t="shared" ca="1" si="136"/>
        <v>2.6225621934649619E-2</v>
      </c>
    </row>
    <row r="6263" spans="6:7" x14ac:dyDescent="0.3">
      <c r="F6263" s="64">
        <v>6260</v>
      </c>
      <c r="G6263" s="64">
        <f t="shared" ca="1" si="136"/>
        <v>1.1987112297837251E-2</v>
      </c>
    </row>
    <row r="6264" spans="6:7" x14ac:dyDescent="0.3">
      <c r="F6264" s="64">
        <v>6261</v>
      </c>
      <c r="G6264" s="64">
        <f t="shared" ca="1" si="136"/>
        <v>4.6168332293439779E-2</v>
      </c>
    </row>
    <row r="6265" spans="6:7" x14ac:dyDescent="0.3">
      <c r="F6265" s="64">
        <v>6262</v>
      </c>
      <c r="G6265" s="64">
        <f t="shared" ca="1" si="136"/>
        <v>-4.7772767789451706E-2</v>
      </c>
    </row>
    <row r="6266" spans="6:7" x14ac:dyDescent="0.3">
      <c r="F6266" s="64">
        <v>6263</v>
      </c>
      <c r="G6266" s="64">
        <f t="shared" ca="1" si="136"/>
        <v>-7.0911246384648286E-3</v>
      </c>
    </row>
    <row r="6267" spans="6:7" x14ac:dyDescent="0.3">
      <c r="F6267" s="64">
        <v>6264</v>
      </c>
      <c r="G6267" s="64">
        <f t="shared" ca="1" si="136"/>
        <v>-9.9442719778263054E-3</v>
      </c>
    </row>
    <row r="6268" spans="6:7" x14ac:dyDescent="0.3">
      <c r="F6268" s="64">
        <v>6265</v>
      </c>
      <c r="G6268" s="64">
        <f t="shared" ca="1" si="136"/>
        <v>-3.3109486467737701E-3</v>
      </c>
    </row>
    <row r="6269" spans="6:7" x14ac:dyDescent="0.3">
      <c r="F6269" s="64">
        <v>6266</v>
      </c>
      <c r="G6269" s="64">
        <f t="shared" ca="1" si="136"/>
        <v>1.2693652168141337E-2</v>
      </c>
    </row>
    <row r="6270" spans="6:7" x14ac:dyDescent="0.3">
      <c r="F6270" s="64">
        <v>6267</v>
      </c>
      <c r="G6270" s="64">
        <f t="shared" ca="1" si="136"/>
        <v>-1.6088047951082173E-3</v>
      </c>
    </row>
    <row r="6271" spans="6:7" x14ac:dyDescent="0.3">
      <c r="F6271" s="64">
        <v>6268</v>
      </c>
      <c r="G6271" s="64">
        <f t="shared" ca="1" si="136"/>
        <v>2.4809160002284324E-3</v>
      </c>
    </row>
    <row r="6272" spans="6:7" x14ac:dyDescent="0.3">
      <c r="F6272" s="64">
        <v>6269</v>
      </c>
      <c r="G6272" s="64">
        <f t="shared" ca="1" si="136"/>
        <v>1.4463193653142902E-2</v>
      </c>
    </row>
    <row r="6273" spans="6:7" x14ac:dyDescent="0.3">
      <c r="F6273" s="64">
        <v>6270</v>
      </c>
      <c r="G6273" s="64">
        <f t="shared" ca="1" si="136"/>
        <v>7.9452503878859188E-3</v>
      </c>
    </row>
    <row r="6274" spans="6:7" x14ac:dyDescent="0.3">
      <c r="F6274" s="64">
        <v>6271</v>
      </c>
      <c r="G6274" s="64">
        <f t="shared" ca="1" si="136"/>
        <v>1.4161582711221386E-2</v>
      </c>
    </row>
    <row r="6275" spans="6:7" x14ac:dyDescent="0.3">
      <c r="F6275" s="64">
        <v>6272</v>
      </c>
      <c r="G6275" s="64">
        <f t="shared" ca="1" si="136"/>
        <v>-1.6628257635851663E-2</v>
      </c>
    </row>
    <row r="6276" spans="6:7" x14ac:dyDescent="0.3">
      <c r="F6276" s="64">
        <v>6273</v>
      </c>
      <c r="G6276" s="64">
        <f t="shared" ca="1" si="136"/>
        <v>1.4474640816845947E-2</v>
      </c>
    </row>
    <row r="6277" spans="6:7" x14ac:dyDescent="0.3">
      <c r="F6277" s="64">
        <v>6274</v>
      </c>
      <c r="G6277" s="64">
        <f t="shared" ref="G6277:G6340" ca="1" si="137">_xlfn.NORM.INV(RAND(),K$6,K$7)</f>
        <v>8.3230509274226164E-3</v>
      </c>
    </row>
    <row r="6278" spans="6:7" x14ac:dyDescent="0.3">
      <c r="F6278" s="64">
        <v>6275</v>
      </c>
      <c r="G6278" s="64">
        <f t="shared" ca="1" si="137"/>
        <v>8.4913156183880657E-3</v>
      </c>
    </row>
    <row r="6279" spans="6:7" x14ac:dyDescent="0.3">
      <c r="F6279" s="64">
        <v>6276</v>
      </c>
      <c r="G6279" s="64">
        <f t="shared" ca="1" si="137"/>
        <v>-3.1250518635932957E-2</v>
      </c>
    </row>
    <row r="6280" spans="6:7" x14ac:dyDescent="0.3">
      <c r="F6280" s="64">
        <v>6277</v>
      </c>
      <c r="G6280" s="64">
        <f t="shared" ca="1" si="137"/>
        <v>2.3330845816087506E-2</v>
      </c>
    </row>
    <row r="6281" spans="6:7" x14ac:dyDescent="0.3">
      <c r="F6281" s="64">
        <v>6278</v>
      </c>
      <c r="G6281" s="64">
        <f t="shared" ca="1" si="137"/>
        <v>-3.4860900342966695E-3</v>
      </c>
    </row>
    <row r="6282" spans="6:7" x14ac:dyDescent="0.3">
      <c r="F6282" s="64">
        <v>6279</v>
      </c>
      <c r="G6282" s="64">
        <f t="shared" ca="1" si="137"/>
        <v>-2.7492124340572785E-2</v>
      </c>
    </row>
    <row r="6283" spans="6:7" x14ac:dyDescent="0.3">
      <c r="F6283" s="64">
        <v>6280</v>
      </c>
      <c r="G6283" s="64">
        <f t="shared" ca="1" si="137"/>
        <v>2.8046490875222665E-2</v>
      </c>
    </row>
    <row r="6284" spans="6:7" x14ac:dyDescent="0.3">
      <c r="F6284" s="64">
        <v>6281</v>
      </c>
      <c r="G6284" s="64">
        <f t="shared" ca="1" si="137"/>
        <v>1.5986096580514413E-2</v>
      </c>
    </row>
    <row r="6285" spans="6:7" x14ac:dyDescent="0.3">
      <c r="F6285" s="64">
        <v>6282</v>
      </c>
      <c r="G6285" s="64">
        <f t="shared" ca="1" si="137"/>
        <v>3.6135919699536868E-2</v>
      </c>
    </row>
    <row r="6286" spans="6:7" x14ac:dyDescent="0.3">
      <c r="F6286" s="64">
        <v>6283</v>
      </c>
      <c r="G6286" s="64">
        <f t="shared" ca="1" si="137"/>
        <v>2.1452261680997051E-2</v>
      </c>
    </row>
    <row r="6287" spans="6:7" x14ac:dyDescent="0.3">
      <c r="F6287" s="64">
        <v>6284</v>
      </c>
      <c r="G6287" s="64">
        <f t="shared" ca="1" si="137"/>
        <v>2.9750698423597115E-2</v>
      </c>
    </row>
    <row r="6288" spans="6:7" x14ac:dyDescent="0.3">
      <c r="F6288" s="64">
        <v>6285</v>
      </c>
      <c r="G6288" s="64">
        <f t="shared" ca="1" si="137"/>
        <v>9.0047206013092202E-3</v>
      </c>
    </row>
    <row r="6289" spans="6:7" x14ac:dyDescent="0.3">
      <c r="F6289" s="64">
        <v>6286</v>
      </c>
      <c r="G6289" s="64">
        <f t="shared" ca="1" si="137"/>
        <v>-1.4692097437092102E-2</v>
      </c>
    </row>
    <row r="6290" spans="6:7" x14ac:dyDescent="0.3">
      <c r="F6290" s="64">
        <v>6287</v>
      </c>
      <c r="G6290" s="64">
        <f t="shared" ca="1" si="137"/>
        <v>4.0233645292874348E-2</v>
      </c>
    </row>
    <row r="6291" spans="6:7" x14ac:dyDescent="0.3">
      <c r="F6291" s="64">
        <v>6288</v>
      </c>
      <c r="G6291" s="64">
        <f t="shared" ca="1" si="137"/>
        <v>2.7852403529037291E-2</v>
      </c>
    </row>
    <row r="6292" spans="6:7" x14ac:dyDescent="0.3">
      <c r="F6292" s="64">
        <v>6289</v>
      </c>
      <c r="G6292" s="64">
        <f t="shared" ca="1" si="137"/>
        <v>-1.7801185914320339E-2</v>
      </c>
    </row>
    <row r="6293" spans="6:7" x14ac:dyDescent="0.3">
      <c r="F6293" s="64">
        <v>6290</v>
      </c>
      <c r="G6293" s="64">
        <f t="shared" ca="1" si="137"/>
        <v>-1.0264381073289577E-2</v>
      </c>
    </row>
    <row r="6294" spans="6:7" x14ac:dyDescent="0.3">
      <c r="F6294" s="64">
        <v>6291</v>
      </c>
      <c r="G6294" s="64">
        <f t="shared" ca="1" si="137"/>
        <v>-2.9829914093845146E-2</v>
      </c>
    </row>
    <row r="6295" spans="6:7" x14ac:dyDescent="0.3">
      <c r="F6295" s="64">
        <v>6292</v>
      </c>
      <c r="G6295" s="64">
        <f t="shared" ca="1" si="137"/>
        <v>-8.8922078241715496E-3</v>
      </c>
    </row>
    <row r="6296" spans="6:7" x14ac:dyDescent="0.3">
      <c r="F6296" s="64">
        <v>6293</v>
      </c>
      <c r="G6296" s="64">
        <f t="shared" ca="1" si="137"/>
        <v>9.4089269649432483E-3</v>
      </c>
    </row>
    <row r="6297" spans="6:7" x14ac:dyDescent="0.3">
      <c r="F6297" s="64">
        <v>6294</v>
      </c>
      <c r="G6297" s="64">
        <f t="shared" ca="1" si="137"/>
        <v>1.028570338737498E-2</v>
      </c>
    </row>
    <row r="6298" spans="6:7" x14ac:dyDescent="0.3">
      <c r="F6298" s="64">
        <v>6295</v>
      </c>
      <c r="G6298" s="64">
        <f t="shared" ca="1" si="137"/>
        <v>7.8293236742058604E-3</v>
      </c>
    </row>
    <row r="6299" spans="6:7" x14ac:dyDescent="0.3">
      <c r="F6299" s="64">
        <v>6296</v>
      </c>
      <c r="G6299" s="64">
        <f t="shared" ca="1" si="137"/>
        <v>2.1976294593793043E-2</v>
      </c>
    </row>
    <row r="6300" spans="6:7" x14ac:dyDescent="0.3">
      <c r="F6300" s="64">
        <v>6297</v>
      </c>
      <c r="G6300" s="64">
        <f t="shared" ca="1" si="137"/>
        <v>-1.721271558384653E-2</v>
      </c>
    </row>
    <row r="6301" spans="6:7" x14ac:dyDescent="0.3">
      <c r="F6301" s="64">
        <v>6298</v>
      </c>
      <c r="G6301" s="64">
        <f t="shared" ca="1" si="137"/>
        <v>8.6434962170154617E-3</v>
      </c>
    </row>
    <row r="6302" spans="6:7" x14ac:dyDescent="0.3">
      <c r="F6302" s="64">
        <v>6299</v>
      </c>
      <c r="G6302" s="64">
        <f t="shared" ca="1" si="137"/>
        <v>-2.069661761488098E-2</v>
      </c>
    </row>
    <row r="6303" spans="6:7" x14ac:dyDescent="0.3">
      <c r="F6303" s="64">
        <v>6300</v>
      </c>
      <c r="G6303" s="64">
        <f t="shared" ca="1" si="137"/>
        <v>1.5343058358568615E-2</v>
      </c>
    </row>
    <row r="6304" spans="6:7" x14ac:dyDescent="0.3">
      <c r="F6304" s="64">
        <v>6301</v>
      </c>
      <c r="G6304" s="64">
        <f t="shared" ca="1" si="137"/>
        <v>-3.4249503117876563E-2</v>
      </c>
    </row>
    <row r="6305" spans="6:7" x14ac:dyDescent="0.3">
      <c r="F6305" s="64">
        <v>6302</v>
      </c>
      <c r="G6305" s="64">
        <f t="shared" ca="1" si="137"/>
        <v>1.0159247620351974E-2</v>
      </c>
    </row>
    <row r="6306" spans="6:7" x14ac:dyDescent="0.3">
      <c r="F6306" s="64">
        <v>6303</v>
      </c>
      <c r="G6306" s="64">
        <f t="shared" ca="1" si="137"/>
        <v>-3.1071064730131E-2</v>
      </c>
    </row>
    <row r="6307" spans="6:7" x14ac:dyDescent="0.3">
      <c r="F6307" s="64">
        <v>6304</v>
      </c>
      <c r="G6307" s="64">
        <f t="shared" ca="1" si="137"/>
        <v>2.5860214559989735E-2</v>
      </c>
    </row>
    <row r="6308" spans="6:7" x14ac:dyDescent="0.3">
      <c r="F6308" s="64">
        <v>6305</v>
      </c>
      <c r="G6308" s="64">
        <f t="shared" ca="1" si="137"/>
        <v>-3.961261377408503E-2</v>
      </c>
    </row>
    <row r="6309" spans="6:7" x14ac:dyDescent="0.3">
      <c r="F6309" s="64">
        <v>6306</v>
      </c>
      <c r="G6309" s="64">
        <f t="shared" ca="1" si="137"/>
        <v>-2.9085822136459126E-2</v>
      </c>
    </row>
    <row r="6310" spans="6:7" x14ac:dyDescent="0.3">
      <c r="F6310" s="64">
        <v>6307</v>
      </c>
      <c r="G6310" s="64">
        <f t="shared" ca="1" si="137"/>
        <v>1.5150055185422633E-2</v>
      </c>
    </row>
    <row r="6311" spans="6:7" x14ac:dyDescent="0.3">
      <c r="F6311" s="64">
        <v>6308</v>
      </c>
      <c r="G6311" s="64">
        <f t="shared" ca="1" si="137"/>
        <v>-9.5411880322309687E-3</v>
      </c>
    </row>
    <row r="6312" spans="6:7" x14ac:dyDescent="0.3">
      <c r="F6312" s="64">
        <v>6309</v>
      </c>
      <c r="G6312" s="64">
        <f t="shared" ca="1" si="137"/>
        <v>-3.5488379927640238E-3</v>
      </c>
    </row>
    <row r="6313" spans="6:7" x14ac:dyDescent="0.3">
      <c r="F6313" s="64">
        <v>6310</v>
      </c>
      <c r="G6313" s="64">
        <f t="shared" ca="1" si="137"/>
        <v>1.1214419506416108E-2</v>
      </c>
    </row>
    <row r="6314" spans="6:7" x14ac:dyDescent="0.3">
      <c r="F6314" s="64">
        <v>6311</v>
      </c>
      <c r="G6314" s="64">
        <f t="shared" ca="1" si="137"/>
        <v>1.4074366107930249E-3</v>
      </c>
    </row>
    <row r="6315" spans="6:7" x14ac:dyDescent="0.3">
      <c r="F6315" s="64">
        <v>6312</v>
      </c>
      <c r="G6315" s="64">
        <f t="shared" ca="1" si="137"/>
        <v>-7.9500284639943773E-3</v>
      </c>
    </row>
    <row r="6316" spans="6:7" x14ac:dyDescent="0.3">
      <c r="F6316" s="64">
        <v>6313</v>
      </c>
      <c r="G6316" s="64">
        <f t="shared" ca="1" si="137"/>
        <v>-1.8423455404644296E-2</v>
      </c>
    </row>
    <row r="6317" spans="6:7" x14ac:dyDescent="0.3">
      <c r="F6317" s="64">
        <v>6314</v>
      </c>
      <c r="G6317" s="64">
        <f t="shared" ca="1" si="137"/>
        <v>-6.8942292210024004E-3</v>
      </c>
    </row>
    <row r="6318" spans="6:7" x14ac:dyDescent="0.3">
      <c r="F6318" s="64">
        <v>6315</v>
      </c>
      <c r="G6318" s="64">
        <f t="shared" ca="1" si="137"/>
        <v>1.4444266556376312E-2</v>
      </c>
    </row>
    <row r="6319" spans="6:7" x14ac:dyDescent="0.3">
      <c r="F6319" s="64">
        <v>6316</v>
      </c>
      <c r="G6319" s="64">
        <f t="shared" ca="1" si="137"/>
        <v>3.5699393500535977E-2</v>
      </c>
    </row>
    <row r="6320" spans="6:7" x14ac:dyDescent="0.3">
      <c r="F6320" s="64">
        <v>6317</v>
      </c>
      <c r="G6320" s="64">
        <f t="shared" ca="1" si="137"/>
        <v>-3.1673662797707024E-2</v>
      </c>
    </row>
    <row r="6321" spans="6:7" x14ac:dyDescent="0.3">
      <c r="F6321" s="64">
        <v>6318</v>
      </c>
      <c r="G6321" s="64">
        <f t="shared" ca="1" si="137"/>
        <v>2.6132258215816419E-2</v>
      </c>
    </row>
    <row r="6322" spans="6:7" x14ac:dyDescent="0.3">
      <c r="F6322" s="64">
        <v>6319</v>
      </c>
      <c r="G6322" s="64">
        <f t="shared" ca="1" si="137"/>
        <v>6.4585465477388915E-3</v>
      </c>
    </row>
    <row r="6323" spans="6:7" x14ac:dyDescent="0.3">
      <c r="F6323" s="64">
        <v>6320</v>
      </c>
      <c r="G6323" s="64">
        <f t="shared" ca="1" si="137"/>
        <v>2.0484405135838372E-2</v>
      </c>
    </row>
    <row r="6324" spans="6:7" x14ac:dyDescent="0.3">
      <c r="F6324" s="64">
        <v>6321</v>
      </c>
      <c r="G6324" s="64">
        <f t="shared" ca="1" si="137"/>
        <v>-1.437238558178988E-2</v>
      </c>
    </row>
    <row r="6325" spans="6:7" x14ac:dyDescent="0.3">
      <c r="F6325" s="64">
        <v>6322</v>
      </c>
      <c r="G6325" s="64">
        <f t="shared" ca="1" si="137"/>
        <v>2.8067256896463742E-3</v>
      </c>
    </row>
    <row r="6326" spans="6:7" x14ac:dyDescent="0.3">
      <c r="F6326" s="64">
        <v>6323</v>
      </c>
      <c r="G6326" s="64">
        <f t="shared" ca="1" si="137"/>
        <v>7.8043694367739504E-4</v>
      </c>
    </row>
    <row r="6327" spans="6:7" x14ac:dyDescent="0.3">
      <c r="F6327" s="64">
        <v>6324</v>
      </c>
      <c r="G6327" s="64">
        <f t="shared" ca="1" si="137"/>
        <v>-3.9940338050159667E-2</v>
      </c>
    </row>
    <row r="6328" spans="6:7" x14ac:dyDescent="0.3">
      <c r="F6328" s="64">
        <v>6325</v>
      </c>
      <c r="G6328" s="64">
        <f t="shared" ca="1" si="137"/>
        <v>6.6677011438290483E-3</v>
      </c>
    </row>
    <row r="6329" spans="6:7" x14ac:dyDescent="0.3">
      <c r="F6329" s="64">
        <v>6326</v>
      </c>
      <c r="G6329" s="64">
        <f t="shared" ca="1" si="137"/>
        <v>6.0653180091404246E-3</v>
      </c>
    </row>
    <row r="6330" spans="6:7" x14ac:dyDescent="0.3">
      <c r="F6330" s="64">
        <v>6327</v>
      </c>
      <c r="G6330" s="64">
        <f t="shared" ca="1" si="137"/>
        <v>-1.6462461727133074E-2</v>
      </c>
    </row>
    <row r="6331" spans="6:7" x14ac:dyDescent="0.3">
      <c r="F6331" s="64">
        <v>6328</v>
      </c>
      <c r="G6331" s="64">
        <f t="shared" ca="1" si="137"/>
        <v>-3.3912863435654542E-2</v>
      </c>
    </row>
    <row r="6332" spans="6:7" x14ac:dyDescent="0.3">
      <c r="F6332" s="64">
        <v>6329</v>
      </c>
      <c r="G6332" s="64">
        <f t="shared" ca="1" si="137"/>
        <v>2.3429334223799655E-2</v>
      </c>
    </row>
    <row r="6333" spans="6:7" x14ac:dyDescent="0.3">
      <c r="F6333" s="64">
        <v>6330</v>
      </c>
      <c r="G6333" s="64">
        <f t="shared" ca="1" si="137"/>
        <v>1.6381096639953636E-2</v>
      </c>
    </row>
    <row r="6334" spans="6:7" x14ac:dyDescent="0.3">
      <c r="F6334" s="64">
        <v>6331</v>
      </c>
      <c r="G6334" s="64">
        <f t="shared" ca="1" si="137"/>
        <v>1.2586532119201818E-2</v>
      </c>
    </row>
    <row r="6335" spans="6:7" x14ac:dyDescent="0.3">
      <c r="F6335" s="64">
        <v>6332</v>
      </c>
      <c r="G6335" s="64">
        <f t="shared" ca="1" si="137"/>
        <v>-3.0720051215933776E-2</v>
      </c>
    </row>
    <row r="6336" spans="6:7" x14ac:dyDescent="0.3">
      <c r="F6336" s="64">
        <v>6333</v>
      </c>
      <c r="G6336" s="64">
        <f t="shared" ca="1" si="137"/>
        <v>5.3933110228298383E-3</v>
      </c>
    </row>
    <row r="6337" spans="6:7" x14ac:dyDescent="0.3">
      <c r="F6337" s="64">
        <v>6334</v>
      </c>
      <c r="G6337" s="64">
        <f t="shared" ca="1" si="137"/>
        <v>1.3387635191397386E-2</v>
      </c>
    </row>
    <row r="6338" spans="6:7" x14ac:dyDescent="0.3">
      <c r="F6338" s="64">
        <v>6335</v>
      </c>
      <c r="G6338" s="64">
        <f t="shared" ca="1" si="137"/>
        <v>2.8963274102296405E-2</v>
      </c>
    </row>
    <row r="6339" spans="6:7" x14ac:dyDescent="0.3">
      <c r="F6339" s="64">
        <v>6336</v>
      </c>
      <c r="G6339" s="64">
        <f t="shared" ca="1" si="137"/>
        <v>3.7287391274650264E-2</v>
      </c>
    </row>
    <row r="6340" spans="6:7" x14ac:dyDescent="0.3">
      <c r="F6340" s="64">
        <v>6337</v>
      </c>
      <c r="G6340" s="64">
        <f t="shared" ca="1" si="137"/>
        <v>3.8852908107685345E-2</v>
      </c>
    </row>
    <row r="6341" spans="6:7" x14ac:dyDescent="0.3">
      <c r="F6341" s="64">
        <v>6338</v>
      </c>
      <c r="G6341" s="64">
        <f t="shared" ref="G6341:G6404" ca="1" si="138">_xlfn.NORM.INV(RAND(),K$6,K$7)</f>
        <v>5.9250820706270562E-3</v>
      </c>
    </row>
    <row r="6342" spans="6:7" x14ac:dyDescent="0.3">
      <c r="F6342" s="64">
        <v>6339</v>
      </c>
      <c r="G6342" s="64">
        <f t="shared" ca="1" si="138"/>
        <v>-2.4606222066970648E-2</v>
      </c>
    </row>
    <row r="6343" spans="6:7" x14ac:dyDescent="0.3">
      <c r="F6343" s="64">
        <v>6340</v>
      </c>
      <c r="G6343" s="64">
        <f t="shared" ca="1" si="138"/>
        <v>-2.2563834847285822E-3</v>
      </c>
    </row>
    <row r="6344" spans="6:7" x14ac:dyDescent="0.3">
      <c r="F6344" s="64">
        <v>6341</v>
      </c>
      <c r="G6344" s="64">
        <f t="shared" ca="1" si="138"/>
        <v>2.311062351219316E-2</v>
      </c>
    </row>
    <row r="6345" spans="6:7" x14ac:dyDescent="0.3">
      <c r="F6345" s="64">
        <v>6342</v>
      </c>
      <c r="G6345" s="64">
        <f t="shared" ca="1" si="138"/>
        <v>-3.9757192559008855E-3</v>
      </c>
    </row>
    <row r="6346" spans="6:7" x14ac:dyDescent="0.3">
      <c r="F6346" s="64">
        <v>6343</v>
      </c>
      <c r="G6346" s="64">
        <f t="shared" ca="1" si="138"/>
        <v>2.4786944890032692E-2</v>
      </c>
    </row>
    <row r="6347" spans="6:7" x14ac:dyDescent="0.3">
      <c r="F6347" s="64">
        <v>6344</v>
      </c>
      <c r="G6347" s="64">
        <f t="shared" ca="1" si="138"/>
        <v>-1.5469420752198216E-2</v>
      </c>
    </row>
    <row r="6348" spans="6:7" x14ac:dyDescent="0.3">
      <c r="F6348" s="64">
        <v>6345</v>
      </c>
      <c r="G6348" s="64">
        <f t="shared" ca="1" si="138"/>
        <v>-2.2970569548951748E-2</v>
      </c>
    </row>
    <row r="6349" spans="6:7" x14ac:dyDescent="0.3">
      <c r="F6349" s="64">
        <v>6346</v>
      </c>
      <c r="G6349" s="64">
        <f t="shared" ca="1" si="138"/>
        <v>-1.085606416268071E-3</v>
      </c>
    </row>
    <row r="6350" spans="6:7" x14ac:dyDescent="0.3">
      <c r="F6350" s="64">
        <v>6347</v>
      </c>
      <c r="G6350" s="64">
        <f t="shared" ca="1" si="138"/>
        <v>-5.0048151062458482E-2</v>
      </c>
    </row>
    <row r="6351" spans="6:7" x14ac:dyDescent="0.3">
      <c r="F6351" s="64">
        <v>6348</v>
      </c>
      <c r="G6351" s="64">
        <f t="shared" ca="1" si="138"/>
        <v>2.1135502575531678E-2</v>
      </c>
    </row>
    <row r="6352" spans="6:7" x14ac:dyDescent="0.3">
      <c r="F6352" s="64">
        <v>6349</v>
      </c>
      <c r="G6352" s="64">
        <f t="shared" ca="1" si="138"/>
        <v>-2.4989086354026788E-2</v>
      </c>
    </row>
    <row r="6353" spans="6:7" x14ac:dyDescent="0.3">
      <c r="F6353" s="64">
        <v>6350</v>
      </c>
      <c r="G6353" s="64">
        <f t="shared" ca="1" si="138"/>
        <v>-2.4620418457058993E-2</v>
      </c>
    </row>
    <row r="6354" spans="6:7" x14ac:dyDescent="0.3">
      <c r="F6354" s="64">
        <v>6351</v>
      </c>
      <c r="G6354" s="64">
        <f t="shared" ca="1" si="138"/>
        <v>-1.5193014994830472E-3</v>
      </c>
    </row>
    <row r="6355" spans="6:7" x14ac:dyDescent="0.3">
      <c r="F6355" s="64">
        <v>6352</v>
      </c>
      <c r="G6355" s="64">
        <f t="shared" ca="1" si="138"/>
        <v>3.0268661151415174E-3</v>
      </c>
    </row>
    <row r="6356" spans="6:7" x14ac:dyDescent="0.3">
      <c r="F6356" s="64">
        <v>6353</v>
      </c>
      <c r="G6356" s="64">
        <f t="shared" ca="1" si="138"/>
        <v>1.0894565220481725E-2</v>
      </c>
    </row>
    <row r="6357" spans="6:7" x14ac:dyDescent="0.3">
      <c r="F6357" s="64">
        <v>6354</v>
      </c>
      <c r="G6357" s="64">
        <f t="shared" ca="1" si="138"/>
        <v>8.0480870204092617E-3</v>
      </c>
    </row>
    <row r="6358" spans="6:7" x14ac:dyDescent="0.3">
      <c r="F6358" s="64">
        <v>6355</v>
      </c>
      <c r="G6358" s="64">
        <f t="shared" ca="1" si="138"/>
        <v>8.6826024516202423E-3</v>
      </c>
    </row>
    <row r="6359" spans="6:7" x14ac:dyDescent="0.3">
      <c r="F6359" s="64">
        <v>6356</v>
      </c>
      <c r="G6359" s="64">
        <f t="shared" ca="1" si="138"/>
        <v>-6.4450361751698035E-2</v>
      </c>
    </row>
    <row r="6360" spans="6:7" x14ac:dyDescent="0.3">
      <c r="F6360" s="64">
        <v>6357</v>
      </c>
      <c r="G6360" s="64">
        <f t="shared" ca="1" si="138"/>
        <v>7.6789818987613731E-3</v>
      </c>
    </row>
    <row r="6361" spans="6:7" x14ac:dyDescent="0.3">
      <c r="F6361" s="64">
        <v>6358</v>
      </c>
      <c r="G6361" s="64">
        <f t="shared" ca="1" si="138"/>
        <v>1.0711061658421285E-2</v>
      </c>
    </row>
    <row r="6362" spans="6:7" x14ac:dyDescent="0.3">
      <c r="F6362" s="64">
        <v>6359</v>
      </c>
      <c r="G6362" s="64">
        <f t="shared" ca="1" si="138"/>
        <v>1.3797516335563999E-2</v>
      </c>
    </row>
    <row r="6363" spans="6:7" x14ac:dyDescent="0.3">
      <c r="F6363" s="64">
        <v>6360</v>
      </c>
      <c r="G6363" s="64">
        <f t="shared" ca="1" si="138"/>
        <v>-3.1399685576747084E-2</v>
      </c>
    </row>
    <row r="6364" spans="6:7" x14ac:dyDescent="0.3">
      <c r="F6364" s="64">
        <v>6361</v>
      </c>
      <c r="G6364" s="64">
        <f t="shared" ca="1" si="138"/>
        <v>-2.3819725432412162E-2</v>
      </c>
    </row>
    <row r="6365" spans="6:7" x14ac:dyDescent="0.3">
      <c r="F6365" s="64">
        <v>6362</v>
      </c>
      <c r="G6365" s="64">
        <f t="shared" ca="1" si="138"/>
        <v>7.4824087848236577E-3</v>
      </c>
    </row>
    <row r="6366" spans="6:7" x14ac:dyDescent="0.3">
      <c r="F6366" s="64">
        <v>6363</v>
      </c>
      <c r="G6366" s="64">
        <f t="shared" ca="1" si="138"/>
        <v>-2.6759109543676447E-2</v>
      </c>
    </row>
    <row r="6367" spans="6:7" x14ac:dyDescent="0.3">
      <c r="F6367" s="64">
        <v>6364</v>
      </c>
      <c r="G6367" s="64">
        <f t="shared" ca="1" si="138"/>
        <v>-1.7280556672560406E-2</v>
      </c>
    </row>
    <row r="6368" spans="6:7" x14ac:dyDescent="0.3">
      <c r="F6368" s="64">
        <v>6365</v>
      </c>
      <c r="G6368" s="64">
        <f t="shared" ca="1" si="138"/>
        <v>-2.0844474668161423E-3</v>
      </c>
    </row>
    <row r="6369" spans="6:7" x14ac:dyDescent="0.3">
      <c r="F6369" s="64">
        <v>6366</v>
      </c>
      <c r="G6369" s="64">
        <f t="shared" ca="1" si="138"/>
        <v>-4.0305003413033343E-2</v>
      </c>
    </row>
    <row r="6370" spans="6:7" x14ac:dyDescent="0.3">
      <c r="F6370" s="64">
        <v>6367</v>
      </c>
      <c r="G6370" s="64">
        <f t="shared" ca="1" si="138"/>
        <v>-3.4675576578570198E-2</v>
      </c>
    </row>
    <row r="6371" spans="6:7" x14ac:dyDescent="0.3">
      <c r="F6371" s="64">
        <v>6368</v>
      </c>
      <c r="G6371" s="64">
        <f t="shared" ca="1" si="138"/>
        <v>-3.6491475804598147E-2</v>
      </c>
    </row>
    <row r="6372" spans="6:7" x14ac:dyDescent="0.3">
      <c r="F6372" s="64">
        <v>6369</v>
      </c>
      <c r="G6372" s="64">
        <f t="shared" ca="1" si="138"/>
        <v>3.2424540487223179E-3</v>
      </c>
    </row>
    <row r="6373" spans="6:7" x14ac:dyDescent="0.3">
      <c r="F6373" s="64">
        <v>6370</v>
      </c>
      <c r="G6373" s="64">
        <f t="shared" ca="1" si="138"/>
        <v>9.6408951213889304E-4</v>
      </c>
    </row>
    <row r="6374" spans="6:7" x14ac:dyDescent="0.3">
      <c r="F6374" s="64">
        <v>6371</v>
      </c>
      <c r="G6374" s="64">
        <f t="shared" ca="1" si="138"/>
        <v>3.860228906773826E-3</v>
      </c>
    </row>
    <row r="6375" spans="6:7" x14ac:dyDescent="0.3">
      <c r="F6375" s="64">
        <v>6372</v>
      </c>
      <c r="G6375" s="64">
        <f t="shared" ca="1" si="138"/>
        <v>-3.7161306525134033E-3</v>
      </c>
    </row>
    <row r="6376" spans="6:7" x14ac:dyDescent="0.3">
      <c r="F6376" s="64">
        <v>6373</v>
      </c>
      <c r="G6376" s="64">
        <f t="shared" ca="1" si="138"/>
        <v>-5.6532738328923464E-2</v>
      </c>
    </row>
    <row r="6377" spans="6:7" x14ac:dyDescent="0.3">
      <c r="F6377" s="64">
        <v>6374</v>
      </c>
      <c r="G6377" s="64">
        <f t="shared" ca="1" si="138"/>
        <v>4.5298348506136156E-2</v>
      </c>
    </row>
    <row r="6378" spans="6:7" x14ac:dyDescent="0.3">
      <c r="F6378" s="64">
        <v>6375</v>
      </c>
      <c r="G6378" s="64">
        <f t="shared" ca="1" si="138"/>
        <v>1.9355362674722057E-2</v>
      </c>
    </row>
    <row r="6379" spans="6:7" x14ac:dyDescent="0.3">
      <c r="F6379" s="64">
        <v>6376</v>
      </c>
      <c r="G6379" s="64">
        <f t="shared" ca="1" si="138"/>
        <v>2.3054286400814125E-2</v>
      </c>
    </row>
    <row r="6380" spans="6:7" x14ac:dyDescent="0.3">
      <c r="F6380" s="64">
        <v>6377</v>
      </c>
      <c r="G6380" s="64">
        <f t="shared" ca="1" si="138"/>
        <v>1.5061150773131367E-2</v>
      </c>
    </row>
    <row r="6381" spans="6:7" x14ac:dyDescent="0.3">
      <c r="F6381" s="64">
        <v>6378</v>
      </c>
      <c r="G6381" s="64">
        <f t="shared" ca="1" si="138"/>
        <v>-1.6393558436191953E-2</v>
      </c>
    </row>
    <row r="6382" spans="6:7" x14ac:dyDescent="0.3">
      <c r="F6382" s="64">
        <v>6379</v>
      </c>
      <c r="G6382" s="64">
        <f t="shared" ca="1" si="138"/>
        <v>2.6592310988531903E-2</v>
      </c>
    </row>
    <row r="6383" spans="6:7" x14ac:dyDescent="0.3">
      <c r="F6383" s="64">
        <v>6380</v>
      </c>
      <c r="G6383" s="64">
        <f t="shared" ca="1" si="138"/>
        <v>-6.2196653307350662E-3</v>
      </c>
    </row>
    <row r="6384" spans="6:7" x14ac:dyDescent="0.3">
      <c r="F6384" s="64">
        <v>6381</v>
      </c>
      <c r="G6384" s="64">
        <f t="shared" ca="1" si="138"/>
        <v>-2.9322308089193552E-3</v>
      </c>
    </row>
    <row r="6385" spans="6:7" x14ac:dyDescent="0.3">
      <c r="F6385" s="64">
        <v>6382</v>
      </c>
      <c r="G6385" s="64">
        <f t="shared" ca="1" si="138"/>
        <v>-9.5068944537976905E-3</v>
      </c>
    </row>
    <row r="6386" spans="6:7" x14ac:dyDescent="0.3">
      <c r="F6386" s="64">
        <v>6383</v>
      </c>
      <c r="G6386" s="64">
        <f t="shared" ca="1" si="138"/>
        <v>3.175529657757204E-3</v>
      </c>
    </row>
    <row r="6387" spans="6:7" x14ac:dyDescent="0.3">
      <c r="F6387" s="64">
        <v>6384</v>
      </c>
      <c r="G6387" s="64">
        <f t="shared" ca="1" si="138"/>
        <v>2.3715473596003983E-2</v>
      </c>
    </row>
    <row r="6388" spans="6:7" x14ac:dyDescent="0.3">
      <c r="F6388" s="64">
        <v>6385</v>
      </c>
      <c r="G6388" s="64">
        <f t="shared" ca="1" si="138"/>
        <v>-9.1299350935800765E-3</v>
      </c>
    </row>
    <row r="6389" spans="6:7" x14ac:dyDescent="0.3">
      <c r="F6389" s="64">
        <v>6386</v>
      </c>
      <c r="G6389" s="64">
        <f t="shared" ca="1" si="138"/>
        <v>1.1076659604073516E-2</v>
      </c>
    </row>
    <row r="6390" spans="6:7" x14ac:dyDescent="0.3">
      <c r="F6390" s="64">
        <v>6387</v>
      </c>
      <c r="G6390" s="64">
        <f t="shared" ca="1" si="138"/>
        <v>-2.03240656235519E-2</v>
      </c>
    </row>
    <row r="6391" spans="6:7" x14ac:dyDescent="0.3">
      <c r="F6391" s="64">
        <v>6388</v>
      </c>
      <c r="G6391" s="64">
        <f t="shared" ca="1" si="138"/>
        <v>-1.8901736467334175E-4</v>
      </c>
    </row>
    <row r="6392" spans="6:7" x14ac:dyDescent="0.3">
      <c r="F6392" s="64">
        <v>6389</v>
      </c>
      <c r="G6392" s="64">
        <f t="shared" ca="1" si="138"/>
        <v>4.4503030552785816E-2</v>
      </c>
    </row>
    <row r="6393" spans="6:7" x14ac:dyDescent="0.3">
      <c r="F6393" s="64">
        <v>6390</v>
      </c>
      <c r="G6393" s="64">
        <f t="shared" ca="1" si="138"/>
        <v>-1.5542479733152833E-2</v>
      </c>
    </row>
    <row r="6394" spans="6:7" x14ac:dyDescent="0.3">
      <c r="F6394" s="64">
        <v>6391</v>
      </c>
      <c r="G6394" s="64">
        <f t="shared" ca="1" si="138"/>
        <v>-1.3910862747523105E-4</v>
      </c>
    </row>
    <row r="6395" spans="6:7" x14ac:dyDescent="0.3">
      <c r="F6395" s="64">
        <v>6392</v>
      </c>
      <c r="G6395" s="64">
        <f t="shared" ca="1" si="138"/>
        <v>3.0181482340062626E-2</v>
      </c>
    </row>
    <row r="6396" spans="6:7" x14ac:dyDescent="0.3">
      <c r="F6396" s="64">
        <v>6393</v>
      </c>
      <c r="G6396" s="64">
        <f t="shared" ca="1" si="138"/>
        <v>1.1624312506301974E-3</v>
      </c>
    </row>
    <row r="6397" spans="6:7" x14ac:dyDescent="0.3">
      <c r="F6397" s="64">
        <v>6394</v>
      </c>
      <c r="G6397" s="64">
        <f t="shared" ca="1" si="138"/>
        <v>1.2285679725349163E-2</v>
      </c>
    </row>
    <row r="6398" spans="6:7" x14ac:dyDescent="0.3">
      <c r="F6398" s="64">
        <v>6395</v>
      </c>
      <c r="G6398" s="64">
        <f t="shared" ca="1" si="138"/>
        <v>-3.2222011406639103E-3</v>
      </c>
    </row>
    <row r="6399" spans="6:7" x14ac:dyDescent="0.3">
      <c r="F6399" s="64">
        <v>6396</v>
      </c>
      <c r="G6399" s="64">
        <f t="shared" ca="1" si="138"/>
        <v>3.5269487928737485E-2</v>
      </c>
    </row>
    <row r="6400" spans="6:7" x14ac:dyDescent="0.3">
      <c r="F6400" s="64">
        <v>6397</v>
      </c>
      <c r="G6400" s="64">
        <f t="shared" ca="1" si="138"/>
        <v>4.490272563296873E-2</v>
      </c>
    </row>
    <row r="6401" spans="6:7" x14ac:dyDescent="0.3">
      <c r="F6401" s="64">
        <v>6398</v>
      </c>
      <c r="G6401" s="64">
        <f t="shared" ca="1" si="138"/>
        <v>-2.7773860407688069E-3</v>
      </c>
    </row>
    <row r="6402" spans="6:7" x14ac:dyDescent="0.3">
      <c r="F6402" s="64">
        <v>6399</v>
      </c>
      <c r="G6402" s="64">
        <f t="shared" ca="1" si="138"/>
        <v>-1.4466166783017135E-2</v>
      </c>
    </row>
    <row r="6403" spans="6:7" x14ac:dyDescent="0.3">
      <c r="F6403" s="64">
        <v>6400</v>
      </c>
      <c r="G6403" s="64">
        <f t="shared" ca="1" si="138"/>
        <v>2.0315969901648443E-3</v>
      </c>
    </row>
    <row r="6404" spans="6:7" x14ac:dyDescent="0.3">
      <c r="F6404" s="64">
        <v>6401</v>
      </c>
      <c r="G6404" s="64">
        <f t="shared" ca="1" si="138"/>
        <v>1.9337074225209909E-2</v>
      </c>
    </row>
    <row r="6405" spans="6:7" x14ac:dyDescent="0.3">
      <c r="F6405" s="64">
        <v>6402</v>
      </c>
      <c r="G6405" s="64">
        <f t="shared" ref="G6405:G6468" ca="1" si="139">_xlfn.NORM.INV(RAND(),K$6,K$7)</f>
        <v>-1.5225423380036693E-2</v>
      </c>
    </row>
    <row r="6406" spans="6:7" x14ac:dyDescent="0.3">
      <c r="F6406" s="64">
        <v>6403</v>
      </c>
      <c r="G6406" s="64">
        <f t="shared" ca="1" si="139"/>
        <v>-1.8403255349871812E-2</v>
      </c>
    </row>
    <row r="6407" spans="6:7" x14ac:dyDescent="0.3">
      <c r="F6407" s="64">
        <v>6404</v>
      </c>
      <c r="G6407" s="64">
        <f t="shared" ca="1" si="139"/>
        <v>1.5438346074089017E-2</v>
      </c>
    </row>
    <row r="6408" spans="6:7" x14ac:dyDescent="0.3">
      <c r="F6408" s="64">
        <v>6405</v>
      </c>
      <c r="G6408" s="64">
        <f t="shared" ca="1" si="139"/>
        <v>8.7547253360880754E-3</v>
      </c>
    </row>
    <row r="6409" spans="6:7" x14ac:dyDescent="0.3">
      <c r="F6409" s="64">
        <v>6406</v>
      </c>
      <c r="G6409" s="64">
        <f t="shared" ca="1" si="139"/>
        <v>-2.7517196335467356E-2</v>
      </c>
    </row>
    <row r="6410" spans="6:7" x14ac:dyDescent="0.3">
      <c r="F6410" s="64">
        <v>6407</v>
      </c>
      <c r="G6410" s="64">
        <f t="shared" ca="1" si="139"/>
        <v>-4.8539328672054863E-3</v>
      </c>
    </row>
    <row r="6411" spans="6:7" x14ac:dyDescent="0.3">
      <c r="F6411" s="64">
        <v>6408</v>
      </c>
      <c r="G6411" s="64">
        <f t="shared" ca="1" si="139"/>
        <v>1.132716389442788E-2</v>
      </c>
    </row>
    <row r="6412" spans="6:7" x14ac:dyDescent="0.3">
      <c r="F6412" s="64">
        <v>6409</v>
      </c>
      <c r="G6412" s="64">
        <f t="shared" ca="1" si="139"/>
        <v>1.0211283075637092E-2</v>
      </c>
    </row>
    <row r="6413" spans="6:7" x14ac:dyDescent="0.3">
      <c r="F6413" s="64">
        <v>6410</v>
      </c>
      <c r="G6413" s="64">
        <f t="shared" ca="1" si="139"/>
        <v>1.592040284849168E-2</v>
      </c>
    </row>
    <row r="6414" spans="6:7" x14ac:dyDescent="0.3">
      <c r="F6414" s="64">
        <v>6411</v>
      </c>
      <c r="G6414" s="64">
        <f t="shared" ca="1" si="139"/>
        <v>-2.4507940806016558E-2</v>
      </c>
    </row>
    <row r="6415" spans="6:7" x14ac:dyDescent="0.3">
      <c r="F6415" s="64">
        <v>6412</v>
      </c>
      <c r="G6415" s="64">
        <f t="shared" ca="1" si="139"/>
        <v>4.2747031425934674E-2</v>
      </c>
    </row>
    <row r="6416" spans="6:7" x14ac:dyDescent="0.3">
      <c r="F6416" s="64">
        <v>6413</v>
      </c>
      <c r="G6416" s="64">
        <f t="shared" ca="1" si="139"/>
        <v>3.1535744256142251E-2</v>
      </c>
    </row>
    <row r="6417" spans="6:7" x14ac:dyDescent="0.3">
      <c r="F6417" s="64">
        <v>6414</v>
      </c>
      <c r="G6417" s="64">
        <f t="shared" ca="1" si="139"/>
        <v>3.8055316977273911E-3</v>
      </c>
    </row>
    <row r="6418" spans="6:7" x14ac:dyDescent="0.3">
      <c r="F6418" s="64">
        <v>6415</v>
      </c>
      <c r="G6418" s="64">
        <f t="shared" ca="1" si="139"/>
        <v>4.0788000342364815E-2</v>
      </c>
    </row>
    <row r="6419" spans="6:7" x14ac:dyDescent="0.3">
      <c r="F6419" s="64">
        <v>6416</v>
      </c>
      <c r="G6419" s="64">
        <f t="shared" ca="1" si="139"/>
        <v>-3.3307825030817209E-2</v>
      </c>
    </row>
    <row r="6420" spans="6:7" x14ac:dyDescent="0.3">
      <c r="F6420" s="64">
        <v>6417</v>
      </c>
      <c r="G6420" s="64">
        <f t="shared" ca="1" si="139"/>
        <v>3.5366757218429336E-2</v>
      </c>
    </row>
    <row r="6421" spans="6:7" x14ac:dyDescent="0.3">
      <c r="F6421" s="64">
        <v>6418</v>
      </c>
      <c r="G6421" s="64">
        <f t="shared" ca="1" si="139"/>
        <v>8.0335387026618382E-3</v>
      </c>
    </row>
    <row r="6422" spans="6:7" x14ac:dyDescent="0.3">
      <c r="F6422" s="64">
        <v>6419</v>
      </c>
      <c r="G6422" s="64">
        <f t="shared" ca="1" si="139"/>
        <v>2.5512222032843541E-2</v>
      </c>
    </row>
    <row r="6423" spans="6:7" x14ac:dyDescent="0.3">
      <c r="F6423" s="64">
        <v>6420</v>
      </c>
      <c r="G6423" s="64">
        <f t="shared" ca="1" si="139"/>
        <v>1.4810917018005984E-2</v>
      </c>
    </row>
    <row r="6424" spans="6:7" x14ac:dyDescent="0.3">
      <c r="F6424" s="64">
        <v>6421</v>
      </c>
      <c r="G6424" s="64">
        <f t="shared" ca="1" si="139"/>
        <v>-4.2113427287107296E-3</v>
      </c>
    </row>
    <row r="6425" spans="6:7" x14ac:dyDescent="0.3">
      <c r="F6425" s="64">
        <v>6422</v>
      </c>
      <c r="G6425" s="64">
        <f t="shared" ca="1" si="139"/>
        <v>1.096238318356031E-2</v>
      </c>
    </row>
    <row r="6426" spans="6:7" x14ac:dyDescent="0.3">
      <c r="F6426" s="64">
        <v>6423</v>
      </c>
      <c r="G6426" s="64">
        <f t="shared" ca="1" si="139"/>
        <v>-4.5507413797570957E-2</v>
      </c>
    </row>
    <row r="6427" spans="6:7" x14ac:dyDescent="0.3">
      <c r="F6427" s="64">
        <v>6424</v>
      </c>
      <c r="G6427" s="64">
        <f t="shared" ca="1" si="139"/>
        <v>4.8565504208018372E-3</v>
      </c>
    </row>
    <row r="6428" spans="6:7" x14ac:dyDescent="0.3">
      <c r="F6428" s="64">
        <v>6425</v>
      </c>
      <c r="G6428" s="64">
        <f t="shared" ca="1" si="139"/>
        <v>1.5347424310668441E-2</v>
      </c>
    </row>
    <row r="6429" spans="6:7" x14ac:dyDescent="0.3">
      <c r="F6429" s="64">
        <v>6426</v>
      </c>
      <c r="G6429" s="64">
        <f t="shared" ca="1" si="139"/>
        <v>2.9207073810391726E-2</v>
      </c>
    </row>
    <row r="6430" spans="6:7" x14ac:dyDescent="0.3">
      <c r="F6430" s="64">
        <v>6427</v>
      </c>
      <c r="G6430" s="64">
        <f t="shared" ca="1" si="139"/>
        <v>6.1064308968183812E-3</v>
      </c>
    </row>
    <row r="6431" spans="6:7" x14ac:dyDescent="0.3">
      <c r="F6431" s="64">
        <v>6428</v>
      </c>
      <c r="G6431" s="64">
        <f t="shared" ca="1" si="139"/>
        <v>2.9078337887208622E-2</v>
      </c>
    </row>
    <row r="6432" spans="6:7" x14ac:dyDescent="0.3">
      <c r="F6432" s="64">
        <v>6429</v>
      </c>
      <c r="G6432" s="64">
        <f t="shared" ca="1" si="139"/>
        <v>2.002403595396559E-2</v>
      </c>
    </row>
    <row r="6433" spans="6:7" x14ac:dyDescent="0.3">
      <c r="F6433" s="64">
        <v>6430</v>
      </c>
      <c r="G6433" s="64">
        <f t="shared" ca="1" si="139"/>
        <v>-2.8704906631699806E-2</v>
      </c>
    </row>
    <row r="6434" spans="6:7" x14ac:dyDescent="0.3">
      <c r="F6434" s="64">
        <v>6431</v>
      </c>
      <c r="G6434" s="64">
        <f t="shared" ca="1" si="139"/>
        <v>-1.4825611611919165E-2</v>
      </c>
    </row>
    <row r="6435" spans="6:7" x14ac:dyDescent="0.3">
      <c r="F6435" s="64">
        <v>6432</v>
      </c>
      <c r="G6435" s="64">
        <f t="shared" ca="1" si="139"/>
        <v>7.0270415202904959E-3</v>
      </c>
    </row>
    <row r="6436" spans="6:7" x14ac:dyDescent="0.3">
      <c r="F6436" s="64">
        <v>6433</v>
      </c>
      <c r="G6436" s="64">
        <f t="shared" ca="1" si="139"/>
        <v>-4.7299189602904891E-3</v>
      </c>
    </row>
    <row r="6437" spans="6:7" x14ac:dyDescent="0.3">
      <c r="F6437" s="64">
        <v>6434</v>
      </c>
      <c r="G6437" s="64">
        <f t="shared" ca="1" si="139"/>
        <v>4.3367810456042839E-3</v>
      </c>
    </row>
    <row r="6438" spans="6:7" x14ac:dyDescent="0.3">
      <c r="F6438" s="64">
        <v>6435</v>
      </c>
      <c r="G6438" s="64">
        <f t="shared" ca="1" si="139"/>
        <v>-1.5454031236969515E-2</v>
      </c>
    </row>
    <row r="6439" spans="6:7" x14ac:dyDescent="0.3">
      <c r="F6439" s="64">
        <v>6436</v>
      </c>
      <c r="G6439" s="64">
        <f t="shared" ca="1" si="139"/>
        <v>-5.4424953852057617E-3</v>
      </c>
    </row>
    <row r="6440" spans="6:7" x14ac:dyDescent="0.3">
      <c r="F6440" s="64">
        <v>6437</v>
      </c>
      <c r="G6440" s="64">
        <f t="shared" ca="1" si="139"/>
        <v>4.2945992858597778E-2</v>
      </c>
    </row>
    <row r="6441" spans="6:7" x14ac:dyDescent="0.3">
      <c r="F6441" s="64">
        <v>6438</v>
      </c>
      <c r="G6441" s="64">
        <f t="shared" ca="1" si="139"/>
        <v>1.3880322912361352E-2</v>
      </c>
    </row>
    <row r="6442" spans="6:7" x14ac:dyDescent="0.3">
      <c r="F6442" s="64">
        <v>6439</v>
      </c>
      <c r="G6442" s="64">
        <f t="shared" ca="1" si="139"/>
        <v>1.0081901624914963E-2</v>
      </c>
    </row>
    <row r="6443" spans="6:7" x14ac:dyDescent="0.3">
      <c r="F6443" s="64">
        <v>6440</v>
      </c>
      <c r="G6443" s="64">
        <f t="shared" ca="1" si="139"/>
        <v>1.7958043578969546E-2</v>
      </c>
    </row>
    <row r="6444" spans="6:7" x14ac:dyDescent="0.3">
      <c r="F6444" s="64">
        <v>6441</v>
      </c>
      <c r="G6444" s="64">
        <f t="shared" ca="1" si="139"/>
        <v>8.3484425578679178E-3</v>
      </c>
    </row>
    <row r="6445" spans="6:7" x14ac:dyDescent="0.3">
      <c r="F6445" s="64">
        <v>6442</v>
      </c>
      <c r="G6445" s="64">
        <f t="shared" ca="1" si="139"/>
        <v>4.170446975353008E-3</v>
      </c>
    </row>
    <row r="6446" spans="6:7" x14ac:dyDescent="0.3">
      <c r="F6446" s="64">
        <v>6443</v>
      </c>
      <c r="G6446" s="64">
        <f t="shared" ca="1" si="139"/>
        <v>3.234490000389037E-2</v>
      </c>
    </row>
    <row r="6447" spans="6:7" x14ac:dyDescent="0.3">
      <c r="F6447" s="64">
        <v>6444</v>
      </c>
      <c r="G6447" s="64">
        <f t="shared" ca="1" si="139"/>
        <v>2.4768959122434243E-2</v>
      </c>
    </row>
    <row r="6448" spans="6:7" x14ac:dyDescent="0.3">
      <c r="F6448" s="64">
        <v>6445</v>
      </c>
      <c r="G6448" s="64">
        <f t="shared" ca="1" si="139"/>
        <v>4.174699363519821E-2</v>
      </c>
    </row>
    <row r="6449" spans="6:7" x14ac:dyDescent="0.3">
      <c r="F6449" s="64">
        <v>6446</v>
      </c>
      <c r="G6449" s="64">
        <f t="shared" ca="1" si="139"/>
        <v>1.0480517492312534E-2</v>
      </c>
    </row>
    <row r="6450" spans="6:7" x14ac:dyDescent="0.3">
      <c r="F6450" s="64">
        <v>6447</v>
      </c>
      <c r="G6450" s="64">
        <f t="shared" ca="1" si="139"/>
        <v>1.3989638438816166E-2</v>
      </c>
    </row>
    <row r="6451" spans="6:7" x14ac:dyDescent="0.3">
      <c r="F6451" s="64">
        <v>6448</v>
      </c>
      <c r="G6451" s="64">
        <f t="shared" ca="1" si="139"/>
        <v>-3.1236864133458442E-3</v>
      </c>
    </row>
    <row r="6452" spans="6:7" x14ac:dyDescent="0.3">
      <c r="F6452" s="64">
        <v>6449</v>
      </c>
      <c r="G6452" s="64">
        <f t="shared" ca="1" si="139"/>
        <v>-1.8131200376708068E-2</v>
      </c>
    </row>
    <row r="6453" spans="6:7" x14ac:dyDescent="0.3">
      <c r="F6453" s="64">
        <v>6450</v>
      </c>
      <c r="G6453" s="64">
        <f t="shared" ca="1" si="139"/>
        <v>-7.932283135497117E-3</v>
      </c>
    </row>
    <row r="6454" spans="6:7" x14ac:dyDescent="0.3">
      <c r="F6454" s="64">
        <v>6451</v>
      </c>
      <c r="G6454" s="64">
        <f t="shared" ca="1" si="139"/>
        <v>-1.1983782374228653E-2</v>
      </c>
    </row>
    <row r="6455" spans="6:7" x14ac:dyDescent="0.3">
      <c r="F6455" s="64">
        <v>6452</v>
      </c>
      <c r="G6455" s="64">
        <f t="shared" ca="1" si="139"/>
        <v>-5.6188342899439999E-3</v>
      </c>
    </row>
    <row r="6456" spans="6:7" x14ac:dyDescent="0.3">
      <c r="F6456" s="64">
        <v>6453</v>
      </c>
      <c r="G6456" s="64">
        <f t="shared" ca="1" si="139"/>
        <v>2.081180125320236E-2</v>
      </c>
    </row>
    <row r="6457" spans="6:7" x14ac:dyDescent="0.3">
      <c r="F6457" s="64">
        <v>6454</v>
      </c>
      <c r="G6457" s="64">
        <f t="shared" ca="1" si="139"/>
        <v>1.5150142626275914E-3</v>
      </c>
    </row>
    <row r="6458" spans="6:7" x14ac:dyDescent="0.3">
      <c r="F6458" s="64">
        <v>6455</v>
      </c>
      <c r="G6458" s="64">
        <f t="shared" ca="1" si="139"/>
        <v>-1.6478755065652086E-2</v>
      </c>
    </row>
    <row r="6459" spans="6:7" x14ac:dyDescent="0.3">
      <c r="F6459" s="64">
        <v>6456</v>
      </c>
      <c r="G6459" s="64">
        <f t="shared" ca="1" si="139"/>
        <v>-4.1880939224462647E-3</v>
      </c>
    </row>
    <row r="6460" spans="6:7" x14ac:dyDescent="0.3">
      <c r="F6460" s="64">
        <v>6457</v>
      </c>
      <c r="G6460" s="64">
        <f t="shared" ca="1" si="139"/>
        <v>2.6569967533602169E-2</v>
      </c>
    </row>
    <row r="6461" spans="6:7" x14ac:dyDescent="0.3">
      <c r="F6461" s="64">
        <v>6458</v>
      </c>
      <c r="G6461" s="64">
        <f t="shared" ca="1" si="139"/>
        <v>1.305622071737938E-2</v>
      </c>
    </row>
    <row r="6462" spans="6:7" x14ac:dyDescent="0.3">
      <c r="F6462" s="64">
        <v>6459</v>
      </c>
      <c r="G6462" s="64">
        <f t="shared" ca="1" si="139"/>
        <v>-4.6708652111971997E-2</v>
      </c>
    </row>
    <row r="6463" spans="6:7" x14ac:dyDescent="0.3">
      <c r="F6463" s="64">
        <v>6460</v>
      </c>
      <c r="G6463" s="64">
        <f t="shared" ca="1" si="139"/>
        <v>-1.4411237879697718E-2</v>
      </c>
    </row>
    <row r="6464" spans="6:7" x14ac:dyDescent="0.3">
      <c r="F6464" s="64">
        <v>6461</v>
      </c>
      <c r="G6464" s="64">
        <f t="shared" ca="1" si="139"/>
        <v>-2.8063695545398191E-2</v>
      </c>
    </row>
    <row r="6465" spans="6:7" x14ac:dyDescent="0.3">
      <c r="F6465" s="64">
        <v>6462</v>
      </c>
      <c r="G6465" s="64">
        <f t="shared" ca="1" si="139"/>
        <v>3.6307853033775102E-2</v>
      </c>
    </row>
    <row r="6466" spans="6:7" x14ac:dyDescent="0.3">
      <c r="F6466" s="64">
        <v>6463</v>
      </c>
      <c r="G6466" s="64">
        <f t="shared" ca="1" si="139"/>
        <v>-2.3857818226631931E-2</v>
      </c>
    </row>
    <row r="6467" spans="6:7" x14ac:dyDescent="0.3">
      <c r="F6467" s="64">
        <v>6464</v>
      </c>
      <c r="G6467" s="64">
        <f t="shared" ca="1" si="139"/>
        <v>-6.7900317083646939E-4</v>
      </c>
    </row>
    <row r="6468" spans="6:7" x14ac:dyDescent="0.3">
      <c r="F6468" s="64">
        <v>6465</v>
      </c>
      <c r="G6468" s="64">
        <f t="shared" ca="1" si="139"/>
        <v>-7.9669439107770725E-3</v>
      </c>
    </row>
    <row r="6469" spans="6:7" x14ac:dyDescent="0.3">
      <c r="F6469" s="64">
        <v>6466</v>
      </c>
      <c r="G6469" s="64">
        <f t="shared" ref="G6469:G6532" ca="1" si="140">_xlfn.NORM.INV(RAND(),K$6,K$7)</f>
        <v>3.4575010383046875E-3</v>
      </c>
    </row>
    <row r="6470" spans="6:7" x14ac:dyDescent="0.3">
      <c r="F6470" s="64">
        <v>6467</v>
      </c>
      <c r="G6470" s="64">
        <f t="shared" ca="1" si="140"/>
        <v>2.6044156102763505E-2</v>
      </c>
    </row>
    <row r="6471" spans="6:7" x14ac:dyDescent="0.3">
      <c r="F6471" s="64">
        <v>6468</v>
      </c>
      <c r="G6471" s="64">
        <f t="shared" ca="1" si="140"/>
        <v>6.3527590878261122E-3</v>
      </c>
    </row>
    <row r="6472" spans="6:7" x14ac:dyDescent="0.3">
      <c r="F6472" s="64">
        <v>6469</v>
      </c>
      <c r="G6472" s="64">
        <f t="shared" ca="1" si="140"/>
        <v>1.7931294072111428E-2</v>
      </c>
    </row>
    <row r="6473" spans="6:7" x14ac:dyDescent="0.3">
      <c r="F6473" s="64">
        <v>6470</v>
      </c>
      <c r="G6473" s="64">
        <f t="shared" ca="1" si="140"/>
        <v>1.4160528127784695E-2</v>
      </c>
    </row>
    <row r="6474" spans="6:7" x14ac:dyDescent="0.3">
      <c r="F6474" s="64">
        <v>6471</v>
      </c>
      <c r="G6474" s="64">
        <f t="shared" ca="1" si="140"/>
        <v>1.9232168558084024E-2</v>
      </c>
    </row>
    <row r="6475" spans="6:7" x14ac:dyDescent="0.3">
      <c r="F6475" s="64">
        <v>6472</v>
      </c>
      <c r="G6475" s="64">
        <f t="shared" ca="1" si="140"/>
        <v>4.5151882647261464E-2</v>
      </c>
    </row>
    <row r="6476" spans="6:7" x14ac:dyDescent="0.3">
      <c r="F6476" s="64">
        <v>6473</v>
      </c>
      <c r="G6476" s="64">
        <f t="shared" ca="1" si="140"/>
        <v>-9.2224180145049628E-3</v>
      </c>
    </row>
    <row r="6477" spans="6:7" x14ac:dyDescent="0.3">
      <c r="F6477" s="64">
        <v>6474</v>
      </c>
      <c r="G6477" s="64">
        <f t="shared" ca="1" si="140"/>
        <v>-7.7401931233765306E-3</v>
      </c>
    </row>
    <row r="6478" spans="6:7" x14ac:dyDescent="0.3">
      <c r="F6478" s="64">
        <v>6475</v>
      </c>
      <c r="G6478" s="64">
        <f t="shared" ca="1" si="140"/>
        <v>1.0523825465813725E-2</v>
      </c>
    </row>
    <row r="6479" spans="6:7" x14ac:dyDescent="0.3">
      <c r="F6479" s="64">
        <v>6476</v>
      </c>
      <c r="G6479" s="64">
        <f t="shared" ca="1" si="140"/>
        <v>1.1675344317256855E-2</v>
      </c>
    </row>
    <row r="6480" spans="6:7" x14ac:dyDescent="0.3">
      <c r="F6480" s="64">
        <v>6477</v>
      </c>
      <c r="G6480" s="64">
        <f t="shared" ca="1" si="140"/>
        <v>-3.3797078837783379E-2</v>
      </c>
    </row>
    <row r="6481" spans="6:7" x14ac:dyDescent="0.3">
      <c r="F6481" s="64">
        <v>6478</v>
      </c>
      <c r="G6481" s="64">
        <f t="shared" ca="1" si="140"/>
        <v>1.6777671440553976E-2</v>
      </c>
    </row>
    <row r="6482" spans="6:7" x14ac:dyDescent="0.3">
      <c r="F6482" s="64">
        <v>6479</v>
      </c>
      <c r="G6482" s="64">
        <f t="shared" ca="1" si="140"/>
        <v>-1.3924456004678976E-2</v>
      </c>
    </row>
    <row r="6483" spans="6:7" x14ac:dyDescent="0.3">
      <c r="F6483" s="64">
        <v>6480</v>
      </c>
      <c r="G6483" s="64">
        <f t="shared" ca="1" si="140"/>
        <v>-1.2908869198203341E-2</v>
      </c>
    </row>
    <row r="6484" spans="6:7" x14ac:dyDescent="0.3">
      <c r="F6484" s="64">
        <v>6481</v>
      </c>
      <c r="G6484" s="64">
        <f t="shared" ca="1" si="140"/>
        <v>-1.3970074311921791E-2</v>
      </c>
    </row>
    <row r="6485" spans="6:7" x14ac:dyDescent="0.3">
      <c r="F6485" s="64">
        <v>6482</v>
      </c>
      <c r="G6485" s="64">
        <f t="shared" ca="1" si="140"/>
        <v>1.1841847577141209E-2</v>
      </c>
    </row>
    <row r="6486" spans="6:7" x14ac:dyDescent="0.3">
      <c r="F6486" s="64">
        <v>6483</v>
      </c>
      <c r="G6486" s="64">
        <f t="shared" ca="1" si="140"/>
        <v>1.4497185740420375E-2</v>
      </c>
    </row>
    <row r="6487" spans="6:7" x14ac:dyDescent="0.3">
      <c r="F6487" s="64">
        <v>6484</v>
      </c>
      <c r="G6487" s="64">
        <f t="shared" ca="1" si="140"/>
        <v>2.1781233681337761E-2</v>
      </c>
    </row>
    <row r="6488" spans="6:7" x14ac:dyDescent="0.3">
      <c r="F6488" s="64">
        <v>6485</v>
      </c>
      <c r="G6488" s="64">
        <f t="shared" ca="1" si="140"/>
        <v>-1.0180094348867933E-2</v>
      </c>
    </row>
    <row r="6489" spans="6:7" x14ac:dyDescent="0.3">
      <c r="F6489" s="64">
        <v>6486</v>
      </c>
      <c r="G6489" s="64">
        <f t="shared" ca="1" si="140"/>
        <v>1.9942081830856928E-3</v>
      </c>
    </row>
    <row r="6490" spans="6:7" x14ac:dyDescent="0.3">
      <c r="F6490" s="64">
        <v>6487</v>
      </c>
      <c r="G6490" s="64">
        <f t="shared" ca="1" si="140"/>
        <v>-9.0115858170162644E-3</v>
      </c>
    </row>
    <row r="6491" spans="6:7" x14ac:dyDescent="0.3">
      <c r="F6491" s="64">
        <v>6488</v>
      </c>
      <c r="G6491" s="64">
        <f t="shared" ca="1" si="140"/>
        <v>2.0337757599959101E-2</v>
      </c>
    </row>
    <row r="6492" spans="6:7" x14ac:dyDescent="0.3">
      <c r="F6492" s="64">
        <v>6489</v>
      </c>
      <c r="G6492" s="64">
        <f t="shared" ca="1" si="140"/>
        <v>1.841203070372479E-2</v>
      </c>
    </row>
    <row r="6493" spans="6:7" x14ac:dyDescent="0.3">
      <c r="F6493" s="64">
        <v>6490</v>
      </c>
      <c r="G6493" s="64">
        <f t="shared" ca="1" si="140"/>
        <v>1.3596212237990603E-2</v>
      </c>
    </row>
    <row r="6494" spans="6:7" x14ac:dyDescent="0.3">
      <c r="F6494" s="64">
        <v>6491</v>
      </c>
      <c r="G6494" s="64">
        <f t="shared" ca="1" si="140"/>
        <v>2.6054117564249025E-3</v>
      </c>
    </row>
    <row r="6495" spans="6:7" x14ac:dyDescent="0.3">
      <c r="F6495" s="64">
        <v>6492</v>
      </c>
      <c r="G6495" s="64">
        <f t="shared" ca="1" si="140"/>
        <v>4.110281262471936E-3</v>
      </c>
    </row>
    <row r="6496" spans="6:7" x14ac:dyDescent="0.3">
      <c r="F6496" s="64">
        <v>6493</v>
      </c>
      <c r="G6496" s="64">
        <f t="shared" ca="1" si="140"/>
        <v>3.4914943878360657E-3</v>
      </c>
    </row>
    <row r="6497" spans="6:7" x14ac:dyDescent="0.3">
      <c r="F6497" s="64">
        <v>6494</v>
      </c>
      <c r="G6497" s="64">
        <f t="shared" ca="1" si="140"/>
        <v>-2.9577458610300575E-2</v>
      </c>
    </row>
    <row r="6498" spans="6:7" x14ac:dyDescent="0.3">
      <c r="F6498" s="64">
        <v>6495</v>
      </c>
      <c r="G6498" s="64">
        <f t="shared" ca="1" si="140"/>
        <v>-1.0834153818559951E-3</v>
      </c>
    </row>
    <row r="6499" spans="6:7" x14ac:dyDescent="0.3">
      <c r="F6499" s="64">
        <v>6496</v>
      </c>
      <c r="G6499" s="64">
        <f t="shared" ca="1" si="140"/>
        <v>-7.9985263515941485E-3</v>
      </c>
    </row>
    <row r="6500" spans="6:7" x14ac:dyDescent="0.3">
      <c r="F6500" s="64">
        <v>6497</v>
      </c>
      <c r="G6500" s="64">
        <f t="shared" ca="1" si="140"/>
        <v>-6.9159518278879926E-3</v>
      </c>
    </row>
    <row r="6501" spans="6:7" x14ac:dyDescent="0.3">
      <c r="F6501" s="64">
        <v>6498</v>
      </c>
      <c r="G6501" s="64">
        <f t="shared" ca="1" si="140"/>
        <v>2.3565192893443651E-2</v>
      </c>
    </row>
    <row r="6502" spans="6:7" x14ac:dyDescent="0.3">
      <c r="F6502" s="64">
        <v>6499</v>
      </c>
      <c r="G6502" s="64">
        <f t="shared" ca="1" si="140"/>
        <v>-1.2709284100810693E-2</v>
      </c>
    </row>
    <row r="6503" spans="6:7" x14ac:dyDescent="0.3">
      <c r="F6503" s="64">
        <v>6500</v>
      </c>
      <c r="G6503" s="64">
        <f t="shared" ca="1" si="140"/>
        <v>-1.5258151029351239E-2</v>
      </c>
    </row>
    <row r="6504" spans="6:7" x14ac:dyDescent="0.3">
      <c r="F6504" s="64">
        <v>6501</v>
      </c>
      <c r="G6504" s="64">
        <f t="shared" ca="1" si="140"/>
        <v>-2.1983395163994231E-2</v>
      </c>
    </row>
    <row r="6505" spans="6:7" x14ac:dyDescent="0.3">
      <c r="F6505" s="64">
        <v>6502</v>
      </c>
      <c r="G6505" s="64">
        <f t="shared" ca="1" si="140"/>
        <v>1.2366685156865313E-2</v>
      </c>
    </row>
    <row r="6506" spans="6:7" x14ac:dyDescent="0.3">
      <c r="F6506" s="64">
        <v>6503</v>
      </c>
      <c r="G6506" s="64">
        <f t="shared" ca="1" si="140"/>
        <v>3.558967119047489E-3</v>
      </c>
    </row>
    <row r="6507" spans="6:7" x14ac:dyDescent="0.3">
      <c r="F6507" s="64">
        <v>6504</v>
      </c>
      <c r="G6507" s="64">
        <f t="shared" ca="1" si="140"/>
        <v>-3.2624181105229209E-2</v>
      </c>
    </row>
    <row r="6508" spans="6:7" x14ac:dyDescent="0.3">
      <c r="F6508" s="64">
        <v>6505</v>
      </c>
      <c r="G6508" s="64">
        <f t="shared" ca="1" si="140"/>
        <v>-1.5525623555236465E-2</v>
      </c>
    </row>
    <row r="6509" spans="6:7" x14ac:dyDescent="0.3">
      <c r="F6509" s="64">
        <v>6506</v>
      </c>
      <c r="G6509" s="64">
        <f t="shared" ca="1" si="140"/>
        <v>9.3216637016149007E-3</v>
      </c>
    </row>
    <row r="6510" spans="6:7" x14ac:dyDescent="0.3">
      <c r="F6510" s="64">
        <v>6507</v>
      </c>
      <c r="G6510" s="64">
        <f t="shared" ca="1" si="140"/>
        <v>4.8401028334198917E-2</v>
      </c>
    </row>
    <row r="6511" spans="6:7" x14ac:dyDescent="0.3">
      <c r="F6511" s="64">
        <v>6508</v>
      </c>
      <c r="G6511" s="64">
        <f t="shared" ca="1" si="140"/>
        <v>9.9288926116812906E-3</v>
      </c>
    </row>
    <row r="6512" spans="6:7" x14ac:dyDescent="0.3">
      <c r="F6512" s="64">
        <v>6509</v>
      </c>
      <c r="G6512" s="64">
        <f t="shared" ca="1" si="140"/>
        <v>4.5946718941971268E-3</v>
      </c>
    </row>
    <row r="6513" spans="6:7" x14ac:dyDescent="0.3">
      <c r="F6513" s="64">
        <v>6510</v>
      </c>
      <c r="G6513" s="64">
        <f t="shared" ca="1" si="140"/>
        <v>7.4558527744344565E-3</v>
      </c>
    </row>
    <row r="6514" spans="6:7" x14ac:dyDescent="0.3">
      <c r="F6514" s="64">
        <v>6511</v>
      </c>
      <c r="G6514" s="64">
        <f t="shared" ca="1" si="140"/>
        <v>3.6454353461563976E-3</v>
      </c>
    </row>
    <row r="6515" spans="6:7" x14ac:dyDescent="0.3">
      <c r="F6515" s="64">
        <v>6512</v>
      </c>
      <c r="G6515" s="64">
        <f t="shared" ca="1" si="140"/>
        <v>1.5753002740135233E-2</v>
      </c>
    </row>
    <row r="6516" spans="6:7" x14ac:dyDescent="0.3">
      <c r="F6516" s="64">
        <v>6513</v>
      </c>
      <c r="G6516" s="64">
        <f t="shared" ca="1" si="140"/>
        <v>-5.9875716460784881E-3</v>
      </c>
    </row>
    <row r="6517" spans="6:7" x14ac:dyDescent="0.3">
      <c r="F6517" s="64">
        <v>6514</v>
      </c>
      <c r="G6517" s="64">
        <f t="shared" ca="1" si="140"/>
        <v>-1.947061289499722E-2</v>
      </c>
    </row>
    <row r="6518" spans="6:7" x14ac:dyDescent="0.3">
      <c r="F6518" s="64">
        <v>6515</v>
      </c>
      <c r="G6518" s="64">
        <f t="shared" ca="1" si="140"/>
        <v>1.9104209583559933E-2</v>
      </c>
    </row>
    <row r="6519" spans="6:7" x14ac:dyDescent="0.3">
      <c r="F6519" s="64">
        <v>6516</v>
      </c>
      <c r="G6519" s="64">
        <f t="shared" ca="1" si="140"/>
        <v>-6.0896479884450429E-3</v>
      </c>
    </row>
    <row r="6520" spans="6:7" x14ac:dyDescent="0.3">
      <c r="F6520" s="64">
        <v>6517</v>
      </c>
      <c r="G6520" s="64">
        <f t="shared" ca="1" si="140"/>
        <v>7.0794025616734008E-3</v>
      </c>
    </row>
    <row r="6521" spans="6:7" x14ac:dyDescent="0.3">
      <c r="F6521" s="64">
        <v>6518</v>
      </c>
      <c r="G6521" s="64">
        <f t="shared" ca="1" si="140"/>
        <v>1.1692735610629921E-2</v>
      </c>
    </row>
    <row r="6522" spans="6:7" x14ac:dyDescent="0.3">
      <c r="F6522" s="64">
        <v>6519</v>
      </c>
      <c r="G6522" s="64">
        <f t="shared" ca="1" si="140"/>
        <v>-4.0325372935022037E-2</v>
      </c>
    </row>
    <row r="6523" spans="6:7" x14ac:dyDescent="0.3">
      <c r="F6523" s="64">
        <v>6520</v>
      </c>
      <c r="G6523" s="64">
        <f t="shared" ca="1" si="140"/>
        <v>-4.0047488089350179E-2</v>
      </c>
    </row>
    <row r="6524" spans="6:7" x14ac:dyDescent="0.3">
      <c r="F6524" s="64">
        <v>6521</v>
      </c>
      <c r="G6524" s="64">
        <f t="shared" ca="1" si="140"/>
        <v>-7.0964388597245364E-3</v>
      </c>
    </row>
    <row r="6525" spans="6:7" x14ac:dyDescent="0.3">
      <c r="F6525" s="64">
        <v>6522</v>
      </c>
      <c r="G6525" s="64">
        <f t="shared" ca="1" si="140"/>
        <v>1.4581338117871077E-2</v>
      </c>
    </row>
    <row r="6526" spans="6:7" x14ac:dyDescent="0.3">
      <c r="F6526" s="64">
        <v>6523</v>
      </c>
      <c r="G6526" s="64">
        <f t="shared" ca="1" si="140"/>
        <v>3.5859645442816532E-3</v>
      </c>
    </row>
    <row r="6527" spans="6:7" x14ac:dyDescent="0.3">
      <c r="F6527" s="64">
        <v>6524</v>
      </c>
      <c r="G6527" s="64">
        <f t="shared" ca="1" si="140"/>
        <v>3.8844089494163514E-2</v>
      </c>
    </row>
    <row r="6528" spans="6:7" x14ac:dyDescent="0.3">
      <c r="F6528" s="64">
        <v>6525</v>
      </c>
      <c r="G6528" s="64">
        <f t="shared" ca="1" si="140"/>
        <v>1.2819375360400216E-2</v>
      </c>
    </row>
    <row r="6529" spans="6:7" x14ac:dyDescent="0.3">
      <c r="F6529" s="64">
        <v>6526</v>
      </c>
      <c r="G6529" s="64">
        <f t="shared" ca="1" si="140"/>
        <v>-1.8150910486936171E-2</v>
      </c>
    </row>
    <row r="6530" spans="6:7" x14ac:dyDescent="0.3">
      <c r="F6530" s="64">
        <v>6527</v>
      </c>
      <c r="G6530" s="64">
        <f t="shared" ca="1" si="140"/>
        <v>-3.6026567569714977E-3</v>
      </c>
    </row>
    <row r="6531" spans="6:7" x14ac:dyDescent="0.3">
      <c r="F6531" s="64">
        <v>6528</v>
      </c>
      <c r="G6531" s="64">
        <f t="shared" ca="1" si="140"/>
        <v>-3.1145603845977293E-3</v>
      </c>
    </row>
    <row r="6532" spans="6:7" x14ac:dyDescent="0.3">
      <c r="F6532" s="64">
        <v>6529</v>
      </c>
      <c r="G6532" s="64">
        <f t="shared" ca="1" si="140"/>
        <v>2.5409727481786139E-2</v>
      </c>
    </row>
    <row r="6533" spans="6:7" x14ac:dyDescent="0.3">
      <c r="F6533" s="64">
        <v>6530</v>
      </c>
      <c r="G6533" s="64">
        <f t="shared" ref="G6533:G6596" ca="1" si="141">_xlfn.NORM.INV(RAND(),K$6,K$7)</f>
        <v>5.9503431769600138E-3</v>
      </c>
    </row>
    <row r="6534" spans="6:7" x14ac:dyDescent="0.3">
      <c r="F6534" s="64">
        <v>6531</v>
      </c>
      <c r="G6534" s="64">
        <f t="shared" ca="1" si="141"/>
        <v>1.7254100051983301E-2</v>
      </c>
    </row>
    <row r="6535" spans="6:7" x14ac:dyDescent="0.3">
      <c r="F6535" s="64">
        <v>6532</v>
      </c>
      <c r="G6535" s="64">
        <f t="shared" ca="1" si="141"/>
        <v>2.3419709839522518E-2</v>
      </c>
    </row>
    <row r="6536" spans="6:7" x14ac:dyDescent="0.3">
      <c r="F6536" s="64">
        <v>6533</v>
      </c>
      <c r="G6536" s="64">
        <f t="shared" ca="1" si="141"/>
        <v>-1.1658877047125173E-2</v>
      </c>
    </row>
    <row r="6537" spans="6:7" x14ac:dyDescent="0.3">
      <c r="F6537" s="64">
        <v>6534</v>
      </c>
      <c r="G6537" s="64">
        <f t="shared" ca="1" si="141"/>
        <v>1.4201038874839613E-2</v>
      </c>
    </row>
    <row r="6538" spans="6:7" x14ac:dyDescent="0.3">
      <c r="F6538" s="64">
        <v>6535</v>
      </c>
      <c r="G6538" s="64">
        <f t="shared" ca="1" si="141"/>
        <v>-3.0719603440205641E-2</v>
      </c>
    </row>
    <row r="6539" spans="6:7" x14ac:dyDescent="0.3">
      <c r="F6539" s="64">
        <v>6536</v>
      </c>
      <c r="G6539" s="64">
        <f t="shared" ca="1" si="141"/>
        <v>-2.3001948149092108E-2</v>
      </c>
    </row>
    <row r="6540" spans="6:7" x14ac:dyDescent="0.3">
      <c r="F6540" s="64">
        <v>6537</v>
      </c>
      <c r="G6540" s="64">
        <f t="shared" ca="1" si="141"/>
        <v>2.1714094201484915E-2</v>
      </c>
    </row>
    <row r="6541" spans="6:7" x14ac:dyDescent="0.3">
      <c r="F6541" s="64">
        <v>6538</v>
      </c>
      <c r="G6541" s="64">
        <f t="shared" ca="1" si="141"/>
        <v>5.8227735541247716E-2</v>
      </c>
    </row>
    <row r="6542" spans="6:7" x14ac:dyDescent="0.3">
      <c r="F6542" s="64">
        <v>6539</v>
      </c>
      <c r="G6542" s="64">
        <f t="shared" ca="1" si="141"/>
        <v>2.3118315663547141E-2</v>
      </c>
    </row>
    <row r="6543" spans="6:7" x14ac:dyDescent="0.3">
      <c r="F6543" s="64">
        <v>6540</v>
      </c>
      <c r="G6543" s="64">
        <f t="shared" ca="1" si="141"/>
        <v>8.4601729473498793E-3</v>
      </c>
    </row>
    <row r="6544" spans="6:7" x14ac:dyDescent="0.3">
      <c r="F6544" s="64">
        <v>6541</v>
      </c>
      <c r="G6544" s="64">
        <f t="shared" ca="1" si="141"/>
        <v>2.4304058989890277E-2</v>
      </c>
    </row>
    <row r="6545" spans="6:7" x14ac:dyDescent="0.3">
      <c r="F6545" s="64">
        <v>6542</v>
      </c>
      <c r="G6545" s="64">
        <f t="shared" ca="1" si="141"/>
        <v>2.4529903676101548E-2</v>
      </c>
    </row>
    <row r="6546" spans="6:7" x14ac:dyDescent="0.3">
      <c r="F6546" s="64">
        <v>6543</v>
      </c>
      <c r="G6546" s="64">
        <f t="shared" ca="1" si="141"/>
        <v>2.2263637448209833E-2</v>
      </c>
    </row>
    <row r="6547" spans="6:7" x14ac:dyDescent="0.3">
      <c r="F6547" s="64">
        <v>6544</v>
      </c>
      <c r="G6547" s="64">
        <f t="shared" ca="1" si="141"/>
        <v>3.4234771644694753E-2</v>
      </c>
    </row>
    <row r="6548" spans="6:7" x14ac:dyDescent="0.3">
      <c r="F6548" s="64">
        <v>6545</v>
      </c>
      <c r="G6548" s="64">
        <f t="shared" ca="1" si="141"/>
        <v>1.935207589682309E-3</v>
      </c>
    </row>
    <row r="6549" spans="6:7" x14ac:dyDescent="0.3">
      <c r="F6549" s="64">
        <v>6546</v>
      </c>
      <c r="G6549" s="64">
        <f t="shared" ca="1" si="141"/>
        <v>-2.0632757185493664E-2</v>
      </c>
    </row>
    <row r="6550" spans="6:7" x14ac:dyDescent="0.3">
      <c r="F6550" s="64">
        <v>6547</v>
      </c>
      <c r="G6550" s="64">
        <f t="shared" ca="1" si="141"/>
        <v>-3.8231373961461888E-2</v>
      </c>
    </row>
    <row r="6551" spans="6:7" x14ac:dyDescent="0.3">
      <c r="F6551" s="64">
        <v>6548</v>
      </c>
      <c r="G6551" s="64">
        <f t="shared" ca="1" si="141"/>
        <v>9.7962460904620369E-3</v>
      </c>
    </row>
    <row r="6552" spans="6:7" x14ac:dyDescent="0.3">
      <c r="F6552" s="64">
        <v>6549</v>
      </c>
      <c r="G6552" s="64">
        <f t="shared" ca="1" si="141"/>
        <v>-2.4127854761435796E-3</v>
      </c>
    </row>
    <row r="6553" spans="6:7" x14ac:dyDescent="0.3">
      <c r="F6553" s="64">
        <v>6550</v>
      </c>
      <c r="G6553" s="64">
        <f t="shared" ca="1" si="141"/>
        <v>6.6943149761409144E-3</v>
      </c>
    </row>
    <row r="6554" spans="6:7" x14ac:dyDescent="0.3">
      <c r="F6554" s="64">
        <v>6551</v>
      </c>
      <c r="G6554" s="64">
        <f t="shared" ca="1" si="141"/>
        <v>2.6306004742744922E-2</v>
      </c>
    </row>
    <row r="6555" spans="6:7" x14ac:dyDescent="0.3">
      <c r="F6555" s="64">
        <v>6552</v>
      </c>
      <c r="G6555" s="64">
        <f t="shared" ca="1" si="141"/>
        <v>3.0671443918035134E-2</v>
      </c>
    </row>
    <row r="6556" spans="6:7" x14ac:dyDescent="0.3">
      <c r="F6556" s="64">
        <v>6553</v>
      </c>
      <c r="G6556" s="64">
        <f t="shared" ca="1" si="141"/>
        <v>2.4936043514697456E-2</v>
      </c>
    </row>
    <row r="6557" spans="6:7" x14ac:dyDescent="0.3">
      <c r="F6557" s="64">
        <v>6554</v>
      </c>
      <c r="G6557" s="64">
        <f t="shared" ca="1" si="141"/>
        <v>-5.5319898884648062E-3</v>
      </c>
    </row>
    <row r="6558" spans="6:7" x14ac:dyDescent="0.3">
      <c r="F6558" s="64">
        <v>6555</v>
      </c>
      <c r="G6558" s="64">
        <f t="shared" ca="1" si="141"/>
        <v>5.9976627670139653E-3</v>
      </c>
    </row>
    <row r="6559" spans="6:7" x14ac:dyDescent="0.3">
      <c r="F6559" s="64">
        <v>6556</v>
      </c>
      <c r="G6559" s="64">
        <f t="shared" ca="1" si="141"/>
        <v>-5.5061016812383654E-3</v>
      </c>
    </row>
    <row r="6560" spans="6:7" x14ac:dyDescent="0.3">
      <c r="F6560" s="64">
        <v>6557</v>
      </c>
      <c r="G6560" s="64">
        <f t="shared" ca="1" si="141"/>
        <v>1.5104889172813454E-2</v>
      </c>
    </row>
    <row r="6561" spans="6:7" x14ac:dyDescent="0.3">
      <c r="F6561" s="64">
        <v>6558</v>
      </c>
      <c r="G6561" s="64">
        <f t="shared" ca="1" si="141"/>
        <v>9.6133290964592246E-3</v>
      </c>
    </row>
    <row r="6562" spans="6:7" x14ac:dyDescent="0.3">
      <c r="F6562" s="64">
        <v>6559</v>
      </c>
      <c r="G6562" s="64">
        <f t="shared" ca="1" si="141"/>
        <v>-1.5433734686067768E-2</v>
      </c>
    </row>
    <row r="6563" spans="6:7" x14ac:dyDescent="0.3">
      <c r="F6563" s="64">
        <v>6560</v>
      </c>
      <c r="G6563" s="64">
        <f t="shared" ca="1" si="141"/>
        <v>3.8698009530362181E-3</v>
      </c>
    </row>
    <row r="6564" spans="6:7" x14ac:dyDescent="0.3">
      <c r="F6564" s="64">
        <v>6561</v>
      </c>
      <c r="G6564" s="64">
        <f t="shared" ca="1" si="141"/>
        <v>1.6219621717185023E-2</v>
      </c>
    </row>
    <row r="6565" spans="6:7" x14ac:dyDescent="0.3">
      <c r="F6565" s="64">
        <v>6562</v>
      </c>
      <c r="G6565" s="64">
        <f t="shared" ca="1" si="141"/>
        <v>-5.2058280754204822E-2</v>
      </c>
    </row>
    <row r="6566" spans="6:7" x14ac:dyDescent="0.3">
      <c r="F6566" s="64">
        <v>6563</v>
      </c>
      <c r="G6566" s="64">
        <f t="shared" ca="1" si="141"/>
        <v>-9.1102673149582002E-3</v>
      </c>
    </row>
    <row r="6567" spans="6:7" x14ac:dyDescent="0.3">
      <c r="F6567" s="64">
        <v>6564</v>
      </c>
      <c r="G6567" s="64">
        <f t="shared" ca="1" si="141"/>
        <v>2.5153989325872712E-2</v>
      </c>
    </row>
    <row r="6568" spans="6:7" x14ac:dyDescent="0.3">
      <c r="F6568" s="64">
        <v>6565</v>
      </c>
      <c r="G6568" s="64">
        <f t="shared" ca="1" si="141"/>
        <v>5.4942078603471146E-2</v>
      </c>
    </row>
    <row r="6569" spans="6:7" x14ac:dyDescent="0.3">
      <c r="F6569" s="64">
        <v>6566</v>
      </c>
      <c r="G6569" s="64">
        <f t="shared" ca="1" si="141"/>
        <v>-9.9345095825654102E-3</v>
      </c>
    </row>
    <row r="6570" spans="6:7" x14ac:dyDescent="0.3">
      <c r="F6570" s="64">
        <v>6567</v>
      </c>
      <c r="G6570" s="64">
        <f t="shared" ca="1" si="141"/>
        <v>-9.3960506662642621E-3</v>
      </c>
    </row>
    <row r="6571" spans="6:7" x14ac:dyDescent="0.3">
      <c r="F6571" s="64">
        <v>6568</v>
      </c>
      <c r="G6571" s="64">
        <f t="shared" ca="1" si="141"/>
        <v>2.7617946162297878E-3</v>
      </c>
    </row>
    <row r="6572" spans="6:7" x14ac:dyDescent="0.3">
      <c r="F6572" s="64">
        <v>6569</v>
      </c>
      <c r="G6572" s="64">
        <f t="shared" ca="1" si="141"/>
        <v>-1.2146820049991243E-2</v>
      </c>
    </row>
    <row r="6573" spans="6:7" x14ac:dyDescent="0.3">
      <c r="F6573" s="64">
        <v>6570</v>
      </c>
      <c r="G6573" s="64">
        <f t="shared" ca="1" si="141"/>
        <v>2.9391570043640514E-2</v>
      </c>
    </row>
    <row r="6574" spans="6:7" x14ac:dyDescent="0.3">
      <c r="F6574" s="64">
        <v>6571</v>
      </c>
      <c r="G6574" s="64">
        <f t="shared" ca="1" si="141"/>
        <v>8.1723126067169086E-3</v>
      </c>
    </row>
    <row r="6575" spans="6:7" x14ac:dyDescent="0.3">
      <c r="F6575" s="64">
        <v>6572</v>
      </c>
      <c r="G6575" s="64">
        <f t="shared" ca="1" si="141"/>
        <v>8.0294819337051564E-3</v>
      </c>
    </row>
    <row r="6576" spans="6:7" x14ac:dyDescent="0.3">
      <c r="F6576" s="64">
        <v>6573</v>
      </c>
      <c r="G6576" s="64">
        <f t="shared" ca="1" si="141"/>
        <v>1.9834398464736898E-2</v>
      </c>
    </row>
    <row r="6577" spans="6:7" x14ac:dyDescent="0.3">
      <c r="F6577" s="64">
        <v>6574</v>
      </c>
      <c r="G6577" s="64">
        <f t="shared" ca="1" si="141"/>
        <v>1.2791125546594189E-2</v>
      </c>
    </row>
    <row r="6578" spans="6:7" x14ac:dyDescent="0.3">
      <c r="F6578" s="64">
        <v>6575</v>
      </c>
      <c r="G6578" s="64">
        <f t="shared" ca="1" si="141"/>
        <v>2.3957798844698716E-2</v>
      </c>
    </row>
    <row r="6579" spans="6:7" x14ac:dyDescent="0.3">
      <c r="F6579" s="64">
        <v>6576</v>
      </c>
      <c r="G6579" s="64">
        <f t="shared" ca="1" si="141"/>
        <v>1.466510413616349E-2</v>
      </c>
    </row>
    <row r="6580" spans="6:7" x14ac:dyDescent="0.3">
      <c r="F6580" s="64">
        <v>6577</v>
      </c>
      <c r="G6580" s="64">
        <f t="shared" ca="1" si="141"/>
        <v>-6.4977585437663143E-3</v>
      </c>
    </row>
    <row r="6581" spans="6:7" x14ac:dyDescent="0.3">
      <c r="F6581" s="64">
        <v>6578</v>
      </c>
      <c r="G6581" s="64">
        <f t="shared" ca="1" si="141"/>
        <v>2.5765000900007294E-2</v>
      </c>
    </row>
    <row r="6582" spans="6:7" x14ac:dyDescent="0.3">
      <c r="F6582" s="64">
        <v>6579</v>
      </c>
      <c r="G6582" s="64">
        <f t="shared" ca="1" si="141"/>
        <v>3.0532853657786385E-3</v>
      </c>
    </row>
    <row r="6583" spans="6:7" x14ac:dyDescent="0.3">
      <c r="F6583" s="64">
        <v>6580</v>
      </c>
      <c r="G6583" s="64">
        <f t="shared" ca="1" si="141"/>
        <v>3.6217967166079924E-2</v>
      </c>
    </row>
    <row r="6584" spans="6:7" x14ac:dyDescent="0.3">
      <c r="F6584" s="64">
        <v>6581</v>
      </c>
      <c r="G6584" s="64">
        <f t="shared" ca="1" si="141"/>
        <v>2.0076443633786502E-2</v>
      </c>
    </row>
    <row r="6585" spans="6:7" x14ac:dyDescent="0.3">
      <c r="F6585" s="64">
        <v>6582</v>
      </c>
      <c r="G6585" s="64">
        <f t="shared" ca="1" si="141"/>
        <v>-7.1927948531633444E-3</v>
      </c>
    </row>
    <row r="6586" spans="6:7" x14ac:dyDescent="0.3">
      <c r="F6586" s="64">
        <v>6583</v>
      </c>
      <c r="G6586" s="64">
        <f t="shared" ca="1" si="141"/>
        <v>2.5777695920717221E-2</v>
      </c>
    </row>
    <row r="6587" spans="6:7" x14ac:dyDescent="0.3">
      <c r="F6587" s="64">
        <v>6584</v>
      </c>
      <c r="G6587" s="64">
        <f t="shared" ca="1" si="141"/>
        <v>8.6380958084001109E-3</v>
      </c>
    </row>
    <row r="6588" spans="6:7" x14ac:dyDescent="0.3">
      <c r="F6588" s="64">
        <v>6585</v>
      </c>
      <c r="G6588" s="64">
        <f t="shared" ca="1" si="141"/>
        <v>-2.4553411856596173E-2</v>
      </c>
    </row>
    <row r="6589" spans="6:7" x14ac:dyDescent="0.3">
      <c r="F6589" s="64">
        <v>6586</v>
      </c>
      <c r="G6589" s="64">
        <f t="shared" ca="1" si="141"/>
        <v>1.314484221250611E-2</v>
      </c>
    </row>
    <row r="6590" spans="6:7" x14ac:dyDescent="0.3">
      <c r="F6590" s="64">
        <v>6587</v>
      </c>
      <c r="G6590" s="64">
        <f t="shared" ca="1" si="141"/>
        <v>8.0646790514007204E-3</v>
      </c>
    </row>
    <row r="6591" spans="6:7" x14ac:dyDescent="0.3">
      <c r="F6591" s="64">
        <v>6588</v>
      </c>
      <c r="G6591" s="64">
        <f t="shared" ca="1" si="141"/>
        <v>1.7422403963403825E-2</v>
      </c>
    </row>
    <row r="6592" spans="6:7" x14ac:dyDescent="0.3">
      <c r="F6592" s="64">
        <v>6589</v>
      </c>
      <c r="G6592" s="64">
        <f t="shared" ca="1" si="141"/>
        <v>-7.4654764003193527E-3</v>
      </c>
    </row>
    <row r="6593" spans="6:7" x14ac:dyDescent="0.3">
      <c r="F6593" s="64">
        <v>6590</v>
      </c>
      <c r="G6593" s="64">
        <f t="shared" ca="1" si="141"/>
        <v>1.455244435541748E-2</v>
      </c>
    </row>
    <row r="6594" spans="6:7" x14ac:dyDescent="0.3">
      <c r="F6594" s="64">
        <v>6591</v>
      </c>
      <c r="G6594" s="64">
        <f t="shared" ca="1" si="141"/>
        <v>-7.8403407038434058E-4</v>
      </c>
    </row>
    <row r="6595" spans="6:7" x14ac:dyDescent="0.3">
      <c r="F6595" s="64">
        <v>6592</v>
      </c>
      <c r="G6595" s="64">
        <f t="shared" ca="1" si="141"/>
        <v>2.0282173059867112E-2</v>
      </c>
    </row>
    <row r="6596" spans="6:7" x14ac:dyDescent="0.3">
      <c r="F6596" s="64">
        <v>6593</v>
      </c>
      <c r="G6596" s="64">
        <f t="shared" ca="1" si="141"/>
        <v>1.3720693236217652E-2</v>
      </c>
    </row>
    <row r="6597" spans="6:7" x14ac:dyDescent="0.3">
      <c r="F6597" s="64">
        <v>6594</v>
      </c>
      <c r="G6597" s="64">
        <f t="shared" ref="G6597:G6660" ca="1" si="142">_xlfn.NORM.INV(RAND(),K$6,K$7)</f>
        <v>-4.877311901436733E-3</v>
      </c>
    </row>
    <row r="6598" spans="6:7" x14ac:dyDescent="0.3">
      <c r="F6598" s="64">
        <v>6595</v>
      </c>
      <c r="G6598" s="64">
        <f t="shared" ca="1" si="142"/>
        <v>-6.0464507100085685E-3</v>
      </c>
    </row>
    <row r="6599" spans="6:7" x14ac:dyDescent="0.3">
      <c r="F6599" s="64">
        <v>6596</v>
      </c>
      <c r="G6599" s="64">
        <f t="shared" ca="1" si="142"/>
        <v>5.2207736520153902E-3</v>
      </c>
    </row>
    <row r="6600" spans="6:7" x14ac:dyDescent="0.3">
      <c r="F6600" s="64">
        <v>6597</v>
      </c>
      <c r="G6600" s="64">
        <f t="shared" ca="1" si="142"/>
        <v>-3.8318788725897673E-3</v>
      </c>
    </row>
    <row r="6601" spans="6:7" x14ac:dyDescent="0.3">
      <c r="F6601" s="64">
        <v>6598</v>
      </c>
      <c r="G6601" s="64">
        <f t="shared" ca="1" si="142"/>
        <v>3.3494234960284252E-3</v>
      </c>
    </row>
    <row r="6602" spans="6:7" x14ac:dyDescent="0.3">
      <c r="F6602" s="64">
        <v>6599</v>
      </c>
      <c r="G6602" s="64">
        <f t="shared" ca="1" si="142"/>
        <v>-1.6284654497575421E-2</v>
      </c>
    </row>
    <row r="6603" spans="6:7" x14ac:dyDescent="0.3">
      <c r="F6603" s="64">
        <v>6600</v>
      </c>
      <c r="G6603" s="64">
        <f t="shared" ca="1" si="142"/>
        <v>1.0928407140957714E-2</v>
      </c>
    </row>
    <row r="6604" spans="6:7" x14ac:dyDescent="0.3">
      <c r="F6604" s="64">
        <v>6601</v>
      </c>
      <c r="G6604" s="64">
        <f t="shared" ca="1" si="142"/>
        <v>2.3180222875578874E-2</v>
      </c>
    </row>
    <row r="6605" spans="6:7" x14ac:dyDescent="0.3">
      <c r="F6605" s="64">
        <v>6602</v>
      </c>
      <c r="G6605" s="64">
        <f t="shared" ca="1" si="142"/>
        <v>-1.5673516397649211E-2</v>
      </c>
    </row>
    <row r="6606" spans="6:7" x14ac:dyDescent="0.3">
      <c r="F6606" s="64">
        <v>6603</v>
      </c>
      <c r="G6606" s="64">
        <f t="shared" ca="1" si="142"/>
        <v>2.1196955191316418E-3</v>
      </c>
    </row>
    <row r="6607" spans="6:7" x14ac:dyDescent="0.3">
      <c r="F6607" s="64">
        <v>6604</v>
      </c>
      <c r="G6607" s="64">
        <f t="shared" ca="1" si="142"/>
        <v>3.7897679771383468E-2</v>
      </c>
    </row>
    <row r="6608" spans="6:7" x14ac:dyDescent="0.3">
      <c r="F6608" s="64">
        <v>6605</v>
      </c>
      <c r="G6608" s="64">
        <f t="shared" ca="1" si="142"/>
        <v>-3.5075498899269884E-2</v>
      </c>
    </row>
    <row r="6609" spans="6:7" x14ac:dyDescent="0.3">
      <c r="F6609" s="64">
        <v>6606</v>
      </c>
      <c r="G6609" s="64">
        <f t="shared" ca="1" si="142"/>
        <v>-3.8926776986179357E-2</v>
      </c>
    </row>
    <row r="6610" spans="6:7" x14ac:dyDescent="0.3">
      <c r="F6610" s="64">
        <v>6607</v>
      </c>
      <c r="G6610" s="64">
        <f t="shared" ca="1" si="142"/>
        <v>-1.1729124774876101E-2</v>
      </c>
    </row>
    <row r="6611" spans="6:7" x14ac:dyDescent="0.3">
      <c r="F6611" s="64">
        <v>6608</v>
      </c>
      <c r="G6611" s="64">
        <f t="shared" ca="1" si="142"/>
        <v>2.8422237743905725E-2</v>
      </c>
    </row>
    <row r="6612" spans="6:7" x14ac:dyDescent="0.3">
      <c r="F6612" s="64">
        <v>6609</v>
      </c>
      <c r="G6612" s="64">
        <f t="shared" ca="1" si="142"/>
        <v>-1.5748672885588816E-2</v>
      </c>
    </row>
    <row r="6613" spans="6:7" x14ac:dyDescent="0.3">
      <c r="F6613" s="64">
        <v>6610</v>
      </c>
      <c r="G6613" s="64">
        <f t="shared" ca="1" si="142"/>
        <v>2.0071058959133352E-2</v>
      </c>
    </row>
    <row r="6614" spans="6:7" x14ac:dyDescent="0.3">
      <c r="F6614" s="64">
        <v>6611</v>
      </c>
      <c r="G6614" s="64">
        <f t="shared" ca="1" si="142"/>
        <v>-1.2671928044364135E-2</v>
      </c>
    </row>
    <row r="6615" spans="6:7" x14ac:dyDescent="0.3">
      <c r="F6615" s="64">
        <v>6612</v>
      </c>
      <c r="G6615" s="64">
        <f t="shared" ca="1" si="142"/>
        <v>-9.2161468537808929E-3</v>
      </c>
    </row>
    <row r="6616" spans="6:7" x14ac:dyDescent="0.3">
      <c r="F6616" s="64">
        <v>6613</v>
      </c>
      <c r="G6616" s="64">
        <f t="shared" ca="1" si="142"/>
        <v>-2.7768888660693811E-2</v>
      </c>
    </row>
    <row r="6617" spans="6:7" x14ac:dyDescent="0.3">
      <c r="F6617" s="64">
        <v>6614</v>
      </c>
      <c r="G6617" s="64">
        <f t="shared" ca="1" si="142"/>
        <v>1.7754805729391761E-2</v>
      </c>
    </row>
    <row r="6618" spans="6:7" x14ac:dyDescent="0.3">
      <c r="F6618" s="64">
        <v>6615</v>
      </c>
      <c r="G6618" s="64">
        <f t="shared" ca="1" si="142"/>
        <v>-1.5077296559215804E-2</v>
      </c>
    </row>
    <row r="6619" spans="6:7" x14ac:dyDescent="0.3">
      <c r="F6619" s="64">
        <v>6616</v>
      </c>
      <c r="G6619" s="64">
        <f t="shared" ca="1" si="142"/>
        <v>4.0048671198436865E-2</v>
      </c>
    </row>
    <row r="6620" spans="6:7" x14ac:dyDescent="0.3">
      <c r="F6620" s="64">
        <v>6617</v>
      </c>
      <c r="G6620" s="64">
        <f t="shared" ca="1" si="142"/>
        <v>1.9772897271807782E-2</v>
      </c>
    </row>
    <row r="6621" spans="6:7" x14ac:dyDescent="0.3">
      <c r="F6621" s="64">
        <v>6618</v>
      </c>
      <c r="G6621" s="64">
        <f t="shared" ca="1" si="142"/>
        <v>3.2378710855597209E-2</v>
      </c>
    </row>
    <row r="6622" spans="6:7" x14ac:dyDescent="0.3">
      <c r="F6622" s="64">
        <v>6619</v>
      </c>
      <c r="G6622" s="64">
        <f t="shared" ca="1" si="142"/>
        <v>1.5927567148335459E-2</v>
      </c>
    </row>
    <row r="6623" spans="6:7" x14ac:dyDescent="0.3">
      <c r="F6623" s="64">
        <v>6620</v>
      </c>
      <c r="G6623" s="64">
        <f t="shared" ca="1" si="142"/>
        <v>-7.0699786437459309E-3</v>
      </c>
    </row>
    <row r="6624" spans="6:7" x14ac:dyDescent="0.3">
      <c r="F6624" s="64">
        <v>6621</v>
      </c>
      <c r="G6624" s="64">
        <f t="shared" ca="1" si="142"/>
        <v>2.77826531864706E-2</v>
      </c>
    </row>
    <row r="6625" spans="6:7" x14ac:dyDescent="0.3">
      <c r="F6625" s="64">
        <v>6622</v>
      </c>
      <c r="G6625" s="64">
        <f t="shared" ca="1" si="142"/>
        <v>1.5672398071523808E-2</v>
      </c>
    </row>
    <row r="6626" spans="6:7" x14ac:dyDescent="0.3">
      <c r="F6626" s="64">
        <v>6623</v>
      </c>
      <c r="G6626" s="64">
        <f t="shared" ca="1" si="142"/>
        <v>1.3863651427758542E-2</v>
      </c>
    </row>
    <row r="6627" spans="6:7" x14ac:dyDescent="0.3">
      <c r="F6627" s="64">
        <v>6624</v>
      </c>
      <c r="G6627" s="64">
        <f t="shared" ca="1" si="142"/>
        <v>-7.9369859845013924E-3</v>
      </c>
    </row>
    <row r="6628" spans="6:7" x14ac:dyDescent="0.3">
      <c r="F6628" s="64">
        <v>6625</v>
      </c>
      <c r="G6628" s="64">
        <f t="shared" ca="1" si="142"/>
        <v>1.0114057908560323E-3</v>
      </c>
    </row>
    <row r="6629" spans="6:7" x14ac:dyDescent="0.3">
      <c r="F6629" s="64">
        <v>6626</v>
      </c>
      <c r="G6629" s="64">
        <f t="shared" ca="1" si="142"/>
        <v>-1.882746569394049E-2</v>
      </c>
    </row>
    <row r="6630" spans="6:7" x14ac:dyDescent="0.3">
      <c r="F6630" s="64">
        <v>6627</v>
      </c>
      <c r="G6630" s="64">
        <f t="shared" ca="1" si="142"/>
        <v>-1.7582838139595228E-2</v>
      </c>
    </row>
    <row r="6631" spans="6:7" x14ac:dyDescent="0.3">
      <c r="F6631" s="64">
        <v>6628</v>
      </c>
      <c r="G6631" s="64">
        <f t="shared" ca="1" si="142"/>
        <v>2.5305051433303631E-2</v>
      </c>
    </row>
    <row r="6632" spans="6:7" x14ac:dyDescent="0.3">
      <c r="F6632" s="64">
        <v>6629</v>
      </c>
      <c r="G6632" s="64">
        <f t="shared" ca="1" si="142"/>
        <v>3.0464342119945367E-3</v>
      </c>
    </row>
    <row r="6633" spans="6:7" x14ac:dyDescent="0.3">
      <c r="F6633" s="64">
        <v>6630</v>
      </c>
      <c r="G6633" s="64">
        <f t="shared" ca="1" si="142"/>
        <v>-3.2458846203158559E-2</v>
      </c>
    </row>
    <row r="6634" spans="6:7" x14ac:dyDescent="0.3">
      <c r="F6634" s="64">
        <v>6631</v>
      </c>
      <c r="G6634" s="64">
        <f t="shared" ca="1" si="142"/>
        <v>-8.3369349243251692E-3</v>
      </c>
    </row>
    <row r="6635" spans="6:7" x14ac:dyDescent="0.3">
      <c r="F6635" s="64">
        <v>6632</v>
      </c>
      <c r="G6635" s="64">
        <f t="shared" ca="1" si="142"/>
        <v>2.2525795701701913E-2</v>
      </c>
    </row>
    <row r="6636" spans="6:7" x14ac:dyDescent="0.3">
      <c r="F6636" s="64">
        <v>6633</v>
      </c>
      <c r="G6636" s="64">
        <f t="shared" ca="1" si="142"/>
        <v>-1.803300401236764E-2</v>
      </c>
    </row>
    <row r="6637" spans="6:7" x14ac:dyDescent="0.3">
      <c r="F6637" s="64">
        <v>6634</v>
      </c>
      <c r="G6637" s="64">
        <f t="shared" ca="1" si="142"/>
        <v>-3.173920604505482E-2</v>
      </c>
    </row>
    <row r="6638" spans="6:7" x14ac:dyDescent="0.3">
      <c r="F6638" s="64">
        <v>6635</v>
      </c>
      <c r="G6638" s="64">
        <f t="shared" ca="1" si="142"/>
        <v>-1.5030161835472627E-2</v>
      </c>
    </row>
    <row r="6639" spans="6:7" x14ac:dyDescent="0.3">
      <c r="F6639" s="64">
        <v>6636</v>
      </c>
      <c r="G6639" s="64">
        <f t="shared" ca="1" si="142"/>
        <v>2.227268597628982E-2</v>
      </c>
    </row>
    <row r="6640" spans="6:7" x14ac:dyDescent="0.3">
      <c r="F6640" s="64">
        <v>6637</v>
      </c>
      <c r="G6640" s="64">
        <f t="shared" ca="1" si="142"/>
        <v>6.1467922328773969E-3</v>
      </c>
    </row>
    <row r="6641" spans="6:7" x14ac:dyDescent="0.3">
      <c r="F6641" s="64">
        <v>6638</v>
      </c>
      <c r="G6641" s="64">
        <f t="shared" ca="1" si="142"/>
        <v>1.9107188075336165E-2</v>
      </c>
    </row>
    <row r="6642" spans="6:7" x14ac:dyDescent="0.3">
      <c r="F6642" s="64">
        <v>6639</v>
      </c>
      <c r="G6642" s="64">
        <f t="shared" ca="1" si="142"/>
        <v>4.1849720033514677E-2</v>
      </c>
    </row>
    <row r="6643" spans="6:7" x14ac:dyDescent="0.3">
      <c r="F6643" s="64">
        <v>6640</v>
      </c>
      <c r="G6643" s="64">
        <f t="shared" ca="1" si="142"/>
        <v>1.1869771562176057E-2</v>
      </c>
    </row>
    <row r="6644" spans="6:7" x14ac:dyDescent="0.3">
      <c r="F6644" s="64">
        <v>6641</v>
      </c>
      <c r="G6644" s="64">
        <f t="shared" ca="1" si="142"/>
        <v>1.6213203477293582E-3</v>
      </c>
    </row>
    <row r="6645" spans="6:7" x14ac:dyDescent="0.3">
      <c r="F6645" s="64">
        <v>6642</v>
      </c>
      <c r="G6645" s="64">
        <f t="shared" ca="1" si="142"/>
        <v>-1.6223782321200426E-2</v>
      </c>
    </row>
    <row r="6646" spans="6:7" x14ac:dyDescent="0.3">
      <c r="F6646" s="64">
        <v>6643</v>
      </c>
      <c r="G6646" s="64">
        <f t="shared" ca="1" si="142"/>
        <v>-1.7468022056609897E-2</v>
      </c>
    </row>
    <row r="6647" spans="6:7" x14ac:dyDescent="0.3">
      <c r="F6647" s="64">
        <v>6644</v>
      </c>
      <c r="G6647" s="64">
        <f t="shared" ca="1" si="142"/>
        <v>-2.2264795151583902E-2</v>
      </c>
    </row>
    <row r="6648" spans="6:7" x14ac:dyDescent="0.3">
      <c r="F6648" s="64">
        <v>6645</v>
      </c>
      <c r="G6648" s="64">
        <f t="shared" ca="1" si="142"/>
        <v>1.6380527233303237E-2</v>
      </c>
    </row>
    <row r="6649" spans="6:7" x14ac:dyDescent="0.3">
      <c r="F6649" s="64">
        <v>6646</v>
      </c>
      <c r="G6649" s="64">
        <f t="shared" ca="1" si="142"/>
        <v>3.0292828113785704E-2</v>
      </c>
    </row>
    <row r="6650" spans="6:7" x14ac:dyDescent="0.3">
      <c r="F6650" s="64">
        <v>6647</v>
      </c>
      <c r="G6650" s="64">
        <f t="shared" ca="1" si="142"/>
        <v>2.7044498873564247E-3</v>
      </c>
    </row>
    <row r="6651" spans="6:7" x14ac:dyDescent="0.3">
      <c r="F6651" s="64">
        <v>6648</v>
      </c>
      <c r="G6651" s="64">
        <f t="shared" ca="1" si="142"/>
        <v>-1.8457805019283396E-3</v>
      </c>
    </row>
    <row r="6652" spans="6:7" x14ac:dyDescent="0.3">
      <c r="F6652" s="64">
        <v>6649</v>
      </c>
      <c r="G6652" s="64">
        <f t="shared" ca="1" si="142"/>
        <v>-2.6282858911468778E-3</v>
      </c>
    </row>
    <row r="6653" spans="6:7" x14ac:dyDescent="0.3">
      <c r="F6653" s="64">
        <v>6650</v>
      </c>
      <c r="G6653" s="64">
        <f t="shared" ca="1" si="142"/>
        <v>-1.6855802196971074E-2</v>
      </c>
    </row>
    <row r="6654" spans="6:7" x14ac:dyDescent="0.3">
      <c r="F6654" s="64">
        <v>6651</v>
      </c>
      <c r="G6654" s="64">
        <f t="shared" ca="1" si="142"/>
        <v>-2.4242973464737062E-2</v>
      </c>
    </row>
    <row r="6655" spans="6:7" x14ac:dyDescent="0.3">
      <c r="F6655" s="64">
        <v>6652</v>
      </c>
      <c r="G6655" s="64">
        <f t="shared" ca="1" si="142"/>
        <v>2.1794731133872917E-2</v>
      </c>
    </row>
    <row r="6656" spans="6:7" x14ac:dyDescent="0.3">
      <c r="F6656" s="64">
        <v>6653</v>
      </c>
      <c r="G6656" s="64">
        <f t="shared" ca="1" si="142"/>
        <v>-1.9675563103864604E-2</v>
      </c>
    </row>
    <row r="6657" spans="6:7" x14ac:dyDescent="0.3">
      <c r="F6657" s="64">
        <v>6654</v>
      </c>
      <c r="G6657" s="64">
        <f t="shared" ca="1" si="142"/>
        <v>4.0181906300452805E-2</v>
      </c>
    </row>
    <row r="6658" spans="6:7" x14ac:dyDescent="0.3">
      <c r="F6658" s="64">
        <v>6655</v>
      </c>
      <c r="G6658" s="64">
        <f t="shared" ca="1" si="142"/>
        <v>-6.3902813209936859E-3</v>
      </c>
    </row>
    <row r="6659" spans="6:7" x14ac:dyDescent="0.3">
      <c r="F6659" s="64">
        <v>6656</v>
      </c>
      <c r="G6659" s="64">
        <f t="shared" ca="1" si="142"/>
        <v>-1.4748082912109056E-2</v>
      </c>
    </row>
    <row r="6660" spans="6:7" x14ac:dyDescent="0.3">
      <c r="F6660" s="64">
        <v>6657</v>
      </c>
      <c r="G6660" s="64">
        <f t="shared" ca="1" si="142"/>
        <v>-1.7028892056416764E-2</v>
      </c>
    </row>
    <row r="6661" spans="6:7" x14ac:dyDescent="0.3">
      <c r="F6661" s="64">
        <v>6658</v>
      </c>
      <c r="G6661" s="64">
        <f t="shared" ref="G6661:G6724" ca="1" si="143">_xlfn.NORM.INV(RAND(),K$6,K$7)</f>
        <v>-1.5351975212610629E-2</v>
      </c>
    </row>
    <row r="6662" spans="6:7" x14ac:dyDescent="0.3">
      <c r="F6662" s="64">
        <v>6659</v>
      </c>
      <c r="G6662" s="64">
        <f t="shared" ca="1" si="143"/>
        <v>-3.7627529490779701E-3</v>
      </c>
    </row>
    <row r="6663" spans="6:7" x14ac:dyDescent="0.3">
      <c r="F6663" s="64">
        <v>6660</v>
      </c>
      <c r="G6663" s="64">
        <f t="shared" ca="1" si="143"/>
        <v>-1.7952200177817512E-2</v>
      </c>
    </row>
    <row r="6664" spans="6:7" x14ac:dyDescent="0.3">
      <c r="F6664" s="64">
        <v>6661</v>
      </c>
      <c r="G6664" s="64">
        <f t="shared" ca="1" si="143"/>
        <v>-1.1419429857705729E-2</v>
      </c>
    </row>
    <row r="6665" spans="6:7" x14ac:dyDescent="0.3">
      <c r="F6665" s="64">
        <v>6662</v>
      </c>
      <c r="G6665" s="64">
        <f t="shared" ca="1" si="143"/>
        <v>-1.6217575776509272E-2</v>
      </c>
    </row>
    <row r="6666" spans="6:7" x14ac:dyDescent="0.3">
      <c r="F6666" s="64">
        <v>6663</v>
      </c>
      <c r="G6666" s="64">
        <f t="shared" ca="1" si="143"/>
        <v>1.371807778641939E-2</v>
      </c>
    </row>
    <row r="6667" spans="6:7" x14ac:dyDescent="0.3">
      <c r="F6667" s="64">
        <v>6664</v>
      </c>
      <c r="G6667" s="64">
        <f t="shared" ca="1" si="143"/>
        <v>1.2180516774790337E-2</v>
      </c>
    </row>
    <row r="6668" spans="6:7" x14ac:dyDescent="0.3">
      <c r="F6668" s="64">
        <v>6665</v>
      </c>
      <c r="G6668" s="64">
        <f t="shared" ca="1" si="143"/>
        <v>1.493941839403899E-2</v>
      </c>
    </row>
    <row r="6669" spans="6:7" x14ac:dyDescent="0.3">
      <c r="F6669" s="64">
        <v>6666</v>
      </c>
      <c r="G6669" s="64">
        <f t="shared" ca="1" si="143"/>
        <v>-9.0878045159331969E-5</v>
      </c>
    </row>
    <row r="6670" spans="6:7" x14ac:dyDescent="0.3">
      <c r="F6670" s="64">
        <v>6667</v>
      </c>
      <c r="G6670" s="64">
        <f t="shared" ca="1" si="143"/>
        <v>-1.7192673626590049E-2</v>
      </c>
    </row>
    <row r="6671" spans="6:7" x14ac:dyDescent="0.3">
      <c r="F6671" s="64">
        <v>6668</v>
      </c>
      <c r="G6671" s="64">
        <f t="shared" ca="1" si="143"/>
        <v>-1.0871957190964411E-2</v>
      </c>
    </row>
    <row r="6672" spans="6:7" x14ac:dyDescent="0.3">
      <c r="F6672" s="64">
        <v>6669</v>
      </c>
      <c r="G6672" s="64">
        <f t="shared" ca="1" si="143"/>
        <v>-2.2649157775831569E-3</v>
      </c>
    </row>
    <row r="6673" spans="6:7" x14ac:dyDescent="0.3">
      <c r="F6673" s="64">
        <v>6670</v>
      </c>
      <c r="G6673" s="64">
        <f t="shared" ca="1" si="143"/>
        <v>-2.1059119249289657E-3</v>
      </c>
    </row>
    <row r="6674" spans="6:7" x14ac:dyDescent="0.3">
      <c r="F6674" s="64">
        <v>6671</v>
      </c>
      <c r="G6674" s="64">
        <f t="shared" ca="1" si="143"/>
        <v>-1.515481787761897E-2</v>
      </c>
    </row>
    <row r="6675" spans="6:7" x14ac:dyDescent="0.3">
      <c r="F6675" s="64">
        <v>6672</v>
      </c>
      <c r="G6675" s="64">
        <f t="shared" ca="1" si="143"/>
        <v>2.2378096120621006E-2</v>
      </c>
    </row>
    <row r="6676" spans="6:7" x14ac:dyDescent="0.3">
      <c r="F6676" s="64">
        <v>6673</v>
      </c>
      <c r="G6676" s="64">
        <f t="shared" ca="1" si="143"/>
        <v>-1.6082613872354218E-3</v>
      </c>
    </row>
    <row r="6677" spans="6:7" x14ac:dyDescent="0.3">
      <c r="F6677" s="64">
        <v>6674</v>
      </c>
      <c r="G6677" s="64">
        <f t="shared" ca="1" si="143"/>
        <v>-2.901886134684447E-2</v>
      </c>
    </row>
    <row r="6678" spans="6:7" x14ac:dyDescent="0.3">
      <c r="F6678" s="64">
        <v>6675</v>
      </c>
      <c r="G6678" s="64">
        <f t="shared" ca="1" si="143"/>
        <v>-2.1719086510103951E-2</v>
      </c>
    </row>
    <row r="6679" spans="6:7" x14ac:dyDescent="0.3">
      <c r="F6679" s="64">
        <v>6676</v>
      </c>
      <c r="G6679" s="64">
        <f t="shared" ca="1" si="143"/>
        <v>9.8998865104932623E-3</v>
      </c>
    </row>
    <row r="6680" spans="6:7" x14ac:dyDescent="0.3">
      <c r="F6680" s="64">
        <v>6677</v>
      </c>
      <c r="G6680" s="64">
        <f t="shared" ca="1" si="143"/>
        <v>2.3564042095152293E-3</v>
      </c>
    </row>
    <row r="6681" spans="6:7" x14ac:dyDescent="0.3">
      <c r="F6681" s="64">
        <v>6678</v>
      </c>
      <c r="G6681" s="64">
        <f t="shared" ca="1" si="143"/>
        <v>4.731236655755422E-3</v>
      </c>
    </row>
    <row r="6682" spans="6:7" x14ac:dyDescent="0.3">
      <c r="F6682" s="64">
        <v>6679</v>
      </c>
      <c r="G6682" s="64">
        <f t="shared" ca="1" si="143"/>
        <v>1.5086608665159172E-2</v>
      </c>
    </row>
    <row r="6683" spans="6:7" x14ac:dyDescent="0.3">
      <c r="F6683" s="64">
        <v>6680</v>
      </c>
      <c r="G6683" s="64">
        <f t="shared" ca="1" si="143"/>
        <v>1.7022721432634315E-2</v>
      </c>
    </row>
    <row r="6684" spans="6:7" x14ac:dyDescent="0.3">
      <c r="F6684" s="64">
        <v>6681</v>
      </c>
      <c r="G6684" s="64">
        <f t="shared" ca="1" si="143"/>
        <v>-4.1631795897819086E-3</v>
      </c>
    </row>
    <row r="6685" spans="6:7" x14ac:dyDescent="0.3">
      <c r="F6685" s="64">
        <v>6682</v>
      </c>
      <c r="G6685" s="64">
        <f t="shared" ca="1" si="143"/>
        <v>-1.5039507646229083E-2</v>
      </c>
    </row>
    <row r="6686" spans="6:7" x14ac:dyDescent="0.3">
      <c r="F6686" s="64">
        <v>6683</v>
      </c>
      <c r="G6686" s="64">
        <f t="shared" ca="1" si="143"/>
        <v>1.8990773588027247E-2</v>
      </c>
    </row>
    <row r="6687" spans="6:7" x14ac:dyDescent="0.3">
      <c r="F6687" s="64">
        <v>6684</v>
      </c>
      <c r="G6687" s="64">
        <f t="shared" ca="1" si="143"/>
        <v>-8.9903386123238137E-3</v>
      </c>
    </row>
    <row r="6688" spans="6:7" x14ac:dyDescent="0.3">
      <c r="F6688" s="64">
        <v>6685</v>
      </c>
      <c r="G6688" s="64">
        <f t="shared" ca="1" si="143"/>
        <v>3.7662365380604218E-3</v>
      </c>
    </row>
    <row r="6689" spans="6:7" x14ac:dyDescent="0.3">
      <c r="F6689" s="64">
        <v>6686</v>
      </c>
      <c r="G6689" s="64">
        <f t="shared" ca="1" si="143"/>
        <v>-1.6504826954798962E-2</v>
      </c>
    </row>
    <row r="6690" spans="6:7" x14ac:dyDescent="0.3">
      <c r="F6690" s="64">
        <v>6687</v>
      </c>
      <c r="G6690" s="64">
        <f t="shared" ca="1" si="143"/>
        <v>1.9030664734482956E-2</v>
      </c>
    </row>
    <row r="6691" spans="6:7" x14ac:dyDescent="0.3">
      <c r="F6691" s="64">
        <v>6688</v>
      </c>
      <c r="G6691" s="64">
        <f t="shared" ca="1" si="143"/>
        <v>-2.6905096837718481E-2</v>
      </c>
    </row>
    <row r="6692" spans="6:7" x14ac:dyDescent="0.3">
      <c r="F6692" s="64">
        <v>6689</v>
      </c>
      <c r="G6692" s="64">
        <f t="shared" ca="1" si="143"/>
        <v>1.751301447788562E-2</v>
      </c>
    </row>
    <row r="6693" spans="6:7" x14ac:dyDescent="0.3">
      <c r="F6693" s="64">
        <v>6690</v>
      </c>
      <c r="G6693" s="64">
        <f t="shared" ca="1" si="143"/>
        <v>1.3696193783841668E-2</v>
      </c>
    </row>
    <row r="6694" spans="6:7" x14ac:dyDescent="0.3">
      <c r="F6694" s="64">
        <v>6691</v>
      </c>
      <c r="G6694" s="64">
        <f t="shared" ca="1" si="143"/>
        <v>-3.0599574543365725E-2</v>
      </c>
    </row>
    <row r="6695" spans="6:7" x14ac:dyDescent="0.3">
      <c r="F6695" s="64">
        <v>6692</v>
      </c>
      <c r="G6695" s="64">
        <f t="shared" ca="1" si="143"/>
        <v>-4.1113157325697348E-4</v>
      </c>
    </row>
    <row r="6696" spans="6:7" x14ac:dyDescent="0.3">
      <c r="F6696" s="64">
        <v>6693</v>
      </c>
      <c r="G6696" s="64">
        <f t="shared" ca="1" si="143"/>
        <v>3.9274028766991976E-3</v>
      </c>
    </row>
    <row r="6697" spans="6:7" x14ac:dyDescent="0.3">
      <c r="F6697" s="64">
        <v>6694</v>
      </c>
      <c r="G6697" s="64">
        <f t="shared" ca="1" si="143"/>
        <v>8.8377800210143274E-3</v>
      </c>
    </row>
    <row r="6698" spans="6:7" x14ac:dyDescent="0.3">
      <c r="F6698" s="64">
        <v>6695</v>
      </c>
      <c r="G6698" s="64">
        <f t="shared" ca="1" si="143"/>
        <v>-2.7111579111525487E-2</v>
      </c>
    </row>
    <row r="6699" spans="6:7" x14ac:dyDescent="0.3">
      <c r="F6699" s="64">
        <v>6696</v>
      </c>
      <c r="G6699" s="64">
        <f t="shared" ca="1" si="143"/>
        <v>3.9109066811753093E-3</v>
      </c>
    </row>
    <row r="6700" spans="6:7" x14ac:dyDescent="0.3">
      <c r="F6700" s="64">
        <v>6697</v>
      </c>
      <c r="G6700" s="64">
        <f t="shared" ca="1" si="143"/>
        <v>1.8278822922417247E-2</v>
      </c>
    </row>
    <row r="6701" spans="6:7" x14ac:dyDescent="0.3">
      <c r="F6701" s="64">
        <v>6698</v>
      </c>
      <c r="G6701" s="64">
        <f t="shared" ca="1" si="143"/>
        <v>2.6240736277491211E-2</v>
      </c>
    </row>
    <row r="6702" spans="6:7" x14ac:dyDescent="0.3">
      <c r="F6702" s="64">
        <v>6699</v>
      </c>
      <c r="G6702" s="64">
        <f t="shared" ca="1" si="143"/>
        <v>-1.6914714073789378E-3</v>
      </c>
    </row>
    <row r="6703" spans="6:7" x14ac:dyDescent="0.3">
      <c r="F6703" s="64">
        <v>6700</v>
      </c>
      <c r="G6703" s="64">
        <f t="shared" ca="1" si="143"/>
        <v>1.6209195101547412E-2</v>
      </c>
    </row>
    <row r="6704" spans="6:7" x14ac:dyDescent="0.3">
      <c r="F6704" s="64">
        <v>6701</v>
      </c>
      <c r="G6704" s="64">
        <f t="shared" ca="1" si="143"/>
        <v>2.2693243553453071E-3</v>
      </c>
    </row>
    <row r="6705" spans="6:7" x14ac:dyDescent="0.3">
      <c r="F6705" s="64">
        <v>6702</v>
      </c>
      <c r="G6705" s="64">
        <f t="shared" ca="1" si="143"/>
        <v>4.8331509597152236E-3</v>
      </c>
    </row>
    <row r="6706" spans="6:7" x14ac:dyDescent="0.3">
      <c r="F6706" s="64">
        <v>6703</v>
      </c>
      <c r="G6706" s="64">
        <f t="shared" ca="1" si="143"/>
        <v>8.2611488776087472E-3</v>
      </c>
    </row>
    <row r="6707" spans="6:7" x14ac:dyDescent="0.3">
      <c r="F6707" s="64">
        <v>6704</v>
      </c>
      <c r="G6707" s="64">
        <f t="shared" ca="1" si="143"/>
        <v>4.4739066500249967E-2</v>
      </c>
    </row>
    <row r="6708" spans="6:7" x14ac:dyDescent="0.3">
      <c r="F6708" s="64">
        <v>6705</v>
      </c>
      <c r="G6708" s="64">
        <f t="shared" ca="1" si="143"/>
        <v>2.9521439892755012E-2</v>
      </c>
    </row>
    <row r="6709" spans="6:7" x14ac:dyDescent="0.3">
      <c r="F6709" s="64">
        <v>6706</v>
      </c>
      <c r="G6709" s="64">
        <f t="shared" ca="1" si="143"/>
        <v>2.1119728709604525E-2</v>
      </c>
    </row>
    <row r="6710" spans="6:7" x14ac:dyDescent="0.3">
      <c r="F6710" s="64">
        <v>6707</v>
      </c>
      <c r="G6710" s="64">
        <f t="shared" ca="1" si="143"/>
        <v>-4.2907348976352995E-3</v>
      </c>
    </row>
    <row r="6711" spans="6:7" x14ac:dyDescent="0.3">
      <c r="F6711" s="64">
        <v>6708</v>
      </c>
      <c r="G6711" s="64">
        <f t="shared" ca="1" si="143"/>
        <v>-3.5941359211339443E-3</v>
      </c>
    </row>
    <row r="6712" spans="6:7" x14ac:dyDescent="0.3">
      <c r="F6712" s="64">
        <v>6709</v>
      </c>
      <c r="G6712" s="64">
        <f t="shared" ca="1" si="143"/>
        <v>1.2450450920361369E-2</v>
      </c>
    </row>
    <row r="6713" spans="6:7" x14ac:dyDescent="0.3">
      <c r="F6713" s="64">
        <v>6710</v>
      </c>
      <c r="G6713" s="64">
        <f t="shared" ca="1" si="143"/>
        <v>2.1682552991294596E-2</v>
      </c>
    </row>
    <row r="6714" spans="6:7" x14ac:dyDescent="0.3">
      <c r="F6714" s="64">
        <v>6711</v>
      </c>
      <c r="G6714" s="64">
        <f t="shared" ca="1" si="143"/>
        <v>2.6945078857743034E-2</v>
      </c>
    </row>
    <row r="6715" spans="6:7" x14ac:dyDescent="0.3">
      <c r="F6715" s="64">
        <v>6712</v>
      </c>
      <c r="G6715" s="64">
        <f t="shared" ca="1" si="143"/>
        <v>4.9123587466654121E-3</v>
      </c>
    </row>
    <row r="6716" spans="6:7" x14ac:dyDescent="0.3">
      <c r="F6716" s="64">
        <v>6713</v>
      </c>
      <c r="G6716" s="64">
        <f t="shared" ca="1" si="143"/>
        <v>1.2318584613708716E-2</v>
      </c>
    </row>
    <row r="6717" spans="6:7" x14ac:dyDescent="0.3">
      <c r="F6717" s="64">
        <v>6714</v>
      </c>
      <c r="G6717" s="64">
        <f t="shared" ca="1" si="143"/>
        <v>4.2854767630855928E-3</v>
      </c>
    </row>
    <row r="6718" spans="6:7" x14ac:dyDescent="0.3">
      <c r="F6718" s="64">
        <v>6715</v>
      </c>
      <c r="G6718" s="64">
        <f t="shared" ca="1" si="143"/>
        <v>-6.4732731394717292E-3</v>
      </c>
    </row>
    <row r="6719" spans="6:7" x14ac:dyDescent="0.3">
      <c r="F6719" s="64">
        <v>6716</v>
      </c>
      <c r="G6719" s="64">
        <f t="shared" ca="1" si="143"/>
        <v>-1.8454150367738106E-2</v>
      </c>
    </row>
    <row r="6720" spans="6:7" x14ac:dyDescent="0.3">
      <c r="F6720" s="64">
        <v>6717</v>
      </c>
      <c r="G6720" s="64">
        <f t="shared" ca="1" si="143"/>
        <v>2.7395052248539886E-2</v>
      </c>
    </row>
    <row r="6721" spans="6:7" x14ac:dyDescent="0.3">
      <c r="F6721" s="64">
        <v>6718</v>
      </c>
      <c r="G6721" s="64">
        <f t="shared" ca="1" si="143"/>
        <v>-4.2112054984323813E-3</v>
      </c>
    </row>
    <row r="6722" spans="6:7" x14ac:dyDescent="0.3">
      <c r="F6722" s="64">
        <v>6719</v>
      </c>
      <c r="G6722" s="64">
        <f t="shared" ca="1" si="143"/>
        <v>-2.6480941137586492E-2</v>
      </c>
    </row>
    <row r="6723" spans="6:7" x14ac:dyDescent="0.3">
      <c r="F6723" s="64">
        <v>6720</v>
      </c>
      <c r="G6723" s="64">
        <f t="shared" ca="1" si="143"/>
        <v>1.0927519832908392E-2</v>
      </c>
    </row>
    <row r="6724" spans="6:7" x14ac:dyDescent="0.3">
      <c r="F6724" s="64">
        <v>6721</v>
      </c>
      <c r="G6724" s="64">
        <f t="shared" ca="1" si="143"/>
        <v>7.1853694036725507E-4</v>
      </c>
    </row>
    <row r="6725" spans="6:7" x14ac:dyDescent="0.3">
      <c r="F6725" s="64">
        <v>6722</v>
      </c>
      <c r="G6725" s="64">
        <f t="shared" ref="G6725:G6788" ca="1" si="144">_xlfn.NORM.INV(RAND(),K$6,K$7)</f>
        <v>-2.977516608229082E-3</v>
      </c>
    </row>
    <row r="6726" spans="6:7" x14ac:dyDescent="0.3">
      <c r="F6726" s="64">
        <v>6723</v>
      </c>
      <c r="G6726" s="64">
        <f t="shared" ca="1" si="144"/>
        <v>-2.0661864650264761E-2</v>
      </c>
    </row>
    <row r="6727" spans="6:7" x14ac:dyDescent="0.3">
      <c r="F6727" s="64">
        <v>6724</v>
      </c>
      <c r="G6727" s="64">
        <f t="shared" ca="1" si="144"/>
        <v>5.7989007260965245E-4</v>
      </c>
    </row>
    <row r="6728" spans="6:7" x14ac:dyDescent="0.3">
      <c r="F6728" s="64">
        <v>6725</v>
      </c>
      <c r="G6728" s="64">
        <f t="shared" ca="1" si="144"/>
        <v>-4.4553100836700627E-3</v>
      </c>
    </row>
    <row r="6729" spans="6:7" x14ac:dyDescent="0.3">
      <c r="F6729" s="64">
        <v>6726</v>
      </c>
      <c r="G6729" s="64">
        <f t="shared" ca="1" si="144"/>
        <v>1.8097986404763948E-2</v>
      </c>
    </row>
    <row r="6730" spans="6:7" x14ac:dyDescent="0.3">
      <c r="F6730" s="64">
        <v>6727</v>
      </c>
      <c r="G6730" s="64">
        <f t="shared" ca="1" si="144"/>
        <v>1.9933606404810178E-2</v>
      </c>
    </row>
    <row r="6731" spans="6:7" x14ac:dyDescent="0.3">
      <c r="F6731" s="64">
        <v>6728</v>
      </c>
      <c r="G6731" s="64">
        <f t="shared" ca="1" si="144"/>
        <v>1.1410282738405617E-2</v>
      </c>
    </row>
    <row r="6732" spans="6:7" x14ac:dyDescent="0.3">
      <c r="F6732" s="64">
        <v>6729</v>
      </c>
      <c r="G6732" s="64">
        <f t="shared" ca="1" si="144"/>
        <v>-4.1218801276463338E-2</v>
      </c>
    </row>
    <row r="6733" spans="6:7" x14ac:dyDescent="0.3">
      <c r="F6733" s="64">
        <v>6730</v>
      </c>
      <c r="G6733" s="64">
        <f t="shared" ca="1" si="144"/>
        <v>2.8034968396131274E-2</v>
      </c>
    </row>
    <row r="6734" spans="6:7" x14ac:dyDescent="0.3">
      <c r="F6734" s="64">
        <v>6731</v>
      </c>
      <c r="G6734" s="64">
        <f t="shared" ca="1" si="144"/>
        <v>3.9770212675280412E-3</v>
      </c>
    </row>
    <row r="6735" spans="6:7" x14ac:dyDescent="0.3">
      <c r="F6735" s="64">
        <v>6732</v>
      </c>
      <c r="G6735" s="64">
        <f t="shared" ca="1" si="144"/>
        <v>2.2086335989194459E-3</v>
      </c>
    </row>
    <row r="6736" spans="6:7" x14ac:dyDescent="0.3">
      <c r="F6736" s="64">
        <v>6733</v>
      </c>
      <c r="G6736" s="64">
        <f t="shared" ca="1" si="144"/>
        <v>-2.284226487336747E-2</v>
      </c>
    </row>
    <row r="6737" spans="6:7" x14ac:dyDescent="0.3">
      <c r="F6737" s="64">
        <v>6734</v>
      </c>
      <c r="G6737" s="64">
        <f t="shared" ca="1" si="144"/>
        <v>-2.5188519013413874E-2</v>
      </c>
    </row>
    <row r="6738" spans="6:7" x14ac:dyDescent="0.3">
      <c r="F6738" s="64">
        <v>6735</v>
      </c>
      <c r="G6738" s="64">
        <f t="shared" ca="1" si="144"/>
        <v>-2.5327126450607411E-2</v>
      </c>
    </row>
    <row r="6739" spans="6:7" x14ac:dyDescent="0.3">
      <c r="F6739" s="64">
        <v>6736</v>
      </c>
      <c r="G6739" s="64">
        <f t="shared" ca="1" si="144"/>
        <v>1.0407590629800244E-2</v>
      </c>
    </row>
    <row r="6740" spans="6:7" x14ac:dyDescent="0.3">
      <c r="F6740" s="64">
        <v>6737</v>
      </c>
      <c r="G6740" s="64">
        <f t="shared" ca="1" si="144"/>
        <v>-2.8716245341715546E-2</v>
      </c>
    </row>
    <row r="6741" spans="6:7" x14ac:dyDescent="0.3">
      <c r="F6741" s="64">
        <v>6738</v>
      </c>
      <c r="G6741" s="64">
        <f t="shared" ca="1" si="144"/>
        <v>1.0922216919951761E-2</v>
      </c>
    </row>
    <row r="6742" spans="6:7" x14ac:dyDescent="0.3">
      <c r="F6742" s="64">
        <v>6739</v>
      </c>
      <c r="G6742" s="64">
        <f t="shared" ca="1" si="144"/>
        <v>-1.043034284208101E-2</v>
      </c>
    </row>
    <row r="6743" spans="6:7" x14ac:dyDescent="0.3">
      <c r="F6743" s="64">
        <v>6740</v>
      </c>
      <c r="G6743" s="64">
        <f t="shared" ca="1" si="144"/>
        <v>-8.2574541936381932E-3</v>
      </c>
    </row>
    <row r="6744" spans="6:7" x14ac:dyDescent="0.3">
      <c r="F6744" s="64">
        <v>6741</v>
      </c>
      <c r="G6744" s="64">
        <f t="shared" ca="1" si="144"/>
        <v>9.3477377976147521E-3</v>
      </c>
    </row>
    <row r="6745" spans="6:7" x14ac:dyDescent="0.3">
      <c r="F6745" s="64">
        <v>6742</v>
      </c>
      <c r="G6745" s="64">
        <f t="shared" ca="1" si="144"/>
        <v>1.3194548957867666E-2</v>
      </c>
    </row>
    <row r="6746" spans="6:7" x14ac:dyDescent="0.3">
      <c r="F6746" s="64">
        <v>6743</v>
      </c>
      <c r="G6746" s="64">
        <f t="shared" ca="1" si="144"/>
        <v>-2.8702484820077846E-2</v>
      </c>
    </row>
    <row r="6747" spans="6:7" x14ac:dyDescent="0.3">
      <c r="F6747" s="64">
        <v>6744</v>
      </c>
      <c r="G6747" s="64">
        <f t="shared" ca="1" si="144"/>
        <v>-1.9480568479828479E-2</v>
      </c>
    </row>
    <row r="6748" spans="6:7" x14ac:dyDescent="0.3">
      <c r="F6748" s="64">
        <v>6745</v>
      </c>
      <c r="G6748" s="64">
        <f t="shared" ca="1" si="144"/>
        <v>-1.3428624635103168E-2</v>
      </c>
    </row>
    <row r="6749" spans="6:7" x14ac:dyDescent="0.3">
      <c r="F6749" s="64">
        <v>6746</v>
      </c>
      <c r="G6749" s="64">
        <f t="shared" ca="1" si="144"/>
        <v>9.3444176708852699E-3</v>
      </c>
    </row>
    <row r="6750" spans="6:7" x14ac:dyDescent="0.3">
      <c r="F6750" s="64">
        <v>6747</v>
      </c>
      <c r="G6750" s="64">
        <f t="shared" ca="1" si="144"/>
        <v>1.9033450235197533E-3</v>
      </c>
    </row>
    <row r="6751" spans="6:7" x14ac:dyDescent="0.3">
      <c r="F6751" s="64">
        <v>6748</v>
      </c>
      <c r="G6751" s="64">
        <f t="shared" ca="1" si="144"/>
        <v>-2.0374160806429439E-2</v>
      </c>
    </row>
    <row r="6752" spans="6:7" x14ac:dyDescent="0.3">
      <c r="F6752" s="64">
        <v>6749</v>
      </c>
      <c r="G6752" s="64">
        <f t="shared" ca="1" si="144"/>
        <v>-1.5663994647904023E-2</v>
      </c>
    </row>
    <row r="6753" spans="6:7" x14ac:dyDescent="0.3">
      <c r="F6753" s="64">
        <v>6750</v>
      </c>
      <c r="G6753" s="64">
        <f t="shared" ca="1" si="144"/>
        <v>2.4096003508574153E-2</v>
      </c>
    </row>
    <row r="6754" spans="6:7" x14ac:dyDescent="0.3">
      <c r="F6754" s="64">
        <v>6751</v>
      </c>
      <c r="G6754" s="64">
        <f t="shared" ca="1" si="144"/>
        <v>-6.7028232870003559E-3</v>
      </c>
    </row>
    <row r="6755" spans="6:7" x14ac:dyDescent="0.3">
      <c r="F6755" s="64">
        <v>6752</v>
      </c>
      <c r="G6755" s="64">
        <f t="shared" ca="1" si="144"/>
        <v>5.576952451623882E-3</v>
      </c>
    </row>
    <row r="6756" spans="6:7" x14ac:dyDescent="0.3">
      <c r="F6756" s="64">
        <v>6753</v>
      </c>
      <c r="G6756" s="64">
        <f t="shared" ca="1" si="144"/>
        <v>-8.0594878926324564E-3</v>
      </c>
    </row>
    <row r="6757" spans="6:7" x14ac:dyDescent="0.3">
      <c r="F6757" s="64">
        <v>6754</v>
      </c>
      <c r="G6757" s="64">
        <f t="shared" ca="1" si="144"/>
        <v>-3.2366594861961279E-3</v>
      </c>
    </row>
    <row r="6758" spans="6:7" x14ac:dyDescent="0.3">
      <c r="F6758" s="64">
        <v>6755</v>
      </c>
      <c r="G6758" s="64">
        <f t="shared" ca="1" si="144"/>
        <v>-2.5779130221818313E-3</v>
      </c>
    </row>
    <row r="6759" spans="6:7" x14ac:dyDescent="0.3">
      <c r="F6759" s="64">
        <v>6756</v>
      </c>
      <c r="G6759" s="64">
        <f t="shared" ca="1" si="144"/>
        <v>-4.3931039153036817E-2</v>
      </c>
    </row>
    <row r="6760" spans="6:7" x14ac:dyDescent="0.3">
      <c r="F6760" s="64">
        <v>6757</v>
      </c>
      <c r="G6760" s="64">
        <f t="shared" ca="1" si="144"/>
        <v>1.5587350183472076E-2</v>
      </c>
    </row>
    <row r="6761" spans="6:7" x14ac:dyDescent="0.3">
      <c r="F6761" s="64">
        <v>6758</v>
      </c>
      <c r="G6761" s="64">
        <f t="shared" ca="1" si="144"/>
        <v>7.2485998127554581E-3</v>
      </c>
    </row>
    <row r="6762" spans="6:7" x14ac:dyDescent="0.3">
      <c r="F6762" s="64">
        <v>6759</v>
      </c>
      <c r="G6762" s="64">
        <f t="shared" ca="1" si="144"/>
        <v>2.1851540010248513E-2</v>
      </c>
    </row>
    <row r="6763" spans="6:7" x14ac:dyDescent="0.3">
      <c r="F6763" s="64">
        <v>6760</v>
      </c>
      <c r="G6763" s="64">
        <f t="shared" ca="1" si="144"/>
        <v>1.6954038724104614E-2</v>
      </c>
    </row>
    <row r="6764" spans="6:7" x14ac:dyDescent="0.3">
      <c r="F6764" s="64">
        <v>6761</v>
      </c>
      <c r="G6764" s="64">
        <f t="shared" ca="1" si="144"/>
        <v>2.6901235608531981E-3</v>
      </c>
    </row>
    <row r="6765" spans="6:7" x14ac:dyDescent="0.3">
      <c r="F6765" s="64">
        <v>6762</v>
      </c>
      <c r="G6765" s="64">
        <f t="shared" ca="1" si="144"/>
        <v>-7.583470901699696E-3</v>
      </c>
    </row>
    <row r="6766" spans="6:7" x14ac:dyDescent="0.3">
      <c r="F6766" s="64">
        <v>6763</v>
      </c>
      <c r="G6766" s="64">
        <f t="shared" ca="1" si="144"/>
        <v>9.9706853492645756E-3</v>
      </c>
    </row>
    <row r="6767" spans="6:7" x14ac:dyDescent="0.3">
      <c r="F6767" s="64">
        <v>6764</v>
      </c>
      <c r="G6767" s="64">
        <f t="shared" ca="1" si="144"/>
        <v>1.1638935780351817E-2</v>
      </c>
    </row>
    <row r="6768" spans="6:7" x14ac:dyDescent="0.3">
      <c r="F6768" s="64">
        <v>6765</v>
      </c>
      <c r="G6768" s="64">
        <f t="shared" ca="1" si="144"/>
        <v>2.5107027879126289E-3</v>
      </c>
    </row>
    <row r="6769" spans="6:7" x14ac:dyDescent="0.3">
      <c r="F6769" s="64">
        <v>6766</v>
      </c>
      <c r="G6769" s="64">
        <f t="shared" ca="1" si="144"/>
        <v>-1.7873616587525898E-2</v>
      </c>
    </row>
    <row r="6770" spans="6:7" x14ac:dyDescent="0.3">
      <c r="F6770" s="64">
        <v>6767</v>
      </c>
      <c r="G6770" s="64">
        <f t="shared" ca="1" si="144"/>
        <v>-3.3840567272765062E-3</v>
      </c>
    </row>
    <row r="6771" spans="6:7" x14ac:dyDescent="0.3">
      <c r="F6771" s="64">
        <v>6768</v>
      </c>
      <c r="G6771" s="64">
        <f t="shared" ca="1" si="144"/>
        <v>7.9385714357471208E-3</v>
      </c>
    </row>
    <row r="6772" spans="6:7" x14ac:dyDescent="0.3">
      <c r="F6772" s="64">
        <v>6769</v>
      </c>
      <c r="G6772" s="64">
        <f t="shared" ca="1" si="144"/>
        <v>-3.2821986112480252E-2</v>
      </c>
    </row>
    <row r="6773" spans="6:7" x14ac:dyDescent="0.3">
      <c r="F6773" s="64">
        <v>6770</v>
      </c>
      <c r="G6773" s="64">
        <f t="shared" ca="1" si="144"/>
        <v>5.5726925427235403E-3</v>
      </c>
    </row>
    <row r="6774" spans="6:7" x14ac:dyDescent="0.3">
      <c r="F6774" s="64">
        <v>6771</v>
      </c>
      <c r="G6774" s="64">
        <f t="shared" ca="1" si="144"/>
        <v>2.3563690849170274E-2</v>
      </c>
    </row>
    <row r="6775" spans="6:7" x14ac:dyDescent="0.3">
      <c r="F6775" s="64">
        <v>6772</v>
      </c>
      <c r="G6775" s="64">
        <f t="shared" ca="1" si="144"/>
        <v>-1.1049759301333521E-3</v>
      </c>
    </row>
    <row r="6776" spans="6:7" x14ac:dyDescent="0.3">
      <c r="F6776" s="64">
        <v>6773</v>
      </c>
      <c r="G6776" s="64">
        <f t="shared" ca="1" si="144"/>
        <v>-1.9122694397969708E-2</v>
      </c>
    </row>
    <row r="6777" spans="6:7" x14ac:dyDescent="0.3">
      <c r="F6777" s="64">
        <v>6774</v>
      </c>
      <c r="G6777" s="64">
        <f t="shared" ca="1" si="144"/>
        <v>7.5866997307285329E-3</v>
      </c>
    </row>
    <row r="6778" spans="6:7" x14ac:dyDescent="0.3">
      <c r="F6778" s="64">
        <v>6775</v>
      </c>
      <c r="G6778" s="64">
        <f t="shared" ca="1" si="144"/>
        <v>-1.3701787507795786E-2</v>
      </c>
    </row>
    <row r="6779" spans="6:7" x14ac:dyDescent="0.3">
      <c r="F6779" s="64">
        <v>6776</v>
      </c>
      <c r="G6779" s="64">
        <f t="shared" ca="1" si="144"/>
        <v>5.8779810666674702E-3</v>
      </c>
    </row>
    <row r="6780" spans="6:7" x14ac:dyDescent="0.3">
      <c r="F6780" s="64">
        <v>6777</v>
      </c>
      <c r="G6780" s="64">
        <f t="shared" ca="1" si="144"/>
        <v>8.7761385195488321E-3</v>
      </c>
    </row>
    <row r="6781" spans="6:7" x14ac:dyDescent="0.3">
      <c r="F6781" s="64">
        <v>6778</v>
      </c>
      <c r="G6781" s="64">
        <f t="shared" ca="1" si="144"/>
        <v>1.1078245973544384E-2</v>
      </c>
    </row>
    <row r="6782" spans="6:7" x14ac:dyDescent="0.3">
      <c r="F6782" s="64">
        <v>6779</v>
      </c>
      <c r="G6782" s="64">
        <f t="shared" ca="1" si="144"/>
        <v>4.4167169528964524E-2</v>
      </c>
    </row>
    <row r="6783" spans="6:7" x14ac:dyDescent="0.3">
      <c r="F6783" s="64">
        <v>6780</v>
      </c>
      <c r="G6783" s="64">
        <f t="shared" ca="1" si="144"/>
        <v>-1.2510513220441522E-2</v>
      </c>
    </row>
    <row r="6784" spans="6:7" x14ac:dyDescent="0.3">
      <c r="F6784" s="64">
        <v>6781</v>
      </c>
      <c r="G6784" s="64">
        <f t="shared" ca="1" si="144"/>
        <v>-1.0644831367901451E-2</v>
      </c>
    </row>
    <row r="6785" spans="6:7" x14ac:dyDescent="0.3">
      <c r="F6785" s="64">
        <v>6782</v>
      </c>
      <c r="G6785" s="64">
        <f t="shared" ca="1" si="144"/>
        <v>1.2436187309485165E-2</v>
      </c>
    </row>
    <row r="6786" spans="6:7" x14ac:dyDescent="0.3">
      <c r="F6786" s="64">
        <v>6783</v>
      </c>
      <c r="G6786" s="64">
        <f t="shared" ca="1" si="144"/>
        <v>-2.3364635435728379E-2</v>
      </c>
    </row>
    <row r="6787" spans="6:7" x14ac:dyDescent="0.3">
      <c r="F6787" s="64">
        <v>6784</v>
      </c>
      <c r="G6787" s="64">
        <f t="shared" ca="1" si="144"/>
        <v>-2.8285606414400317E-3</v>
      </c>
    </row>
    <row r="6788" spans="6:7" x14ac:dyDescent="0.3">
      <c r="F6788" s="64">
        <v>6785</v>
      </c>
      <c r="G6788" s="64">
        <f t="shared" ca="1" si="144"/>
        <v>1.797701276727174E-2</v>
      </c>
    </row>
    <row r="6789" spans="6:7" x14ac:dyDescent="0.3">
      <c r="F6789" s="64">
        <v>6786</v>
      </c>
      <c r="G6789" s="64">
        <f t="shared" ref="G6789:G6852" ca="1" si="145">_xlfn.NORM.INV(RAND(),K$6,K$7)</f>
        <v>7.7365274775172436E-3</v>
      </c>
    </row>
    <row r="6790" spans="6:7" x14ac:dyDescent="0.3">
      <c r="F6790" s="64">
        <v>6787</v>
      </c>
      <c r="G6790" s="64">
        <f t="shared" ca="1" si="145"/>
        <v>1.8750736579208685E-2</v>
      </c>
    </row>
    <row r="6791" spans="6:7" x14ac:dyDescent="0.3">
      <c r="F6791" s="64">
        <v>6788</v>
      </c>
      <c r="G6791" s="64">
        <f t="shared" ca="1" si="145"/>
        <v>1.0061709974914021E-2</v>
      </c>
    </row>
    <row r="6792" spans="6:7" x14ac:dyDescent="0.3">
      <c r="F6792" s="64">
        <v>6789</v>
      </c>
      <c r="G6792" s="64">
        <f t="shared" ca="1" si="145"/>
        <v>3.811668077699109E-2</v>
      </c>
    </row>
    <row r="6793" spans="6:7" x14ac:dyDescent="0.3">
      <c r="F6793" s="64">
        <v>6790</v>
      </c>
      <c r="G6793" s="64">
        <f t="shared" ca="1" si="145"/>
        <v>-2.4772191788137554E-2</v>
      </c>
    </row>
    <row r="6794" spans="6:7" x14ac:dyDescent="0.3">
      <c r="F6794" s="64">
        <v>6791</v>
      </c>
      <c r="G6794" s="64">
        <f t="shared" ca="1" si="145"/>
        <v>1.2235841487421335E-2</v>
      </c>
    </row>
    <row r="6795" spans="6:7" x14ac:dyDescent="0.3">
      <c r="F6795" s="64">
        <v>6792</v>
      </c>
      <c r="G6795" s="64">
        <f t="shared" ca="1" si="145"/>
        <v>2.4090770428907879E-2</v>
      </c>
    </row>
    <row r="6796" spans="6:7" x14ac:dyDescent="0.3">
      <c r="F6796" s="64">
        <v>6793</v>
      </c>
      <c r="G6796" s="64">
        <f t="shared" ca="1" si="145"/>
        <v>-8.8217064030804305E-3</v>
      </c>
    </row>
    <row r="6797" spans="6:7" x14ac:dyDescent="0.3">
      <c r="F6797" s="64">
        <v>6794</v>
      </c>
      <c r="G6797" s="64">
        <f t="shared" ca="1" si="145"/>
        <v>2.3852203585870611E-2</v>
      </c>
    </row>
    <row r="6798" spans="6:7" x14ac:dyDescent="0.3">
      <c r="F6798" s="64">
        <v>6795</v>
      </c>
      <c r="G6798" s="64">
        <f t="shared" ca="1" si="145"/>
        <v>-9.7722743216307872E-3</v>
      </c>
    </row>
    <row r="6799" spans="6:7" x14ac:dyDescent="0.3">
      <c r="F6799" s="64">
        <v>6796</v>
      </c>
      <c r="G6799" s="64">
        <f t="shared" ca="1" si="145"/>
        <v>-7.4761431417460222E-3</v>
      </c>
    </row>
    <row r="6800" spans="6:7" x14ac:dyDescent="0.3">
      <c r="F6800" s="64">
        <v>6797</v>
      </c>
      <c r="G6800" s="64">
        <f t="shared" ca="1" si="145"/>
        <v>4.7628690064898862E-3</v>
      </c>
    </row>
    <row r="6801" spans="6:7" x14ac:dyDescent="0.3">
      <c r="F6801" s="64">
        <v>6798</v>
      </c>
      <c r="G6801" s="64">
        <f t="shared" ca="1" si="145"/>
        <v>-2.60634805467767E-3</v>
      </c>
    </row>
    <row r="6802" spans="6:7" x14ac:dyDescent="0.3">
      <c r="F6802" s="64">
        <v>6799</v>
      </c>
      <c r="G6802" s="64">
        <f t="shared" ca="1" si="145"/>
        <v>1.40470163948595E-2</v>
      </c>
    </row>
    <row r="6803" spans="6:7" x14ac:dyDescent="0.3">
      <c r="F6803" s="64">
        <v>6800</v>
      </c>
      <c r="G6803" s="64">
        <f t="shared" ca="1" si="145"/>
        <v>-4.9560039262040244E-2</v>
      </c>
    </row>
    <row r="6804" spans="6:7" x14ac:dyDescent="0.3">
      <c r="F6804" s="64">
        <v>6801</v>
      </c>
      <c r="G6804" s="64">
        <f t="shared" ca="1" si="145"/>
        <v>-2.7377818808325211E-2</v>
      </c>
    </row>
    <row r="6805" spans="6:7" x14ac:dyDescent="0.3">
      <c r="F6805" s="64">
        <v>6802</v>
      </c>
      <c r="G6805" s="64">
        <f t="shared" ca="1" si="145"/>
        <v>-8.6227567159779094E-3</v>
      </c>
    </row>
    <row r="6806" spans="6:7" x14ac:dyDescent="0.3">
      <c r="F6806" s="64">
        <v>6803</v>
      </c>
      <c r="G6806" s="64">
        <f t="shared" ca="1" si="145"/>
        <v>-2.8851784039557717E-2</v>
      </c>
    </row>
    <row r="6807" spans="6:7" x14ac:dyDescent="0.3">
      <c r="F6807" s="64">
        <v>6804</v>
      </c>
      <c r="G6807" s="64">
        <f t="shared" ca="1" si="145"/>
        <v>6.1158611599640101E-3</v>
      </c>
    </row>
    <row r="6808" spans="6:7" x14ac:dyDescent="0.3">
      <c r="F6808" s="64">
        <v>6805</v>
      </c>
      <c r="G6808" s="64">
        <f t="shared" ca="1" si="145"/>
        <v>7.6709939088087115E-3</v>
      </c>
    </row>
    <row r="6809" spans="6:7" x14ac:dyDescent="0.3">
      <c r="F6809" s="64">
        <v>6806</v>
      </c>
      <c r="G6809" s="64">
        <f t="shared" ca="1" si="145"/>
        <v>-2.6209454579241412E-2</v>
      </c>
    </row>
    <row r="6810" spans="6:7" x14ac:dyDescent="0.3">
      <c r="F6810" s="64">
        <v>6807</v>
      </c>
      <c r="G6810" s="64">
        <f t="shared" ca="1" si="145"/>
        <v>1.4912296704592341E-2</v>
      </c>
    </row>
    <row r="6811" spans="6:7" x14ac:dyDescent="0.3">
      <c r="F6811" s="64">
        <v>6808</v>
      </c>
      <c r="G6811" s="64">
        <f t="shared" ca="1" si="145"/>
        <v>-1.1864579634616785E-2</v>
      </c>
    </row>
    <row r="6812" spans="6:7" x14ac:dyDescent="0.3">
      <c r="F6812" s="64">
        <v>6809</v>
      </c>
      <c r="G6812" s="64">
        <f t="shared" ca="1" si="145"/>
        <v>-6.6976404743639677E-3</v>
      </c>
    </row>
    <row r="6813" spans="6:7" x14ac:dyDescent="0.3">
      <c r="F6813" s="64">
        <v>6810</v>
      </c>
      <c r="G6813" s="64">
        <f t="shared" ca="1" si="145"/>
        <v>-1.339342349782079E-2</v>
      </c>
    </row>
    <row r="6814" spans="6:7" x14ac:dyDescent="0.3">
      <c r="F6814" s="64">
        <v>6811</v>
      </c>
      <c r="G6814" s="64">
        <f t="shared" ca="1" si="145"/>
        <v>3.5313847106560503E-3</v>
      </c>
    </row>
    <row r="6815" spans="6:7" x14ac:dyDescent="0.3">
      <c r="F6815" s="64">
        <v>6812</v>
      </c>
      <c r="G6815" s="64">
        <f t="shared" ca="1" si="145"/>
        <v>3.3022380226854814E-3</v>
      </c>
    </row>
    <row r="6816" spans="6:7" x14ac:dyDescent="0.3">
      <c r="F6816" s="64">
        <v>6813</v>
      </c>
      <c r="G6816" s="64">
        <f t="shared" ca="1" si="145"/>
        <v>-1.2777232094335038E-2</v>
      </c>
    </row>
    <row r="6817" spans="6:7" x14ac:dyDescent="0.3">
      <c r="F6817" s="64">
        <v>6814</v>
      </c>
      <c r="G6817" s="64">
        <f t="shared" ca="1" si="145"/>
        <v>-1.3194536777559494E-2</v>
      </c>
    </row>
    <row r="6818" spans="6:7" x14ac:dyDescent="0.3">
      <c r="F6818" s="64">
        <v>6815</v>
      </c>
      <c r="G6818" s="64">
        <f t="shared" ca="1" si="145"/>
        <v>-1.8103495385194769E-2</v>
      </c>
    </row>
    <row r="6819" spans="6:7" x14ac:dyDescent="0.3">
      <c r="F6819" s="64">
        <v>6816</v>
      </c>
      <c r="G6819" s="64">
        <f t="shared" ca="1" si="145"/>
        <v>6.4824741187640778E-5</v>
      </c>
    </row>
    <row r="6820" spans="6:7" x14ac:dyDescent="0.3">
      <c r="F6820" s="64">
        <v>6817</v>
      </c>
      <c r="G6820" s="64">
        <f t="shared" ca="1" si="145"/>
        <v>-6.8690492422852807E-3</v>
      </c>
    </row>
    <row r="6821" spans="6:7" x14ac:dyDescent="0.3">
      <c r="F6821" s="64">
        <v>6818</v>
      </c>
      <c r="G6821" s="64">
        <f t="shared" ca="1" si="145"/>
        <v>2.4908839310573617E-2</v>
      </c>
    </row>
    <row r="6822" spans="6:7" x14ac:dyDescent="0.3">
      <c r="F6822" s="64">
        <v>6819</v>
      </c>
      <c r="G6822" s="64">
        <f t="shared" ca="1" si="145"/>
        <v>-1.6012708077017344E-2</v>
      </c>
    </row>
    <row r="6823" spans="6:7" x14ac:dyDescent="0.3">
      <c r="F6823" s="64">
        <v>6820</v>
      </c>
      <c r="G6823" s="64">
        <f t="shared" ca="1" si="145"/>
        <v>2.7737644660630993E-2</v>
      </c>
    </row>
    <row r="6824" spans="6:7" x14ac:dyDescent="0.3">
      <c r="F6824" s="64">
        <v>6821</v>
      </c>
      <c r="G6824" s="64">
        <f t="shared" ca="1" si="145"/>
        <v>1.4768670137593982E-2</v>
      </c>
    </row>
    <row r="6825" spans="6:7" x14ac:dyDescent="0.3">
      <c r="F6825" s="64">
        <v>6822</v>
      </c>
      <c r="G6825" s="64">
        <f t="shared" ca="1" si="145"/>
        <v>2.6516247729338777E-2</v>
      </c>
    </row>
    <row r="6826" spans="6:7" x14ac:dyDescent="0.3">
      <c r="F6826" s="64">
        <v>6823</v>
      </c>
      <c r="G6826" s="64">
        <f t="shared" ca="1" si="145"/>
        <v>-1.5142510955295571E-2</v>
      </c>
    </row>
    <row r="6827" spans="6:7" x14ac:dyDescent="0.3">
      <c r="F6827" s="64">
        <v>6824</v>
      </c>
      <c r="G6827" s="64">
        <f t="shared" ca="1" si="145"/>
        <v>-2.2619685224793129E-2</v>
      </c>
    </row>
    <row r="6828" spans="6:7" x14ac:dyDescent="0.3">
      <c r="F6828" s="64">
        <v>6825</v>
      </c>
      <c r="G6828" s="64">
        <f t="shared" ca="1" si="145"/>
        <v>1.2462268120437086E-2</v>
      </c>
    </row>
    <row r="6829" spans="6:7" x14ac:dyDescent="0.3">
      <c r="F6829" s="64">
        <v>6826</v>
      </c>
      <c r="G6829" s="64">
        <f t="shared" ca="1" si="145"/>
        <v>-4.8196657241455021E-3</v>
      </c>
    </row>
    <row r="6830" spans="6:7" x14ac:dyDescent="0.3">
      <c r="F6830" s="64">
        <v>6827</v>
      </c>
      <c r="G6830" s="64">
        <f t="shared" ca="1" si="145"/>
        <v>2.7821167403037056E-2</v>
      </c>
    </row>
    <row r="6831" spans="6:7" x14ac:dyDescent="0.3">
      <c r="F6831" s="64">
        <v>6828</v>
      </c>
      <c r="G6831" s="64">
        <f t="shared" ca="1" si="145"/>
        <v>-3.0173058358156486E-2</v>
      </c>
    </row>
    <row r="6832" spans="6:7" x14ac:dyDescent="0.3">
      <c r="F6832" s="64">
        <v>6829</v>
      </c>
      <c r="G6832" s="64">
        <f t="shared" ca="1" si="145"/>
        <v>-5.2483964638595122E-2</v>
      </c>
    </row>
    <row r="6833" spans="6:7" x14ac:dyDescent="0.3">
      <c r="F6833" s="64">
        <v>6830</v>
      </c>
      <c r="G6833" s="64">
        <f t="shared" ca="1" si="145"/>
        <v>-1.7146920335269128E-2</v>
      </c>
    </row>
    <row r="6834" spans="6:7" x14ac:dyDescent="0.3">
      <c r="F6834" s="64">
        <v>6831</v>
      </c>
      <c r="G6834" s="64">
        <f t="shared" ca="1" si="145"/>
        <v>1.2254010496789595E-2</v>
      </c>
    </row>
    <row r="6835" spans="6:7" x14ac:dyDescent="0.3">
      <c r="F6835" s="64">
        <v>6832</v>
      </c>
      <c r="G6835" s="64">
        <f t="shared" ca="1" si="145"/>
        <v>1.2620558699074528E-2</v>
      </c>
    </row>
    <row r="6836" spans="6:7" x14ac:dyDescent="0.3">
      <c r="F6836" s="64">
        <v>6833</v>
      </c>
      <c r="G6836" s="64">
        <f t="shared" ca="1" si="145"/>
        <v>2.4638717151026926E-3</v>
      </c>
    </row>
    <row r="6837" spans="6:7" x14ac:dyDescent="0.3">
      <c r="F6837" s="64">
        <v>6834</v>
      </c>
      <c r="G6837" s="64">
        <f t="shared" ca="1" si="145"/>
        <v>4.9515437893435786E-2</v>
      </c>
    </row>
    <row r="6838" spans="6:7" x14ac:dyDescent="0.3">
      <c r="F6838" s="64">
        <v>6835</v>
      </c>
      <c r="G6838" s="64">
        <f t="shared" ca="1" si="145"/>
        <v>-1.8477964252517007E-2</v>
      </c>
    </row>
    <row r="6839" spans="6:7" x14ac:dyDescent="0.3">
      <c r="F6839" s="64">
        <v>6836</v>
      </c>
      <c r="G6839" s="64">
        <f t="shared" ca="1" si="145"/>
        <v>2.8818453483658336E-3</v>
      </c>
    </row>
    <row r="6840" spans="6:7" x14ac:dyDescent="0.3">
      <c r="F6840" s="64">
        <v>6837</v>
      </c>
      <c r="G6840" s="64">
        <f t="shared" ca="1" si="145"/>
        <v>1.2436724211878988E-2</v>
      </c>
    </row>
    <row r="6841" spans="6:7" x14ac:dyDescent="0.3">
      <c r="F6841" s="64">
        <v>6838</v>
      </c>
      <c r="G6841" s="64">
        <f t="shared" ca="1" si="145"/>
        <v>2.87410433090238E-2</v>
      </c>
    </row>
    <row r="6842" spans="6:7" x14ac:dyDescent="0.3">
      <c r="F6842" s="64">
        <v>6839</v>
      </c>
      <c r="G6842" s="64">
        <f t="shared" ca="1" si="145"/>
        <v>-1.6271760046597028E-2</v>
      </c>
    </row>
    <row r="6843" spans="6:7" x14ac:dyDescent="0.3">
      <c r="F6843" s="64">
        <v>6840</v>
      </c>
      <c r="G6843" s="64">
        <f t="shared" ca="1" si="145"/>
        <v>5.104348766282969E-4</v>
      </c>
    </row>
    <row r="6844" spans="6:7" x14ac:dyDescent="0.3">
      <c r="F6844" s="64">
        <v>6841</v>
      </c>
      <c r="G6844" s="64">
        <f t="shared" ca="1" si="145"/>
        <v>4.0231903476896848E-2</v>
      </c>
    </row>
    <row r="6845" spans="6:7" x14ac:dyDescent="0.3">
      <c r="F6845" s="64">
        <v>6842</v>
      </c>
      <c r="G6845" s="64">
        <f t="shared" ca="1" si="145"/>
        <v>1.4557719084253785E-2</v>
      </c>
    </row>
    <row r="6846" spans="6:7" x14ac:dyDescent="0.3">
      <c r="F6846" s="64">
        <v>6843</v>
      </c>
      <c r="G6846" s="64">
        <f t="shared" ca="1" si="145"/>
        <v>-1.0363013664142502E-2</v>
      </c>
    </row>
    <row r="6847" spans="6:7" x14ac:dyDescent="0.3">
      <c r="F6847" s="64">
        <v>6844</v>
      </c>
      <c r="G6847" s="64">
        <f t="shared" ca="1" si="145"/>
        <v>2.1326853336381076E-4</v>
      </c>
    </row>
    <row r="6848" spans="6:7" x14ac:dyDescent="0.3">
      <c r="F6848" s="64">
        <v>6845</v>
      </c>
      <c r="G6848" s="64">
        <f t="shared" ca="1" si="145"/>
        <v>-4.29991833578527E-3</v>
      </c>
    </row>
    <row r="6849" spans="6:7" x14ac:dyDescent="0.3">
      <c r="F6849" s="64">
        <v>6846</v>
      </c>
      <c r="G6849" s="64">
        <f t="shared" ca="1" si="145"/>
        <v>-2.4635339151300895E-2</v>
      </c>
    </row>
    <row r="6850" spans="6:7" x14ac:dyDescent="0.3">
      <c r="F6850" s="64">
        <v>6847</v>
      </c>
      <c r="G6850" s="64">
        <f t="shared" ca="1" si="145"/>
        <v>3.7738553173893116E-2</v>
      </c>
    </row>
    <row r="6851" spans="6:7" x14ac:dyDescent="0.3">
      <c r="F6851" s="64">
        <v>6848</v>
      </c>
      <c r="G6851" s="64">
        <f t="shared" ca="1" si="145"/>
        <v>-2.4478996592784644E-2</v>
      </c>
    </row>
    <row r="6852" spans="6:7" x14ac:dyDescent="0.3">
      <c r="F6852" s="64">
        <v>6849</v>
      </c>
      <c r="G6852" s="64">
        <f t="shared" ca="1" si="145"/>
        <v>-5.7905487394990492E-3</v>
      </c>
    </row>
    <row r="6853" spans="6:7" x14ac:dyDescent="0.3">
      <c r="F6853" s="64">
        <v>6850</v>
      </c>
      <c r="G6853" s="64">
        <f t="shared" ref="G6853:G6916" ca="1" si="146">_xlfn.NORM.INV(RAND(),K$6,K$7)</f>
        <v>-1.8678558526070303E-2</v>
      </c>
    </row>
    <row r="6854" spans="6:7" x14ac:dyDescent="0.3">
      <c r="F6854" s="64">
        <v>6851</v>
      </c>
      <c r="G6854" s="64">
        <f t="shared" ca="1" si="146"/>
        <v>-1.9055585433433476E-2</v>
      </c>
    </row>
    <row r="6855" spans="6:7" x14ac:dyDescent="0.3">
      <c r="F6855" s="64">
        <v>6852</v>
      </c>
      <c r="G6855" s="64">
        <f t="shared" ca="1" si="146"/>
        <v>-6.1117440937825669E-4</v>
      </c>
    </row>
    <row r="6856" spans="6:7" x14ac:dyDescent="0.3">
      <c r="F6856" s="64">
        <v>6853</v>
      </c>
      <c r="G6856" s="64">
        <f t="shared" ca="1" si="146"/>
        <v>-9.5777202088788965E-3</v>
      </c>
    </row>
    <row r="6857" spans="6:7" x14ac:dyDescent="0.3">
      <c r="F6857" s="64">
        <v>6854</v>
      </c>
      <c r="G6857" s="64">
        <f t="shared" ca="1" si="146"/>
        <v>-5.9347942197958336E-3</v>
      </c>
    </row>
    <row r="6858" spans="6:7" x14ac:dyDescent="0.3">
      <c r="F6858" s="64">
        <v>6855</v>
      </c>
      <c r="G6858" s="64">
        <f t="shared" ca="1" si="146"/>
        <v>1.9195341736522008E-2</v>
      </c>
    </row>
    <row r="6859" spans="6:7" x14ac:dyDescent="0.3">
      <c r="F6859" s="64">
        <v>6856</v>
      </c>
      <c r="G6859" s="64">
        <f t="shared" ca="1" si="146"/>
        <v>2.5688035741236674E-2</v>
      </c>
    </row>
    <row r="6860" spans="6:7" x14ac:dyDescent="0.3">
      <c r="F6860" s="64">
        <v>6857</v>
      </c>
      <c r="G6860" s="64">
        <f t="shared" ca="1" si="146"/>
        <v>1.0588970891216673E-2</v>
      </c>
    </row>
    <row r="6861" spans="6:7" x14ac:dyDescent="0.3">
      <c r="F6861" s="64">
        <v>6858</v>
      </c>
      <c r="G6861" s="64">
        <f t="shared" ca="1" si="146"/>
        <v>9.7012521491430352E-3</v>
      </c>
    </row>
    <row r="6862" spans="6:7" x14ac:dyDescent="0.3">
      <c r="F6862" s="64">
        <v>6859</v>
      </c>
      <c r="G6862" s="64">
        <f t="shared" ca="1" si="146"/>
        <v>1.2489812403949575E-2</v>
      </c>
    </row>
    <row r="6863" spans="6:7" x14ac:dyDescent="0.3">
      <c r="F6863" s="64">
        <v>6860</v>
      </c>
      <c r="G6863" s="64">
        <f t="shared" ca="1" si="146"/>
        <v>-2.0156942772118325E-2</v>
      </c>
    </row>
    <row r="6864" spans="6:7" x14ac:dyDescent="0.3">
      <c r="F6864" s="64">
        <v>6861</v>
      </c>
      <c r="G6864" s="64">
        <f t="shared" ca="1" si="146"/>
        <v>-2.3286759325003639E-2</v>
      </c>
    </row>
    <row r="6865" spans="6:7" x14ac:dyDescent="0.3">
      <c r="F6865" s="64">
        <v>6862</v>
      </c>
      <c r="G6865" s="64">
        <f t="shared" ca="1" si="146"/>
        <v>-1.1614738762523473E-2</v>
      </c>
    </row>
    <row r="6866" spans="6:7" x14ac:dyDescent="0.3">
      <c r="F6866" s="64">
        <v>6863</v>
      </c>
      <c r="G6866" s="64">
        <f t="shared" ca="1" si="146"/>
        <v>2.4083460504176382E-2</v>
      </c>
    </row>
    <row r="6867" spans="6:7" x14ac:dyDescent="0.3">
      <c r="F6867" s="64">
        <v>6864</v>
      </c>
      <c r="G6867" s="64">
        <f t="shared" ca="1" si="146"/>
        <v>-2.3215566279023672E-2</v>
      </c>
    </row>
    <row r="6868" spans="6:7" x14ac:dyDescent="0.3">
      <c r="F6868" s="64">
        <v>6865</v>
      </c>
      <c r="G6868" s="64">
        <f t="shared" ca="1" si="146"/>
        <v>2.8722754333592553E-2</v>
      </c>
    </row>
    <row r="6869" spans="6:7" x14ac:dyDescent="0.3">
      <c r="F6869" s="64">
        <v>6866</v>
      </c>
      <c r="G6869" s="64">
        <f t="shared" ca="1" si="146"/>
        <v>-7.9589597309471845E-3</v>
      </c>
    </row>
    <row r="6870" spans="6:7" x14ac:dyDescent="0.3">
      <c r="F6870" s="64">
        <v>6867</v>
      </c>
      <c r="G6870" s="64">
        <f t="shared" ca="1" si="146"/>
        <v>-1.1181481478833217E-3</v>
      </c>
    </row>
    <row r="6871" spans="6:7" x14ac:dyDescent="0.3">
      <c r="F6871" s="64">
        <v>6868</v>
      </c>
      <c r="G6871" s="64">
        <f t="shared" ca="1" si="146"/>
        <v>1.5443907302943873E-2</v>
      </c>
    </row>
    <row r="6872" spans="6:7" x14ac:dyDescent="0.3">
      <c r="F6872" s="64">
        <v>6869</v>
      </c>
      <c r="G6872" s="64">
        <f t="shared" ca="1" si="146"/>
        <v>-3.4860419313583593E-2</v>
      </c>
    </row>
    <row r="6873" spans="6:7" x14ac:dyDescent="0.3">
      <c r="F6873" s="64">
        <v>6870</v>
      </c>
      <c r="G6873" s="64">
        <f t="shared" ca="1" si="146"/>
        <v>1.6398548638906836E-2</v>
      </c>
    </row>
    <row r="6874" spans="6:7" x14ac:dyDescent="0.3">
      <c r="F6874" s="64">
        <v>6871</v>
      </c>
      <c r="G6874" s="64">
        <f t="shared" ca="1" si="146"/>
        <v>-1.5638368015429505E-2</v>
      </c>
    </row>
    <row r="6875" spans="6:7" x14ac:dyDescent="0.3">
      <c r="F6875" s="64">
        <v>6872</v>
      </c>
      <c r="G6875" s="64">
        <f t="shared" ca="1" si="146"/>
        <v>2.6223369362452703E-2</v>
      </c>
    </row>
    <row r="6876" spans="6:7" x14ac:dyDescent="0.3">
      <c r="F6876" s="64">
        <v>6873</v>
      </c>
      <c r="G6876" s="64">
        <f t="shared" ca="1" si="146"/>
        <v>-2.9881316801163051E-3</v>
      </c>
    </row>
    <row r="6877" spans="6:7" x14ac:dyDescent="0.3">
      <c r="F6877" s="64">
        <v>6874</v>
      </c>
      <c r="G6877" s="64">
        <f t="shared" ca="1" si="146"/>
        <v>-2.4580958769884746E-2</v>
      </c>
    </row>
    <row r="6878" spans="6:7" x14ac:dyDescent="0.3">
      <c r="F6878" s="64">
        <v>6875</v>
      </c>
      <c r="G6878" s="64">
        <f t="shared" ca="1" si="146"/>
        <v>3.8500710401385051E-2</v>
      </c>
    </row>
    <row r="6879" spans="6:7" x14ac:dyDescent="0.3">
      <c r="F6879" s="64">
        <v>6876</v>
      </c>
      <c r="G6879" s="64">
        <f t="shared" ca="1" si="146"/>
        <v>1.8801071848050729E-2</v>
      </c>
    </row>
    <row r="6880" spans="6:7" x14ac:dyDescent="0.3">
      <c r="F6880" s="64">
        <v>6877</v>
      </c>
      <c r="G6880" s="64">
        <f t="shared" ca="1" si="146"/>
        <v>-4.1995421757778581E-4</v>
      </c>
    </row>
    <row r="6881" spans="6:7" x14ac:dyDescent="0.3">
      <c r="F6881" s="64">
        <v>6878</v>
      </c>
      <c r="G6881" s="64">
        <f t="shared" ca="1" si="146"/>
        <v>3.6928807520501927E-2</v>
      </c>
    </row>
    <row r="6882" spans="6:7" x14ac:dyDescent="0.3">
      <c r="F6882" s="64">
        <v>6879</v>
      </c>
      <c r="G6882" s="64">
        <f t="shared" ca="1" si="146"/>
        <v>1.5279190048025783E-2</v>
      </c>
    </row>
    <row r="6883" spans="6:7" x14ac:dyDescent="0.3">
      <c r="F6883" s="64">
        <v>6880</v>
      </c>
      <c r="G6883" s="64">
        <f t="shared" ca="1" si="146"/>
        <v>3.6150148039552507E-2</v>
      </c>
    </row>
    <row r="6884" spans="6:7" x14ac:dyDescent="0.3">
      <c r="F6884" s="64">
        <v>6881</v>
      </c>
      <c r="G6884" s="64">
        <f t="shared" ca="1" si="146"/>
        <v>3.1252509338470437E-2</v>
      </c>
    </row>
    <row r="6885" spans="6:7" x14ac:dyDescent="0.3">
      <c r="F6885" s="64">
        <v>6882</v>
      </c>
      <c r="G6885" s="64">
        <f t="shared" ca="1" si="146"/>
        <v>-1.3963147379632329E-2</v>
      </c>
    </row>
    <row r="6886" spans="6:7" x14ac:dyDescent="0.3">
      <c r="F6886" s="64">
        <v>6883</v>
      </c>
      <c r="G6886" s="64">
        <f t="shared" ca="1" si="146"/>
        <v>4.3234571004116866E-2</v>
      </c>
    </row>
    <row r="6887" spans="6:7" x14ac:dyDescent="0.3">
      <c r="F6887" s="64">
        <v>6884</v>
      </c>
      <c r="G6887" s="64">
        <f t="shared" ca="1" si="146"/>
        <v>5.9245211950125325E-3</v>
      </c>
    </row>
    <row r="6888" spans="6:7" x14ac:dyDescent="0.3">
      <c r="F6888" s="64">
        <v>6885</v>
      </c>
      <c r="G6888" s="64">
        <f t="shared" ca="1" si="146"/>
        <v>-3.0390121803525365E-3</v>
      </c>
    </row>
    <row r="6889" spans="6:7" x14ac:dyDescent="0.3">
      <c r="F6889" s="64">
        <v>6886</v>
      </c>
      <c r="G6889" s="64">
        <f t="shared" ca="1" si="146"/>
        <v>1.4249830529709047E-2</v>
      </c>
    </row>
    <row r="6890" spans="6:7" x14ac:dyDescent="0.3">
      <c r="F6890" s="64">
        <v>6887</v>
      </c>
      <c r="G6890" s="64">
        <f t="shared" ca="1" si="146"/>
        <v>9.7647492168161914E-3</v>
      </c>
    </row>
    <row r="6891" spans="6:7" x14ac:dyDescent="0.3">
      <c r="F6891" s="64">
        <v>6888</v>
      </c>
      <c r="G6891" s="64">
        <f t="shared" ca="1" si="146"/>
        <v>6.1242117339611714E-3</v>
      </c>
    </row>
    <row r="6892" spans="6:7" x14ac:dyDescent="0.3">
      <c r="F6892" s="64">
        <v>6889</v>
      </c>
      <c r="G6892" s="64">
        <f t="shared" ca="1" si="146"/>
        <v>1.4555691635261784E-3</v>
      </c>
    </row>
    <row r="6893" spans="6:7" x14ac:dyDescent="0.3">
      <c r="F6893" s="64">
        <v>6890</v>
      </c>
      <c r="G6893" s="64">
        <f t="shared" ca="1" si="146"/>
        <v>3.7686729176001602E-4</v>
      </c>
    </row>
    <row r="6894" spans="6:7" x14ac:dyDescent="0.3">
      <c r="F6894" s="64">
        <v>6891</v>
      </c>
      <c r="G6894" s="64">
        <f t="shared" ca="1" si="146"/>
        <v>-2.0565917891928243E-2</v>
      </c>
    </row>
    <row r="6895" spans="6:7" x14ac:dyDescent="0.3">
      <c r="F6895" s="64">
        <v>6892</v>
      </c>
      <c r="G6895" s="64">
        <f t="shared" ca="1" si="146"/>
        <v>-3.7360682596295951E-3</v>
      </c>
    </row>
    <row r="6896" spans="6:7" x14ac:dyDescent="0.3">
      <c r="F6896" s="64">
        <v>6893</v>
      </c>
      <c r="G6896" s="64">
        <f t="shared" ca="1" si="146"/>
        <v>2.67073198086634E-2</v>
      </c>
    </row>
    <row r="6897" spans="6:7" x14ac:dyDescent="0.3">
      <c r="F6897" s="64">
        <v>6894</v>
      </c>
      <c r="G6897" s="64">
        <f t="shared" ca="1" si="146"/>
        <v>8.4291379863204383E-3</v>
      </c>
    </row>
    <row r="6898" spans="6:7" x14ac:dyDescent="0.3">
      <c r="F6898" s="64">
        <v>6895</v>
      </c>
      <c r="G6898" s="64">
        <f t="shared" ca="1" si="146"/>
        <v>3.0378630582255576E-3</v>
      </c>
    </row>
    <row r="6899" spans="6:7" x14ac:dyDescent="0.3">
      <c r="F6899" s="64">
        <v>6896</v>
      </c>
      <c r="G6899" s="64">
        <f t="shared" ca="1" si="146"/>
        <v>-2.2079747277739411E-3</v>
      </c>
    </row>
    <row r="6900" spans="6:7" x14ac:dyDescent="0.3">
      <c r="F6900" s="64">
        <v>6897</v>
      </c>
      <c r="G6900" s="64">
        <f t="shared" ca="1" si="146"/>
        <v>4.8059916489837391E-3</v>
      </c>
    </row>
    <row r="6901" spans="6:7" x14ac:dyDescent="0.3">
      <c r="F6901" s="64">
        <v>6898</v>
      </c>
      <c r="G6901" s="64">
        <f t="shared" ca="1" si="146"/>
        <v>-1.6529898886259588E-2</v>
      </c>
    </row>
    <row r="6902" spans="6:7" x14ac:dyDescent="0.3">
      <c r="F6902" s="64">
        <v>6899</v>
      </c>
      <c r="G6902" s="64">
        <f t="shared" ca="1" si="146"/>
        <v>2.5496795913404697E-3</v>
      </c>
    </row>
    <row r="6903" spans="6:7" x14ac:dyDescent="0.3">
      <c r="F6903" s="64">
        <v>6900</v>
      </c>
      <c r="G6903" s="64">
        <f t="shared" ca="1" si="146"/>
        <v>-1.0974207724226723E-2</v>
      </c>
    </row>
    <row r="6904" spans="6:7" x14ac:dyDescent="0.3">
      <c r="F6904" s="64">
        <v>6901</v>
      </c>
      <c r="G6904" s="64">
        <f t="shared" ca="1" si="146"/>
        <v>1.3390218231444249E-3</v>
      </c>
    </row>
    <row r="6905" spans="6:7" x14ac:dyDescent="0.3">
      <c r="F6905" s="64">
        <v>6902</v>
      </c>
      <c r="G6905" s="64">
        <f t="shared" ca="1" si="146"/>
        <v>-1.1863384386776858E-2</v>
      </c>
    </row>
    <row r="6906" spans="6:7" x14ac:dyDescent="0.3">
      <c r="F6906" s="64">
        <v>6903</v>
      </c>
      <c r="G6906" s="64">
        <f t="shared" ca="1" si="146"/>
        <v>-1.0301400546280972E-2</v>
      </c>
    </row>
    <row r="6907" spans="6:7" x14ac:dyDescent="0.3">
      <c r="F6907" s="64">
        <v>6904</v>
      </c>
      <c r="G6907" s="64">
        <f t="shared" ca="1" si="146"/>
        <v>-3.9190671322249904E-2</v>
      </c>
    </row>
    <row r="6908" spans="6:7" x14ac:dyDescent="0.3">
      <c r="F6908" s="64">
        <v>6905</v>
      </c>
      <c r="G6908" s="64">
        <f t="shared" ca="1" si="146"/>
        <v>-2.0028019272086493E-2</v>
      </c>
    </row>
    <row r="6909" spans="6:7" x14ac:dyDescent="0.3">
      <c r="F6909" s="64">
        <v>6906</v>
      </c>
      <c r="G6909" s="64">
        <f t="shared" ca="1" si="146"/>
        <v>-1.0414475041021113E-2</v>
      </c>
    </row>
    <row r="6910" spans="6:7" x14ac:dyDescent="0.3">
      <c r="F6910" s="64">
        <v>6907</v>
      </c>
      <c r="G6910" s="64">
        <f t="shared" ca="1" si="146"/>
        <v>-1.6243349241304203E-2</v>
      </c>
    </row>
    <row r="6911" spans="6:7" x14ac:dyDescent="0.3">
      <c r="F6911" s="64">
        <v>6908</v>
      </c>
      <c r="G6911" s="64">
        <f t="shared" ca="1" si="146"/>
        <v>-8.3737079833669584E-3</v>
      </c>
    </row>
    <row r="6912" spans="6:7" x14ac:dyDescent="0.3">
      <c r="F6912" s="64">
        <v>6909</v>
      </c>
      <c r="G6912" s="64">
        <f t="shared" ca="1" si="146"/>
        <v>1.1061873604705324E-2</v>
      </c>
    </row>
    <row r="6913" spans="6:7" x14ac:dyDescent="0.3">
      <c r="F6913" s="64">
        <v>6910</v>
      </c>
      <c r="G6913" s="64">
        <f t="shared" ca="1" si="146"/>
        <v>2.8686787670683903E-2</v>
      </c>
    </row>
    <row r="6914" spans="6:7" x14ac:dyDescent="0.3">
      <c r="F6914" s="64">
        <v>6911</v>
      </c>
      <c r="G6914" s="64">
        <f t="shared" ca="1" si="146"/>
        <v>-1.2972106142908902E-2</v>
      </c>
    </row>
    <row r="6915" spans="6:7" x14ac:dyDescent="0.3">
      <c r="F6915" s="64">
        <v>6912</v>
      </c>
      <c r="G6915" s="64">
        <f t="shared" ca="1" si="146"/>
        <v>1.4182878342421563E-2</v>
      </c>
    </row>
    <row r="6916" spans="6:7" x14ac:dyDescent="0.3">
      <c r="F6916" s="64">
        <v>6913</v>
      </c>
      <c r="G6916" s="64">
        <f t="shared" ca="1" si="146"/>
        <v>-3.6119012852888314E-2</v>
      </c>
    </row>
    <row r="6917" spans="6:7" x14ac:dyDescent="0.3">
      <c r="F6917" s="64">
        <v>6914</v>
      </c>
      <c r="G6917" s="64">
        <f t="shared" ref="G6917:G6980" ca="1" si="147">_xlfn.NORM.INV(RAND(),K$6,K$7)</f>
        <v>-2.6468652735793102E-3</v>
      </c>
    </row>
    <row r="6918" spans="6:7" x14ac:dyDescent="0.3">
      <c r="F6918" s="64">
        <v>6915</v>
      </c>
      <c r="G6918" s="64">
        <f t="shared" ca="1" si="147"/>
        <v>-4.947084455989942E-3</v>
      </c>
    </row>
    <row r="6919" spans="6:7" x14ac:dyDescent="0.3">
      <c r="F6919" s="64">
        <v>6916</v>
      </c>
      <c r="G6919" s="64">
        <f t="shared" ca="1" si="147"/>
        <v>4.806119608290476E-2</v>
      </c>
    </row>
    <row r="6920" spans="6:7" x14ac:dyDescent="0.3">
      <c r="F6920" s="64">
        <v>6917</v>
      </c>
      <c r="G6920" s="64">
        <f t="shared" ca="1" si="147"/>
        <v>-2.2555771250604165E-2</v>
      </c>
    </row>
    <row r="6921" spans="6:7" x14ac:dyDescent="0.3">
      <c r="F6921" s="64">
        <v>6918</v>
      </c>
      <c r="G6921" s="64">
        <f t="shared" ca="1" si="147"/>
        <v>-4.3249567282320253E-2</v>
      </c>
    </row>
    <row r="6922" spans="6:7" x14ac:dyDescent="0.3">
      <c r="F6922" s="64">
        <v>6919</v>
      </c>
      <c r="G6922" s="64">
        <f t="shared" ca="1" si="147"/>
        <v>-7.0080518410540991E-3</v>
      </c>
    </row>
    <row r="6923" spans="6:7" x14ac:dyDescent="0.3">
      <c r="F6923" s="64">
        <v>6920</v>
      </c>
      <c r="G6923" s="64">
        <f t="shared" ca="1" si="147"/>
        <v>1.7778783254146453E-2</v>
      </c>
    </row>
    <row r="6924" spans="6:7" x14ac:dyDescent="0.3">
      <c r="F6924" s="64">
        <v>6921</v>
      </c>
      <c r="G6924" s="64">
        <f t="shared" ca="1" si="147"/>
        <v>-5.1925498577087984E-3</v>
      </c>
    </row>
    <row r="6925" spans="6:7" x14ac:dyDescent="0.3">
      <c r="F6925" s="64">
        <v>6922</v>
      </c>
      <c r="G6925" s="64">
        <f t="shared" ca="1" si="147"/>
        <v>5.0613754201590061E-2</v>
      </c>
    </row>
    <row r="6926" spans="6:7" x14ac:dyDescent="0.3">
      <c r="F6926" s="64">
        <v>6923</v>
      </c>
      <c r="G6926" s="64">
        <f t="shared" ca="1" si="147"/>
        <v>9.3986404557765586E-3</v>
      </c>
    </row>
    <row r="6927" spans="6:7" x14ac:dyDescent="0.3">
      <c r="F6927" s="64">
        <v>6924</v>
      </c>
      <c r="G6927" s="64">
        <f t="shared" ca="1" si="147"/>
        <v>7.3315640444263355E-3</v>
      </c>
    </row>
    <row r="6928" spans="6:7" x14ac:dyDescent="0.3">
      <c r="F6928" s="64">
        <v>6925</v>
      </c>
      <c r="G6928" s="64">
        <f t="shared" ca="1" si="147"/>
        <v>-9.3062952674428726E-3</v>
      </c>
    </row>
    <row r="6929" spans="6:7" x14ac:dyDescent="0.3">
      <c r="F6929" s="64">
        <v>6926</v>
      </c>
      <c r="G6929" s="64">
        <f t="shared" ca="1" si="147"/>
        <v>1.0528796841963419E-2</v>
      </c>
    </row>
    <row r="6930" spans="6:7" x14ac:dyDescent="0.3">
      <c r="F6930" s="64">
        <v>6927</v>
      </c>
      <c r="G6930" s="64">
        <f t="shared" ca="1" si="147"/>
        <v>8.1275423192165835E-3</v>
      </c>
    </row>
    <row r="6931" spans="6:7" x14ac:dyDescent="0.3">
      <c r="F6931" s="64">
        <v>6928</v>
      </c>
      <c r="G6931" s="64">
        <f t="shared" ca="1" si="147"/>
        <v>7.47968786383949E-3</v>
      </c>
    </row>
    <row r="6932" spans="6:7" x14ac:dyDescent="0.3">
      <c r="F6932" s="64">
        <v>6929</v>
      </c>
      <c r="G6932" s="64">
        <f t="shared" ca="1" si="147"/>
        <v>1.6882897432994898E-2</v>
      </c>
    </row>
    <row r="6933" spans="6:7" x14ac:dyDescent="0.3">
      <c r="F6933" s="64">
        <v>6930</v>
      </c>
      <c r="G6933" s="64">
        <f t="shared" ca="1" si="147"/>
        <v>7.5298915922147366E-2</v>
      </c>
    </row>
    <row r="6934" spans="6:7" x14ac:dyDescent="0.3">
      <c r="F6934" s="64">
        <v>6931</v>
      </c>
      <c r="G6934" s="64">
        <f t="shared" ca="1" si="147"/>
        <v>-2.8612365435044898E-3</v>
      </c>
    </row>
    <row r="6935" spans="6:7" x14ac:dyDescent="0.3">
      <c r="F6935" s="64">
        <v>6932</v>
      </c>
      <c r="G6935" s="64">
        <f t="shared" ca="1" si="147"/>
        <v>4.3440324553633376E-3</v>
      </c>
    </row>
    <row r="6936" spans="6:7" x14ac:dyDescent="0.3">
      <c r="F6936" s="64">
        <v>6933</v>
      </c>
      <c r="G6936" s="64">
        <f t="shared" ca="1" si="147"/>
        <v>-9.5240468368073886E-3</v>
      </c>
    </row>
    <row r="6937" spans="6:7" x14ac:dyDescent="0.3">
      <c r="F6937" s="64">
        <v>6934</v>
      </c>
      <c r="G6937" s="64">
        <f t="shared" ca="1" si="147"/>
        <v>2.0548034742216142E-2</v>
      </c>
    </row>
    <row r="6938" spans="6:7" x14ac:dyDescent="0.3">
      <c r="F6938" s="64">
        <v>6935</v>
      </c>
      <c r="G6938" s="64">
        <f t="shared" ca="1" si="147"/>
        <v>1.3949066141207006E-2</v>
      </c>
    </row>
    <row r="6939" spans="6:7" x14ac:dyDescent="0.3">
      <c r="F6939" s="64">
        <v>6936</v>
      </c>
      <c r="G6939" s="64">
        <f t="shared" ca="1" si="147"/>
        <v>6.9824086473271258E-3</v>
      </c>
    </row>
    <row r="6940" spans="6:7" x14ac:dyDescent="0.3">
      <c r="F6940" s="64">
        <v>6937</v>
      </c>
      <c r="G6940" s="64">
        <f t="shared" ca="1" si="147"/>
        <v>-2.6162376492412445E-2</v>
      </c>
    </row>
    <row r="6941" spans="6:7" x14ac:dyDescent="0.3">
      <c r="F6941" s="64">
        <v>6938</v>
      </c>
      <c r="G6941" s="64">
        <f t="shared" ca="1" si="147"/>
        <v>-2.3458218413505975E-2</v>
      </c>
    </row>
    <row r="6942" spans="6:7" x14ac:dyDescent="0.3">
      <c r="F6942" s="64">
        <v>6939</v>
      </c>
      <c r="G6942" s="64">
        <f t="shared" ca="1" si="147"/>
        <v>7.5292401964212633E-3</v>
      </c>
    </row>
    <row r="6943" spans="6:7" x14ac:dyDescent="0.3">
      <c r="F6943" s="64">
        <v>6940</v>
      </c>
      <c r="G6943" s="64">
        <f t="shared" ca="1" si="147"/>
        <v>-4.8487588047847014E-3</v>
      </c>
    </row>
    <row r="6944" spans="6:7" x14ac:dyDescent="0.3">
      <c r="F6944" s="64">
        <v>6941</v>
      </c>
      <c r="G6944" s="64">
        <f t="shared" ca="1" si="147"/>
        <v>6.5171530994040635E-3</v>
      </c>
    </row>
    <row r="6945" spans="6:7" x14ac:dyDescent="0.3">
      <c r="F6945" s="64">
        <v>6942</v>
      </c>
      <c r="G6945" s="64">
        <f t="shared" ca="1" si="147"/>
        <v>2.5799958684479665E-2</v>
      </c>
    </row>
    <row r="6946" spans="6:7" x14ac:dyDescent="0.3">
      <c r="F6946" s="64">
        <v>6943</v>
      </c>
      <c r="G6946" s="64">
        <f t="shared" ca="1" si="147"/>
        <v>-4.695261338777635E-2</v>
      </c>
    </row>
    <row r="6947" spans="6:7" x14ac:dyDescent="0.3">
      <c r="F6947" s="64">
        <v>6944</v>
      </c>
      <c r="G6947" s="64">
        <f t="shared" ca="1" si="147"/>
        <v>5.0229168568755632E-3</v>
      </c>
    </row>
    <row r="6948" spans="6:7" x14ac:dyDescent="0.3">
      <c r="F6948" s="64">
        <v>6945</v>
      </c>
      <c r="G6948" s="64">
        <f t="shared" ca="1" si="147"/>
        <v>-2.7260338888859086E-2</v>
      </c>
    </row>
    <row r="6949" spans="6:7" x14ac:dyDescent="0.3">
      <c r="F6949" s="64">
        <v>6946</v>
      </c>
      <c r="G6949" s="64">
        <f t="shared" ca="1" si="147"/>
        <v>1.7508733846896747E-3</v>
      </c>
    </row>
    <row r="6950" spans="6:7" x14ac:dyDescent="0.3">
      <c r="F6950" s="64">
        <v>6947</v>
      </c>
      <c r="G6950" s="64">
        <f t="shared" ca="1" si="147"/>
        <v>4.4896517802289629E-3</v>
      </c>
    </row>
    <row r="6951" spans="6:7" x14ac:dyDescent="0.3">
      <c r="F6951" s="64">
        <v>6948</v>
      </c>
      <c r="G6951" s="64">
        <f t="shared" ca="1" si="147"/>
        <v>-5.6600625734431172E-3</v>
      </c>
    </row>
    <row r="6952" spans="6:7" x14ac:dyDescent="0.3">
      <c r="F6952" s="64">
        <v>6949</v>
      </c>
      <c r="G6952" s="64">
        <f t="shared" ca="1" si="147"/>
        <v>2.5466004065679337E-2</v>
      </c>
    </row>
    <row r="6953" spans="6:7" x14ac:dyDescent="0.3">
      <c r="F6953" s="64">
        <v>6950</v>
      </c>
      <c r="G6953" s="64">
        <f t="shared" ca="1" si="147"/>
        <v>-1.9167266510278162E-2</v>
      </c>
    </row>
    <row r="6954" spans="6:7" x14ac:dyDescent="0.3">
      <c r="F6954" s="64">
        <v>6951</v>
      </c>
      <c r="G6954" s="64">
        <f t="shared" ca="1" si="147"/>
        <v>1.1351577119157881E-2</v>
      </c>
    </row>
    <row r="6955" spans="6:7" x14ac:dyDescent="0.3">
      <c r="F6955" s="64">
        <v>6952</v>
      </c>
      <c r="G6955" s="64">
        <f t="shared" ca="1" si="147"/>
        <v>8.1476619757581553E-3</v>
      </c>
    </row>
    <row r="6956" spans="6:7" x14ac:dyDescent="0.3">
      <c r="F6956" s="64">
        <v>6953</v>
      </c>
      <c r="G6956" s="64">
        <f t="shared" ca="1" si="147"/>
        <v>1.171502119224007E-2</v>
      </c>
    </row>
    <row r="6957" spans="6:7" x14ac:dyDescent="0.3">
      <c r="F6957" s="64">
        <v>6954</v>
      </c>
      <c r="G6957" s="64">
        <f t="shared" ca="1" si="147"/>
        <v>6.5090030985079953E-3</v>
      </c>
    </row>
    <row r="6958" spans="6:7" x14ac:dyDescent="0.3">
      <c r="F6958" s="64">
        <v>6955</v>
      </c>
      <c r="G6958" s="64">
        <f t="shared" ca="1" si="147"/>
        <v>-1.5681443303658803E-2</v>
      </c>
    </row>
    <row r="6959" spans="6:7" x14ac:dyDescent="0.3">
      <c r="F6959" s="64">
        <v>6956</v>
      </c>
      <c r="G6959" s="64">
        <f t="shared" ca="1" si="147"/>
        <v>3.2378233854027445E-2</v>
      </c>
    </row>
    <row r="6960" spans="6:7" x14ac:dyDescent="0.3">
      <c r="F6960" s="64">
        <v>6957</v>
      </c>
      <c r="G6960" s="64">
        <f t="shared" ca="1" si="147"/>
        <v>7.3817531001255194E-3</v>
      </c>
    </row>
    <row r="6961" spans="6:7" x14ac:dyDescent="0.3">
      <c r="F6961" s="64">
        <v>6958</v>
      </c>
      <c r="G6961" s="64">
        <f t="shared" ca="1" si="147"/>
        <v>8.1498980924534191E-3</v>
      </c>
    </row>
    <row r="6962" spans="6:7" x14ac:dyDescent="0.3">
      <c r="F6962" s="64">
        <v>6959</v>
      </c>
      <c r="G6962" s="64">
        <f t="shared" ca="1" si="147"/>
        <v>-1.143899528910145E-2</v>
      </c>
    </row>
    <row r="6963" spans="6:7" x14ac:dyDescent="0.3">
      <c r="F6963" s="64">
        <v>6960</v>
      </c>
      <c r="G6963" s="64">
        <f t="shared" ca="1" si="147"/>
        <v>-3.8484482602308974E-2</v>
      </c>
    </row>
    <row r="6964" spans="6:7" x14ac:dyDescent="0.3">
      <c r="F6964" s="64">
        <v>6961</v>
      </c>
      <c r="G6964" s="64">
        <f t="shared" ca="1" si="147"/>
        <v>2.4079632213185986E-2</v>
      </c>
    </row>
    <row r="6965" spans="6:7" x14ac:dyDescent="0.3">
      <c r="F6965" s="64">
        <v>6962</v>
      </c>
      <c r="G6965" s="64">
        <f t="shared" ca="1" si="147"/>
        <v>1.8974521926209582E-2</v>
      </c>
    </row>
    <row r="6966" spans="6:7" x14ac:dyDescent="0.3">
      <c r="F6966" s="64">
        <v>6963</v>
      </c>
      <c r="G6966" s="64">
        <f t="shared" ca="1" si="147"/>
        <v>3.584216103014063E-2</v>
      </c>
    </row>
    <row r="6967" spans="6:7" x14ac:dyDescent="0.3">
      <c r="F6967" s="64">
        <v>6964</v>
      </c>
      <c r="G6967" s="64">
        <f t="shared" ca="1" si="147"/>
        <v>4.3611658258222427E-2</v>
      </c>
    </row>
    <row r="6968" spans="6:7" x14ac:dyDescent="0.3">
      <c r="F6968" s="64">
        <v>6965</v>
      </c>
      <c r="G6968" s="64">
        <f t="shared" ca="1" si="147"/>
        <v>1.4615251724333757E-2</v>
      </c>
    </row>
    <row r="6969" spans="6:7" x14ac:dyDescent="0.3">
      <c r="F6969" s="64">
        <v>6966</v>
      </c>
      <c r="G6969" s="64">
        <f t="shared" ca="1" si="147"/>
        <v>-4.4414954535590525E-3</v>
      </c>
    </row>
    <row r="6970" spans="6:7" x14ac:dyDescent="0.3">
      <c r="F6970" s="64">
        <v>6967</v>
      </c>
      <c r="G6970" s="64">
        <f t="shared" ca="1" si="147"/>
        <v>-1.5145674095092144E-3</v>
      </c>
    </row>
    <row r="6971" spans="6:7" x14ac:dyDescent="0.3">
      <c r="F6971" s="64">
        <v>6968</v>
      </c>
      <c r="G6971" s="64">
        <f t="shared" ca="1" si="147"/>
        <v>7.876821636384583E-3</v>
      </c>
    </row>
    <row r="6972" spans="6:7" x14ac:dyDescent="0.3">
      <c r="F6972" s="64">
        <v>6969</v>
      </c>
      <c r="G6972" s="64">
        <f t="shared" ca="1" si="147"/>
        <v>-1.2772074422870663E-2</v>
      </c>
    </row>
    <row r="6973" spans="6:7" x14ac:dyDescent="0.3">
      <c r="F6973" s="64">
        <v>6970</v>
      </c>
      <c r="G6973" s="64">
        <f t="shared" ca="1" si="147"/>
        <v>1.8330410925582012E-2</v>
      </c>
    </row>
    <row r="6974" spans="6:7" x14ac:dyDescent="0.3">
      <c r="F6974" s="64">
        <v>6971</v>
      </c>
      <c r="G6974" s="64">
        <f t="shared" ca="1" si="147"/>
        <v>4.0722255811484073E-2</v>
      </c>
    </row>
    <row r="6975" spans="6:7" x14ac:dyDescent="0.3">
      <c r="F6975" s="64">
        <v>6972</v>
      </c>
      <c r="G6975" s="64">
        <f t="shared" ca="1" si="147"/>
        <v>2.2452024951270536E-2</v>
      </c>
    </row>
    <row r="6976" spans="6:7" x14ac:dyDescent="0.3">
      <c r="F6976" s="64">
        <v>6973</v>
      </c>
      <c r="G6976" s="64">
        <f t="shared" ca="1" si="147"/>
        <v>1.4514436324212591E-2</v>
      </c>
    </row>
    <row r="6977" spans="6:7" x14ac:dyDescent="0.3">
      <c r="F6977" s="64">
        <v>6974</v>
      </c>
      <c r="G6977" s="64">
        <f t="shared" ca="1" si="147"/>
        <v>-1.7848888285121713E-4</v>
      </c>
    </row>
    <row r="6978" spans="6:7" x14ac:dyDescent="0.3">
      <c r="F6978" s="64">
        <v>6975</v>
      </c>
      <c r="G6978" s="64">
        <f t="shared" ca="1" si="147"/>
        <v>-1.1024488668833552E-2</v>
      </c>
    </row>
    <row r="6979" spans="6:7" x14ac:dyDescent="0.3">
      <c r="F6979" s="64">
        <v>6976</v>
      </c>
      <c r="G6979" s="64">
        <f t="shared" ca="1" si="147"/>
        <v>-3.0542817245425263E-2</v>
      </c>
    </row>
    <row r="6980" spans="6:7" x14ac:dyDescent="0.3">
      <c r="F6980" s="64">
        <v>6977</v>
      </c>
      <c r="G6980" s="64">
        <f t="shared" ca="1" si="147"/>
        <v>1.2248873367343455E-2</v>
      </c>
    </row>
    <row r="6981" spans="6:7" x14ac:dyDescent="0.3">
      <c r="F6981" s="64">
        <v>6978</v>
      </c>
      <c r="G6981" s="64">
        <f t="shared" ref="G6981:G7044" ca="1" si="148">_xlfn.NORM.INV(RAND(),K$6,K$7)</f>
        <v>2.6308360405829567E-2</v>
      </c>
    </row>
    <row r="6982" spans="6:7" x14ac:dyDescent="0.3">
      <c r="F6982" s="64">
        <v>6979</v>
      </c>
      <c r="G6982" s="64">
        <f t="shared" ca="1" si="148"/>
        <v>2.4291974129560842E-2</v>
      </c>
    </row>
    <row r="6983" spans="6:7" x14ac:dyDescent="0.3">
      <c r="F6983" s="64">
        <v>6980</v>
      </c>
      <c r="G6983" s="64">
        <f t="shared" ca="1" si="148"/>
        <v>-9.9900529894832741E-3</v>
      </c>
    </row>
    <row r="6984" spans="6:7" x14ac:dyDescent="0.3">
      <c r="F6984" s="64">
        <v>6981</v>
      </c>
      <c r="G6984" s="64">
        <f t="shared" ca="1" si="148"/>
        <v>1.3782138776333075E-2</v>
      </c>
    </row>
    <row r="6985" spans="6:7" x14ac:dyDescent="0.3">
      <c r="F6985" s="64">
        <v>6982</v>
      </c>
      <c r="G6985" s="64">
        <f t="shared" ca="1" si="148"/>
        <v>-9.9977425945972833E-3</v>
      </c>
    </row>
    <row r="6986" spans="6:7" x14ac:dyDescent="0.3">
      <c r="F6986" s="64">
        <v>6983</v>
      </c>
      <c r="G6986" s="64">
        <f t="shared" ca="1" si="148"/>
        <v>1.2096604986160574E-2</v>
      </c>
    </row>
    <row r="6987" spans="6:7" x14ac:dyDescent="0.3">
      <c r="F6987" s="64">
        <v>6984</v>
      </c>
      <c r="G6987" s="64">
        <f t="shared" ca="1" si="148"/>
        <v>8.2714818119148069E-3</v>
      </c>
    </row>
    <row r="6988" spans="6:7" x14ac:dyDescent="0.3">
      <c r="F6988" s="64">
        <v>6985</v>
      </c>
      <c r="G6988" s="64">
        <f t="shared" ca="1" si="148"/>
        <v>2.0106988126261501E-2</v>
      </c>
    </row>
    <row r="6989" spans="6:7" x14ac:dyDescent="0.3">
      <c r="F6989" s="64">
        <v>6986</v>
      </c>
      <c r="G6989" s="64">
        <f t="shared" ca="1" si="148"/>
        <v>1.3123969124852643E-2</v>
      </c>
    </row>
    <row r="6990" spans="6:7" x14ac:dyDescent="0.3">
      <c r="F6990" s="64">
        <v>6987</v>
      </c>
      <c r="G6990" s="64">
        <f t="shared" ca="1" si="148"/>
        <v>1.1458647954082834E-2</v>
      </c>
    </row>
    <row r="6991" spans="6:7" x14ac:dyDescent="0.3">
      <c r="F6991" s="64">
        <v>6988</v>
      </c>
      <c r="G6991" s="64">
        <f t="shared" ca="1" si="148"/>
        <v>-2.5763259812710257E-2</v>
      </c>
    </row>
    <row r="6992" spans="6:7" x14ac:dyDescent="0.3">
      <c r="F6992" s="64">
        <v>6989</v>
      </c>
      <c r="G6992" s="64">
        <f t="shared" ca="1" si="148"/>
        <v>1.7922582199744776E-2</v>
      </c>
    </row>
    <row r="6993" spans="6:7" x14ac:dyDescent="0.3">
      <c r="F6993" s="64">
        <v>6990</v>
      </c>
      <c r="G6993" s="64">
        <f t="shared" ca="1" si="148"/>
        <v>-3.1118303500976906E-2</v>
      </c>
    </row>
    <row r="6994" spans="6:7" x14ac:dyDescent="0.3">
      <c r="F6994" s="64">
        <v>6991</v>
      </c>
      <c r="G6994" s="64">
        <f t="shared" ca="1" si="148"/>
        <v>2.5177155216809577E-2</v>
      </c>
    </row>
    <row r="6995" spans="6:7" x14ac:dyDescent="0.3">
      <c r="F6995" s="64">
        <v>6992</v>
      </c>
      <c r="G6995" s="64">
        <f t="shared" ca="1" si="148"/>
        <v>-1.6269932975730456E-2</v>
      </c>
    </row>
    <row r="6996" spans="6:7" x14ac:dyDescent="0.3">
      <c r="F6996" s="64">
        <v>6993</v>
      </c>
      <c r="G6996" s="64">
        <f t="shared" ca="1" si="148"/>
        <v>-1.2250412138679039E-2</v>
      </c>
    </row>
    <row r="6997" spans="6:7" x14ac:dyDescent="0.3">
      <c r="F6997" s="64">
        <v>6994</v>
      </c>
      <c r="G6997" s="64">
        <f t="shared" ca="1" si="148"/>
        <v>1.5228003070695701E-2</v>
      </c>
    </row>
    <row r="6998" spans="6:7" x14ac:dyDescent="0.3">
      <c r="F6998" s="64">
        <v>6995</v>
      </c>
      <c r="G6998" s="64">
        <f t="shared" ca="1" si="148"/>
        <v>-8.705144659451236E-4</v>
      </c>
    </row>
    <row r="6999" spans="6:7" x14ac:dyDescent="0.3">
      <c r="F6999" s="64">
        <v>6996</v>
      </c>
      <c r="G6999" s="64">
        <f t="shared" ca="1" si="148"/>
        <v>-2.2677850352662565E-2</v>
      </c>
    </row>
    <row r="7000" spans="6:7" x14ac:dyDescent="0.3">
      <c r="F7000" s="64">
        <v>6997</v>
      </c>
      <c r="G7000" s="64">
        <f t="shared" ca="1" si="148"/>
        <v>-2.3000542693691596E-2</v>
      </c>
    </row>
    <row r="7001" spans="6:7" x14ac:dyDescent="0.3">
      <c r="F7001" s="64">
        <v>6998</v>
      </c>
      <c r="G7001" s="64">
        <f t="shared" ca="1" si="148"/>
        <v>-6.0003572290268327E-3</v>
      </c>
    </row>
    <row r="7002" spans="6:7" x14ac:dyDescent="0.3">
      <c r="F7002" s="64">
        <v>6999</v>
      </c>
      <c r="G7002" s="64">
        <f t="shared" ca="1" si="148"/>
        <v>1.7018109100845821E-2</v>
      </c>
    </row>
    <row r="7003" spans="6:7" x14ac:dyDescent="0.3">
      <c r="F7003" s="64">
        <v>7000</v>
      </c>
      <c r="G7003" s="64">
        <f t="shared" ca="1" si="148"/>
        <v>8.9692151404414389E-3</v>
      </c>
    </row>
    <row r="7004" spans="6:7" x14ac:dyDescent="0.3">
      <c r="F7004" s="64">
        <v>7001</v>
      </c>
      <c r="G7004" s="64">
        <f t="shared" ca="1" si="148"/>
        <v>1.3436287896301835E-2</v>
      </c>
    </row>
    <row r="7005" spans="6:7" x14ac:dyDescent="0.3">
      <c r="F7005" s="64">
        <v>7002</v>
      </c>
      <c r="G7005" s="64">
        <f t="shared" ca="1" si="148"/>
        <v>-3.5681977022511292E-3</v>
      </c>
    </row>
    <row r="7006" spans="6:7" x14ac:dyDescent="0.3">
      <c r="F7006" s="64">
        <v>7003</v>
      </c>
      <c r="G7006" s="64">
        <f t="shared" ca="1" si="148"/>
        <v>1.1729275200382933E-2</v>
      </c>
    </row>
    <row r="7007" spans="6:7" x14ac:dyDescent="0.3">
      <c r="F7007" s="64">
        <v>7004</v>
      </c>
      <c r="G7007" s="64">
        <f t="shared" ca="1" si="148"/>
        <v>-4.4543002376916351E-3</v>
      </c>
    </row>
    <row r="7008" spans="6:7" x14ac:dyDescent="0.3">
      <c r="F7008" s="64">
        <v>7005</v>
      </c>
      <c r="G7008" s="64">
        <f t="shared" ca="1" si="148"/>
        <v>4.4482899369220487E-2</v>
      </c>
    </row>
    <row r="7009" spans="6:7" x14ac:dyDescent="0.3">
      <c r="F7009" s="64">
        <v>7006</v>
      </c>
      <c r="G7009" s="64">
        <f t="shared" ca="1" si="148"/>
        <v>-6.3296819122062786E-3</v>
      </c>
    </row>
    <row r="7010" spans="6:7" x14ac:dyDescent="0.3">
      <c r="F7010" s="64">
        <v>7007</v>
      </c>
      <c r="G7010" s="64">
        <f t="shared" ca="1" si="148"/>
        <v>2.1023786246095175E-2</v>
      </c>
    </row>
    <row r="7011" spans="6:7" x14ac:dyDescent="0.3">
      <c r="F7011" s="64">
        <v>7008</v>
      </c>
      <c r="G7011" s="64">
        <f t="shared" ca="1" si="148"/>
        <v>-3.1217699211882478E-2</v>
      </c>
    </row>
    <row r="7012" spans="6:7" x14ac:dyDescent="0.3">
      <c r="F7012" s="64">
        <v>7009</v>
      </c>
      <c r="G7012" s="64">
        <f t="shared" ca="1" si="148"/>
        <v>1.1838853434600539E-2</v>
      </c>
    </row>
    <row r="7013" spans="6:7" x14ac:dyDescent="0.3">
      <c r="F7013" s="64">
        <v>7010</v>
      </c>
      <c r="G7013" s="64">
        <f t="shared" ca="1" si="148"/>
        <v>3.4553124522911073E-2</v>
      </c>
    </row>
    <row r="7014" spans="6:7" x14ac:dyDescent="0.3">
      <c r="F7014" s="64">
        <v>7011</v>
      </c>
      <c r="G7014" s="64">
        <f t="shared" ca="1" si="148"/>
        <v>1.2747422457914069E-2</v>
      </c>
    </row>
    <row r="7015" spans="6:7" x14ac:dyDescent="0.3">
      <c r="F7015" s="64">
        <v>7012</v>
      </c>
      <c r="G7015" s="64">
        <f t="shared" ca="1" si="148"/>
        <v>-3.2926069840799294E-2</v>
      </c>
    </row>
    <row r="7016" spans="6:7" x14ac:dyDescent="0.3">
      <c r="F7016" s="64">
        <v>7013</v>
      </c>
      <c r="G7016" s="64">
        <f t="shared" ca="1" si="148"/>
        <v>7.6216201434158026E-4</v>
      </c>
    </row>
    <row r="7017" spans="6:7" x14ac:dyDescent="0.3">
      <c r="F7017" s="64">
        <v>7014</v>
      </c>
      <c r="G7017" s="64">
        <f t="shared" ca="1" si="148"/>
        <v>-7.4132826155587483E-3</v>
      </c>
    </row>
    <row r="7018" spans="6:7" x14ac:dyDescent="0.3">
      <c r="F7018" s="64">
        <v>7015</v>
      </c>
      <c r="G7018" s="64">
        <f t="shared" ca="1" si="148"/>
        <v>3.9897215103355376E-3</v>
      </c>
    </row>
    <row r="7019" spans="6:7" x14ac:dyDescent="0.3">
      <c r="F7019" s="64">
        <v>7016</v>
      </c>
      <c r="G7019" s="64">
        <f t="shared" ca="1" si="148"/>
        <v>-7.5909908390456998E-3</v>
      </c>
    </row>
    <row r="7020" spans="6:7" x14ac:dyDescent="0.3">
      <c r="F7020" s="64">
        <v>7017</v>
      </c>
      <c r="G7020" s="64">
        <f t="shared" ca="1" si="148"/>
        <v>-1.6536035296202345E-2</v>
      </c>
    </row>
    <row r="7021" spans="6:7" x14ac:dyDescent="0.3">
      <c r="F7021" s="64">
        <v>7018</v>
      </c>
      <c r="G7021" s="64">
        <f t="shared" ca="1" si="148"/>
        <v>8.929243467280551E-3</v>
      </c>
    </row>
    <row r="7022" spans="6:7" x14ac:dyDescent="0.3">
      <c r="F7022" s="64">
        <v>7019</v>
      </c>
      <c r="G7022" s="64">
        <f t="shared" ca="1" si="148"/>
        <v>2.8023259304084495E-2</v>
      </c>
    </row>
    <row r="7023" spans="6:7" x14ac:dyDescent="0.3">
      <c r="F7023" s="64">
        <v>7020</v>
      </c>
      <c r="G7023" s="64">
        <f t="shared" ca="1" si="148"/>
        <v>-7.3549188969363882E-3</v>
      </c>
    </row>
    <row r="7024" spans="6:7" x14ac:dyDescent="0.3">
      <c r="F7024" s="64">
        <v>7021</v>
      </c>
      <c r="G7024" s="64">
        <f t="shared" ca="1" si="148"/>
        <v>1.1549287421255725E-2</v>
      </c>
    </row>
    <row r="7025" spans="6:7" x14ac:dyDescent="0.3">
      <c r="F7025" s="64">
        <v>7022</v>
      </c>
      <c r="G7025" s="64">
        <f t="shared" ca="1" si="148"/>
        <v>-2.0485353170424429E-2</v>
      </c>
    </row>
    <row r="7026" spans="6:7" x14ac:dyDescent="0.3">
      <c r="F7026" s="64">
        <v>7023</v>
      </c>
      <c r="G7026" s="64">
        <f t="shared" ca="1" si="148"/>
        <v>-3.2065973035795628E-2</v>
      </c>
    </row>
    <row r="7027" spans="6:7" x14ac:dyDescent="0.3">
      <c r="F7027" s="64">
        <v>7024</v>
      </c>
      <c r="G7027" s="64">
        <f t="shared" ca="1" si="148"/>
        <v>-2.859333308886336E-2</v>
      </c>
    </row>
    <row r="7028" spans="6:7" x14ac:dyDescent="0.3">
      <c r="F7028" s="64">
        <v>7025</v>
      </c>
      <c r="G7028" s="64">
        <f t="shared" ca="1" si="148"/>
        <v>9.4644866658054987E-3</v>
      </c>
    </row>
    <row r="7029" spans="6:7" x14ac:dyDescent="0.3">
      <c r="F7029" s="64">
        <v>7026</v>
      </c>
      <c r="G7029" s="64">
        <f t="shared" ca="1" si="148"/>
        <v>-2.0004705560710025E-2</v>
      </c>
    </row>
    <row r="7030" spans="6:7" x14ac:dyDescent="0.3">
      <c r="F7030" s="64">
        <v>7027</v>
      </c>
      <c r="G7030" s="64">
        <f t="shared" ca="1" si="148"/>
        <v>1.0964578841678578E-2</v>
      </c>
    </row>
    <row r="7031" spans="6:7" x14ac:dyDescent="0.3">
      <c r="F7031" s="64">
        <v>7028</v>
      </c>
      <c r="G7031" s="64">
        <f t="shared" ca="1" si="148"/>
        <v>1.2492885652007464E-2</v>
      </c>
    </row>
    <row r="7032" spans="6:7" x14ac:dyDescent="0.3">
      <c r="F7032" s="64">
        <v>7029</v>
      </c>
      <c r="G7032" s="64">
        <f t="shared" ca="1" si="148"/>
        <v>-1.5082813146495688E-3</v>
      </c>
    </row>
    <row r="7033" spans="6:7" x14ac:dyDescent="0.3">
      <c r="F7033" s="64">
        <v>7030</v>
      </c>
      <c r="G7033" s="64">
        <f t="shared" ca="1" si="148"/>
        <v>-8.9254157435440466E-3</v>
      </c>
    </row>
    <row r="7034" spans="6:7" x14ac:dyDescent="0.3">
      <c r="F7034" s="64">
        <v>7031</v>
      </c>
      <c r="G7034" s="64">
        <f t="shared" ca="1" si="148"/>
        <v>-1.5615370220550843E-2</v>
      </c>
    </row>
    <row r="7035" spans="6:7" x14ac:dyDescent="0.3">
      <c r="F7035" s="64">
        <v>7032</v>
      </c>
      <c r="G7035" s="64">
        <f t="shared" ca="1" si="148"/>
        <v>2.5517590463614202E-2</v>
      </c>
    </row>
    <row r="7036" spans="6:7" x14ac:dyDescent="0.3">
      <c r="F7036" s="64">
        <v>7033</v>
      </c>
      <c r="G7036" s="64">
        <f t="shared" ca="1" si="148"/>
        <v>9.7312253396784031E-3</v>
      </c>
    </row>
    <row r="7037" spans="6:7" x14ac:dyDescent="0.3">
      <c r="F7037" s="64">
        <v>7034</v>
      </c>
      <c r="G7037" s="64">
        <f t="shared" ca="1" si="148"/>
        <v>-1.1784965792795353E-2</v>
      </c>
    </row>
    <row r="7038" spans="6:7" x14ac:dyDescent="0.3">
      <c r="F7038" s="64">
        <v>7035</v>
      </c>
      <c r="G7038" s="64">
        <f t="shared" ca="1" si="148"/>
        <v>-7.1317959610057435E-3</v>
      </c>
    </row>
    <row r="7039" spans="6:7" x14ac:dyDescent="0.3">
      <c r="F7039" s="64">
        <v>7036</v>
      </c>
      <c r="G7039" s="64">
        <f t="shared" ca="1" si="148"/>
        <v>1.4662144046149206E-2</v>
      </c>
    </row>
    <row r="7040" spans="6:7" x14ac:dyDescent="0.3">
      <c r="F7040" s="64">
        <v>7037</v>
      </c>
      <c r="G7040" s="64">
        <f t="shared" ca="1" si="148"/>
        <v>4.0660992988757617E-2</v>
      </c>
    </row>
    <row r="7041" spans="6:7" x14ac:dyDescent="0.3">
      <c r="F7041" s="64">
        <v>7038</v>
      </c>
      <c r="G7041" s="64">
        <f t="shared" ca="1" si="148"/>
        <v>-5.2893823535506233E-3</v>
      </c>
    </row>
    <row r="7042" spans="6:7" x14ac:dyDescent="0.3">
      <c r="F7042" s="64">
        <v>7039</v>
      </c>
      <c r="G7042" s="64">
        <f t="shared" ca="1" si="148"/>
        <v>-3.5113799937338472E-2</v>
      </c>
    </row>
    <row r="7043" spans="6:7" x14ac:dyDescent="0.3">
      <c r="F7043" s="64">
        <v>7040</v>
      </c>
      <c r="G7043" s="64">
        <f t="shared" ca="1" si="148"/>
        <v>2.834549810638199E-2</v>
      </c>
    </row>
    <row r="7044" spans="6:7" x14ac:dyDescent="0.3">
      <c r="F7044" s="64">
        <v>7041</v>
      </c>
      <c r="G7044" s="64">
        <f t="shared" ca="1" si="148"/>
        <v>-2.0473436438772197E-2</v>
      </c>
    </row>
    <row r="7045" spans="6:7" x14ac:dyDescent="0.3">
      <c r="F7045" s="64">
        <v>7042</v>
      </c>
      <c r="G7045" s="64">
        <f t="shared" ref="G7045:G7108" ca="1" si="149">_xlfn.NORM.INV(RAND(),K$6,K$7)</f>
        <v>1.5860459221776035E-2</v>
      </c>
    </row>
    <row r="7046" spans="6:7" x14ac:dyDescent="0.3">
      <c r="F7046" s="64">
        <v>7043</v>
      </c>
      <c r="G7046" s="64">
        <f t="shared" ca="1" si="149"/>
        <v>-4.1985997590378042E-2</v>
      </c>
    </row>
    <row r="7047" spans="6:7" x14ac:dyDescent="0.3">
      <c r="F7047" s="64">
        <v>7044</v>
      </c>
      <c r="G7047" s="64">
        <f t="shared" ca="1" si="149"/>
        <v>-3.3334926637606692E-3</v>
      </c>
    </row>
    <row r="7048" spans="6:7" x14ac:dyDescent="0.3">
      <c r="F7048" s="64">
        <v>7045</v>
      </c>
      <c r="G7048" s="64">
        <f t="shared" ca="1" si="149"/>
        <v>2.1302426459802064E-2</v>
      </c>
    </row>
    <row r="7049" spans="6:7" x14ac:dyDescent="0.3">
      <c r="F7049" s="64">
        <v>7046</v>
      </c>
      <c r="G7049" s="64">
        <f t="shared" ca="1" si="149"/>
        <v>3.2118139740763531E-2</v>
      </c>
    </row>
    <row r="7050" spans="6:7" x14ac:dyDescent="0.3">
      <c r="F7050" s="64">
        <v>7047</v>
      </c>
      <c r="G7050" s="64">
        <f t="shared" ca="1" si="149"/>
        <v>-2.5689378719137651E-2</v>
      </c>
    </row>
    <row r="7051" spans="6:7" x14ac:dyDescent="0.3">
      <c r="F7051" s="64">
        <v>7048</v>
      </c>
      <c r="G7051" s="64">
        <f t="shared" ca="1" si="149"/>
        <v>6.0505055766900992E-4</v>
      </c>
    </row>
    <row r="7052" spans="6:7" x14ac:dyDescent="0.3">
      <c r="F7052" s="64">
        <v>7049</v>
      </c>
      <c r="G7052" s="64">
        <f t="shared" ca="1" si="149"/>
        <v>-9.483950592637104E-3</v>
      </c>
    </row>
    <row r="7053" spans="6:7" x14ac:dyDescent="0.3">
      <c r="F7053" s="64">
        <v>7050</v>
      </c>
      <c r="G7053" s="64">
        <f t="shared" ca="1" si="149"/>
        <v>3.0933857793847143E-2</v>
      </c>
    </row>
    <row r="7054" spans="6:7" x14ac:dyDescent="0.3">
      <c r="F7054" s="64">
        <v>7051</v>
      </c>
      <c r="G7054" s="64">
        <f t="shared" ca="1" si="149"/>
        <v>1.0680314196487959E-2</v>
      </c>
    </row>
    <row r="7055" spans="6:7" x14ac:dyDescent="0.3">
      <c r="F7055" s="64">
        <v>7052</v>
      </c>
      <c r="G7055" s="64">
        <f t="shared" ca="1" si="149"/>
        <v>-3.3585176587647286E-2</v>
      </c>
    </row>
    <row r="7056" spans="6:7" x14ac:dyDescent="0.3">
      <c r="F7056" s="64">
        <v>7053</v>
      </c>
      <c r="G7056" s="64">
        <f t="shared" ca="1" si="149"/>
        <v>-1.2814793243418753E-3</v>
      </c>
    </row>
    <row r="7057" spans="6:7" x14ac:dyDescent="0.3">
      <c r="F7057" s="64">
        <v>7054</v>
      </c>
      <c r="G7057" s="64">
        <f t="shared" ca="1" si="149"/>
        <v>-1.0963175967022568E-2</v>
      </c>
    </row>
    <row r="7058" spans="6:7" x14ac:dyDescent="0.3">
      <c r="F7058" s="64">
        <v>7055</v>
      </c>
      <c r="G7058" s="64">
        <f t="shared" ca="1" si="149"/>
        <v>8.8502110295905091E-3</v>
      </c>
    </row>
    <row r="7059" spans="6:7" x14ac:dyDescent="0.3">
      <c r="F7059" s="64">
        <v>7056</v>
      </c>
      <c r="G7059" s="64">
        <f t="shared" ca="1" si="149"/>
        <v>-2.7281897985154853E-3</v>
      </c>
    </row>
    <row r="7060" spans="6:7" x14ac:dyDescent="0.3">
      <c r="F7060" s="64">
        <v>7057</v>
      </c>
      <c r="G7060" s="64">
        <f t="shared" ca="1" si="149"/>
        <v>2.1042571469610305E-2</v>
      </c>
    </row>
    <row r="7061" spans="6:7" x14ac:dyDescent="0.3">
      <c r="F7061" s="64">
        <v>7058</v>
      </c>
      <c r="G7061" s="64">
        <f t="shared" ca="1" si="149"/>
        <v>4.1059093009877215E-2</v>
      </c>
    </row>
    <row r="7062" spans="6:7" x14ac:dyDescent="0.3">
      <c r="F7062" s="64">
        <v>7059</v>
      </c>
      <c r="G7062" s="64">
        <f t="shared" ca="1" si="149"/>
        <v>-1.2847382736328817E-3</v>
      </c>
    </row>
    <row r="7063" spans="6:7" x14ac:dyDescent="0.3">
      <c r="F7063" s="64">
        <v>7060</v>
      </c>
      <c r="G7063" s="64">
        <f t="shared" ca="1" si="149"/>
        <v>-3.3979704763120559E-3</v>
      </c>
    </row>
    <row r="7064" spans="6:7" x14ac:dyDescent="0.3">
      <c r="F7064" s="64">
        <v>7061</v>
      </c>
      <c r="G7064" s="64">
        <f t="shared" ca="1" si="149"/>
        <v>3.1442290348032816E-2</v>
      </c>
    </row>
    <row r="7065" spans="6:7" x14ac:dyDescent="0.3">
      <c r="F7065" s="64">
        <v>7062</v>
      </c>
      <c r="G7065" s="64">
        <f t="shared" ca="1" si="149"/>
        <v>6.7391471521161704E-3</v>
      </c>
    </row>
    <row r="7066" spans="6:7" x14ac:dyDescent="0.3">
      <c r="F7066" s="64">
        <v>7063</v>
      </c>
      <c r="G7066" s="64">
        <f t="shared" ca="1" si="149"/>
        <v>1.839633923632833E-2</v>
      </c>
    </row>
    <row r="7067" spans="6:7" x14ac:dyDescent="0.3">
      <c r="F7067" s="64">
        <v>7064</v>
      </c>
      <c r="G7067" s="64">
        <f t="shared" ca="1" si="149"/>
        <v>-2.7128706921613148E-3</v>
      </c>
    </row>
    <row r="7068" spans="6:7" x14ac:dyDescent="0.3">
      <c r="F7068" s="64">
        <v>7065</v>
      </c>
      <c r="G7068" s="64">
        <f t="shared" ca="1" si="149"/>
        <v>-3.4851862246840754E-2</v>
      </c>
    </row>
    <row r="7069" spans="6:7" x14ac:dyDescent="0.3">
      <c r="F7069" s="64">
        <v>7066</v>
      </c>
      <c r="G7069" s="64">
        <f t="shared" ca="1" si="149"/>
        <v>6.1747362891751518E-3</v>
      </c>
    </row>
    <row r="7070" spans="6:7" x14ac:dyDescent="0.3">
      <c r="F7070" s="64">
        <v>7067</v>
      </c>
      <c r="G7070" s="64">
        <f t="shared" ca="1" si="149"/>
        <v>-8.4029611050736967E-3</v>
      </c>
    </row>
    <row r="7071" spans="6:7" x14ac:dyDescent="0.3">
      <c r="F7071" s="64">
        <v>7068</v>
      </c>
      <c r="G7071" s="64">
        <f t="shared" ca="1" si="149"/>
        <v>-3.390919684772141E-3</v>
      </c>
    </row>
    <row r="7072" spans="6:7" x14ac:dyDescent="0.3">
      <c r="F7072" s="64">
        <v>7069</v>
      </c>
      <c r="G7072" s="64">
        <f t="shared" ca="1" si="149"/>
        <v>3.8750781954580643E-3</v>
      </c>
    </row>
    <row r="7073" spans="6:7" x14ac:dyDescent="0.3">
      <c r="F7073" s="64">
        <v>7070</v>
      </c>
      <c r="G7073" s="64">
        <f t="shared" ca="1" si="149"/>
        <v>9.7940188675258687E-3</v>
      </c>
    </row>
    <row r="7074" spans="6:7" x14ac:dyDescent="0.3">
      <c r="F7074" s="64">
        <v>7071</v>
      </c>
      <c r="G7074" s="64">
        <f t="shared" ca="1" si="149"/>
        <v>1.6828204630078961E-2</v>
      </c>
    </row>
    <row r="7075" spans="6:7" x14ac:dyDescent="0.3">
      <c r="F7075" s="64">
        <v>7072</v>
      </c>
      <c r="G7075" s="64">
        <f t="shared" ca="1" si="149"/>
        <v>3.5233529652468336E-2</v>
      </c>
    </row>
    <row r="7076" spans="6:7" x14ac:dyDescent="0.3">
      <c r="F7076" s="64">
        <v>7073</v>
      </c>
      <c r="G7076" s="64">
        <f t="shared" ca="1" si="149"/>
        <v>-5.875233731318103E-3</v>
      </c>
    </row>
    <row r="7077" spans="6:7" x14ac:dyDescent="0.3">
      <c r="F7077" s="64">
        <v>7074</v>
      </c>
      <c r="G7077" s="64">
        <f t="shared" ca="1" si="149"/>
        <v>-1.6401737187906384E-2</v>
      </c>
    </row>
    <row r="7078" spans="6:7" x14ac:dyDescent="0.3">
      <c r="F7078" s="64">
        <v>7075</v>
      </c>
      <c r="G7078" s="64">
        <f t="shared" ca="1" si="149"/>
        <v>-8.741441046165534E-3</v>
      </c>
    </row>
    <row r="7079" spans="6:7" x14ac:dyDescent="0.3">
      <c r="F7079" s="64">
        <v>7076</v>
      </c>
      <c r="G7079" s="64">
        <f t="shared" ca="1" si="149"/>
        <v>2.3676873250942747E-2</v>
      </c>
    </row>
    <row r="7080" spans="6:7" x14ac:dyDescent="0.3">
      <c r="F7080" s="64">
        <v>7077</v>
      </c>
      <c r="G7080" s="64">
        <f t="shared" ca="1" si="149"/>
        <v>2.5290992664755658E-2</v>
      </c>
    </row>
    <row r="7081" spans="6:7" x14ac:dyDescent="0.3">
      <c r="F7081" s="64">
        <v>7078</v>
      </c>
      <c r="G7081" s="64">
        <f t="shared" ca="1" si="149"/>
        <v>-2.8374568980376165E-2</v>
      </c>
    </row>
    <row r="7082" spans="6:7" x14ac:dyDescent="0.3">
      <c r="F7082" s="64">
        <v>7079</v>
      </c>
      <c r="G7082" s="64">
        <f t="shared" ca="1" si="149"/>
        <v>-8.2895847502158573E-4</v>
      </c>
    </row>
    <row r="7083" spans="6:7" x14ac:dyDescent="0.3">
      <c r="F7083" s="64">
        <v>7080</v>
      </c>
      <c r="G7083" s="64">
        <f t="shared" ca="1" si="149"/>
        <v>9.6150099634759838E-3</v>
      </c>
    </row>
    <row r="7084" spans="6:7" x14ac:dyDescent="0.3">
      <c r="F7084" s="64">
        <v>7081</v>
      </c>
      <c r="G7084" s="64">
        <f t="shared" ca="1" si="149"/>
        <v>1.6410099762517089E-2</v>
      </c>
    </row>
    <row r="7085" spans="6:7" x14ac:dyDescent="0.3">
      <c r="F7085" s="64">
        <v>7082</v>
      </c>
      <c r="G7085" s="64">
        <f t="shared" ca="1" si="149"/>
        <v>-2.3738349469185863E-2</v>
      </c>
    </row>
    <row r="7086" spans="6:7" x14ac:dyDescent="0.3">
      <c r="F7086" s="64">
        <v>7083</v>
      </c>
      <c r="G7086" s="64">
        <f t="shared" ca="1" si="149"/>
        <v>-3.1239691559511583E-2</v>
      </c>
    </row>
    <row r="7087" spans="6:7" x14ac:dyDescent="0.3">
      <c r="F7087" s="64">
        <v>7084</v>
      </c>
      <c r="G7087" s="64">
        <f t="shared" ca="1" si="149"/>
        <v>1.8044524336933543E-2</v>
      </c>
    </row>
    <row r="7088" spans="6:7" x14ac:dyDescent="0.3">
      <c r="F7088" s="64">
        <v>7085</v>
      </c>
      <c r="G7088" s="64">
        <f t="shared" ca="1" si="149"/>
        <v>9.9069112205613513E-3</v>
      </c>
    </row>
    <row r="7089" spans="6:7" x14ac:dyDescent="0.3">
      <c r="F7089" s="64">
        <v>7086</v>
      </c>
      <c r="G7089" s="64">
        <f t="shared" ca="1" si="149"/>
        <v>-7.1832956234318297E-3</v>
      </c>
    </row>
    <row r="7090" spans="6:7" x14ac:dyDescent="0.3">
      <c r="F7090" s="64">
        <v>7087</v>
      </c>
      <c r="G7090" s="64">
        <f t="shared" ca="1" si="149"/>
        <v>1.6636662557275639E-2</v>
      </c>
    </row>
    <row r="7091" spans="6:7" x14ac:dyDescent="0.3">
      <c r="F7091" s="64">
        <v>7088</v>
      </c>
      <c r="G7091" s="64">
        <f t="shared" ca="1" si="149"/>
        <v>-2.168857595578965E-2</v>
      </c>
    </row>
    <row r="7092" spans="6:7" x14ac:dyDescent="0.3">
      <c r="F7092" s="64">
        <v>7089</v>
      </c>
      <c r="G7092" s="64">
        <f t="shared" ca="1" si="149"/>
        <v>1.87099924041065E-2</v>
      </c>
    </row>
    <row r="7093" spans="6:7" x14ac:dyDescent="0.3">
      <c r="F7093" s="64">
        <v>7090</v>
      </c>
      <c r="G7093" s="64">
        <f t="shared" ca="1" si="149"/>
        <v>2.4129283242657326E-2</v>
      </c>
    </row>
    <row r="7094" spans="6:7" x14ac:dyDescent="0.3">
      <c r="F7094" s="64">
        <v>7091</v>
      </c>
      <c r="G7094" s="64">
        <f t="shared" ca="1" si="149"/>
        <v>7.3460121646521784E-2</v>
      </c>
    </row>
    <row r="7095" spans="6:7" x14ac:dyDescent="0.3">
      <c r="F7095" s="64">
        <v>7092</v>
      </c>
      <c r="G7095" s="64">
        <f t="shared" ca="1" si="149"/>
        <v>-5.4270414467171672E-3</v>
      </c>
    </row>
    <row r="7096" spans="6:7" x14ac:dyDescent="0.3">
      <c r="F7096" s="64">
        <v>7093</v>
      </c>
      <c r="G7096" s="64">
        <f t="shared" ca="1" si="149"/>
        <v>3.62523496904065E-3</v>
      </c>
    </row>
    <row r="7097" spans="6:7" x14ac:dyDescent="0.3">
      <c r="F7097" s="64">
        <v>7094</v>
      </c>
      <c r="G7097" s="64">
        <f t="shared" ca="1" si="149"/>
        <v>5.8488762493615872E-3</v>
      </c>
    </row>
    <row r="7098" spans="6:7" x14ac:dyDescent="0.3">
      <c r="F7098" s="64">
        <v>7095</v>
      </c>
      <c r="G7098" s="64">
        <f t="shared" ca="1" si="149"/>
        <v>-2.7262801069615635E-3</v>
      </c>
    </row>
    <row r="7099" spans="6:7" x14ac:dyDescent="0.3">
      <c r="F7099" s="64">
        <v>7096</v>
      </c>
      <c r="G7099" s="64">
        <f t="shared" ca="1" si="149"/>
        <v>3.3282442914683648E-3</v>
      </c>
    </row>
    <row r="7100" spans="6:7" x14ac:dyDescent="0.3">
      <c r="F7100" s="64">
        <v>7097</v>
      </c>
      <c r="G7100" s="64">
        <f t="shared" ca="1" si="149"/>
        <v>4.4895098092207798E-3</v>
      </c>
    </row>
    <row r="7101" spans="6:7" x14ac:dyDescent="0.3">
      <c r="F7101" s="64">
        <v>7098</v>
      </c>
      <c r="G7101" s="64">
        <f t="shared" ca="1" si="149"/>
        <v>2.2690437798375505E-3</v>
      </c>
    </row>
    <row r="7102" spans="6:7" x14ac:dyDescent="0.3">
      <c r="F7102" s="64">
        <v>7099</v>
      </c>
      <c r="G7102" s="64">
        <f t="shared" ca="1" si="149"/>
        <v>-1.4084954227986781E-3</v>
      </c>
    </row>
    <row r="7103" spans="6:7" x14ac:dyDescent="0.3">
      <c r="F7103" s="64">
        <v>7100</v>
      </c>
      <c r="G7103" s="64">
        <f t="shared" ca="1" si="149"/>
        <v>-4.2396747090740559E-2</v>
      </c>
    </row>
    <row r="7104" spans="6:7" x14ac:dyDescent="0.3">
      <c r="F7104" s="64">
        <v>7101</v>
      </c>
      <c r="G7104" s="64">
        <f t="shared" ca="1" si="149"/>
        <v>-9.9681105449336057E-4</v>
      </c>
    </row>
    <row r="7105" spans="6:7" x14ac:dyDescent="0.3">
      <c r="F7105" s="64">
        <v>7102</v>
      </c>
      <c r="G7105" s="64">
        <f t="shared" ca="1" si="149"/>
        <v>9.7702957114745434E-4</v>
      </c>
    </row>
    <row r="7106" spans="6:7" x14ac:dyDescent="0.3">
      <c r="F7106" s="64">
        <v>7103</v>
      </c>
      <c r="G7106" s="64">
        <f t="shared" ca="1" si="149"/>
        <v>5.6255368087562629E-3</v>
      </c>
    </row>
    <row r="7107" spans="6:7" x14ac:dyDescent="0.3">
      <c r="F7107" s="64">
        <v>7104</v>
      </c>
      <c r="G7107" s="64">
        <f t="shared" ca="1" si="149"/>
        <v>-1.0316899631404459E-2</v>
      </c>
    </row>
    <row r="7108" spans="6:7" x14ac:dyDescent="0.3">
      <c r="F7108" s="64">
        <v>7105</v>
      </c>
      <c r="G7108" s="64">
        <f t="shared" ca="1" si="149"/>
        <v>2.0385490948908083E-2</v>
      </c>
    </row>
    <row r="7109" spans="6:7" x14ac:dyDescent="0.3">
      <c r="F7109" s="64">
        <v>7106</v>
      </c>
      <c r="G7109" s="64">
        <f t="shared" ref="G7109:G7172" ca="1" si="150">_xlfn.NORM.INV(RAND(),K$6,K$7)</f>
        <v>-2.6632803069732799E-2</v>
      </c>
    </row>
    <row r="7110" spans="6:7" x14ac:dyDescent="0.3">
      <c r="F7110" s="64">
        <v>7107</v>
      </c>
      <c r="G7110" s="64">
        <f t="shared" ca="1" si="150"/>
        <v>-3.3790343377498194E-4</v>
      </c>
    </row>
    <row r="7111" spans="6:7" x14ac:dyDescent="0.3">
      <c r="F7111" s="64">
        <v>7108</v>
      </c>
      <c r="G7111" s="64">
        <f t="shared" ca="1" si="150"/>
        <v>1.4833149404710666E-2</v>
      </c>
    </row>
    <row r="7112" spans="6:7" x14ac:dyDescent="0.3">
      <c r="F7112" s="64">
        <v>7109</v>
      </c>
      <c r="G7112" s="64">
        <f t="shared" ca="1" si="150"/>
        <v>7.5262432352509907E-3</v>
      </c>
    </row>
    <row r="7113" spans="6:7" x14ac:dyDescent="0.3">
      <c r="F7113" s="64">
        <v>7110</v>
      </c>
      <c r="G7113" s="64">
        <f t="shared" ca="1" si="150"/>
        <v>1.6118232205223914E-2</v>
      </c>
    </row>
    <row r="7114" spans="6:7" x14ac:dyDescent="0.3">
      <c r="F7114" s="64">
        <v>7111</v>
      </c>
      <c r="G7114" s="64">
        <f t="shared" ca="1" si="150"/>
        <v>1.2889374764608266E-2</v>
      </c>
    </row>
    <row r="7115" spans="6:7" x14ac:dyDescent="0.3">
      <c r="F7115" s="64">
        <v>7112</v>
      </c>
      <c r="G7115" s="64">
        <f t="shared" ca="1" si="150"/>
        <v>3.4552095416688472E-3</v>
      </c>
    </row>
    <row r="7116" spans="6:7" x14ac:dyDescent="0.3">
      <c r="F7116" s="64">
        <v>7113</v>
      </c>
      <c r="G7116" s="64">
        <f t="shared" ca="1" si="150"/>
        <v>2.0564371543164692E-2</v>
      </c>
    </row>
    <row r="7117" spans="6:7" x14ac:dyDescent="0.3">
      <c r="F7117" s="64">
        <v>7114</v>
      </c>
      <c r="G7117" s="64">
        <f t="shared" ca="1" si="150"/>
        <v>-3.9208588099928273E-3</v>
      </c>
    </row>
    <row r="7118" spans="6:7" x14ac:dyDescent="0.3">
      <c r="F7118" s="64">
        <v>7115</v>
      </c>
      <c r="G7118" s="64">
        <f t="shared" ca="1" si="150"/>
        <v>-3.6955168894145733E-2</v>
      </c>
    </row>
    <row r="7119" spans="6:7" x14ac:dyDescent="0.3">
      <c r="F7119" s="64">
        <v>7116</v>
      </c>
      <c r="G7119" s="64">
        <f t="shared" ca="1" si="150"/>
        <v>-4.8220545467984016E-2</v>
      </c>
    </row>
    <row r="7120" spans="6:7" x14ac:dyDescent="0.3">
      <c r="F7120" s="64">
        <v>7117</v>
      </c>
      <c r="G7120" s="64">
        <f t="shared" ca="1" si="150"/>
        <v>2.1014556497923484E-2</v>
      </c>
    </row>
    <row r="7121" spans="6:7" x14ac:dyDescent="0.3">
      <c r="F7121" s="64">
        <v>7118</v>
      </c>
      <c r="G7121" s="64">
        <f t="shared" ca="1" si="150"/>
        <v>1.032748653074133E-2</v>
      </c>
    </row>
    <row r="7122" spans="6:7" x14ac:dyDescent="0.3">
      <c r="F7122" s="64">
        <v>7119</v>
      </c>
      <c r="G7122" s="64">
        <f t="shared" ca="1" si="150"/>
        <v>4.1907152088327231E-3</v>
      </c>
    </row>
    <row r="7123" spans="6:7" x14ac:dyDescent="0.3">
      <c r="F7123" s="64">
        <v>7120</v>
      </c>
      <c r="G7123" s="64">
        <f t="shared" ca="1" si="150"/>
        <v>7.0605541391152177E-3</v>
      </c>
    </row>
    <row r="7124" spans="6:7" x14ac:dyDescent="0.3">
      <c r="F7124" s="64">
        <v>7121</v>
      </c>
      <c r="G7124" s="64">
        <f t="shared" ca="1" si="150"/>
        <v>-2.7249683186728775E-2</v>
      </c>
    </row>
    <row r="7125" spans="6:7" x14ac:dyDescent="0.3">
      <c r="F7125" s="64">
        <v>7122</v>
      </c>
      <c r="G7125" s="64">
        <f t="shared" ca="1" si="150"/>
        <v>-3.779852321960471E-2</v>
      </c>
    </row>
    <row r="7126" spans="6:7" x14ac:dyDescent="0.3">
      <c r="F7126" s="64">
        <v>7123</v>
      </c>
      <c r="G7126" s="64">
        <f t="shared" ca="1" si="150"/>
        <v>-1.6423358711695937E-2</v>
      </c>
    </row>
    <row r="7127" spans="6:7" x14ac:dyDescent="0.3">
      <c r="F7127" s="64">
        <v>7124</v>
      </c>
      <c r="G7127" s="64">
        <f t="shared" ca="1" si="150"/>
        <v>-2.1469277686859856E-2</v>
      </c>
    </row>
    <row r="7128" spans="6:7" x14ac:dyDescent="0.3">
      <c r="F7128" s="64">
        <v>7125</v>
      </c>
      <c r="G7128" s="64">
        <f t="shared" ca="1" si="150"/>
        <v>9.5621158465931336E-3</v>
      </c>
    </row>
    <row r="7129" spans="6:7" x14ac:dyDescent="0.3">
      <c r="F7129" s="64">
        <v>7126</v>
      </c>
      <c r="G7129" s="64">
        <f t="shared" ca="1" si="150"/>
        <v>-1.0350564015681908E-2</v>
      </c>
    </row>
    <row r="7130" spans="6:7" x14ac:dyDescent="0.3">
      <c r="F7130" s="64">
        <v>7127</v>
      </c>
      <c r="G7130" s="64">
        <f t="shared" ca="1" si="150"/>
        <v>-1.5759453232936496E-2</v>
      </c>
    </row>
    <row r="7131" spans="6:7" x14ac:dyDescent="0.3">
      <c r="F7131" s="64">
        <v>7128</v>
      </c>
      <c r="G7131" s="64">
        <f t="shared" ca="1" si="150"/>
        <v>1.2615628809412386E-2</v>
      </c>
    </row>
    <row r="7132" spans="6:7" x14ac:dyDescent="0.3">
      <c r="F7132" s="64">
        <v>7129</v>
      </c>
      <c r="G7132" s="64">
        <f t="shared" ca="1" si="150"/>
        <v>-2.4981989349097081E-2</v>
      </c>
    </row>
    <row r="7133" spans="6:7" x14ac:dyDescent="0.3">
      <c r="F7133" s="64">
        <v>7130</v>
      </c>
      <c r="G7133" s="64">
        <f t="shared" ca="1" si="150"/>
        <v>-6.7780334125327746E-3</v>
      </c>
    </row>
    <row r="7134" spans="6:7" x14ac:dyDescent="0.3">
      <c r="F7134" s="64">
        <v>7131</v>
      </c>
      <c r="G7134" s="64">
        <f t="shared" ca="1" si="150"/>
        <v>-1.8637120522184886E-2</v>
      </c>
    </row>
    <row r="7135" spans="6:7" x14ac:dyDescent="0.3">
      <c r="F7135" s="64">
        <v>7132</v>
      </c>
      <c r="G7135" s="64">
        <f t="shared" ca="1" si="150"/>
        <v>6.6700888529610605E-3</v>
      </c>
    </row>
    <row r="7136" spans="6:7" x14ac:dyDescent="0.3">
      <c r="F7136" s="64">
        <v>7133</v>
      </c>
      <c r="G7136" s="64">
        <f t="shared" ca="1" si="150"/>
        <v>-1.2864547941441434E-2</v>
      </c>
    </row>
    <row r="7137" spans="6:7" x14ac:dyDescent="0.3">
      <c r="F7137" s="64">
        <v>7134</v>
      </c>
      <c r="G7137" s="64">
        <f t="shared" ca="1" si="150"/>
        <v>4.7960087334343853E-5</v>
      </c>
    </row>
    <row r="7138" spans="6:7" x14ac:dyDescent="0.3">
      <c r="F7138" s="64">
        <v>7135</v>
      </c>
      <c r="G7138" s="64">
        <f t="shared" ca="1" si="150"/>
        <v>1.8472676387382467E-2</v>
      </c>
    </row>
    <row r="7139" spans="6:7" x14ac:dyDescent="0.3">
      <c r="F7139" s="64">
        <v>7136</v>
      </c>
      <c r="G7139" s="64">
        <f t="shared" ca="1" si="150"/>
        <v>-1.9818046707560093E-2</v>
      </c>
    </row>
    <row r="7140" spans="6:7" x14ac:dyDescent="0.3">
      <c r="F7140" s="64">
        <v>7137</v>
      </c>
      <c r="G7140" s="64">
        <f t="shared" ca="1" si="150"/>
        <v>3.264837039883571E-2</v>
      </c>
    </row>
    <row r="7141" spans="6:7" x14ac:dyDescent="0.3">
      <c r="F7141" s="64">
        <v>7138</v>
      </c>
      <c r="G7141" s="64">
        <f t="shared" ca="1" si="150"/>
        <v>2.2033469926085493E-2</v>
      </c>
    </row>
    <row r="7142" spans="6:7" x14ac:dyDescent="0.3">
      <c r="F7142" s="64">
        <v>7139</v>
      </c>
      <c r="G7142" s="64">
        <f t="shared" ca="1" si="150"/>
        <v>5.8834345920355047E-3</v>
      </c>
    </row>
    <row r="7143" spans="6:7" x14ac:dyDescent="0.3">
      <c r="F7143" s="64">
        <v>7140</v>
      </c>
      <c r="G7143" s="64">
        <f t="shared" ca="1" si="150"/>
        <v>3.1462435940361334E-2</v>
      </c>
    </row>
    <row r="7144" spans="6:7" x14ac:dyDescent="0.3">
      <c r="F7144" s="64">
        <v>7141</v>
      </c>
      <c r="G7144" s="64">
        <f t="shared" ca="1" si="150"/>
        <v>3.4078349691216717E-2</v>
      </c>
    </row>
    <row r="7145" spans="6:7" x14ac:dyDescent="0.3">
      <c r="F7145" s="64">
        <v>7142</v>
      </c>
      <c r="G7145" s="64">
        <f t="shared" ca="1" si="150"/>
        <v>2.4178468955740391E-2</v>
      </c>
    </row>
    <row r="7146" spans="6:7" x14ac:dyDescent="0.3">
      <c r="F7146" s="64">
        <v>7143</v>
      </c>
      <c r="G7146" s="64">
        <f t="shared" ca="1" si="150"/>
        <v>-4.170825187240905E-2</v>
      </c>
    </row>
    <row r="7147" spans="6:7" x14ac:dyDescent="0.3">
      <c r="F7147" s="64">
        <v>7144</v>
      </c>
      <c r="G7147" s="64">
        <f t="shared" ca="1" si="150"/>
        <v>-6.9747554027698288E-3</v>
      </c>
    </row>
    <row r="7148" spans="6:7" x14ac:dyDescent="0.3">
      <c r="F7148" s="64">
        <v>7145</v>
      </c>
      <c r="G7148" s="64">
        <f t="shared" ca="1" si="150"/>
        <v>1.187338426470754E-2</v>
      </c>
    </row>
    <row r="7149" spans="6:7" x14ac:dyDescent="0.3">
      <c r="F7149" s="64">
        <v>7146</v>
      </c>
      <c r="G7149" s="64">
        <f t="shared" ca="1" si="150"/>
        <v>-1.4443624754505039E-2</v>
      </c>
    </row>
    <row r="7150" spans="6:7" x14ac:dyDescent="0.3">
      <c r="F7150" s="64">
        <v>7147</v>
      </c>
      <c r="G7150" s="64">
        <f t="shared" ca="1" si="150"/>
        <v>7.5417403317745116E-2</v>
      </c>
    </row>
    <row r="7151" spans="6:7" x14ac:dyDescent="0.3">
      <c r="F7151" s="64">
        <v>7148</v>
      </c>
      <c r="G7151" s="64">
        <f t="shared" ca="1" si="150"/>
        <v>-1.0437106440887108E-2</v>
      </c>
    </row>
    <row r="7152" spans="6:7" x14ac:dyDescent="0.3">
      <c r="F7152" s="64">
        <v>7149</v>
      </c>
      <c r="G7152" s="64">
        <f t="shared" ca="1" si="150"/>
        <v>7.6083301573716194E-4</v>
      </c>
    </row>
    <row r="7153" spans="6:7" x14ac:dyDescent="0.3">
      <c r="F7153" s="64">
        <v>7150</v>
      </c>
      <c r="G7153" s="64">
        <f t="shared" ca="1" si="150"/>
        <v>1.1274005004087283E-2</v>
      </c>
    </row>
    <row r="7154" spans="6:7" x14ac:dyDescent="0.3">
      <c r="F7154" s="64">
        <v>7151</v>
      </c>
      <c r="G7154" s="64">
        <f t="shared" ca="1" si="150"/>
        <v>3.696983250226642E-3</v>
      </c>
    </row>
    <row r="7155" spans="6:7" x14ac:dyDescent="0.3">
      <c r="F7155" s="64">
        <v>7152</v>
      </c>
      <c r="G7155" s="64">
        <f t="shared" ca="1" si="150"/>
        <v>5.1811665408387679E-3</v>
      </c>
    </row>
    <row r="7156" spans="6:7" x14ac:dyDescent="0.3">
      <c r="F7156" s="64">
        <v>7153</v>
      </c>
      <c r="G7156" s="64">
        <f t="shared" ca="1" si="150"/>
        <v>1.8188567551447195E-3</v>
      </c>
    </row>
    <row r="7157" spans="6:7" x14ac:dyDescent="0.3">
      <c r="F7157" s="64">
        <v>7154</v>
      </c>
      <c r="G7157" s="64">
        <f t="shared" ca="1" si="150"/>
        <v>2.463205288385819E-2</v>
      </c>
    </row>
    <row r="7158" spans="6:7" x14ac:dyDescent="0.3">
      <c r="F7158" s="64">
        <v>7155</v>
      </c>
      <c r="G7158" s="64">
        <f t="shared" ca="1" si="150"/>
        <v>3.1693764789042797E-3</v>
      </c>
    </row>
    <row r="7159" spans="6:7" x14ac:dyDescent="0.3">
      <c r="F7159" s="64">
        <v>7156</v>
      </c>
      <c r="G7159" s="64">
        <f t="shared" ca="1" si="150"/>
        <v>2.3023363716670027E-2</v>
      </c>
    </row>
    <row r="7160" spans="6:7" x14ac:dyDescent="0.3">
      <c r="F7160" s="64">
        <v>7157</v>
      </c>
      <c r="G7160" s="64">
        <f t="shared" ca="1" si="150"/>
        <v>9.289494862268665E-3</v>
      </c>
    </row>
    <row r="7161" spans="6:7" x14ac:dyDescent="0.3">
      <c r="F7161" s="64">
        <v>7158</v>
      </c>
      <c r="G7161" s="64">
        <f t="shared" ca="1" si="150"/>
        <v>-1.1574054081427868E-2</v>
      </c>
    </row>
    <row r="7162" spans="6:7" x14ac:dyDescent="0.3">
      <c r="F7162" s="64">
        <v>7159</v>
      </c>
      <c r="G7162" s="64">
        <f t="shared" ca="1" si="150"/>
        <v>-7.021310294224422E-3</v>
      </c>
    </row>
    <row r="7163" spans="6:7" x14ac:dyDescent="0.3">
      <c r="F7163" s="64">
        <v>7160</v>
      </c>
      <c r="G7163" s="64">
        <f t="shared" ca="1" si="150"/>
        <v>-3.7357510004254704E-2</v>
      </c>
    </row>
    <row r="7164" spans="6:7" x14ac:dyDescent="0.3">
      <c r="F7164" s="64">
        <v>7161</v>
      </c>
      <c r="G7164" s="64">
        <f t="shared" ca="1" si="150"/>
        <v>-2.5318879200466125E-2</v>
      </c>
    </row>
    <row r="7165" spans="6:7" x14ac:dyDescent="0.3">
      <c r="F7165" s="64">
        <v>7162</v>
      </c>
      <c r="G7165" s="64">
        <f t="shared" ca="1" si="150"/>
        <v>-3.5698481156574348E-2</v>
      </c>
    </row>
    <row r="7166" spans="6:7" x14ac:dyDescent="0.3">
      <c r="F7166" s="64">
        <v>7163</v>
      </c>
      <c r="G7166" s="64">
        <f t="shared" ca="1" si="150"/>
        <v>1.694005859293439E-2</v>
      </c>
    </row>
    <row r="7167" spans="6:7" x14ac:dyDescent="0.3">
      <c r="F7167" s="64">
        <v>7164</v>
      </c>
      <c r="G7167" s="64">
        <f t="shared" ca="1" si="150"/>
        <v>9.7995609539006014E-3</v>
      </c>
    </row>
    <row r="7168" spans="6:7" x14ac:dyDescent="0.3">
      <c r="F7168" s="64">
        <v>7165</v>
      </c>
      <c r="G7168" s="64">
        <f t="shared" ca="1" si="150"/>
        <v>-2.3758366550566831E-2</v>
      </c>
    </row>
    <row r="7169" spans="6:7" x14ac:dyDescent="0.3">
      <c r="F7169" s="64">
        <v>7166</v>
      </c>
      <c r="G7169" s="64">
        <f t="shared" ca="1" si="150"/>
        <v>-7.3229070252011914E-4</v>
      </c>
    </row>
    <row r="7170" spans="6:7" x14ac:dyDescent="0.3">
      <c r="F7170" s="64">
        <v>7167</v>
      </c>
      <c r="G7170" s="64">
        <f t="shared" ca="1" si="150"/>
        <v>-2.3419436231251166E-2</v>
      </c>
    </row>
    <row r="7171" spans="6:7" x14ac:dyDescent="0.3">
      <c r="F7171" s="64">
        <v>7168</v>
      </c>
      <c r="G7171" s="64">
        <f t="shared" ca="1" si="150"/>
        <v>1.2611614591559125E-2</v>
      </c>
    </row>
    <row r="7172" spans="6:7" x14ac:dyDescent="0.3">
      <c r="F7172" s="64">
        <v>7169</v>
      </c>
      <c r="G7172" s="64">
        <f t="shared" ca="1" si="150"/>
        <v>-1.6272922434367648E-2</v>
      </c>
    </row>
    <row r="7173" spans="6:7" x14ac:dyDescent="0.3">
      <c r="F7173" s="64">
        <v>7170</v>
      </c>
      <c r="G7173" s="64">
        <f t="shared" ref="G7173:G7236" ca="1" si="151">_xlfn.NORM.INV(RAND(),K$6,K$7)</f>
        <v>4.9478203096580426E-3</v>
      </c>
    </row>
    <row r="7174" spans="6:7" x14ac:dyDescent="0.3">
      <c r="F7174" s="64">
        <v>7171</v>
      </c>
      <c r="G7174" s="64">
        <f t="shared" ca="1" si="151"/>
        <v>-1.1038966233963938E-2</v>
      </c>
    </row>
    <row r="7175" spans="6:7" x14ac:dyDescent="0.3">
      <c r="F7175" s="64">
        <v>7172</v>
      </c>
      <c r="G7175" s="64">
        <f t="shared" ca="1" si="151"/>
        <v>1.5049258662584066E-3</v>
      </c>
    </row>
    <row r="7176" spans="6:7" x14ac:dyDescent="0.3">
      <c r="F7176" s="64">
        <v>7173</v>
      </c>
      <c r="G7176" s="64">
        <f t="shared" ca="1" si="151"/>
        <v>-3.0297457866862068E-2</v>
      </c>
    </row>
    <row r="7177" spans="6:7" x14ac:dyDescent="0.3">
      <c r="F7177" s="64">
        <v>7174</v>
      </c>
      <c r="G7177" s="64">
        <f t="shared" ca="1" si="151"/>
        <v>3.5827238972337222E-2</v>
      </c>
    </row>
    <row r="7178" spans="6:7" x14ac:dyDescent="0.3">
      <c r="F7178" s="64">
        <v>7175</v>
      </c>
      <c r="G7178" s="64">
        <f t="shared" ca="1" si="151"/>
        <v>1.3924219539392628E-2</v>
      </c>
    </row>
    <row r="7179" spans="6:7" x14ac:dyDescent="0.3">
      <c r="F7179" s="64">
        <v>7176</v>
      </c>
      <c r="G7179" s="64">
        <f t="shared" ca="1" si="151"/>
        <v>-2.9601152432670662E-2</v>
      </c>
    </row>
    <row r="7180" spans="6:7" x14ac:dyDescent="0.3">
      <c r="F7180" s="64">
        <v>7177</v>
      </c>
      <c r="G7180" s="64">
        <f t="shared" ca="1" si="151"/>
        <v>-1.2468321591572981E-2</v>
      </c>
    </row>
    <row r="7181" spans="6:7" x14ac:dyDescent="0.3">
      <c r="F7181" s="64">
        <v>7178</v>
      </c>
      <c r="G7181" s="64">
        <f t="shared" ca="1" si="151"/>
        <v>1.4532255637004329E-2</v>
      </c>
    </row>
    <row r="7182" spans="6:7" x14ac:dyDescent="0.3">
      <c r="F7182" s="64">
        <v>7179</v>
      </c>
      <c r="G7182" s="64">
        <f t="shared" ca="1" si="151"/>
        <v>7.082539423247095E-3</v>
      </c>
    </row>
    <row r="7183" spans="6:7" x14ac:dyDescent="0.3">
      <c r="F7183" s="64">
        <v>7180</v>
      </c>
      <c r="G7183" s="64">
        <f t="shared" ca="1" si="151"/>
        <v>-4.2708319363555093E-4</v>
      </c>
    </row>
    <row r="7184" spans="6:7" x14ac:dyDescent="0.3">
      <c r="F7184" s="64">
        <v>7181</v>
      </c>
      <c r="G7184" s="64">
        <f t="shared" ca="1" si="151"/>
        <v>4.2211505184526078E-2</v>
      </c>
    </row>
    <row r="7185" spans="6:7" x14ac:dyDescent="0.3">
      <c r="F7185" s="64">
        <v>7182</v>
      </c>
      <c r="G7185" s="64">
        <f t="shared" ca="1" si="151"/>
        <v>9.9695454913977972E-3</v>
      </c>
    </row>
    <row r="7186" spans="6:7" x14ac:dyDescent="0.3">
      <c r="F7186" s="64">
        <v>7183</v>
      </c>
      <c r="G7186" s="64">
        <f t="shared" ca="1" si="151"/>
        <v>2.4014958637343367E-3</v>
      </c>
    </row>
    <row r="7187" spans="6:7" x14ac:dyDescent="0.3">
      <c r="F7187" s="64">
        <v>7184</v>
      </c>
      <c r="G7187" s="64">
        <f t="shared" ca="1" si="151"/>
        <v>1.9273543186049347E-2</v>
      </c>
    </row>
    <row r="7188" spans="6:7" x14ac:dyDescent="0.3">
      <c r="F7188" s="64">
        <v>7185</v>
      </c>
      <c r="G7188" s="64">
        <f t="shared" ca="1" si="151"/>
        <v>2.182201612686873E-2</v>
      </c>
    </row>
    <row r="7189" spans="6:7" x14ac:dyDescent="0.3">
      <c r="F7189" s="64">
        <v>7186</v>
      </c>
      <c r="G7189" s="64">
        <f t="shared" ca="1" si="151"/>
        <v>-2.5441524400137271E-2</v>
      </c>
    </row>
    <row r="7190" spans="6:7" x14ac:dyDescent="0.3">
      <c r="F7190" s="64">
        <v>7187</v>
      </c>
      <c r="G7190" s="64">
        <f t="shared" ca="1" si="151"/>
        <v>-3.492810474739442E-3</v>
      </c>
    </row>
    <row r="7191" spans="6:7" x14ac:dyDescent="0.3">
      <c r="F7191" s="64">
        <v>7188</v>
      </c>
      <c r="G7191" s="64">
        <f t="shared" ca="1" si="151"/>
        <v>7.2538686027484364E-3</v>
      </c>
    </row>
    <row r="7192" spans="6:7" x14ac:dyDescent="0.3">
      <c r="F7192" s="64">
        <v>7189</v>
      </c>
      <c r="G7192" s="64">
        <f t="shared" ca="1" si="151"/>
        <v>-1.4112605296514006E-2</v>
      </c>
    </row>
    <row r="7193" spans="6:7" x14ac:dyDescent="0.3">
      <c r="F7193" s="64">
        <v>7190</v>
      </c>
      <c r="G7193" s="64">
        <f t="shared" ca="1" si="151"/>
        <v>1.3707404884573214E-2</v>
      </c>
    </row>
    <row r="7194" spans="6:7" x14ac:dyDescent="0.3">
      <c r="F7194" s="64">
        <v>7191</v>
      </c>
      <c r="G7194" s="64">
        <f t="shared" ca="1" si="151"/>
        <v>-7.809298534376112E-3</v>
      </c>
    </row>
    <row r="7195" spans="6:7" x14ac:dyDescent="0.3">
      <c r="F7195" s="64">
        <v>7192</v>
      </c>
      <c r="G7195" s="64">
        <f t="shared" ca="1" si="151"/>
        <v>3.1074243884795086E-2</v>
      </c>
    </row>
    <row r="7196" spans="6:7" x14ac:dyDescent="0.3">
      <c r="F7196" s="64">
        <v>7193</v>
      </c>
      <c r="G7196" s="64">
        <f t="shared" ca="1" si="151"/>
        <v>6.2622890423798885E-3</v>
      </c>
    </row>
    <row r="7197" spans="6:7" x14ac:dyDescent="0.3">
      <c r="F7197" s="64">
        <v>7194</v>
      </c>
      <c r="G7197" s="64">
        <f t="shared" ca="1" si="151"/>
        <v>1.4530566295191271E-2</v>
      </c>
    </row>
    <row r="7198" spans="6:7" x14ac:dyDescent="0.3">
      <c r="F7198" s="64">
        <v>7195</v>
      </c>
      <c r="G7198" s="64">
        <f t="shared" ca="1" si="151"/>
        <v>-5.5594073565265172E-3</v>
      </c>
    </row>
    <row r="7199" spans="6:7" x14ac:dyDescent="0.3">
      <c r="F7199" s="64">
        <v>7196</v>
      </c>
      <c r="G7199" s="64">
        <f t="shared" ca="1" si="151"/>
        <v>9.8396454453196069E-3</v>
      </c>
    </row>
    <row r="7200" spans="6:7" x14ac:dyDescent="0.3">
      <c r="F7200" s="64">
        <v>7197</v>
      </c>
      <c r="G7200" s="64">
        <f t="shared" ca="1" si="151"/>
        <v>3.1319902261172983E-2</v>
      </c>
    </row>
    <row r="7201" spans="6:7" x14ac:dyDescent="0.3">
      <c r="F7201" s="64">
        <v>7198</v>
      </c>
      <c r="G7201" s="64">
        <f t="shared" ca="1" si="151"/>
        <v>3.1037875177163943E-2</v>
      </c>
    </row>
    <row r="7202" spans="6:7" x14ac:dyDescent="0.3">
      <c r="F7202" s="64">
        <v>7199</v>
      </c>
      <c r="G7202" s="64">
        <f t="shared" ca="1" si="151"/>
        <v>1.6503350902730963E-2</v>
      </c>
    </row>
    <row r="7203" spans="6:7" x14ac:dyDescent="0.3">
      <c r="F7203" s="64">
        <v>7200</v>
      </c>
      <c r="G7203" s="64">
        <f t="shared" ca="1" si="151"/>
        <v>-3.8427216712556216E-2</v>
      </c>
    </row>
    <row r="7204" spans="6:7" x14ac:dyDescent="0.3">
      <c r="F7204" s="64">
        <v>7201</v>
      </c>
      <c r="G7204" s="64">
        <f t="shared" ca="1" si="151"/>
        <v>-3.8100460581430823E-2</v>
      </c>
    </row>
    <row r="7205" spans="6:7" x14ac:dyDescent="0.3">
      <c r="F7205" s="64">
        <v>7202</v>
      </c>
      <c r="G7205" s="64">
        <f t="shared" ca="1" si="151"/>
        <v>-1.1962498783501623E-2</v>
      </c>
    </row>
    <row r="7206" spans="6:7" x14ac:dyDescent="0.3">
      <c r="F7206" s="64">
        <v>7203</v>
      </c>
      <c r="G7206" s="64">
        <f t="shared" ca="1" si="151"/>
        <v>-4.8829717561608248E-3</v>
      </c>
    </row>
    <row r="7207" spans="6:7" x14ac:dyDescent="0.3">
      <c r="F7207" s="64">
        <v>7204</v>
      </c>
      <c r="G7207" s="64">
        <f t="shared" ca="1" si="151"/>
        <v>1.5538385989347625E-2</v>
      </c>
    </row>
    <row r="7208" spans="6:7" x14ac:dyDescent="0.3">
      <c r="F7208" s="64">
        <v>7205</v>
      </c>
      <c r="G7208" s="64">
        <f t="shared" ca="1" si="151"/>
        <v>-1.2499990780248339E-2</v>
      </c>
    </row>
    <row r="7209" spans="6:7" x14ac:dyDescent="0.3">
      <c r="F7209" s="64">
        <v>7206</v>
      </c>
      <c r="G7209" s="64">
        <f t="shared" ca="1" si="151"/>
        <v>-1.498946998098737E-4</v>
      </c>
    </row>
    <row r="7210" spans="6:7" x14ac:dyDescent="0.3">
      <c r="F7210" s="64">
        <v>7207</v>
      </c>
      <c r="G7210" s="64">
        <f t="shared" ca="1" si="151"/>
        <v>-4.004614848700528E-2</v>
      </c>
    </row>
    <row r="7211" spans="6:7" x14ac:dyDescent="0.3">
      <c r="F7211" s="64">
        <v>7208</v>
      </c>
      <c r="G7211" s="64">
        <f t="shared" ca="1" si="151"/>
        <v>2.2927528171851529E-2</v>
      </c>
    </row>
    <row r="7212" spans="6:7" x14ac:dyDescent="0.3">
      <c r="F7212" s="64">
        <v>7209</v>
      </c>
      <c r="G7212" s="64">
        <f t="shared" ca="1" si="151"/>
        <v>9.5616134079294143E-3</v>
      </c>
    </row>
    <row r="7213" spans="6:7" x14ac:dyDescent="0.3">
      <c r="F7213" s="64">
        <v>7210</v>
      </c>
      <c r="G7213" s="64">
        <f t="shared" ca="1" si="151"/>
        <v>3.9578257123720523E-4</v>
      </c>
    </row>
    <row r="7214" spans="6:7" x14ac:dyDescent="0.3">
      <c r="F7214" s="64">
        <v>7211</v>
      </c>
      <c r="G7214" s="64">
        <f t="shared" ca="1" si="151"/>
        <v>1.0662135936982502E-3</v>
      </c>
    </row>
    <row r="7215" spans="6:7" x14ac:dyDescent="0.3">
      <c r="F7215" s="64">
        <v>7212</v>
      </c>
      <c r="G7215" s="64">
        <f t="shared" ca="1" si="151"/>
        <v>5.3163508880067854E-3</v>
      </c>
    </row>
    <row r="7216" spans="6:7" x14ac:dyDescent="0.3">
      <c r="F7216" s="64">
        <v>7213</v>
      </c>
      <c r="G7216" s="64">
        <f t="shared" ca="1" si="151"/>
        <v>4.55423325755074E-4</v>
      </c>
    </row>
    <row r="7217" spans="6:7" x14ac:dyDescent="0.3">
      <c r="F7217" s="64">
        <v>7214</v>
      </c>
      <c r="G7217" s="64">
        <f t="shared" ca="1" si="151"/>
        <v>8.6882548650182821E-3</v>
      </c>
    </row>
    <row r="7218" spans="6:7" x14ac:dyDescent="0.3">
      <c r="F7218" s="64">
        <v>7215</v>
      </c>
      <c r="G7218" s="64">
        <f t="shared" ca="1" si="151"/>
        <v>1.3849714559542261E-2</v>
      </c>
    </row>
    <row r="7219" spans="6:7" x14ac:dyDescent="0.3">
      <c r="F7219" s="64">
        <v>7216</v>
      </c>
      <c r="G7219" s="64">
        <f t="shared" ca="1" si="151"/>
        <v>-1.1130726560798958E-2</v>
      </c>
    </row>
    <row r="7220" spans="6:7" x14ac:dyDescent="0.3">
      <c r="F7220" s="64">
        <v>7217</v>
      </c>
      <c r="G7220" s="64">
        <f t="shared" ca="1" si="151"/>
        <v>1.7228988860735275E-2</v>
      </c>
    </row>
    <row r="7221" spans="6:7" x14ac:dyDescent="0.3">
      <c r="F7221" s="64">
        <v>7218</v>
      </c>
      <c r="G7221" s="64">
        <f t="shared" ca="1" si="151"/>
        <v>-1.4935753910874412E-2</v>
      </c>
    </row>
    <row r="7222" spans="6:7" x14ac:dyDescent="0.3">
      <c r="F7222" s="64">
        <v>7219</v>
      </c>
      <c r="G7222" s="64">
        <f t="shared" ca="1" si="151"/>
        <v>1.1672178519222512E-2</v>
      </c>
    </row>
    <row r="7223" spans="6:7" x14ac:dyDescent="0.3">
      <c r="F7223" s="64">
        <v>7220</v>
      </c>
      <c r="G7223" s="64">
        <f t="shared" ca="1" si="151"/>
        <v>1.0714975024996605E-2</v>
      </c>
    </row>
    <row r="7224" spans="6:7" x14ac:dyDescent="0.3">
      <c r="F7224" s="64">
        <v>7221</v>
      </c>
      <c r="G7224" s="64">
        <f t="shared" ca="1" si="151"/>
        <v>1.384940149524491E-2</v>
      </c>
    </row>
    <row r="7225" spans="6:7" x14ac:dyDescent="0.3">
      <c r="F7225" s="64">
        <v>7222</v>
      </c>
      <c r="G7225" s="64">
        <f t="shared" ca="1" si="151"/>
        <v>8.7538488469179228E-3</v>
      </c>
    </row>
    <row r="7226" spans="6:7" x14ac:dyDescent="0.3">
      <c r="F7226" s="64">
        <v>7223</v>
      </c>
      <c r="G7226" s="64">
        <f t="shared" ca="1" si="151"/>
        <v>-3.8306505121835713E-2</v>
      </c>
    </row>
    <row r="7227" spans="6:7" x14ac:dyDescent="0.3">
      <c r="F7227" s="64">
        <v>7224</v>
      </c>
      <c r="G7227" s="64">
        <f t="shared" ca="1" si="151"/>
        <v>5.4780167446655216E-3</v>
      </c>
    </row>
    <row r="7228" spans="6:7" x14ac:dyDescent="0.3">
      <c r="F7228" s="64">
        <v>7225</v>
      </c>
      <c r="G7228" s="64">
        <f t="shared" ca="1" si="151"/>
        <v>-6.8744102037940282E-4</v>
      </c>
    </row>
    <row r="7229" spans="6:7" x14ac:dyDescent="0.3">
      <c r="F7229" s="64">
        <v>7226</v>
      </c>
      <c r="G7229" s="64">
        <f t="shared" ca="1" si="151"/>
        <v>1.4757684723934886E-2</v>
      </c>
    </row>
    <row r="7230" spans="6:7" x14ac:dyDescent="0.3">
      <c r="F7230" s="64">
        <v>7227</v>
      </c>
      <c r="G7230" s="64">
        <f t="shared" ca="1" si="151"/>
        <v>-1.2669335914585664E-2</v>
      </c>
    </row>
    <row r="7231" spans="6:7" x14ac:dyDescent="0.3">
      <c r="F7231" s="64">
        <v>7228</v>
      </c>
      <c r="G7231" s="64">
        <f t="shared" ca="1" si="151"/>
        <v>1.0755868293114897E-2</v>
      </c>
    </row>
    <row r="7232" spans="6:7" x14ac:dyDescent="0.3">
      <c r="F7232" s="64">
        <v>7229</v>
      </c>
      <c r="G7232" s="64">
        <f t="shared" ca="1" si="151"/>
        <v>2.7943314040136918E-2</v>
      </c>
    </row>
    <row r="7233" spans="6:7" x14ac:dyDescent="0.3">
      <c r="F7233" s="64">
        <v>7230</v>
      </c>
      <c r="G7233" s="64">
        <f t="shared" ca="1" si="151"/>
        <v>5.0907181916234924E-3</v>
      </c>
    </row>
    <row r="7234" spans="6:7" x14ac:dyDescent="0.3">
      <c r="F7234" s="64">
        <v>7231</v>
      </c>
      <c r="G7234" s="64">
        <f t="shared" ca="1" si="151"/>
        <v>2.6963936947656149E-2</v>
      </c>
    </row>
    <row r="7235" spans="6:7" x14ac:dyDescent="0.3">
      <c r="F7235" s="64">
        <v>7232</v>
      </c>
      <c r="G7235" s="64">
        <f t="shared" ca="1" si="151"/>
        <v>1.9421343636945809E-2</v>
      </c>
    </row>
    <row r="7236" spans="6:7" x14ac:dyDescent="0.3">
      <c r="F7236" s="64">
        <v>7233</v>
      </c>
      <c r="G7236" s="64">
        <f t="shared" ca="1" si="151"/>
        <v>-8.2773060929860094E-3</v>
      </c>
    </row>
    <row r="7237" spans="6:7" x14ac:dyDescent="0.3">
      <c r="F7237" s="64">
        <v>7234</v>
      </c>
      <c r="G7237" s="64">
        <f t="shared" ref="G7237:G7300" ca="1" si="152">_xlfn.NORM.INV(RAND(),K$6,K$7)</f>
        <v>3.8061390931281573E-2</v>
      </c>
    </row>
    <row r="7238" spans="6:7" x14ac:dyDescent="0.3">
      <c r="F7238" s="64">
        <v>7235</v>
      </c>
      <c r="G7238" s="64">
        <f t="shared" ca="1" si="152"/>
        <v>2.635097698858925E-2</v>
      </c>
    </row>
    <row r="7239" spans="6:7" x14ac:dyDescent="0.3">
      <c r="F7239" s="64">
        <v>7236</v>
      </c>
      <c r="G7239" s="64">
        <f t="shared" ca="1" si="152"/>
        <v>5.2491637692137138E-3</v>
      </c>
    </row>
    <row r="7240" spans="6:7" x14ac:dyDescent="0.3">
      <c r="F7240" s="64">
        <v>7237</v>
      </c>
      <c r="G7240" s="64">
        <f t="shared" ca="1" si="152"/>
        <v>1.2958121459225319E-2</v>
      </c>
    </row>
    <row r="7241" spans="6:7" x14ac:dyDescent="0.3">
      <c r="F7241" s="64">
        <v>7238</v>
      </c>
      <c r="G7241" s="64">
        <f t="shared" ca="1" si="152"/>
        <v>-4.9887114791724772E-2</v>
      </c>
    </row>
    <row r="7242" spans="6:7" x14ac:dyDescent="0.3">
      <c r="F7242" s="64">
        <v>7239</v>
      </c>
      <c r="G7242" s="64">
        <f t="shared" ca="1" si="152"/>
        <v>2.3844356987189654E-2</v>
      </c>
    </row>
    <row r="7243" spans="6:7" x14ac:dyDescent="0.3">
      <c r="F7243" s="64">
        <v>7240</v>
      </c>
      <c r="G7243" s="64">
        <f t="shared" ca="1" si="152"/>
        <v>3.7856600480573677E-3</v>
      </c>
    </row>
    <row r="7244" spans="6:7" x14ac:dyDescent="0.3">
      <c r="F7244" s="64">
        <v>7241</v>
      </c>
      <c r="G7244" s="64">
        <f t="shared" ca="1" si="152"/>
        <v>2.6495427404514167E-2</v>
      </c>
    </row>
    <row r="7245" spans="6:7" x14ac:dyDescent="0.3">
      <c r="F7245" s="64">
        <v>7242</v>
      </c>
      <c r="G7245" s="64">
        <f t="shared" ca="1" si="152"/>
        <v>9.1613613062340067E-3</v>
      </c>
    </row>
    <row r="7246" spans="6:7" x14ac:dyDescent="0.3">
      <c r="F7246" s="64">
        <v>7243</v>
      </c>
      <c r="G7246" s="64">
        <f t="shared" ca="1" si="152"/>
        <v>6.7042978259094568E-3</v>
      </c>
    </row>
    <row r="7247" spans="6:7" x14ac:dyDescent="0.3">
      <c r="F7247" s="64">
        <v>7244</v>
      </c>
      <c r="G7247" s="64">
        <f t="shared" ca="1" si="152"/>
        <v>-1.477187536863789E-2</v>
      </c>
    </row>
    <row r="7248" spans="6:7" x14ac:dyDescent="0.3">
      <c r="F7248" s="64">
        <v>7245</v>
      </c>
      <c r="G7248" s="64">
        <f t="shared" ca="1" si="152"/>
        <v>2.5702823913736836E-2</v>
      </c>
    </row>
    <row r="7249" spans="6:7" x14ac:dyDescent="0.3">
      <c r="F7249" s="64">
        <v>7246</v>
      </c>
      <c r="G7249" s="64">
        <f t="shared" ca="1" si="152"/>
        <v>2.1732278902701262E-2</v>
      </c>
    </row>
    <row r="7250" spans="6:7" x14ac:dyDescent="0.3">
      <c r="F7250" s="64">
        <v>7247</v>
      </c>
      <c r="G7250" s="64">
        <f t="shared" ca="1" si="152"/>
        <v>4.515848648443354E-2</v>
      </c>
    </row>
    <row r="7251" spans="6:7" x14ac:dyDescent="0.3">
      <c r="F7251" s="64">
        <v>7248</v>
      </c>
      <c r="G7251" s="64">
        <f t="shared" ca="1" si="152"/>
        <v>1.8043832450039772E-2</v>
      </c>
    </row>
    <row r="7252" spans="6:7" x14ac:dyDescent="0.3">
      <c r="F7252" s="64">
        <v>7249</v>
      </c>
      <c r="G7252" s="64">
        <f t="shared" ca="1" si="152"/>
        <v>-4.2033243696791719E-4</v>
      </c>
    </row>
    <row r="7253" spans="6:7" x14ac:dyDescent="0.3">
      <c r="F7253" s="64">
        <v>7250</v>
      </c>
      <c r="G7253" s="64">
        <f t="shared" ca="1" si="152"/>
        <v>-5.895677310088175E-3</v>
      </c>
    </row>
    <row r="7254" spans="6:7" x14ac:dyDescent="0.3">
      <c r="F7254" s="64">
        <v>7251</v>
      </c>
      <c r="G7254" s="64">
        <f t="shared" ca="1" si="152"/>
        <v>-3.4546944400679583E-2</v>
      </c>
    </row>
    <row r="7255" spans="6:7" x14ac:dyDescent="0.3">
      <c r="F7255" s="64">
        <v>7252</v>
      </c>
      <c r="G7255" s="64">
        <f t="shared" ca="1" si="152"/>
        <v>-3.5924705380488135E-2</v>
      </c>
    </row>
    <row r="7256" spans="6:7" x14ac:dyDescent="0.3">
      <c r="F7256" s="64">
        <v>7253</v>
      </c>
      <c r="G7256" s="64">
        <f t="shared" ca="1" si="152"/>
        <v>-1.854200905885562E-2</v>
      </c>
    </row>
    <row r="7257" spans="6:7" x14ac:dyDescent="0.3">
      <c r="F7257" s="64">
        <v>7254</v>
      </c>
      <c r="G7257" s="64">
        <f t="shared" ca="1" si="152"/>
        <v>3.0773232768706677E-3</v>
      </c>
    </row>
    <row r="7258" spans="6:7" x14ac:dyDescent="0.3">
      <c r="F7258" s="64">
        <v>7255</v>
      </c>
      <c r="G7258" s="64">
        <f t="shared" ca="1" si="152"/>
        <v>-3.3097340318304974E-3</v>
      </c>
    </row>
    <row r="7259" spans="6:7" x14ac:dyDescent="0.3">
      <c r="F7259" s="64">
        <v>7256</v>
      </c>
      <c r="G7259" s="64">
        <f t="shared" ca="1" si="152"/>
        <v>-3.5215976180281612E-3</v>
      </c>
    </row>
    <row r="7260" spans="6:7" x14ac:dyDescent="0.3">
      <c r="F7260" s="64">
        <v>7257</v>
      </c>
      <c r="G7260" s="64">
        <f t="shared" ca="1" si="152"/>
        <v>-2.4709085180192707E-2</v>
      </c>
    </row>
    <row r="7261" spans="6:7" x14ac:dyDescent="0.3">
      <c r="F7261" s="64">
        <v>7258</v>
      </c>
      <c r="G7261" s="64">
        <f t="shared" ca="1" si="152"/>
        <v>9.8376150413319388E-3</v>
      </c>
    </row>
    <row r="7262" spans="6:7" x14ac:dyDescent="0.3">
      <c r="F7262" s="64">
        <v>7259</v>
      </c>
      <c r="G7262" s="64">
        <f t="shared" ca="1" si="152"/>
        <v>-6.8590765686297427E-3</v>
      </c>
    </row>
    <row r="7263" spans="6:7" x14ac:dyDescent="0.3">
      <c r="F7263" s="64">
        <v>7260</v>
      </c>
      <c r="G7263" s="64">
        <f t="shared" ca="1" si="152"/>
        <v>1.3158382453256142E-2</v>
      </c>
    </row>
    <row r="7264" spans="6:7" x14ac:dyDescent="0.3">
      <c r="F7264" s="64">
        <v>7261</v>
      </c>
      <c r="G7264" s="64">
        <f t="shared" ca="1" si="152"/>
        <v>-9.076895939299133E-3</v>
      </c>
    </row>
    <row r="7265" spans="6:7" x14ac:dyDescent="0.3">
      <c r="F7265" s="64">
        <v>7262</v>
      </c>
      <c r="G7265" s="64">
        <f t="shared" ca="1" si="152"/>
        <v>8.5102176531591731E-3</v>
      </c>
    </row>
    <row r="7266" spans="6:7" x14ac:dyDescent="0.3">
      <c r="F7266" s="64">
        <v>7263</v>
      </c>
      <c r="G7266" s="64">
        <f t="shared" ca="1" si="152"/>
        <v>1.1062472267399606E-2</v>
      </c>
    </row>
    <row r="7267" spans="6:7" x14ac:dyDescent="0.3">
      <c r="F7267" s="64">
        <v>7264</v>
      </c>
      <c r="G7267" s="64">
        <f t="shared" ca="1" si="152"/>
        <v>5.3183199324367599E-3</v>
      </c>
    </row>
    <row r="7268" spans="6:7" x14ac:dyDescent="0.3">
      <c r="F7268" s="64">
        <v>7265</v>
      </c>
      <c r="G7268" s="64">
        <f t="shared" ca="1" si="152"/>
        <v>-5.5604471139414028E-3</v>
      </c>
    </row>
    <row r="7269" spans="6:7" x14ac:dyDescent="0.3">
      <c r="F7269" s="64">
        <v>7266</v>
      </c>
      <c r="G7269" s="64">
        <f t="shared" ca="1" si="152"/>
        <v>5.1374031458047134E-3</v>
      </c>
    </row>
    <row r="7270" spans="6:7" x14ac:dyDescent="0.3">
      <c r="F7270" s="64">
        <v>7267</v>
      </c>
      <c r="G7270" s="64">
        <f t="shared" ca="1" si="152"/>
        <v>2.0274062420603325E-2</v>
      </c>
    </row>
    <row r="7271" spans="6:7" x14ac:dyDescent="0.3">
      <c r="F7271" s="64">
        <v>7268</v>
      </c>
      <c r="G7271" s="64">
        <f t="shared" ca="1" si="152"/>
        <v>-1.0572650388920289E-3</v>
      </c>
    </row>
    <row r="7272" spans="6:7" x14ac:dyDescent="0.3">
      <c r="F7272" s="64">
        <v>7269</v>
      </c>
      <c r="G7272" s="64">
        <f t="shared" ca="1" si="152"/>
        <v>9.0730385821537912E-4</v>
      </c>
    </row>
    <row r="7273" spans="6:7" x14ac:dyDescent="0.3">
      <c r="F7273" s="64">
        <v>7270</v>
      </c>
      <c r="G7273" s="64">
        <f t="shared" ca="1" si="152"/>
        <v>9.9100482827853709E-3</v>
      </c>
    </row>
    <row r="7274" spans="6:7" x14ac:dyDescent="0.3">
      <c r="F7274" s="64">
        <v>7271</v>
      </c>
      <c r="G7274" s="64">
        <f t="shared" ca="1" si="152"/>
        <v>-1.0480929452979485E-2</v>
      </c>
    </row>
    <row r="7275" spans="6:7" x14ac:dyDescent="0.3">
      <c r="F7275" s="64">
        <v>7272</v>
      </c>
      <c r="G7275" s="64">
        <f t="shared" ca="1" si="152"/>
        <v>3.6606147532938053E-2</v>
      </c>
    </row>
    <row r="7276" spans="6:7" x14ac:dyDescent="0.3">
      <c r="F7276" s="64">
        <v>7273</v>
      </c>
      <c r="G7276" s="64">
        <f t="shared" ca="1" si="152"/>
        <v>-1.7464415036663468E-2</v>
      </c>
    </row>
    <row r="7277" spans="6:7" x14ac:dyDescent="0.3">
      <c r="F7277" s="64">
        <v>7274</v>
      </c>
      <c r="G7277" s="64">
        <f t="shared" ca="1" si="152"/>
        <v>1.1239350589760812E-2</v>
      </c>
    </row>
    <row r="7278" spans="6:7" x14ac:dyDescent="0.3">
      <c r="F7278" s="64">
        <v>7275</v>
      </c>
      <c r="G7278" s="64">
        <f t="shared" ca="1" si="152"/>
        <v>-2.2048766383448611E-2</v>
      </c>
    </row>
    <row r="7279" spans="6:7" x14ac:dyDescent="0.3">
      <c r="F7279" s="64">
        <v>7276</v>
      </c>
      <c r="G7279" s="64">
        <f t="shared" ca="1" si="152"/>
        <v>-2.1901504059885814E-2</v>
      </c>
    </row>
    <row r="7280" spans="6:7" x14ac:dyDescent="0.3">
      <c r="F7280" s="64">
        <v>7277</v>
      </c>
      <c r="G7280" s="64">
        <f t="shared" ca="1" si="152"/>
        <v>7.7000154359527576E-3</v>
      </c>
    </row>
    <row r="7281" spans="6:7" x14ac:dyDescent="0.3">
      <c r="F7281" s="64">
        <v>7278</v>
      </c>
      <c r="G7281" s="64">
        <f t="shared" ca="1" si="152"/>
        <v>2.4460867768421532E-2</v>
      </c>
    </row>
    <row r="7282" spans="6:7" x14ac:dyDescent="0.3">
      <c r="F7282" s="64">
        <v>7279</v>
      </c>
      <c r="G7282" s="64">
        <f t="shared" ca="1" si="152"/>
        <v>1.4149097945733413E-2</v>
      </c>
    </row>
    <row r="7283" spans="6:7" x14ac:dyDescent="0.3">
      <c r="F7283" s="64">
        <v>7280</v>
      </c>
      <c r="G7283" s="64">
        <f t="shared" ca="1" si="152"/>
        <v>1.5536244584083854E-2</v>
      </c>
    </row>
    <row r="7284" spans="6:7" x14ac:dyDescent="0.3">
      <c r="F7284" s="64">
        <v>7281</v>
      </c>
      <c r="G7284" s="64">
        <f t="shared" ca="1" si="152"/>
        <v>7.4586524842557246E-3</v>
      </c>
    </row>
    <row r="7285" spans="6:7" x14ac:dyDescent="0.3">
      <c r="F7285" s="64">
        <v>7282</v>
      </c>
      <c r="G7285" s="64">
        <f t="shared" ca="1" si="152"/>
        <v>3.6293856342121192E-2</v>
      </c>
    </row>
    <row r="7286" spans="6:7" x14ac:dyDescent="0.3">
      <c r="F7286" s="64">
        <v>7283</v>
      </c>
      <c r="G7286" s="64">
        <f t="shared" ca="1" si="152"/>
        <v>-1.6810477109504736E-2</v>
      </c>
    </row>
    <row r="7287" spans="6:7" x14ac:dyDescent="0.3">
      <c r="F7287" s="64">
        <v>7284</v>
      </c>
      <c r="G7287" s="64">
        <f t="shared" ca="1" si="152"/>
        <v>-2.8766117613766358E-2</v>
      </c>
    </row>
    <row r="7288" spans="6:7" x14ac:dyDescent="0.3">
      <c r="F7288" s="64">
        <v>7285</v>
      </c>
      <c r="G7288" s="64">
        <f t="shared" ca="1" si="152"/>
        <v>-1.0789790507226603E-2</v>
      </c>
    </row>
    <row r="7289" spans="6:7" x14ac:dyDescent="0.3">
      <c r="F7289" s="64">
        <v>7286</v>
      </c>
      <c r="G7289" s="64">
        <f t="shared" ca="1" si="152"/>
        <v>-2.0512796661516841E-2</v>
      </c>
    </row>
    <row r="7290" spans="6:7" x14ac:dyDescent="0.3">
      <c r="F7290" s="64">
        <v>7287</v>
      </c>
      <c r="G7290" s="64">
        <f t="shared" ca="1" si="152"/>
        <v>4.516828532387622E-2</v>
      </c>
    </row>
    <row r="7291" spans="6:7" x14ac:dyDescent="0.3">
      <c r="F7291" s="64">
        <v>7288</v>
      </c>
      <c r="G7291" s="64">
        <f t="shared" ca="1" si="152"/>
        <v>4.6523381232786917E-2</v>
      </c>
    </row>
    <row r="7292" spans="6:7" x14ac:dyDescent="0.3">
      <c r="F7292" s="64">
        <v>7289</v>
      </c>
      <c r="G7292" s="64">
        <f t="shared" ca="1" si="152"/>
        <v>1.0412714006780583E-2</v>
      </c>
    </row>
    <row r="7293" spans="6:7" x14ac:dyDescent="0.3">
      <c r="F7293" s="64">
        <v>7290</v>
      </c>
      <c r="G7293" s="64">
        <f t="shared" ca="1" si="152"/>
        <v>-1.4399731556847222E-2</v>
      </c>
    </row>
    <row r="7294" spans="6:7" x14ac:dyDescent="0.3">
      <c r="F7294" s="64">
        <v>7291</v>
      </c>
      <c r="G7294" s="64">
        <f t="shared" ca="1" si="152"/>
        <v>-2.2091053494434618E-2</v>
      </c>
    </row>
    <row r="7295" spans="6:7" x14ac:dyDescent="0.3">
      <c r="F7295" s="64">
        <v>7292</v>
      </c>
      <c r="G7295" s="64">
        <f t="shared" ca="1" si="152"/>
        <v>1.6594507598323205E-2</v>
      </c>
    </row>
    <row r="7296" spans="6:7" x14ac:dyDescent="0.3">
      <c r="F7296" s="64">
        <v>7293</v>
      </c>
      <c r="G7296" s="64">
        <f t="shared" ca="1" si="152"/>
        <v>-4.501053639595861E-2</v>
      </c>
    </row>
    <row r="7297" spans="6:7" x14ac:dyDescent="0.3">
      <c r="F7297" s="64">
        <v>7294</v>
      </c>
      <c r="G7297" s="64">
        <f t="shared" ca="1" si="152"/>
        <v>-3.6585793177683337E-3</v>
      </c>
    </row>
    <row r="7298" spans="6:7" x14ac:dyDescent="0.3">
      <c r="F7298" s="64">
        <v>7295</v>
      </c>
      <c r="G7298" s="64">
        <f t="shared" ca="1" si="152"/>
        <v>9.2400505596599355E-4</v>
      </c>
    </row>
    <row r="7299" spans="6:7" x14ac:dyDescent="0.3">
      <c r="F7299" s="64">
        <v>7296</v>
      </c>
      <c r="G7299" s="64">
        <f t="shared" ca="1" si="152"/>
        <v>-5.3417861354616031E-3</v>
      </c>
    </row>
    <row r="7300" spans="6:7" x14ac:dyDescent="0.3">
      <c r="F7300" s="64">
        <v>7297</v>
      </c>
      <c r="G7300" s="64">
        <f t="shared" ca="1" si="152"/>
        <v>2.4513767548814741E-3</v>
      </c>
    </row>
    <row r="7301" spans="6:7" x14ac:dyDescent="0.3">
      <c r="F7301" s="64">
        <v>7298</v>
      </c>
      <c r="G7301" s="64">
        <f t="shared" ref="G7301:G7364" ca="1" si="153">_xlfn.NORM.INV(RAND(),K$6,K$7)</f>
        <v>-1.7425328751237819E-2</v>
      </c>
    </row>
    <row r="7302" spans="6:7" x14ac:dyDescent="0.3">
      <c r="F7302" s="64">
        <v>7299</v>
      </c>
      <c r="G7302" s="64">
        <f t="shared" ca="1" si="153"/>
        <v>2.0552216997120641E-2</v>
      </c>
    </row>
    <row r="7303" spans="6:7" x14ac:dyDescent="0.3">
      <c r="F7303" s="64">
        <v>7300</v>
      </c>
      <c r="G7303" s="64">
        <f t="shared" ca="1" si="153"/>
        <v>-1.2472506648404163E-2</v>
      </c>
    </row>
    <row r="7304" spans="6:7" x14ac:dyDescent="0.3">
      <c r="F7304" s="64">
        <v>7301</v>
      </c>
      <c r="G7304" s="64">
        <f t="shared" ca="1" si="153"/>
        <v>3.6541097953090997E-2</v>
      </c>
    </row>
    <row r="7305" spans="6:7" x14ac:dyDescent="0.3">
      <c r="F7305" s="64">
        <v>7302</v>
      </c>
      <c r="G7305" s="64">
        <f t="shared" ca="1" si="153"/>
        <v>-5.0300753001977002E-3</v>
      </c>
    </row>
    <row r="7306" spans="6:7" x14ac:dyDescent="0.3">
      <c r="F7306" s="64">
        <v>7303</v>
      </c>
      <c r="G7306" s="64">
        <f t="shared" ca="1" si="153"/>
        <v>-3.5268480362388881E-2</v>
      </c>
    </row>
    <row r="7307" spans="6:7" x14ac:dyDescent="0.3">
      <c r="F7307" s="64">
        <v>7304</v>
      </c>
      <c r="G7307" s="64">
        <f t="shared" ca="1" si="153"/>
        <v>1.2991408195348032E-2</v>
      </c>
    </row>
    <row r="7308" spans="6:7" x14ac:dyDescent="0.3">
      <c r="F7308" s="64">
        <v>7305</v>
      </c>
      <c r="G7308" s="64">
        <f t="shared" ca="1" si="153"/>
        <v>-9.1354099575555493E-3</v>
      </c>
    </row>
    <row r="7309" spans="6:7" x14ac:dyDescent="0.3">
      <c r="F7309" s="64">
        <v>7306</v>
      </c>
      <c r="G7309" s="64">
        <f t="shared" ca="1" si="153"/>
        <v>-2.7932798157253502E-3</v>
      </c>
    </row>
    <row r="7310" spans="6:7" x14ac:dyDescent="0.3">
      <c r="F7310" s="64">
        <v>7307</v>
      </c>
      <c r="G7310" s="64">
        <f t="shared" ca="1" si="153"/>
        <v>1.5178265089234174E-2</v>
      </c>
    </row>
    <row r="7311" spans="6:7" x14ac:dyDescent="0.3">
      <c r="F7311" s="64">
        <v>7308</v>
      </c>
      <c r="G7311" s="64">
        <f t="shared" ca="1" si="153"/>
        <v>7.1625491529991635E-3</v>
      </c>
    </row>
    <row r="7312" spans="6:7" x14ac:dyDescent="0.3">
      <c r="F7312" s="64">
        <v>7309</v>
      </c>
      <c r="G7312" s="64">
        <f t="shared" ca="1" si="153"/>
        <v>8.6752099670950426E-3</v>
      </c>
    </row>
    <row r="7313" spans="6:7" x14ac:dyDescent="0.3">
      <c r="F7313" s="64">
        <v>7310</v>
      </c>
      <c r="G7313" s="64">
        <f t="shared" ca="1" si="153"/>
        <v>-1.8187687507853434E-2</v>
      </c>
    </row>
    <row r="7314" spans="6:7" x14ac:dyDescent="0.3">
      <c r="F7314" s="64">
        <v>7311</v>
      </c>
      <c r="G7314" s="64">
        <f t="shared" ca="1" si="153"/>
        <v>2.4854720672309101E-2</v>
      </c>
    </row>
    <row r="7315" spans="6:7" x14ac:dyDescent="0.3">
      <c r="F7315" s="64">
        <v>7312</v>
      </c>
      <c r="G7315" s="64">
        <f t="shared" ca="1" si="153"/>
        <v>-4.2705524091683586E-2</v>
      </c>
    </row>
    <row r="7316" spans="6:7" x14ac:dyDescent="0.3">
      <c r="F7316" s="64">
        <v>7313</v>
      </c>
      <c r="G7316" s="64">
        <f t="shared" ca="1" si="153"/>
        <v>4.8847844843946872E-3</v>
      </c>
    </row>
    <row r="7317" spans="6:7" x14ac:dyDescent="0.3">
      <c r="F7317" s="64">
        <v>7314</v>
      </c>
      <c r="G7317" s="64">
        <f t="shared" ca="1" si="153"/>
        <v>-1.0720932972216305E-2</v>
      </c>
    </row>
    <row r="7318" spans="6:7" x14ac:dyDescent="0.3">
      <c r="F7318" s="64">
        <v>7315</v>
      </c>
      <c r="G7318" s="64">
        <f t="shared" ca="1" si="153"/>
        <v>1.5455745515223249E-2</v>
      </c>
    </row>
    <row r="7319" spans="6:7" x14ac:dyDescent="0.3">
      <c r="F7319" s="64">
        <v>7316</v>
      </c>
      <c r="G7319" s="64">
        <f t="shared" ca="1" si="153"/>
        <v>2.7791777346922134E-2</v>
      </c>
    </row>
    <row r="7320" spans="6:7" x14ac:dyDescent="0.3">
      <c r="F7320" s="64">
        <v>7317</v>
      </c>
      <c r="G7320" s="64">
        <f t="shared" ca="1" si="153"/>
        <v>-1.0320768441271444E-2</v>
      </c>
    </row>
    <row r="7321" spans="6:7" x14ac:dyDescent="0.3">
      <c r="F7321" s="64">
        <v>7318</v>
      </c>
      <c r="G7321" s="64">
        <f t="shared" ca="1" si="153"/>
        <v>1.1843480720371424E-2</v>
      </c>
    </row>
    <row r="7322" spans="6:7" x14ac:dyDescent="0.3">
      <c r="F7322" s="64">
        <v>7319</v>
      </c>
      <c r="G7322" s="64">
        <f t="shared" ca="1" si="153"/>
        <v>9.0588613998216008E-3</v>
      </c>
    </row>
    <row r="7323" spans="6:7" x14ac:dyDescent="0.3">
      <c r="F7323" s="64">
        <v>7320</v>
      </c>
      <c r="G7323" s="64">
        <f t="shared" ca="1" si="153"/>
        <v>-9.829982522083688E-3</v>
      </c>
    </row>
    <row r="7324" spans="6:7" x14ac:dyDescent="0.3">
      <c r="F7324" s="64">
        <v>7321</v>
      </c>
      <c r="G7324" s="64">
        <f t="shared" ca="1" si="153"/>
        <v>-1.7349460275208693E-2</v>
      </c>
    </row>
    <row r="7325" spans="6:7" x14ac:dyDescent="0.3">
      <c r="F7325" s="64">
        <v>7322</v>
      </c>
      <c r="G7325" s="64">
        <f t="shared" ca="1" si="153"/>
        <v>-4.3697880911413099E-2</v>
      </c>
    </row>
    <row r="7326" spans="6:7" x14ac:dyDescent="0.3">
      <c r="F7326" s="64">
        <v>7323</v>
      </c>
      <c r="G7326" s="64">
        <f t="shared" ca="1" si="153"/>
        <v>-3.4811275464715404E-3</v>
      </c>
    </row>
    <row r="7327" spans="6:7" x14ac:dyDescent="0.3">
      <c r="F7327" s="64">
        <v>7324</v>
      </c>
      <c r="G7327" s="64">
        <f t="shared" ca="1" si="153"/>
        <v>-2.3440026243175795E-2</v>
      </c>
    </row>
    <row r="7328" spans="6:7" x14ac:dyDescent="0.3">
      <c r="F7328" s="64">
        <v>7325</v>
      </c>
      <c r="G7328" s="64">
        <f t="shared" ca="1" si="153"/>
        <v>2.6705533171156239E-2</v>
      </c>
    </row>
    <row r="7329" spans="6:7" x14ac:dyDescent="0.3">
      <c r="F7329" s="64">
        <v>7326</v>
      </c>
      <c r="G7329" s="64">
        <f t="shared" ca="1" si="153"/>
        <v>-4.2698669423439181E-2</v>
      </c>
    </row>
    <row r="7330" spans="6:7" x14ac:dyDescent="0.3">
      <c r="F7330" s="64">
        <v>7327</v>
      </c>
      <c r="G7330" s="64">
        <f t="shared" ca="1" si="153"/>
        <v>1.1779758020298181E-2</v>
      </c>
    </row>
    <row r="7331" spans="6:7" x14ac:dyDescent="0.3">
      <c r="F7331" s="64">
        <v>7328</v>
      </c>
      <c r="G7331" s="64">
        <f t="shared" ca="1" si="153"/>
        <v>-1.5589430432398398E-2</v>
      </c>
    </row>
    <row r="7332" spans="6:7" x14ac:dyDescent="0.3">
      <c r="F7332" s="64">
        <v>7329</v>
      </c>
      <c r="G7332" s="64">
        <f t="shared" ca="1" si="153"/>
        <v>-1.6956254811579009E-2</v>
      </c>
    </row>
    <row r="7333" spans="6:7" x14ac:dyDescent="0.3">
      <c r="F7333" s="64">
        <v>7330</v>
      </c>
      <c r="G7333" s="64">
        <f t="shared" ca="1" si="153"/>
        <v>1.0020185545700489E-2</v>
      </c>
    </row>
    <row r="7334" spans="6:7" x14ac:dyDescent="0.3">
      <c r="F7334" s="64">
        <v>7331</v>
      </c>
      <c r="G7334" s="64">
        <f t="shared" ca="1" si="153"/>
        <v>2.0471263170625739E-2</v>
      </c>
    </row>
    <row r="7335" spans="6:7" x14ac:dyDescent="0.3">
      <c r="F7335" s="64">
        <v>7332</v>
      </c>
      <c r="G7335" s="64">
        <f t="shared" ca="1" si="153"/>
        <v>-6.2578982577374551E-3</v>
      </c>
    </row>
    <row r="7336" spans="6:7" x14ac:dyDescent="0.3">
      <c r="F7336" s="64">
        <v>7333</v>
      </c>
      <c r="G7336" s="64">
        <f t="shared" ca="1" si="153"/>
        <v>2.3555872221545524E-2</v>
      </c>
    </row>
    <row r="7337" spans="6:7" x14ac:dyDescent="0.3">
      <c r="F7337" s="64">
        <v>7334</v>
      </c>
      <c r="G7337" s="64">
        <f t="shared" ca="1" si="153"/>
        <v>-2.3163021432008733E-2</v>
      </c>
    </row>
    <row r="7338" spans="6:7" x14ac:dyDescent="0.3">
      <c r="F7338" s="64">
        <v>7335</v>
      </c>
      <c r="G7338" s="64">
        <f t="shared" ca="1" si="153"/>
        <v>-4.619942485270731E-2</v>
      </c>
    </row>
    <row r="7339" spans="6:7" x14ac:dyDescent="0.3">
      <c r="F7339" s="64">
        <v>7336</v>
      </c>
      <c r="G7339" s="64">
        <f t="shared" ca="1" si="153"/>
        <v>7.6785847575121214E-4</v>
      </c>
    </row>
    <row r="7340" spans="6:7" x14ac:dyDescent="0.3">
      <c r="F7340" s="64">
        <v>7337</v>
      </c>
      <c r="G7340" s="64">
        <f t="shared" ca="1" si="153"/>
        <v>9.8811658355400182E-3</v>
      </c>
    </row>
    <row r="7341" spans="6:7" x14ac:dyDescent="0.3">
      <c r="F7341" s="64">
        <v>7338</v>
      </c>
      <c r="G7341" s="64">
        <f t="shared" ca="1" si="153"/>
        <v>-1.6097210509980017E-2</v>
      </c>
    </row>
    <row r="7342" spans="6:7" x14ac:dyDescent="0.3">
      <c r="F7342" s="64">
        <v>7339</v>
      </c>
      <c r="G7342" s="64">
        <f t="shared" ca="1" si="153"/>
        <v>-4.4697503723419331E-3</v>
      </c>
    </row>
    <row r="7343" spans="6:7" x14ac:dyDescent="0.3">
      <c r="F7343" s="64">
        <v>7340</v>
      </c>
      <c r="G7343" s="64">
        <f t="shared" ca="1" si="153"/>
        <v>-1.7354447808296002E-2</v>
      </c>
    </row>
    <row r="7344" spans="6:7" x14ac:dyDescent="0.3">
      <c r="F7344" s="64">
        <v>7341</v>
      </c>
      <c r="G7344" s="64">
        <f t="shared" ca="1" si="153"/>
        <v>1.1376435398554647E-2</v>
      </c>
    </row>
    <row r="7345" spans="6:7" x14ac:dyDescent="0.3">
      <c r="F7345" s="64">
        <v>7342</v>
      </c>
      <c r="G7345" s="64">
        <f t="shared" ca="1" si="153"/>
        <v>8.6190073047127808E-3</v>
      </c>
    </row>
    <row r="7346" spans="6:7" x14ac:dyDescent="0.3">
      <c r="F7346" s="64">
        <v>7343</v>
      </c>
      <c r="G7346" s="64">
        <f t="shared" ca="1" si="153"/>
        <v>-1.9998947482009859E-2</v>
      </c>
    </row>
    <row r="7347" spans="6:7" x14ac:dyDescent="0.3">
      <c r="F7347" s="64">
        <v>7344</v>
      </c>
      <c r="G7347" s="64">
        <f t="shared" ca="1" si="153"/>
        <v>-1.288406605154703E-2</v>
      </c>
    </row>
    <row r="7348" spans="6:7" x14ac:dyDescent="0.3">
      <c r="F7348" s="64">
        <v>7345</v>
      </c>
      <c r="G7348" s="64">
        <f t="shared" ca="1" si="153"/>
        <v>2.93582088425937E-2</v>
      </c>
    </row>
    <row r="7349" spans="6:7" x14ac:dyDescent="0.3">
      <c r="F7349" s="64">
        <v>7346</v>
      </c>
      <c r="G7349" s="64">
        <f t="shared" ca="1" si="153"/>
        <v>3.8196216018745702E-3</v>
      </c>
    </row>
    <row r="7350" spans="6:7" x14ac:dyDescent="0.3">
      <c r="F7350" s="64">
        <v>7347</v>
      </c>
      <c r="G7350" s="64">
        <f t="shared" ca="1" si="153"/>
        <v>1.6257636747296675E-2</v>
      </c>
    </row>
    <row r="7351" spans="6:7" x14ac:dyDescent="0.3">
      <c r="F7351" s="64">
        <v>7348</v>
      </c>
      <c r="G7351" s="64">
        <f t="shared" ca="1" si="153"/>
        <v>-5.7957264925450041E-3</v>
      </c>
    </row>
    <row r="7352" spans="6:7" x14ac:dyDescent="0.3">
      <c r="F7352" s="64">
        <v>7349</v>
      </c>
      <c r="G7352" s="64">
        <f t="shared" ca="1" si="153"/>
        <v>1.6879625792082208E-2</v>
      </c>
    </row>
    <row r="7353" spans="6:7" x14ac:dyDescent="0.3">
      <c r="F7353" s="64">
        <v>7350</v>
      </c>
      <c r="G7353" s="64">
        <f t="shared" ca="1" si="153"/>
        <v>2.7552889933844991E-2</v>
      </c>
    </row>
    <row r="7354" spans="6:7" x14ac:dyDescent="0.3">
      <c r="F7354" s="64">
        <v>7351</v>
      </c>
      <c r="G7354" s="64">
        <f t="shared" ca="1" si="153"/>
        <v>-4.1792374072156399E-2</v>
      </c>
    </row>
    <row r="7355" spans="6:7" x14ac:dyDescent="0.3">
      <c r="F7355" s="64">
        <v>7352</v>
      </c>
      <c r="G7355" s="64">
        <f t="shared" ca="1" si="153"/>
        <v>-2.5603825478184926E-2</v>
      </c>
    </row>
    <row r="7356" spans="6:7" x14ac:dyDescent="0.3">
      <c r="F7356" s="64">
        <v>7353</v>
      </c>
      <c r="G7356" s="64">
        <f t="shared" ca="1" si="153"/>
        <v>-2.9442245320100849E-3</v>
      </c>
    </row>
    <row r="7357" spans="6:7" x14ac:dyDescent="0.3">
      <c r="F7357" s="64">
        <v>7354</v>
      </c>
      <c r="G7357" s="64">
        <f t="shared" ca="1" si="153"/>
        <v>1.1425388190934261E-2</v>
      </c>
    </row>
    <row r="7358" spans="6:7" x14ac:dyDescent="0.3">
      <c r="F7358" s="64">
        <v>7355</v>
      </c>
      <c r="G7358" s="64">
        <f t="shared" ca="1" si="153"/>
        <v>1.5072931426937939E-2</v>
      </c>
    </row>
    <row r="7359" spans="6:7" x14ac:dyDescent="0.3">
      <c r="F7359" s="64">
        <v>7356</v>
      </c>
      <c r="G7359" s="64">
        <f t="shared" ca="1" si="153"/>
        <v>1.0355533766792076E-2</v>
      </c>
    </row>
    <row r="7360" spans="6:7" x14ac:dyDescent="0.3">
      <c r="F7360" s="64">
        <v>7357</v>
      </c>
      <c r="G7360" s="64">
        <f t="shared" ca="1" si="153"/>
        <v>5.6799038616250339E-2</v>
      </c>
    </row>
    <row r="7361" spans="6:7" x14ac:dyDescent="0.3">
      <c r="F7361" s="64">
        <v>7358</v>
      </c>
      <c r="G7361" s="64">
        <f t="shared" ca="1" si="153"/>
        <v>-9.7868608503406569E-3</v>
      </c>
    </row>
    <row r="7362" spans="6:7" x14ac:dyDescent="0.3">
      <c r="F7362" s="64">
        <v>7359</v>
      </c>
      <c r="G7362" s="64">
        <f t="shared" ca="1" si="153"/>
        <v>4.3822880341129918E-3</v>
      </c>
    </row>
    <row r="7363" spans="6:7" x14ac:dyDescent="0.3">
      <c r="F7363" s="64">
        <v>7360</v>
      </c>
      <c r="G7363" s="64">
        <f t="shared" ca="1" si="153"/>
        <v>9.5235366833774406E-3</v>
      </c>
    </row>
    <row r="7364" spans="6:7" x14ac:dyDescent="0.3">
      <c r="F7364" s="64">
        <v>7361</v>
      </c>
      <c r="G7364" s="64">
        <f t="shared" ca="1" si="153"/>
        <v>-2.3451655429164699E-2</v>
      </c>
    </row>
    <row r="7365" spans="6:7" x14ac:dyDescent="0.3">
      <c r="F7365" s="64">
        <v>7362</v>
      </c>
      <c r="G7365" s="64">
        <f t="shared" ref="G7365:G7428" ca="1" si="154">_xlfn.NORM.INV(RAND(),K$6,K$7)</f>
        <v>-1.16523093653299E-2</v>
      </c>
    </row>
    <row r="7366" spans="6:7" x14ac:dyDescent="0.3">
      <c r="F7366" s="64">
        <v>7363</v>
      </c>
      <c r="G7366" s="64">
        <f t="shared" ca="1" si="154"/>
        <v>-3.3344666142876608E-2</v>
      </c>
    </row>
    <row r="7367" spans="6:7" x14ac:dyDescent="0.3">
      <c r="F7367" s="64">
        <v>7364</v>
      </c>
      <c r="G7367" s="64">
        <f t="shared" ca="1" si="154"/>
        <v>1.4757489006171142E-2</v>
      </c>
    </row>
    <row r="7368" spans="6:7" x14ac:dyDescent="0.3">
      <c r="F7368" s="64">
        <v>7365</v>
      </c>
      <c r="G7368" s="64">
        <f t="shared" ca="1" si="154"/>
        <v>2.5203320489371184E-2</v>
      </c>
    </row>
    <row r="7369" spans="6:7" x14ac:dyDescent="0.3">
      <c r="F7369" s="64">
        <v>7366</v>
      </c>
      <c r="G7369" s="64">
        <f t="shared" ca="1" si="154"/>
        <v>-3.9316026994657763E-3</v>
      </c>
    </row>
    <row r="7370" spans="6:7" x14ac:dyDescent="0.3">
      <c r="F7370" s="64">
        <v>7367</v>
      </c>
      <c r="G7370" s="64">
        <f t="shared" ca="1" si="154"/>
        <v>-1.7336750867526424E-2</v>
      </c>
    </row>
    <row r="7371" spans="6:7" x14ac:dyDescent="0.3">
      <c r="F7371" s="64">
        <v>7368</v>
      </c>
      <c r="G7371" s="64">
        <f t="shared" ca="1" si="154"/>
        <v>2.0021937691531771E-4</v>
      </c>
    </row>
    <row r="7372" spans="6:7" x14ac:dyDescent="0.3">
      <c r="F7372" s="64">
        <v>7369</v>
      </c>
      <c r="G7372" s="64">
        <f t="shared" ca="1" si="154"/>
        <v>-1.050744355048654E-2</v>
      </c>
    </row>
    <row r="7373" spans="6:7" x14ac:dyDescent="0.3">
      <c r="F7373" s="64">
        <v>7370</v>
      </c>
      <c r="G7373" s="64">
        <f t="shared" ca="1" si="154"/>
        <v>-2.990159537045603E-2</v>
      </c>
    </row>
    <row r="7374" spans="6:7" x14ac:dyDescent="0.3">
      <c r="F7374" s="64">
        <v>7371</v>
      </c>
      <c r="G7374" s="64">
        <f t="shared" ca="1" si="154"/>
        <v>2.7420394268678684E-2</v>
      </c>
    </row>
    <row r="7375" spans="6:7" x14ac:dyDescent="0.3">
      <c r="F7375" s="64">
        <v>7372</v>
      </c>
      <c r="G7375" s="64">
        <f t="shared" ca="1" si="154"/>
        <v>1.962423314825669E-3</v>
      </c>
    </row>
    <row r="7376" spans="6:7" x14ac:dyDescent="0.3">
      <c r="F7376" s="64">
        <v>7373</v>
      </c>
      <c r="G7376" s="64">
        <f t="shared" ca="1" si="154"/>
        <v>-2.1367825228345488E-2</v>
      </c>
    </row>
    <row r="7377" spans="6:7" x14ac:dyDescent="0.3">
      <c r="F7377" s="64">
        <v>7374</v>
      </c>
      <c r="G7377" s="64">
        <f t="shared" ca="1" si="154"/>
        <v>-9.035787919507687E-3</v>
      </c>
    </row>
    <row r="7378" spans="6:7" x14ac:dyDescent="0.3">
      <c r="F7378" s="64">
        <v>7375</v>
      </c>
      <c r="G7378" s="64">
        <f t="shared" ca="1" si="154"/>
        <v>2.7738648596023208E-3</v>
      </c>
    </row>
    <row r="7379" spans="6:7" x14ac:dyDescent="0.3">
      <c r="F7379" s="64">
        <v>7376</v>
      </c>
      <c r="G7379" s="64">
        <f t="shared" ca="1" si="154"/>
        <v>4.3420189302504346E-2</v>
      </c>
    </row>
    <row r="7380" spans="6:7" x14ac:dyDescent="0.3">
      <c r="F7380" s="64">
        <v>7377</v>
      </c>
      <c r="G7380" s="64">
        <f t="shared" ca="1" si="154"/>
        <v>1.7943275532870555E-2</v>
      </c>
    </row>
    <row r="7381" spans="6:7" x14ac:dyDescent="0.3">
      <c r="F7381" s="64">
        <v>7378</v>
      </c>
      <c r="G7381" s="64">
        <f t="shared" ca="1" si="154"/>
        <v>-1.3074917770969299E-2</v>
      </c>
    </row>
    <row r="7382" spans="6:7" x14ac:dyDescent="0.3">
      <c r="F7382" s="64">
        <v>7379</v>
      </c>
      <c r="G7382" s="64">
        <f t="shared" ca="1" si="154"/>
        <v>-9.9392106902419482E-4</v>
      </c>
    </row>
    <row r="7383" spans="6:7" x14ac:dyDescent="0.3">
      <c r="F7383" s="64">
        <v>7380</v>
      </c>
      <c r="G7383" s="64">
        <f t="shared" ca="1" si="154"/>
        <v>1.3869555731116177E-2</v>
      </c>
    </row>
    <row r="7384" spans="6:7" x14ac:dyDescent="0.3">
      <c r="F7384" s="64">
        <v>7381</v>
      </c>
      <c r="G7384" s="64">
        <f t="shared" ca="1" si="154"/>
        <v>2.641391635827138E-2</v>
      </c>
    </row>
    <row r="7385" spans="6:7" x14ac:dyDescent="0.3">
      <c r="F7385" s="64">
        <v>7382</v>
      </c>
      <c r="G7385" s="64">
        <f t="shared" ca="1" si="154"/>
        <v>-4.9955172908367658E-3</v>
      </c>
    </row>
    <row r="7386" spans="6:7" x14ac:dyDescent="0.3">
      <c r="F7386" s="64">
        <v>7383</v>
      </c>
      <c r="G7386" s="64">
        <f t="shared" ca="1" si="154"/>
        <v>3.1819253404965352E-2</v>
      </c>
    </row>
    <row r="7387" spans="6:7" x14ac:dyDescent="0.3">
      <c r="F7387" s="64">
        <v>7384</v>
      </c>
      <c r="G7387" s="64">
        <f t="shared" ca="1" si="154"/>
        <v>3.3153323275544266E-2</v>
      </c>
    </row>
    <row r="7388" spans="6:7" x14ac:dyDescent="0.3">
      <c r="F7388" s="64">
        <v>7385</v>
      </c>
      <c r="G7388" s="64">
        <f t="shared" ca="1" si="154"/>
        <v>-1.1186622048039625E-2</v>
      </c>
    </row>
    <row r="7389" spans="6:7" x14ac:dyDescent="0.3">
      <c r="F7389" s="64">
        <v>7386</v>
      </c>
      <c r="G7389" s="64">
        <f t="shared" ca="1" si="154"/>
        <v>1.5577641420562244E-2</v>
      </c>
    </row>
    <row r="7390" spans="6:7" x14ac:dyDescent="0.3">
      <c r="F7390" s="64">
        <v>7387</v>
      </c>
      <c r="G7390" s="64">
        <f t="shared" ca="1" si="154"/>
        <v>-5.1936425640306105E-3</v>
      </c>
    </row>
    <row r="7391" spans="6:7" x14ac:dyDescent="0.3">
      <c r="F7391" s="64">
        <v>7388</v>
      </c>
      <c r="G7391" s="64">
        <f t="shared" ca="1" si="154"/>
        <v>4.4728211133460644E-3</v>
      </c>
    </row>
    <row r="7392" spans="6:7" x14ac:dyDescent="0.3">
      <c r="F7392" s="64">
        <v>7389</v>
      </c>
      <c r="G7392" s="64">
        <f t="shared" ca="1" si="154"/>
        <v>-1.3097343850767416E-2</v>
      </c>
    </row>
    <row r="7393" spans="6:7" x14ac:dyDescent="0.3">
      <c r="F7393" s="64">
        <v>7390</v>
      </c>
      <c r="G7393" s="64">
        <f t="shared" ca="1" si="154"/>
        <v>2.7864120694385174E-2</v>
      </c>
    </row>
    <row r="7394" spans="6:7" x14ac:dyDescent="0.3">
      <c r="F7394" s="64">
        <v>7391</v>
      </c>
      <c r="G7394" s="64">
        <f t="shared" ca="1" si="154"/>
        <v>-2.8106598728151147E-2</v>
      </c>
    </row>
    <row r="7395" spans="6:7" x14ac:dyDescent="0.3">
      <c r="F7395" s="64">
        <v>7392</v>
      </c>
      <c r="G7395" s="64">
        <f t="shared" ca="1" si="154"/>
        <v>2.1385092964628663E-2</v>
      </c>
    </row>
    <row r="7396" spans="6:7" x14ac:dyDescent="0.3">
      <c r="F7396" s="64">
        <v>7393</v>
      </c>
      <c r="G7396" s="64">
        <f t="shared" ca="1" si="154"/>
        <v>1.3517324458438737E-2</v>
      </c>
    </row>
    <row r="7397" spans="6:7" x14ac:dyDescent="0.3">
      <c r="F7397" s="64">
        <v>7394</v>
      </c>
      <c r="G7397" s="64">
        <f t="shared" ca="1" si="154"/>
        <v>-2.4305465910999254E-2</v>
      </c>
    </row>
    <row r="7398" spans="6:7" x14ac:dyDescent="0.3">
      <c r="F7398" s="64">
        <v>7395</v>
      </c>
      <c r="G7398" s="64">
        <f t="shared" ca="1" si="154"/>
        <v>-5.7498157232082209E-3</v>
      </c>
    </row>
    <row r="7399" spans="6:7" x14ac:dyDescent="0.3">
      <c r="F7399" s="64">
        <v>7396</v>
      </c>
      <c r="G7399" s="64">
        <f t="shared" ca="1" si="154"/>
        <v>1.679506439471597E-3</v>
      </c>
    </row>
    <row r="7400" spans="6:7" x14ac:dyDescent="0.3">
      <c r="F7400" s="64">
        <v>7397</v>
      </c>
      <c r="G7400" s="64">
        <f t="shared" ca="1" si="154"/>
        <v>2.4148379062932872E-2</v>
      </c>
    </row>
    <row r="7401" spans="6:7" x14ac:dyDescent="0.3">
      <c r="F7401" s="64">
        <v>7398</v>
      </c>
      <c r="G7401" s="64">
        <f t="shared" ca="1" si="154"/>
        <v>-1.6434355971039802E-2</v>
      </c>
    </row>
    <row r="7402" spans="6:7" x14ac:dyDescent="0.3">
      <c r="F7402" s="64">
        <v>7399</v>
      </c>
      <c r="G7402" s="64">
        <f t="shared" ca="1" si="154"/>
        <v>-9.3561433345454945E-3</v>
      </c>
    </row>
    <row r="7403" spans="6:7" x14ac:dyDescent="0.3">
      <c r="F7403" s="64">
        <v>7400</v>
      </c>
      <c r="G7403" s="64">
        <f t="shared" ca="1" si="154"/>
        <v>-2.2764029108615608E-2</v>
      </c>
    </row>
    <row r="7404" spans="6:7" x14ac:dyDescent="0.3">
      <c r="F7404" s="64">
        <v>7401</v>
      </c>
      <c r="G7404" s="64">
        <f t="shared" ca="1" si="154"/>
        <v>-3.0244679785001415E-2</v>
      </c>
    </row>
    <row r="7405" spans="6:7" x14ac:dyDescent="0.3">
      <c r="F7405" s="64">
        <v>7402</v>
      </c>
      <c r="G7405" s="64">
        <f t="shared" ca="1" si="154"/>
        <v>-6.9765838616540083E-3</v>
      </c>
    </row>
    <row r="7406" spans="6:7" x14ac:dyDescent="0.3">
      <c r="F7406" s="64">
        <v>7403</v>
      </c>
      <c r="G7406" s="64">
        <f t="shared" ca="1" si="154"/>
        <v>-8.4974609052865871E-3</v>
      </c>
    </row>
    <row r="7407" spans="6:7" x14ac:dyDescent="0.3">
      <c r="F7407" s="64">
        <v>7404</v>
      </c>
      <c r="G7407" s="64">
        <f t="shared" ca="1" si="154"/>
        <v>-2.2041322588916639E-3</v>
      </c>
    </row>
    <row r="7408" spans="6:7" x14ac:dyDescent="0.3">
      <c r="F7408" s="64">
        <v>7405</v>
      </c>
      <c r="G7408" s="64">
        <f t="shared" ca="1" si="154"/>
        <v>-5.0192691435945909E-3</v>
      </c>
    </row>
    <row r="7409" spans="6:7" x14ac:dyDescent="0.3">
      <c r="F7409" s="64">
        <v>7406</v>
      </c>
      <c r="G7409" s="64">
        <f t="shared" ca="1" si="154"/>
        <v>4.3192062646470471E-2</v>
      </c>
    </row>
    <row r="7410" spans="6:7" x14ac:dyDescent="0.3">
      <c r="F7410" s="64">
        <v>7407</v>
      </c>
      <c r="G7410" s="64">
        <f t="shared" ca="1" si="154"/>
        <v>-1.6070649570627163E-2</v>
      </c>
    </row>
    <row r="7411" spans="6:7" x14ac:dyDescent="0.3">
      <c r="F7411" s="64">
        <v>7408</v>
      </c>
      <c r="G7411" s="64">
        <f t="shared" ca="1" si="154"/>
        <v>-2.8140801812309428E-2</v>
      </c>
    </row>
    <row r="7412" spans="6:7" x14ac:dyDescent="0.3">
      <c r="F7412" s="64">
        <v>7409</v>
      </c>
      <c r="G7412" s="64">
        <f t="shared" ca="1" si="154"/>
        <v>-2.0138320910601977E-2</v>
      </c>
    </row>
    <row r="7413" spans="6:7" x14ac:dyDescent="0.3">
      <c r="F7413" s="64">
        <v>7410</v>
      </c>
      <c r="G7413" s="64">
        <f t="shared" ca="1" si="154"/>
        <v>-3.0621813301475636E-3</v>
      </c>
    </row>
    <row r="7414" spans="6:7" x14ac:dyDescent="0.3">
      <c r="F7414" s="64">
        <v>7411</v>
      </c>
      <c r="G7414" s="64">
        <f t="shared" ca="1" si="154"/>
        <v>1.4889968526460066E-2</v>
      </c>
    </row>
    <row r="7415" spans="6:7" x14ac:dyDescent="0.3">
      <c r="F7415" s="64">
        <v>7412</v>
      </c>
      <c r="G7415" s="64">
        <f t="shared" ca="1" si="154"/>
        <v>2.7423179206981715E-2</v>
      </c>
    </row>
    <row r="7416" spans="6:7" x14ac:dyDescent="0.3">
      <c r="F7416" s="64">
        <v>7413</v>
      </c>
      <c r="G7416" s="64">
        <f t="shared" ca="1" si="154"/>
        <v>5.2363957768545438E-4</v>
      </c>
    </row>
    <row r="7417" spans="6:7" x14ac:dyDescent="0.3">
      <c r="F7417" s="64">
        <v>7414</v>
      </c>
      <c r="G7417" s="64">
        <f t="shared" ca="1" si="154"/>
        <v>-1.0079813908631382E-2</v>
      </c>
    </row>
    <row r="7418" spans="6:7" x14ac:dyDescent="0.3">
      <c r="F7418" s="64">
        <v>7415</v>
      </c>
      <c r="G7418" s="64">
        <f t="shared" ca="1" si="154"/>
        <v>1.9312171570070008E-2</v>
      </c>
    </row>
    <row r="7419" spans="6:7" x14ac:dyDescent="0.3">
      <c r="F7419" s="64">
        <v>7416</v>
      </c>
      <c r="G7419" s="64">
        <f t="shared" ca="1" si="154"/>
        <v>-9.2320440194645428E-3</v>
      </c>
    </row>
    <row r="7420" spans="6:7" x14ac:dyDescent="0.3">
      <c r="F7420" s="64">
        <v>7417</v>
      </c>
      <c r="G7420" s="64">
        <f t="shared" ca="1" si="154"/>
        <v>1.9232232280745248E-2</v>
      </c>
    </row>
    <row r="7421" spans="6:7" x14ac:dyDescent="0.3">
      <c r="F7421" s="64">
        <v>7418</v>
      </c>
      <c r="G7421" s="64">
        <f t="shared" ca="1" si="154"/>
        <v>2.3331767143194633E-2</v>
      </c>
    </row>
    <row r="7422" spans="6:7" x14ac:dyDescent="0.3">
      <c r="F7422" s="64">
        <v>7419</v>
      </c>
      <c r="G7422" s="64">
        <f t="shared" ca="1" si="154"/>
        <v>-1.6821596643786629E-2</v>
      </c>
    </row>
    <row r="7423" spans="6:7" x14ac:dyDescent="0.3">
      <c r="F7423" s="64">
        <v>7420</v>
      </c>
      <c r="G7423" s="64">
        <f t="shared" ca="1" si="154"/>
        <v>1.2671004110325006E-2</v>
      </c>
    </row>
    <row r="7424" spans="6:7" x14ac:dyDescent="0.3">
      <c r="F7424" s="64">
        <v>7421</v>
      </c>
      <c r="G7424" s="64">
        <f t="shared" ca="1" si="154"/>
        <v>-9.7485045743339032E-3</v>
      </c>
    </row>
    <row r="7425" spans="6:7" x14ac:dyDescent="0.3">
      <c r="F7425" s="64">
        <v>7422</v>
      </c>
      <c r="G7425" s="64">
        <f t="shared" ca="1" si="154"/>
        <v>-3.8952070892943145E-3</v>
      </c>
    </row>
    <row r="7426" spans="6:7" x14ac:dyDescent="0.3">
      <c r="F7426" s="64">
        <v>7423</v>
      </c>
      <c r="G7426" s="64">
        <f t="shared" ca="1" si="154"/>
        <v>1.2248972161449934E-2</v>
      </c>
    </row>
    <row r="7427" spans="6:7" x14ac:dyDescent="0.3">
      <c r="F7427" s="64">
        <v>7424</v>
      </c>
      <c r="G7427" s="64">
        <f t="shared" ca="1" si="154"/>
        <v>-1.5018041479465024E-2</v>
      </c>
    </row>
    <row r="7428" spans="6:7" x14ac:dyDescent="0.3">
      <c r="F7428" s="64">
        <v>7425</v>
      </c>
      <c r="G7428" s="64">
        <f t="shared" ca="1" si="154"/>
        <v>-2.0555432295059482E-2</v>
      </c>
    </row>
    <row r="7429" spans="6:7" x14ac:dyDescent="0.3">
      <c r="F7429" s="64">
        <v>7426</v>
      </c>
      <c r="G7429" s="64">
        <f t="shared" ref="G7429:G7492" ca="1" si="155">_xlfn.NORM.INV(RAND(),K$6,K$7)</f>
        <v>5.3416657972276326E-3</v>
      </c>
    </row>
    <row r="7430" spans="6:7" x14ac:dyDescent="0.3">
      <c r="F7430" s="64">
        <v>7427</v>
      </c>
      <c r="G7430" s="64">
        <f t="shared" ca="1" si="155"/>
        <v>-2.7620556283142576E-2</v>
      </c>
    </row>
    <row r="7431" spans="6:7" x14ac:dyDescent="0.3">
      <c r="F7431" s="64">
        <v>7428</v>
      </c>
      <c r="G7431" s="64">
        <f t="shared" ca="1" si="155"/>
        <v>-1.8054683196152353E-2</v>
      </c>
    </row>
    <row r="7432" spans="6:7" x14ac:dyDescent="0.3">
      <c r="F7432" s="64">
        <v>7429</v>
      </c>
      <c r="G7432" s="64">
        <f t="shared" ca="1" si="155"/>
        <v>3.8040972028994174E-2</v>
      </c>
    </row>
    <row r="7433" spans="6:7" x14ac:dyDescent="0.3">
      <c r="F7433" s="64">
        <v>7430</v>
      </c>
      <c r="G7433" s="64">
        <f t="shared" ca="1" si="155"/>
        <v>3.4048119481250819E-2</v>
      </c>
    </row>
    <row r="7434" spans="6:7" x14ac:dyDescent="0.3">
      <c r="F7434" s="64">
        <v>7431</v>
      </c>
      <c r="G7434" s="64">
        <f t="shared" ca="1" si="155"/>
        <v>-1.9296835592702059E-2</v>
      </c>
    </row>
    <row r="7435" spans="6:7" x14ac:dyDescent="0.3">
      <c r="F7435" s="64">
        <v>7432</v>
      </c>
      <c r="G7435" s="64">
        <f t="shared" ca="1" si="155"/>
        <v>-7.4514412063358027E-4</v>
      </c>
    </row>
    <row r="7436" spans="6:7" x14ac:dyDescent="0.3">
      <c r="F7436" s="64">
        <v>7433</v>
      </c>
      <c r="G7436" s="64">
        <f t="shared" ca="1" si="155"/>
        <v>4.4854966677874818E-3</v>
      </c>
    </row>
    <row r="7437" spans="6:7" x14ac:dyDescent="0.3">
      <c r="F7437" s="64">
        <v>7434</v>
      </c>
      <c r="G7437" s="64">
        <f t="shared" ca="1" si="155"/>
        <v>1.2212767913027332E-2</v>
      </c>
    </row>
    <row r="7438" spans="6:7" x14ac:dyDescent="0.3">
      <c r="F7438" s="64">
        <v>7435</v>
      </c>
      <c r="G7438" s="64">
        <f t="shared" ca="1" si="155"/>
        <v>1.8090018245196383E-2</v>
      </c>
    </row>
    <row r="7439" spans="6:7" x14ac:dyDescent="0.3">
      <c r="F7439" s="64">
        <v>7436</v>
      </c>
      <c r="G7439" s="64">
        <f t="shared" ca="1" si="155"/>
        <v>-5.6617160462621718E-3</v>
      </c>
    </row>
    <row r="7440" spans="6:7" x14ac:dyDescent="0.3">
      <c r="F7440" s="64">
        <v>7437</v>
      </c>
      <c r="G7440" s="64">
        <f t="shared" ca="1" si="155"/>
        <v>4.1234865027318674E-5</v>
      </c>
    </row>
    <row r="7441" spans="6:7" x14ac:dyDescent="0.3">
      <c r="F7441" s="64">
        <v>7438</v>
      </c>
      <c r="G7441" s="64">
        <f t="shared" ca="1" si="155"/>
        <v>3.5038361051803386E-3</v>
      </c>
    </row>
    <row r="7442" spans="6:7" x14ac:dyDescent="0.3">
      <c r="F7442" s="64">
        <v>7439</v>
      </c>
      <c r="G7442" s="64">
        <f t="shared" ca="1" si="155"/>
        <v>-1.3149176162162014E-3</v>
      </c>
    </row>
    <row r="7443" spans="6:7" x14ac:dyDescent="0.3">
      <c r="F7443" s="64">
        <v>7440</v>
      </c>
      <c r="G7443" s="64">
        <f t="shared" ca="1" si="155"/>
        <v>8.7597865689458577E-3</v>
      </c>
    </row>
    <row r="7444" spans="6:7" x14ac:dyDescent="0.3">
      <c r="F7444" s="64">
        <v>7441</v>
      </c>
      <c r="G7444" s="64">
        <f t="shared" ca="1" si="155"/>
        <v>-2.0889704693885035E-2</v>
      </c>
    </row>
    <row r="7445" spans="6:7" x14ac:dyDescent="0.3">
      <c r="F7445" s="64">
        <v>7442</v>
      </c>
      <c r="G7445" s="64">
        <f t="shared" ca="1" si="155"/>
        <v>1.1373441130860629E-2</v>
      </c>
    </row>
    <row r="7446" spans="6:7" x14ac:dyDescent="0.3">
      <c r="F7446" s="64">
        <v>7443</v>
      </c>
      <c r="G7446" s="64">
        <f t="shared" ca="1" si="155"/>
        <v>-2.1705970746962885E-3</v>
      </c>
    </row>
    <row r="7447" spans="6:7" x14ac:dyDescent="0.3">
      <c r="F7447" s="64">
        <v>7444</v>
      </c>
      <c r="G7447" s="64">
        <f t="shared" ca="1" si="155"/>
        <v>-3.1096437969301005E-2</v>
      </c>
    </row>
    <row r="7448" spans="6:7" x14ac:dyDescent="0.3">
      <c r="F7448" s="64">
        <v>7445</v>
      </c>
      <c r="G7448" s="64">
        <f t="shared" ca="1" si="155"/>
        <v>5.3939697167475491E-4</v>
      </c>
    </row>
    <row r="7449" spans="6:7" x14ac:dyDescent="0.3">
      <c r="F7449" s="64">
        <v>7446</v>
      </c>
      <c r="G7449" s="64">
        <f t="shared" ca="1" si="155"/>
        <v>3.273670499633851E-3</v>
      </c>
    </row>
    <row r="7450" spans="6:7" x14ac:dyDescent="0.3">
      <c r="F7450" s="64">
        <v>7447</v>
      </c>
      <c r="G7450" s="64">
        <f t="shared" ca="1" si="155"/>
        <v>-1.6808286253982958E-2</v>
      </c>
    </row>
    <row r="7451" spans="6:7" x14ac:dyDescent="0.3">
      <c r="F7451" s="64">
        <v>7448</v>
      </c>
      <c r="G7451" s="64">
        <f t="shared" ca="1" si="155"/>
        <v>-5.677015435474025E-4</v>
      </c>
    </row>
    <row r="7452" spans="6:7" x14ac:dyDescent="0.3">
      <c r="F7452" s="64">
        <v>7449</v>
      </c>
      <c r="G7452" s="64">
        <f t="shared" ca="1" si="155"/>
        <v>-3.9161129965413474E-2</v>
      </c>
    </row>
    <row r="7453" spans="6:7" x14ac:dyDescent="0.3">
      <c r="F7453" s="64">
        <v>7450</v>
      </c>
      <c r="G7453" s="64">
        <f t="shared" ca="1" si="155"/>
        <v>-1.2495014505825216E-2</v>
      </c>
    </row>
    <row r="7454" spans="6:7" x14ac:dyDescent="0.3">
      <c r="F7454" s="64">
        <v>7451</v>
      </c>
      <c r="G7454" s="64">
        <f t="shared" ca="1" si="155"/>
        <v>-6.4810319746652512E-3</v>
      </c>
    </row>
    <row r="7455" spans="6:7" x14ac:dyDescent="0.3">
      <c r="F7455" s="64">
        <v>7452</v>
      </c>
      <c r="G7455" s="64">
        <f t="shared" ca="1" si="155"/>
        <v>-9.1217243677866721E-3</v>
      </c>
    </row>
    <row r="7456" spans="6:7" x14ac:dyDescent="0.3">
      <c r="F7456" s="64">
        <v>7453</v>
      </c>
      <c r="G7456" s="64">
        <f t="shared" ca="1" si="155"/>
        <v>-1.8897319299923804E-3</v>
      </c>
    </row>
    <row r="7457" spans="6:7" x14ac:dyDescent="0.3">
      <c r="F7457" s="64">
        <v>7454</v>
      </c>
      <c r="G7457" s="64">
        <f t="shared" ca="1" si="155"/>
        <v>-4.0517642459815331E-2</v>
      </c>
    </row>
    <row r="7458" spans="6:7" x14ac:dyDescent="0.3">
      <c r="F7458" s="64">
        <v>7455</v>
      </c>
      <c r="G7458" s="64">
        <f t="shared" ca="1" si="155"/>
        <v>-6.597813854292341E-3</v>
      </c>
    </row>
    <row r="7459" spans="6:7" x14ac:dyDescent="0.3">
      <c r="F7459" s="64">
        <v>7456</v>
      </c>
      <c r="G7459" s="64">
        <f t="shared" ca="1" si="155"/>
        <v>-2.2879531289242243E-2</v>
      </c>
    </row>
    <row r="7460" spans="6:7" x14ac:dyDescent="0.3">
      <c r="F7460" s="64">
        <v>7457</v>
      </c>
      <c r="G7460" s="64">
        <f t="shared" ca="1" si="155"/>
        <v>1.3137823264427135E-2</v>
      </c>
    </row>
    <row r="7461" spans="6:7" x14ac:dyDescent="0.3">
      <c r="F7461" s="64">
        <v>7458</v>
      </c>
      <c r="G7461" s="64">
        <f t="shared" ca="1" si="155"/>
        <v>-2.4986293945427431E-3</v>
      </c>
    </row>
    <row r="7462" spans="6:7" x14ac:dyDescent="0.3">
      <c r="F7462" s="64">
        <v>7459</v>
      </c>
      <c r="G7462" s="64">
        <f t="shared" ca="1" si="155"/>
        <v>-1.165595054929588E-2</v>
      </c>
    </row>
    <row r="7463" spans="6:7" x14ac:dyDescent="0.3">
      <c r="F7463" s="64">
        <v>7460</v>
      </c>
      <c r="G7463" s="64">
        <f t="shared" ca="1" si="155"/>
        <v>1.2824438496723033E-2</v>
      </c>
    </row>
    <row r="7464" spans="6:7" x14ac:dyDescent="0.3">
      <c r="F7464" s="64">
        <v>7461</v>
      </c>
      <c r="G7464" s="64">
        <f t="shared" ca="1" si="155"/>
        <v>1.4901334313240918E-2</v>
      </c>
    </row>
    <row r="7465" spans="6:7" x14ac:dyDescent="0.3">
      <c r="F7465" s="64">
        <v>7462</v>
      </c>
      <c r="G7465" s="64">
        <f t="shared" ca="1" si="155"/>
        <v>1.4390008978464186E-2</v>
      </c>
    </row>
    <row r="7466" spans="6:7" x14ac:dyDescent="0.3">
      <c r="F7466" s="64">
        <v>7463</v>
      </c>
      <c r="G7466" s="64">
        <f t="shared" ca="1" si="155"/>
        <v>-6.5837296233206694E-3</v>
      </c>
    </row>
    <row r="7467" spans="6:7" x14ac:dyDescent="0.3">
      <c r="F7467" s="64">
        <v>7464</v>
      </c>
      <c r="G7467" s="64">
        <f t="shared" ca="1" si="155"/>
        <v>-1.0246415717781371E-2</v>
      </c>
    </row>
    <row r="7468" spans="6:7" x14ac:dyDescent="0.3">
      <c r="F7468" s="64">
        <v>7465</v>
      </c>
      <c r="G7468" s="64">
        <f t="shared" ca="1" si="155"/>
        <v>1.2957561418407666E-2</v>
      </c>
    </row>
    <row r="7469" spans="6:7" x14ac:dyDescent="0.3">
      <c r="F7469" s="64">
        <v>7466</v>
      </c>
      <c r="G7469" s="64">
        <f t="shared" ca="1" si="155"/>
        <v>-3.5267487267127591E-2</v>
      </c>
    </row>
    <row r="7470" spans="6:7" x14ac:dyDescent="0.3">
      <c r="F7470" s="64">
        <v>7467</v>
      </c>
      <c r="G7470" s="64">
        <f t="shared" ca="1" si="155"/>
        <v>-9.4386309874676579E-3</v>
      </c>
    </row>
    <row r="7471" spans="6:7" x14ac:dyDescent="0.3">
      <c r="F7471" s="64">
        <v>7468</v>
      </c>
      <c r="G7471" s="64">
        <f t="shared" ca="1" si="155"/>
        <v>2.0001787445428285E-2</v>
      </c>
    </row>
    <row r="7472" spans="6:7" x14ac:dyDescent="0.3">
      <c r="F7472" s="64">
        <v>7469</v>
      </c>
      <c r="G7472" s="64">
        <f t="shared" ca="1" si="155"/>
        <v>-1.2302729967824014E-2</v>
      </c>
    </row>
    <row r="7473" spans="6:7" x14ac:dyDescent="0.3">
      <c r="F7473" s="64">
        <v>7470</v>
      </c>
      <c r="G7473" s="64">
        <f t="shared" ca="1" si="155"/>
        <v>2.4935594591699382E-2</v>
      </c>
    </row>
    <row r="7474" spans="6:7" x14ac:dyDescent="0.3">
      <c r="F7474" s="64">
        <v>7471</v>
      </c>
      <c r="G7474" s="64">
        <f t="shared" ca="1" si="155"/>
        <v>4.1401076836966859E-2</v>
      </c>
    </row>
    <row r="7475" spans="6:7" x14ac:dyDescent="0.3">
      <c r="F7475" s="64">
        <v>7472</v>
      </c>
      <c r="G7475" s="64">
        <f t="shared" ca="1" si="155"/>
        <v>-7.0855288038682972E-3</v>
      </c>
    </row>
    <row r="7476" spans="6:7" x14ac:dyDescent="0.3">
      <c r="F7476" s="64">
        <v>7473</v>
      </c>
      <c r="G7476" s="64">
        <f t="shared" ca="1" si="155"/>
        <v>3.3439438027752073E-2</v>
      </c>
    </row>
    <row r="7477" spans="6:7" x14ac:dyDescent="0.3">
      <c r="F7477" s="64">
        <v>7474</v>
      </c>
      <c r="G7477" s="64">
        <f t="shared" ca="1" si="155"/>
        <v>3.184768696098788E-2</v>
      </c>
    </row>
    <row r="7478" spans="6:7" x14ac:dyDescent="0.3">
      <c r="F7478" s="64">
        <v>7475</v>
      </c>
      <c r="G7478" s="64">
        <f t="shared" ca="1" si="155"/>
        <v>3.1992389036548732E-2</v>
      </c>
    </row>
    <row r="7479" spans="6:7" x14ac:dyDescent="0.3">
      <c r="F7479" s="64">
        <v>7476</v>
      </c>
      <c r="G7479" s="64">
        <f t="shared" ca="1" si="155"/>
        <v>-1.2920657138819612E-2</v>
      </c>
    </row>
    <row r="7480" spans="6:7" x14ac:dyDescent="0.3">
      <c r="F7480" s="64">
        <v>7477</v>
      </c>
      <c r="G7480" s="64">
        <f t="shared" ca="1" si="155"/>
        <v>-2.8479239342965562E-2</v>
      </c>
    </row>
    <row r="7481" spans="6:7" x14ac:dyDescent="0.3">
      <c r="F7481" s="64">
        <v>7478</v>
      </c>
      <c r="G7481" s="64">
        <f t="shared" ca="1" si="155"/>
        <v>1.0283055684615634E-3</v>
      </c>
    </row>
    <row r="7482" spans="6:7" x14ac:dyDescent="0.3">
      <c r="F7482" s="64">
        <v>7479</v>
      </c>
      <c r="G7482" s="64">
        <f t="shared" ca="1" si="155"/>
        <v>1.0194224392279148E-2</v>
      </c>
    </row>
    <row r="7483" spans="6:7" x14ac:dyDescent="0.3">
      <c r="F7483" s="64">
        <v>7480</v>
      </c>
      <c r="G7483" s="64">
        <f t="shared" ca="1" si="155"/>
        <v>2.0915928304845739E-2</v>
      </c>
    </row>
    <row r="7484" spans="6:7" x14ac:dyDescent="0.3">
      <c r="F7484" s="64">
        <v>7481</v>
      </c>
      <c r="G7484" s="64">
        <f t="shared" ca="1" si="155"/>
        <v>1.6451650400766851E-3</v>
      </c>
    </row>
    <row r="7485" spans="6:7" x14ac:dyDescent="0.3">
      <c r="F7485" s="64">
        <v>7482</v>
      </c>
      <c r="G7485" s="64">
        <f t="shared" ca="1" si="155"/>
        <v>1.4435489017958611E-2</v>
      </c>
    </row>
    <row r="7486" spans="6:7" x14ac:dyDescent="0.3">
      <c r="F7486" s="64">
        <v>7483</v>
      </c>
      <c r="G7486" s="64">
        <f t="shared" ca="1" si="155"/>
        <v>-4.1735804655977878E-2</v>
      </c>
    </row>
    <row r="7487" spans="6:7" x14ac:dyDescent="0.3">
      <c r="F7487" s="64">
        <v>7484</v>
      </c>
      <c r="G7487" s="64">
        <f t="shared" ca="1" si="155"/>
        <v>-2.9738809113485427E-2</v>
      </c>
    </row>
    <row r="7488" spans="6:7" x14ac:dyDescent="0.3">
      <c r="F7488" s="64">
        <v>7485</v>
      </c>
      <c r="G7488" s="64">
        <f t="shared" ca="1" si="155"/>
        <v>4.3906117907851698E-2</v>
      </c>
    </row>
    <row r="7489" spans="6:7" x14ac:dyDescent="0.3">
      <c r="F7489" s="64">
        <v>7486</v>
      </c>
      <c r="G7489" s="64">
        <f t="shared" ca="1" si="155"/>
        <v>-2.4254337078355578E-3</v>
      </c>
    </row>
    <row r="7490" spans="6:7" x14ac:dyDescent="0.3">
      <c r="F7490" s="64">
        <v>7487</v>
      </c>
      <c r="G7490" s="64">
        <f t="shared" ca="1" si="155"/>
        <v>6.1491305595040514E-4</v>
      </c>
    </row>
    <row r="7491" spans="6:7" x14ac:dyDescent="0.3">
      <c r="F7491" s="64">
        <v>7488</v>
      </c>
      <c r="G7491" s="64">
        <f t="shared" ca="1" si="155"/>
        <v>2.3726926973715785E-3</v>
      </c>
    </row>
    <row r="7492" spans="6:7" x14ac:dyDescent="0.3">
      <c r="F7492" s="64">
        <v>7489</v>
      </c>
      <c r="G7492" s="64">
        <f t="shared" ca="1" si="155"/>
        <v>8.6956795457541983E-3</v>
      </c>
    </row>
    <row r="7493" spans="6:7" x14ac:dyDescent="0.3">
      <c r="F7493" s="64">
        <v>7490</v>
      </c>
      <c r="G7493" s="64">
        <f t="shared" ref="G7493:G7556" ca="1" si="156">_xlfn.NORM.INV(RAND(),K$6,K$7)</f>
        <v>-1.4131403660888856E-3</v>
      </c>
    </row>
    <row r="7494" spans="6:7" x14ac:dyDescent="0.3">
      <c r="F7494" s="64">
        <v>7491</v>
      </c>
      <c r="G7494" s="64">
        <f t="shared" ca="1" si="156"/>
        <v>2.869983257394023E-2</v>
      </c>
    </row>
    <row r="7495" spans="6:7" x14ac:dyDescent="0.3">
      <c r="F7495" s="64">
        <v>7492</v>
      </c>
      <c r="G7495" s="64">
        <f t="shared" ca="1" si="156"/>
        <v>1.0046699749109296E-2</v>
      </c>
    </row>
    <row r="7496" spans="6:7" x14ac:dyDescent="0.3">
      <c r="F7496" s="64">
        <v>7493</v>
      </c>
      <c r="G7496" s="64">
        <f t="shared" ca="1" si="156"/>
        <v>3.1952814699059667E-2</v>
      </c>
    </row>
    <row r="7497" spans="6:7" x14ac:dyDescent="0.3">
      <c r="F7497" s="64">
        <v>7494</v>
      </c>
      <c r="G7497" s="64">
        <f t="shared" ca="1" si="156"/>
        <v>1.7977825448148355E-2</v>
      </c>
    </row>
    <row r="7498" spans="6:7" x14ac:dyDescent="0.3">
      <c r="F7498" s="64">
        <v>7495</v>
      </c>
      <c r="G7498" s="64">
        <f t="shared" ca="1" si="156"/>
        <v>-4.3011605058357783E-4</v>
      </c>
    </row>
    <row r="7499" spans="6:7" x14ac:dyDescent="0.3">
      <c r="F7499" s="64">
        <v>7496</v>
      </c>
      <c r="G7499" s="64">
        <f t="shared" ca="1" si="156"/>
        <v>3.1074956449376023E-2</v>
      </c>
    </row>
    <row r="7500" spans="6:7" x14ac:dyDescent="0.3">
      <c r="F7500" s="64">
        <v>7497</v>
      </c>
      <c r="G7500" s="64">
        <f t="shared" ca="1" si="156"/>
        <v>8.5162251470425523E-3</v>
      </c>
    </row>
    <row r="7501" spans="6:7" x14ac:dyDescent="0.3">
      <c r="F7501" s="64">
        <v>7498</v>
      </c>
      <c r="G7501" s="64">
        <f t="shared" ca="1" si="156"/>
        <v>-1.6331127424310615E-2</v>
      </c>
    </row>
    <row r="7502" spans="6:7" x14ac:dyDescent="0.3">
      <c r="F7502" s="64">
        <v>7499</v>
      </c>
      <c r="G7502" s="64">
        <f t="shared" ca="1" si="156"/>
        <v>7.7620791920817115E-3</v>
      </c>
    </row>
    <row r="7503" spans="6:7" x14ac:dyDescent="0.3">
      <c r="F7503" s="64">
        <v>7500</v>
      </c>
      <c r="G7503" s="64">
        <f t="shared" ca="1" si="156"/>
        <v>-6.2922332331900605E-3</v>
      </c>
    </row>
    <row r="7504" spans="6:7" x14ac:dyDescent="0.3">
      <c r="F7504" s="64">
        <v>7501</v>
      </c>
      <c r="G7504" s="64">
        <f t="shared" ca="1" si="156"/>
        <v>1.0693746368685111E-2</v>
      </c>
    </row>
    <row r="7505" spans="6:7" x14ac:dyDescent="0.3">
      <c r="F7505" s="64">
        <v>7502</v>
      </c>
      <c r="G7505" s="64">
        <f t="shared" ca="1" si="156"/>
        <v>8.1199533244540982E-3</v>
      </c>
    </row>
    <row r="7506" spans="6:7" x14ac:dyDescent="0.3">
      <c r="F7506" s="64">
        <v>7503</v>
      </c>
      <c r="G7506" s="64">
        <f t="shared" ca="1" si="156"/>
        <v>2.2776540996756356E-2</v>
      </c>
    </row>
    <row r="7507" spans="6:7" x14ac:dyDescent="0.3">
      <c r="F7507" s="64">
        <v>7504</v>
      </c>
      <c r="G7507" s="64">
        <f t="shared" ca="1" si="156"/>
        <v>2.8607441761662059E-3</v>
      </c>
    </row>
    <row r="7508" spans="6:7" x14ac:dyDescent="0.3">
      <c r="F7508" s="64">
        <v>7505</v>
      </c>
      <c r="G7508" s="64">
        <f t="shared" ca="1" si="156"/>
        <v>7.3072739284842821E-3</v>
      </c>
    </row>
    <row r="7509" spans="6:7" x14ac:dyDescent="0.3">
      <c r="F7509" s="64">
        <v>7506</v>
      </c>
      <c r="G7509" s="64">
        <f t="shared" ca="1" si="156"/>
        <v>2.3459284159925736E-2</v>
      </c>
    </row>
    <row r="7510" spans="6:7" x14ac:dyDescent="0.3">
      <c r="F7510" s="64">
        <v>7507</v>
      </c>
      <c r="G7510" s="64">
        <f t="shared" ca="1" si="156"/>
        <v>8.5858746517358565E-3</v>
      </c>
    </row>
    <row r="7511" spans="6:7" x14ac:dyDescent="0.3">
      <c r="F7511" s="64">
        <v>7508</v>
      </c>
      <c r="G7511" s="64">
        <f t="shared" ca="1" si="156"/>
        <v>-2.602977606999015E-2</v>
      </c>
    </row>
    <row r="7512" spans="6:7" x14ac:dyDescent="0.3">
      <c r="F7512" s="64">
        <v>7509</v>
      </c>
      <c r="G7512" s="64">
        <f t="shared" ca="1" si="156"/>
        <v>-5.2248910621602905E-3</v>
      </c>
    </row>
    <row r="7513" spans="6:7" x14ac:dyDescent="0.3">
      <c r="F7513" s="64">
        <v>7510</v>
      </c>
      <c r="G7513" s="64">
        <f t="shared" ca="1" si="156"/>
        <v>-1.4395844772411395E-2</v>
      </c>
    </row>
    <row r="7514" spans="6:7" x14ac:dyDescent="0.3">
      <c r="F7514" s="64">
        <v>7511</v>
      </c>
      <c r="G7514" s="64">
        <f t="shared" ca="1" si="156"/>
        <v>1.8602636501032055E-2</v>
      </c>
    </row>
    <row r="7515" spans="6:7" x14ac:dyDescent="0.3">
      <c r="F7515" s="64">
        <v>7512</v>
      </c>
      <c r="G7515" s="64">
        <f t="shared" ca="1" si="156"/>
        <v>-1.523159609089377E-2</v>
      </c>
    </row>
    <row r="7516" spans="6:7" x14ac:dyDescent="0.3">
      <c r="F7516" s="64">
        <v>7513</v>
      </c>
      <c r="G7516" s="64">
        <f t="shared" ca="1" si="156"/>
        <v>-3.6197509459388405E-2</v>
      </c>
    </row>
    <row r="7517" spans="6:7" x14ac:dyDescent="0.3">
      <c r="F7517" s="64">
        <v>7514</v>
      </c>
      <c r="G7517" s="64">
        <f t="shared" ca="1" si="156"/>
        <v>-1.9366089757974568E-2</v>
      </c>
    </row>
    <row r="7518" spans="6:7" x14ac:dyDescent="0.3">
      <c r="F7518" s="64">
        <v>7515</v>
      </c>
      <c r="G7518" s="64">
        <f t="shared" ca="1" si="156"/>
        <v>1.7975169642531195E-3</v>
      </c>
    </row>
    <row r="7519" spans="6:7" x14ac:dyDescent="0.3">
      <c r="F7519" s="64">
        <v>7516</v>
      </c>
      <c r="G7519" s="64">
        <f t="shared" ca="1" si="156"/>
        <v>-8.6946880787327242E-3</v>
      </c>
    </row>
    <row r="7520" spans="6:7" x14ac:dyDescent="0.3">
      <c r="F7520" s="64">
        <v>7517</v>
      </c>
      <c r="G7520" s="64">
        <f t="shared" ca="1" si="156"/>
        <v>2.5635278453520781E-2</v>
      </c>
    </row>
    <row r="7521" spans="6:7" x14ac:dyDescent="0.3">
      <c r="F7521" s="64">
        <v>7518</v>
      </c>
      <c r="G7521" s="64">
        <f t="shared" ca="1" si="156"/>
        <v>-4.7935421281907137E-4</v>
      </c>
    </row>
    <row r="7522" spans="6:7" x14ac:dyDescent="0.3">
      <c r="F7522" s="64">
        <v>7519</v>
      </c>
      <c r="G7522" s="64">
        <f t="shared" ca="1" si="156"/>
        <v>6.8370605805622882E-3</v>
      </c>
    </row>
    <row r="7523" spans="6:7" x14ac:dyDescent="0.3">
      <c r="F7523" s="64">
        <v>7520</v>
      </c>
      <c r="G7523" s="64">
        <f t="shared" ca="1" si="156"/>
        <v>1.5192449560650575E-2</v>
      </c>
    </row>
    <row r="7524" spans="6:7" x14ac:dyDescent="0.3">
      <c r="F7524" s="64">
        <v>7521</v>
      </c>
      <c r="G7524" s="64">
        <f t="shared" ca="1" si="156"/>
        <v>-1.8272167842310359E-2</v>
      </c>
    </row>
    <row r="7525" spans="6:7" x14ac:dyDescent="0.3">
      <c r="F7525" s="64">
        <v>7522</v>
      </c>
      <c r="G7525" s="64">
        <f t="shared" ca="1" si="156"/>
        <v>-1.6629168707882905E-2</v>
      </c>
    </row>
    <row r="7526" spans="6:7" x14ac:dyDescent="0.3">
      <c r="F7526" s="64">
        <v>7523</v>
      </c>
      <c r="G7526" s="64">
        <f t="shared" ca="1" si="156"/>
        <v>-9.2840876868140309E-3</v>
      </c>
    </row>
    <row r="7527" spans="6:7" x14ac:dyDescent="0.3">
      <c r="F7527" s="64">
        <v>7524</v>
      </c>
      <c r="G7527" s="64">
        <f t="shared" ca="1" si="156"/>
        <v>1.1657832643810585E-2</v>
      </c>
    </row>
    <row r="7528" spans="6:7" x14ac:dyDescent="0.3">
      <c r="F7528" s="64">
        <v>7525</v>
      </c>
      <c r="G7528" s="64">
        <f t="shared" ca="1" si="156"/>
        <v>2.8576140696289547E-2</v>
      </c>
    </row>
    <row r="7529" spans="6:7" x14ac:dyDescent="0.3">
      <c r="F7529" s="64">
        <v>7526</v>
      </c>
      <c r="G7529" s="64">
        <f t="shared" ca="1" si="156"/>
        <v>1.2140503167672496E-2</v>
      </c>
    </row>
    <row r="7530" spans="6:7" x14ac:dyDescent="0.3">
      <c r="F7530" s="64">
        <v>7527</v>
      </c>
      <c r="G7530" s="64">
        <f t="shared" ca="1" si="156"/>
        <v>-1.7182630379713633E-2</v>
      </c>
    </row>
    <row r="7531" spans="6:7" x14ac:dyDescent="0.3">
      <c r="F7531" s="64">
        <v>7528</v>
      </c>
      <c r="G7531" s="64">
        <f t="shared" ca="1" si="156"/>
        <v>-1.7186830989052639E-2</v>
      </c>
    </row>
    <row r="7532" spans="6:7" x14ac:dyDescent="0.3">
      <c r="F7532" s="64">
        <v>7529</v>
      </c>
      <c r="G7532" s="64">
        <f t="shared" ca="1" si="156"/>
        <v>1.0768299399104899E-2</v>
      </c>
    </row>
    <row r="7533" spans="6:7" x14ac:dyDescent="0.3">
      <c r="F7533" s="64">
        <v>7530</v>
      </c>
      <c r="G7533" s="64">
        <f t="shared" ca="1" si="156"/>
        <v>1.1067590058505871E-2</v>
      </c>
    </row>
    <row r="7534" spans="6:7" x14ac:dyDescent="0.3">
      <c r="F7534" s="64">
        <v>7531</v>
      </c>
      <c r="G7534" s="64">
        <f t="shared" ca="1" si="156"/>
        <v>1.2170482261735097E-3</v>
      </c>
    </row>
    <row r="7535" spans="6:7" x14ac:dyDescent="0.3">
      <c r="F7535" s="64">
        <v>7532</v>
      </c>
      <c r="G7535" s="64">
        <f t="shared" ca="1" si="156"/>
        <v>-3.4638510001108076E-2</v>
      </c>
    </row>
    <row r="7536" spans="6:7" x14ac:dyDescent="0.3">
      <c r="F7536" s="64">
        <v>7533</v>
      </c>
      <c r="G7536" s="64">
        <f t="shared" ca="1" si="156"/>
        <v>-1.3942030967943952E-2</v>
      </c>
    </row>
    <row r="7537" spans="6:7" x14ac:dyDescent="0.3">
      <c r="F7537" s="64">
        <v>7534</v>
      </c>
      <c r="G7537" s="64">
        <f t="shared" ca="1" si="156"/>
        <v>2.4236911987916006E-2</v>
      </c>
    </row>
    <row r="7538" spans="6:7" x14ac:dyDescent="0.3">
      <c r="F7538" s="64">
        <v>7535</v>
      </c>
      <c r="G7538" s="64">
        <f t="shared" ca="1" si="156"/>
        <v>-5.7962971249182647E-3</v>
      </c>
    </row>
    <row r="7539" spans="6:7" x14ac:dyDescent="0.3">
      <c r="F7539" s="64">
        <v>7536</v>
      </c>
      <c r="G7539" s="64">
        <f t="shared" ca="1" si="156"/>
        <v>1.1293592431648807E-2</v>
      </c>
    </row>
    <row r="7540" spans="6:7" x14ac:dyDescent="0.3">
      <c r="F7540" s="64">
        <v>7537</v>
      </c>
      <c r="G7540" s="64">
        <f t="shared" ca="1" si="156"/>
        <v>-2.1417829882770648E-2</v>
      </c>
    </row>
    <row r="7541" spans="6:7" x14ac:dyDescent="0.3">
      <c r="F7541" s="64">
        <v>7538</v>
      </c>
      <c r="G7541" s="64">
        <f t="shared" ca="1" si="156"/>
        <v>5.6924040189722032E-2</v>
      </c>
    </row>
    <row r="7542" spans="6:7" x14ac:dyDescent="0.3">
      <c r="F7542" s="64">
        <v>7539</v>
      </c>
      <c r="G7542" s="64">
        <f t="shared" ca="1" si="156"/>
        <v>4.9412364288816566E-3</v>
      </c>
    </row>
    <row r="7543" spans="6:7" x14ac:dyDescent="0.3">
      <c r="F7543" s="64">
        <v>7540</v>
      </c>
      <c r="G7543" s="64">
        <f t="shared" ca="1" si="156"/>
        <v>-7.0523411692812819E-3</v>
      </c>
    </row>
    <row r="7544" spans="6:7" x14ac:dyDescent="0.3">
      <c r="F7544" s="64">
        <v>7541</v>
      </c>
      <c r="G7544" s="64">
        <f t="shared" ca="1" si="156"/>
        <v>4.2586085487130491E-2</v>
      </c>
    </row>
    <row r="7545" spans="6:7" x14ac:dyDescent="0.3">
      <c r="F7545" s="64">
        <v>7542</v>
      </c>
      <c r="G7545" s="64">
        <f t="shared" ca="1" si="156"/>
        <v>-5.6711476532219467E-3</v>
      </c>
    </row>
    <row r="7546" spans="6:7" x14ac:dyDescent="0.3">
      <c r="F7546" s="64">
        <v>7543</v>
      </c>
      <c r="G7546" s="64">
        <f t="shared" ca="1" si="156"/>
        <v>1.1332010629887134E-2</v>
      </c>
    </row>
    <row r="7547" spans="6:7" x14ac:dyDescent="0.3">
      <c r="F7547" s="64">
        <v>7544</v>
      </c>
      <c r="G7547" s="64">
        <f t="shared" ca="1" si="156"/>
        <v>-3.2289747865164682E-3</v>
      </c>
    </row>
    <row r="7548" spans="6:7" x14ac:dyDescent="0.3">
      <c r="F7548" s="64">
        <v>7545</v>
      </c>
      <c r="G7548" s="64">
        <f t="shared" ca="1" si="156"/>
        <v>6.6782296711554402E-3</v>
      </c>
    </row>
    <row r="7549" spans="6:7" x14ac:dyDescent="0.3">
      <c r="F7549" s="64">
        <v>7546</v>
      </c>
      <c r="G7549" s="64">
        <f t="shared" ca="1" si="156"/>
        <v>-4.1515882249535611E-2</v>
      </c>
    </row>
    <row r="7550" spans="6:7" x14ac:dyDescent="0.3">
      <c r="F7550" s="64">
        <v>7547</v>
      </c>
      <c r="G7550" s="64">
        <f t="shared" ca="1" si="156"/>
        <v>1.8691887062328306E-2</v>
      </c>
    </row>
    <row r="7551" spans="6:7" x14ac:dyDescent="0.3">
      <c r="F7551" s="64">
        <v>7548</v>
      </c>
      <c r="G7551" s="64">
        <f t="shared" ca="1" si="156"/>
        <v>-1.6671470323711579E-2</v>
      </c>
    </row>
    <row r="7552" spans="6:7" x14ac:dyDescent="0.3">
      <c r="F7552" s="64">
        <v>7549</v>
      </c>
      <c r="G7552" s="64">
        <f t="shared" ca="1" si="156"/>
        <v>-7.7133240425629728E-3</v>
      </c>
    </row>
    <row r="7553" spans="6:7" x14ac:dyDescent="0.3">
      <c r="F7553" s="64">
        <v>7550</v>
      </c>
      <c r="G7553" s="64">
        <f t="shared" ca="1" si="156"/>
        <v>-3.2538274953278136E-2</v>
      </c>
    </row>
    <row r="7554" spans="6:7" x14ac:dyDescent="0.3">
      <c r="F7554" s="64">
        <v>7551</v>
      </c>
      <c r="G7554" s="64">
        <f t="shared" ca="1" si="156"/>
        <v>-2.0852233475504738E-2</v>
      </c>
    </row>
    <row r="7555" spans="6:7" x14ac:dyDescent="0.3">
      <c r="F7555" s="64">
        <v>7552</v>
      </c>
      <c r="G7555" s="64">
        <f t="shared" ca="1" si="156"/>
        <v>-2.7936369559363662E-2</v>
      </c>
    </row>
    <row r="7556" spans="6:7" x14ac:dyDescent="0.3">
      <c r="F7556" s="64">
        <v>7553</v>
      </c>
      <c r="G7556" s="64">
        <f t="shared" ca="1" si="156"/>
        <v>1.3194496174648157E-2</v>
      </c>
    </row>
    <row r="7557" spans="6:7" x14ac:dyDescent="0.3">
      <c r="F7557" s="64">
        <v>7554</v>
      </c>
      <c r="G7557" s="64">
        <f t="shared" ref="G7557:G7620" ca="1" si="157">_xlfn.NORM.INV(RAND(),K$6,K$7)</f>
        <v>3.5254724288916557E-3</v>
      </c>
    </row>
    <row r="7558" spans="6:7" x14ac:dyDescent="0.3">
      <c r="F7558" s="64">
        <v>7555</v>
      </c>
      <c r="G7558" s="64">
        <f t="shared" ca="1" si="157"/>
        <v>-3.1676317633450628E-2</v>
      </c>
    </row>
    <row r="7559" spans="6:7" x14ac:dyDescent="0.3">
      <c r="F7559" s="64">
        <v>7556</v>
      </c>
      <c r="G7559" s="64">
        <f t="shared" ca="1" si="157"/>
        <v>7.5832747691362739E-3</v>
      </c>
    </row>
    <row r="7560" spans="6:7" x14ac:dyDescent="0.3">
      <c r="F7560" s="64">
        <v>7557</v>
      </c>
      <c r="G7560" s="64">
        <f t="shared" ca="1" si="157"/>
        <v>2.1422038946557066E-2</v>
      </c>
    </row>
    <row r="7561" spans="6:7" x14ac:dyDescent="0.3">
      <c r="F7561" s="64">
        <v>7558</v>
      </c>
      <c r="G7561" s="64">
        <f t="shared" ca="1" si="157"/>
        <v>8.5321583903666259E-3</v>
      </c>
    </row>
    <row r="7562" spans="6:7" x14ac:dyDescent="0.3">
      <c r="F7562" s="64">
        <v>7559</v>
      </c>
      <c r="G7562" s="64">
        <f t="shared" ca="1" si="157"/>
        <v>-1.8959527765607546E-2</v>
      </c>
    </row>
    <row r="7563" spans="6:7" x14ac:dyDescent="0.3">
      <c r="F7563" s="64">
        <v>7560</v>
      </c>
      <c r="G7563" s="64">
        <f t="shared" ca="1" si="157"/>
        <v>1.0749086836029206E-2</v>
      </c>
    </row>
    <row r="7564" spans="6:7" x14ac:dyDescent="0.3">
      <c r="F7564" s="64">
        <v>7561</v>
      </c>
      <c r="G7564" s="64">
        <f t="shared" ca="1" si="157"/>
        <v>-5.3574755405941393E-3</v>
      </c>
    </row>
    <row r="7565" spans="6:7" x14ac:dyDescent="0.3">
      <c r="F7565" s="64">
        <v>7562</v>
      </c>
      <c r="G7565" s="64">
        <f t="shared" ca="1" si="157"/>
        <v>1.7074989567767894E-2</v>
      </c>
    </row>
    <row r="7566" spans="6:7" x14ac:dyDescent="0.3">
      <c r="F7566" s="64">
        <v>7563</v>
      </c>
      <c r="G7566" s="64">
        <f t="shared" ca="1" si="157"/>
        <v>3.6760868181767096E-4</v>
      </c>
    </row>
    <row r="7567" spans="6:7" x14ac:dyDescent="0.3">
      <c r="F7567" s="64">
        <v>7564</v>
      </c>
      <c r="G7567" s="64">
        <f t="shared" ca="1" si="157"/>
        <v>-2.5008897828256143E-3</v>
      </c>
    </row>
    <row r="7568" spans="6:7" x14ac:dyDescent="0.3">
      <c r="F7568" s="64">
        <v>7565</v>
      </c>
      <c r="G7568" s="64">
        <f t="shared" ca="1" si="157"/>
        <v>4.1274052009488103E-2</v>
      </c>
    </row>
    <row r="7569" spans="6:7" x14ac:dyDescent="0.3">
      <c r="F7569" s="64">
        <v>7566</v>
      </c>
      <c r="G7569" s="64">
        <f t="shared" ca="1" si="157"/>
        <v>-2.1372111329265191E-2</v>
      </c>
    </row>
    <row r="7570" spans="6:7" x14ac:dyDescent="0.3">
      <c r="F7570" s="64">
        <v>7567</v>
      </c>
      <c r="G7570" s="64">
        <f t="shared" ca="1" si="157"/>
        <v>9.436886672040316E-3</v>
      </c>
    </row>
    <row r="7571" spans="6:7" x14ac:dyDescent="0.3">
      <c r="F7571" s="64">
        <v>7568</v>
      </c>
      <c r="G7571" s="64">
        <f t="shared" ca="1" si="157"/>
        <v>-1.2376953441389041E-2</v>
      </c>
    </row>
    <row r="7572" spans="6:7" x14ac:dyDescent="0.3">
      <c r="F7572" s="64">
        <v>7569</v>
      </c>
      <c r="G7572" s="64">
        <f t="shared" ca="1" si="157"/>
        <v>-4.0529437901434574E-2</v>
      </c>
    </row>
    <row r="7573" spans="6:7" x14ac:dyDescent="0.3">
      <c r="F7573" s="64">
        <v>7570</v>
      </c>
      <c r="G7573" s="64">
        <f t="shared" ca="1" si="157"/>
        <v>-1.2323860676356418E-2</v>
      </c>
    </row>
    <row r="7574" spans="6:7" x14ac:dyDescent="0.3">
      <c r="F7574" s="64">
        <v>7571</v>
      </c>
      <c r="G7574" s="64">
        <f t="shared" ca="1" si="157"/>
        <v>1.0258017890324307E-2</v>
      </c>
    </row>
    <row r="7575" spans="6:7" x14ac:dyDescent="0.3">
      <c r="F7575" s="64">
        <v>7572</v>
      </c>
      <c r="G7575" s="64">
        <f t="shared" ca="1" si="157"/>
        <v>-4.7934472598225699E-4</v>
      </c>
    </row>
    <row r="7576" spans="6:7" x14ac:dyDescent="0.3">
      <c r="F7576" s="64">
        <v>7573</v>
      </c>
      <c r="G7576" s="64">
        <f t="shared" ca="1" si="157"/>
        <v>-4.6923410272746375E-3</v>
      </c>
    </row>
    <row r="7577" spans="6:7" x14ac:dyDescent="0.3">
      <c r="F7577" s="64">
        <v>7574</v>
      </c>
      <c r="G7577" s="64">
        <f t="shared" ca="1" si="157"/>
        <v>-1.8187665679644242E-2</v>
      </c>
    </row>
    <row r="7578" spans="6:7" x14ac:dyDescent="0.3">
      <c r="F7578" s="64">
        <v>7575</v>
      </c>
      <c r="G7578" s="64">
        <f t="shared" ca="1" si="157"/>
        <v>-3.03875082792762E-2</v>
      </c>
    </row>
    <row r="7579" spans="6:7" x14ac:dyDescent="0.3">
      <c r="F7579" s="64">
        <v>7576</v>
      </c>
      <c r="G7579" s="64">
        <f t="shared" ca="1" si="157"/>
        <v>-9.8944955702487489E-3</v>
      </c>
    </row>
    <row r="7580" spans="6:7" x14ac:dyDescent="0.3">
      <c r="F7580" s="64">
        <v>7577</v>
      </c>
      <c r="G7580" s="64">
        <f t="shared" ca="1" si="157"/>
        <v>-3.0400676997079292E-3</v>
      </c>
    </row>
    <row r="7581" spans="6:7" x14ac:dyDescent="0.3">
      <c r="F7581" s="64">
        <v>7578</v>
      </c>
      <c r="G7581" s="64">
        <f t="shared" ca="1" si="157"/>
        <v>3.0577673650636308E-2</v>
      </c>
    </row>
    <row r="7582" spans="6:7" x14ac:dyDescent="0.3">
      <c r="F7582" s="64">
        <v>7579</v>
      </c>
      <c r="G7582" s="64">
        <f t="shared" ca="1" si="157"/>
        <v>3.4655483373754722E-2</v>
      </c>
    </row>
    <row r="7583" spans="6:7" x14ac:dyDescent="0.3">
      <c r="F7583" s="64">
        <v>7580</v>
      </c>
      <c r="G7583" s="64">
        <f t="shared" ca="1" si="157"/>
        <v>1.274682043336914E-2</v>
      </c>
    </row>
    <row r="7584" spans="6:7" x14ac:dyDescent="0.3">
      <c r="F7584" s="64">
        <v>7581</v>
      </c>
      <c r="G7584" s="64">
        <f t="shared" ca="1" si="157"/>
        <v>-1.3953498486020578E-2</v>
      </c>
    </row>
    <row r="7585" spans="6:7" x14ac:dyDescent="0.3">
      <c r="F7585" s="64">
        <v>7582</v>
      </c>
      <c r="G7585" s="64">
        <f t="shared" ca="1" si="157"/>
        <v>-9.3735652233349689E-3</v>
      </c>
    </row>
    <row r="7586" spans="6:7" x14ac:dyDescent="0.3">
      <c r="F7586" s="64">
        <v>7583</v>
      </c>
      <c r="G7586" s="64">
        <f t="shared" ca="1" si="157"/>
        <v>-3.2006414709603364E-3</v>
      </c>
    </row>
    <row r="7587" spans="6:7" x14ac:dyDescent="0.3">
      <c r="F7587" s="64">
        <v>7584</v>
      </c>
      <c r="G7587" s="64">
        <f t="shared" ca="1" si="157"/>
        <v>7.3913819982434799E-3</v>
      </c>
    </row>
    <row r="7588" spans="6:7" x14ac:dyDescent="0.3">
      <c r="F7588" s="64">
        <v>7585</v>
      </c>
      <c r="G7588" s="64">
        <f t="shared" ca="1" si="157"/>
        <v>4.0887467114898074E-2</v>
      </c>
    </row>
    <row r="7589" spans="6:7" x14ac:dyDescent="0.3">
      <c r="F7589" s="64">
        <v>7586</v>
      </c>
      <c r="G7589" s="64">
        <f t="shared" ca="1" si="157"/>
        <v>-2.3489088496829486E-2</v>
      </c>
    </row>
    <row r="7590" spans="6:7" x14ac:dyDescent="0.3">
      <c r="F7590" s="64">
        <v>7587</v>
      </c>
      <c r="G7590" s="64">
        <f t="shared" ca="1" si="157"/>
        <v>1.5006233919858211E-2</v>
      </c>
    </row>
    <row r="7591" spans="6:7" x14ac:dyDescent="0.3">
      <c r="F7591" s="64">
        <v>7588</v>
      </c>
      <c r="G7591" s="64">
        <f t="shared" ca="1" si="157"/>
        <v>-1.1911928991490571E-3</v>
      </c>
    </row>
    <row r="7592" spans="6:7" x14ac:dyDescent="0.3">
      <c r="F7592" s="64">
        <v>7589</v>
      </c>
      <c r="G7592" s="64">
        <f t="shared" ca="1" si="157"/>
        <v>3.7119076150114237E-3</v>
      </c>
    </row>
    <row r="7593" spans="6:7" x14ac:dyDescent="0.3">
      <c r="F7593" s="64">
        <v>7590</v>
      </c>
      <c r="G7593" s="64">
        <f t="shared" ca="1" si="157"/>
        <v>-2.6445308996512246E-3</v>
      </c>
    </row>
    <row r="7594" spans="6:7" x14ac:dyDescent="0.3">
      <c r="F7594" s="64">
        <v>7591</v>
      </c>
      <c r="G7594" s="64">
        <f t="shared" ca="1" si="157"/>
        <v>-2.0663004071026801E-2</v>
      </c>
    </row>
    <row r="7595" spans="6:7" x14ac:dyDescent="0.3">
      <c r="F7595" s="64">
        <v>7592</v>
      </c>
      <c r="G7595" s="64">
        <f t="shared" ca="1" si="157"/>
        <v>8.2482793108116861E-3</v>
      </c>
    </row>
    <row r="7596" spans="6:7" x14ac:dyDescent="0.3">
      <c r="F7596" s="64">
        <v>7593</v>
      </c>
      <c r="G7596" s="64">
        <f t="shared" ca="1" si="157"/>
        <v>-2.4062436233904139E-2</v>
      </c>
    </row>
    <row r="7597" spans="6:7" x14ac:dyDescent="0.3">
      <c r="F7597" s="64">
        <v>7594</v>
      </c>
      <c r="G7597" s="64">
        <f t="shared" ca="1" si="157"/>
        <v>2.7372931803563746E-2</v>
      </c>
    </row>
    <row r="7598" spans="6:7" x14ac:dyDescent="0.3">
      <c r="F7598" s="64">
        <v>7595</v>
      </c>
      <c r="G7598" s="64">
        <f t="shared" ca="1" si="157"/>
        <v>-8.8895286895445472E-3</v>
      </c>
    </row>
    <row r="7599" spans="6:7" x14ac:dyDescent="0.3">
      <c r="F7599" s="64">
        <v>7596</v>
      </c>
      <c r="G7599" s="64">
        <f t="shared" ca="1" si="157"/>
        <v>4.104875771547678E-2</v>
      </c>
    </row>
    <row r="7600" spans="6:7" x14ac:dyDescent="0.3">
      <c r="F7600" s="64">
        <v>7597</v>
      </c>
      <c r="G7600" s="64">
        <f t="shared" ca="1" si="157"/>
        <v>2.9568609532936697E-2</v>
      </c>
    </row>
    <row r="7601" spans="6:7" x14ac:dyDescent="0.3">
      <c r="F7601" s="64">
        <v>7598</v>
      </c>
      <c r="G7601" s="64">
        <f t="shared" ca="1" si="157"/>
        <v>5.2828317083093484E-4</v>
      </c>
    </row>
    <row r="7602" spans="6:7" x14ac:dyDescent="0.3">
      <c r="F7602" s="64">
        <v>7599</v>
      </c>
      <c r="G7602" s="64">
        <f t="shared" ca="1" si="157"/>
        <v>-2.7675165729997224E-2</v>
      </c>
    </row>
    <row r="7603" spans="6:7" x14ac:dyDescent="0.3">
      <c r="F7603" s="64">
        <v>7600</v>
      </c>
      <c r="G7603" s="64">
        <f t="shared" ca="1" si="157"/>
        <v>1.5079000513393264E-2</v>
      </c>
    </row>
    <row r="7604" spans="6:7" x14ac:dyDescent="0.3">
      <c r="F7604" s="64">
        <v>7601</v>
      </c>
      <c r="G7604" s="64">
        <f t="shared" ca="1" si="157"/>
        <v>2.9279211892334492E-3</v>
      </c>
    </row>
    <row r="7605" spans="6:7" x14ac:dyDescent="0.3">
      <c r="F7605" s="64">
        <v>7602</v>
      </c>
      <c r="G7605" s="64">
        <f t="shared" ca="1" si="157"/>
        <v>-3.2838085849116461E-2</v>
      </c>
    </row>
    <row r="7606" spans="6:7" x14ac:dyDescent="0.3">
      <c r="F7606" s="64">
        <v>7603</v>
      </c>
      <c r="G7606" s="64">
        <f t="shared" ca="1" si="157"/>
        <v>-2.6935380909883342E-3</v>
      </c>
    </row>
    <row r="7607" spans="6:7" x14ac:dyDescent="0.3">
      <c r="F7607" s="64">
        <v>7604</v>
      </c>
      <c r="G7607" s="64">
        <f t="shared" ca="1" si="157"/>
        <v>-3.3148548273274868E-2</v>
      </c>
    </row>
    <row r="7608" spans="6:7" x14ac:dyDescent="0.3">
      <c r="F7608" s="64">
        <v>7605</v>
      </c>
      <c r="G7608" s="64">
        <f t="shared" ca="1" si="157"/>
        <v>-5.1684324828827066E-3</v>
      </c>
    </row>
    <row r="7609" spans="6:7" x14ac:dyDescent="0.3">
      <c r="F7609" s="64">
        <v>7606</v>
      </c>
      <c r="G7609" s="64">
        <f t="shared" ca="1" si="157"/>
        <v>-1.4014354086618958E-2</v>
      </c>
    </row>
    <row r="7610" spans="6:7" x14ac:dyDescent="0.3">
      <c r="F7610" s="64">
        <v>7607</v>
      </c>
      <c r="G7610" s="64">
        <f t="shared" ca="1" si="157"/>
        <v>1.2728073025902488E-2</v>
      </c>
    </row>
    <row r="7611" spans="6:7" x14ac:dyDescent="0.3">
      <c r="F7611" s="64">
        <v>7608</v>
      </c>
      <c r="G7611" s="64">
        <f t="shared" ca="1" si="157"/>
        <v>2.7168291812281037E-3</v>
      </c>
    </row>
    <row r="7612" spans="6:7" x14ac:dyDescent="0.3">
      <c r="F7612" s="64">
        <v>7609</v>
      </c>
      <c r="G7612" s="64">
        <f t="shared" ca="1" si="157"/>
        <v>1.7150032629716434E-2</v>
      </c>
    </row>
    <row r="7613" spans="6:7" x14ac:dyDescent="0.3">
      <c r="F7613" s="64">
        <v>7610</v>
      </c>
      <c r="G7613" s="64">
        <f t="shared" ca="1" si="157"/>
        <v>2.7971578698025516E-2</v>
      </c>
    </row>
    <row r="7614" spans="6:7" x14ac:dyDescent="0.3">
      <c r="F7614" s="64">
        <v>7611</v>
      </c>
      <c r="G7614" s="64">
        <f t="shared" ca="1" si="157"/>
        <v>7.1648762529729938E-3</v>
      </c>
    </row>
    <row r="7615" spans="6:7" x14ac:dyDescent="0.3">
      <c r="F7615" s="64">
        <v>7612</v>
      </c>
      <c r="G7615" s="64">
        <f t="shared" ca="1" si="157"/>
        <v>8.0013307314133475E-3</v>
      </c>
    </row>
    <row r="7616" spans="6:7" x14ac:dyDescent="0.3">
      <c r="F7616" s="64">
        <v>7613</v>
      </c>
      <c r="G7616" s="64">
        <f t="shared" ca="1" si="157"/>
        <v>-4.5312279157317809E-2</v>
      </c>
    </row>
    <row r="7617" spans="6:7" x14ac:dyDescent="0.3">
      <c r="F7617" s="64">
        <v>7614</v>
      </c>
      <c r="G7617" s="64">
        <f t="shared" ca="1" si="157"/>
        <v>-2.5178367656514287E-2</v>
      </c>
    </row>
    <row r="7618" spans="6:7" x14ac:dyDescent="0.3">
      <c r="F7618" s="64">
        <v>7615</v>
      </c>
      <c r="G7618" s="64">
        <f t="shared" ca="1" si="157"/>
        <v>1.2285301909722567E-2</v>
      </c>
    </row>
    <row r="7619" spans="6:7" x14ac:dyDescent="0.3">
      <c r="F7619" s="64">
        <v>7616</v>
      </c>
      <c r="G7619" s="64">
        <f t="shared" ca="1" si="157"/>
        <v>3.9207419834666045E-2</v>
      </c>
    </row>
    <row r="7620" spans="6:7" x14ac:dyDescent="0.3">
      <c r="F7620" s="64">
        <v>7617</v>
      </c>
      <c r="G7620" s="64">
        <f t="shared" ca="1" si="157"/>
        <v>-4.966590109551619E-4</v>
      </c>
    </row>
    <row r="7621" spans="6:7" x14ac:dyDescent="0.3">
      <c r="F7621" s="64">
        <v>7618</v>
      </c>
      <c r="G7621" s="64">
        <f t="shared" ref="G7621:G7684" ca="1" si="158">_xlfn.NORM.INV(RAND(),K$6,K$7)</f>
        <v>1.7851002194882511E-2</v>
      </c>
    </row>
    <row r="7622" spans="6:7" x14ac:dyDescent="0.3">
      <c r="F7622" s="64">
        <v>7619</v>
      </c>
      <c r="G7622" s="64">
        <f t="shared" ca="1" si="158"/>
        <v>8.1329783607847067E-3</v>
      </c>
    </row>
    <row r="7623" spans="6:7" x14ac:dyDescent="0.3">
      <c r="F7623" s="64">
        <v>7620</v>
      </c>
      <c r="G7623" s="64">
        <f t="shared" ca="1" si="158"/>
        <v>-1.0403016801761178E-2</v>
      </c>
    </row>
    <row r="7624" spans="6:7" x14ac:dyDescent="0.3">
      <c r="F7624" s="64">
        <v>7621</v>
      </c>
      <c r="G7624" s="64">
        <f t="shared" ca="1" si="158"/>
        <v>3.1016306461382037E-2</v>
      </c>
    </row>
    <row r="7625" spans="6:7" x14ac:dyDescent="0.3">
      <c r="F7625" s="64">
        <v>7622</v>
      </c>
      <c r="G7625" s="64">
        <f t="shared" ca="1" si="158"/>
        <v>-1.6328661722048006E-2</v>
      </c>
    </row>
    <row r="7626" spans="6:7" x14ac:dyDescent="0.3">
      <c r="F7626" s="64">
        <v>7623</v>
      </c>
      <c r="G7626" s="64">
        <f t="shared" ca="1" si="158"/>
        <v>8.228045021763818E-3</v>
      </c>
    </row>
    <row r="7627" spans="6:7" x14ac:dyDescent="0.3">
      <c r="F7627" s="64">
        <v>7624</v>
      </c>
      <c r="G7627" s="64">
        <f t="shared" ca="1" si="158"/>
        <v>-4.3073898953199796E-4</v>
      </c>
    </row>
    <row r="7628" spans="6:7" x14ac:dyDescent="0.3">
      <c r="F7628" s="64">
        <v>7625</v>
      </c>
      <c r="G7628" s="64">
        <f t="shared" ca="1" si="158"/>
        <v>1.9435721734145724E-3</v>
      </c>
    </row>
    <row r="7629" spans="6:7" x14ac:dyDescent="0.3">
      <c r="F7629" s="64">
        <v>7626</v>
      </c>
      <c r="G7629" s="64">
        <f t="shared" ca="1" si="158"/>
        <v>-4.7696758327189868E-3</v>
      </c>
    </row>
    <row r="7630" spans="6:7" x14ac:dyDescent="0.3">
      <c r="F7630" s="64">
        <v>7627</v>
      </c>
      <c r="G7630" s="64">
        <f t="shared" ca="1" si="158"/>
        <v>-2.1223559885248156E-3</v>
      </c>
    </row>
    <row r="7631" spans="6:7" x14ac:dyDescent="0.3">
      <c r="F7631" s="64">
        <v>7628</v>
      </c>
      <c r="G7631" s="64">
        <f t="shared" ca="1" si="158"/>
        <v>-5.6285774081989088E-3</v>
      </c>
    </row>
    <row r="7632" spans="6:7" x14ac:dyDescent="0.3">
      <c r="F7632" s="64">
        <v>7629</v>
      </c>
      <c r="G7632" s="64">
        <f t="shared" ca="1" si="158"/>
        <v>2.4894521642766503E-2</v>
      </c>
    </row>
    <row r="7633" spans="6:7" x14ac:dyDescent="0.3">
      <c r="F7633" s="64">
        <v>7630</v>
      </c>
      <c r="G7633" s="64">
        <f t="shared" ca="1" si="158"/>
        <v>-2.1438281047186841E-2</v>
      </c>
    </row>
    <row r="7634" spans="6:7" x14ac:dyDescent="0.3">
      <c r="F7634" s="64">
        <v>7631</v>
      </c>
      <c r="G7634" s="64">
        <f t="shared" ca="1" si="158"/>
        <v>1.7618486980378573E-2</v>
      </c>
    </row>
    <row r="7635" spans="6:7" x14ac:dyDescent="0.3">
      <c r="F7635" s="64">
        <v>7632</v>
      </c>
      <c r="G7635" s="64">
        <f t="shared" ca="1" si="158"/>
        <v>-3.3620999293930892E-2</v>
      </c>
    </row>
    <row r="7636" spans="6:7" x14ac:dyDescent="0.3">
      <c r="F7636" s="64">
        <v>7633</v>
      </c>
      <c r="G7636" s="64">
        <f t="shared" ca="1" si="158"/>
        <v>1.8379288364109144E-3</v>
      </c>
    </row>
    <row r="7637" spans="6:7" x14ac:dyDescent="0.3">
      <c r="F7637" s="64">
        <v>7634</v>
      </c>
      <c r="G7637" s="64">
        <f t="shared" ca="1" si="158"/>
        <v>1.0971392647174654E-2</v>
      </c>
    </row>
    <row r="7638" spans="6:7" x14ac:dyDescent="0.3">
      <c r="F7638" s="64">
        <v>7635</v>
      </c>
      <c r="G7638" s="64">
        <f t="shared" ca="1" si="158"/>
        <v>2.4786552225928113E-2</v>
      </c>
    </row>
    <row r="7639" spans="6:7" x14ac:dyDescent="0.3">
      <c r="F7639" s="64">
        <v>7636</v>
      </c>
      <c r="G7639" s="64">
        <f t="shared" ca="1" si="158"/>
        <v>2.4740479661787265E-3</v>
      </c>
    </row>
    <row r="7640" spans="6:7" x14ac:dyDescent="0.3">
      <c r="F7640" s="64">
        <v>7637</v>
      </c>
      <c r="G7640" s="64">
        <f t="shared" ca="1" si="158"/>
        <v>1.478546011686783E-2</v>
      </c>
    </row>
    <row r="7641" spans="6:7" x14ac:dyDescent="0.3">
      <c r="F7641" s="64">
        <v>7638</v>
      </c>
      <c r="G7641" s="64">
        <f t="shared" ca="1" si="158"/>
        <v>8.7272159960526188E-3</v>
      </c>
    </row>
    <row r="7642" spans="6:7" x14ac:dyDescent="0.3">
      <c r="F7642" s="64">
        <v>7639</v>
      </c>
      <c r="G7642" s="64">
        <f t="shared" ca="1" si="158"/>
        <v>-1.9806828265813987E-2</v>
      </c>
    </row>
    <row r="7643" spans="6:7" x14ac:dyDescent="0.3">
      <c r="F7643" s="64">
        <v>7640</v>
      </c>
      <c r="G7643" s="64">
        <f t="shared" ca="1" si="158"/>
        <v>1.7928613955811142E-2</v>
      </c>
    </row>
    <row r="7644" spans="6:7" x14ac:dyDescent="0.3">
      <c r="F7644" s="64">
        <v>7641</v>
      </c>
      <c r="G7644" s="64">
        <f t="shared" ca="1" si="158"/>
        <v>3.7210144540709346E-2</v>
      </c>
    </row>
    <row r="7645" spans="6:7" x14ac:dyDescent="0.3">
      <c r="F7645" s="64">
        <v>7642</v>
      </c>
      <c r="G7645" s="64">
        <f t="shared" ca="1" si="158"/>
        <v>-1.8572718726208269E-2</v>
      </c>
    </row>
    <row r="7646" spans="6:7" x14ac:dyDescent="0.3">
      <c r="F7646" s="64">
        <v>7643</v>
      </c>
      <c r="G7646" s="64">
        <f t="shared" ca="1" si="158"/>
        <v>-1.3261879073147086E-2</v>
      </c>
    </row>
    <row r="7647" spans="6:7" x14ac:dyDescent="0.3">
      <c r="F7647" s="64">
        <v>7644</v>
      </c>
      <c r="G7647" s="64">
        <f t="shared" ca="1" si="158"/>
        <v>-1.2112733439634846E-3</v>
      </c>
    </row>
    <row r="7648" spans="6:7" x14ac:dyDescent="0.3">
      <c r="F7648" s="64">
        <v>7645</v>
      </c>
      <c r="G7648" s="64">
        <f t="shared" ca="1" si="158"/>
        <v>4.1286258408428693E-2</v>
      </c>
    </row>
    <row r="7649" spans="6:7" x14ac:dyDescent="0.3">
      <c r="F7649" s="64">
        <v>7646</v>
      </c>
      <c r="G7649" s="64">
        <f t="shared" ca="1" si="158"/>
        <v>-4.7639467466715948E-2</v>
      </c>
    </row>
    <row r="7650" spans="6:7" x14ac:dyDescent="0.3">
      <c r="F7650" s="64">
        <v>7647</v>
      </c>
      <c r="G7650" s="64">
        <f t="shared" ca="1" si="158"/>
        <v>1.771673057770351E-2</v>
      </c>
    </row>
    <row r="7651" spans="6:7" x14ac:dyDescent="0.3">
      <c r="F7651" s="64">
        <v>7648</v>
      </c>
      <c r="G7651" s="64">
        <f t="shared" ca="1" si="158"/>
        <v>-1.0590132858953549E-2</v>
      </c>
    </row>
    <row r="7652" spans="6:7" x14ac:dyDescent="0.3">
      <c r="F7652" s="64">
        <v>7649</v>
      </c>
      <c r="G7652" s="64">
        <f t="shared" ca="1" si="158"/>
        <v>-7.0775526906060905E-3</v>
      </c>
    </row>
    <row r="7653" spans="6:7" x14ac:dyDescent="0.3">
      <c r="F7653" s="64">
        <v>7650</v>
      </c>
      <c r="G7653" s="64">
        <f t="shared" ca="1" si="158"/>
        <v>4.5758217590939482E-2</v>
      </c>
    </row>
    <row r="7654" spans="6:7" x14ac:dyDescent="0.3">
      <c r="F7654" s="64">
        <v>7651</v>
      </c>
      <c r="G7654" s="64">
        <f t="shared" ca="1" si="158"/>
        <v>3.1772720499730248E-2</v>
      </c>
    </row>
    <row r="7655" spans="6:7" x14ac:dyDescent="0.3">
      <c r="F7655" s="64">
        <v>7652</v>
      </c>
      <c r="G7655" s="64">
        <f t="shared" ca="1" si="158"/>
        <v>1.5374270063845882E-2</v>
      </c>
    </row>
    <row r="7656" spans="6:7" x14ac:dyDescent="0.3">
      <c r="F7656" s="64">
        <v>7653</v>
      </c>
      <c r="G7656" s="64">
        <f t="shared" ca="1" si="158"/>
        <v>1.8074707863600735E-2</v>
      </c>
    </row>
    <row r="7657" spans="6:7" x14ac:dyDescent="0.3">
      <c r="F7657" s="64">
        <v>7654</v>
      </c>
      <c r="G7657" s="64">
        <f t="shared" ca="1" si="158"/>
        <v>9.1092088026503981E-3</v>
      </c>
    </row>
    <row r="7658" spans="6:7" x14ac:dyDescent="0.3">
      <c r="F7658" s="64">
        <v>7655</v>
      </c>
      <c r="G7658" s="64">
        <f t="shared" ca="1" si="158"/>
        <v>-5.8791724988738418E-3</v>
      </c>
    </row>
    <row r="7659" spans="6:7" x14ac:dyDescent="0.3">
      <c r="F7659" s="64">
        <v>7656</v>
      </c>
      <c r="G7659" s="64">
        <f t="shared" ca="1" si="158"/>
        <v>3.3482342375560123E-2</v>
      </c>
    </row>
    <row r="7660" spans="6:7" x14ac:dyDescent="0.3">
      <c r="F7660" s="64">
        <v>7657</v>
      </c>
      <c r="G7660" s="64">
        <f t="shared" ca="1" si="158"/>
        <v>9.7386497151401019E-3</v>
      </c>
    </row>
    <row r="7661" spans="6:7" x14ac:dyDescent="0.3">
      <c r="F7661" s="64">
        <v>7658</v>
      </c>
      <c r="G7661" s="64">
        <f t="shared" ca="1" si="158"/>
        <v>6.205415414063177E-2</v>
      </c>
    </row>
    <row r="7662" spans="6:7" x14ac:dyDescent="0.3">
      <c r="F7662" s="64">
        <v>7659</v>
      </c>
      <c r="G7662" s="64">
        <f t="shared" ca="1" si="158"/>
        <v>1.1200686016385577E-2</v>
      </c>
    </row>
    <row r="7663" spans="6:7" x14ac:dyDescent="0.3">
      <c r="F7663" s="64">
        <v>7660</v>
      </c>
      <c r="G7663" s="64">
        <f t="shared" ca="1" si="158"/>
        <v>1.874731434559558E-3</v>
      </c>
    </row>
    <row r="7664" spans="6:7" x14ac:dyDescent="0.3">
      <c r="F7664" s="64">
        <v>7661</v>
      </c>
      <c r="G7664" s="64">
        <f t="shared" ca="1" si="158"/>
        <v>1.7801211363303933E-2</v>
      </c>
    </row>
    <row r="7665" spans="6:7" x14ac:dyDescent="0.3">
      <c r="F7665" s="64">
        <v>7662</v>
      </c>
      <c r="G7665" s="64">
        <f t="shared" ca="1" si="158"/>
        <v>1.3671254839959384E-2</v>
      </c>
    </row>
    <row r="7666" spans="6:7" x14ac:dyDescent="0.3">
      <c r="F7666" s="64">
        <v>7663</v>
      </c>
      <c r="G7666" s="64">
        <f t="shared" ca="1" si="158"/>
        <v>3.1946646626336603E-2</v>
      </c>
    </row>
    <row r="7667" spans="6:7" x14ac:dyDescent="0.3">
      <c r="F7667" s="64">
        <v>7664</v>
      </c>
      <c r="G7667" s="64">
        <f t="shared" ca="1" si="158"/>
        <v>5.2282821742028543E-3</v>
      </c>
    </row>
    <row r="7668" spans="6:7" x14ac:dyDescent="0.3">
      <c r="F7668" s="64">
        <v>7665</v>
      </c>
      <c r="G7668" s="64">
        <f t="shared" ca="1" si="158"/>
        <v>-3.6509323341671979E-2</v>
      </c>
    </row>
    <row r="7669" spans="6:7" x14ac:dyDescent="0.3">
      <c r="F7669" s="64">
        <v>7666</v>
      </c>
      <c r="G7669" s="64">
        <f t="shared" ca="1" si="158"/>
        <v>1.8195283814051465E-2</v>
      </c>
    </row>
    <row r="7670" spans="6:7" x14ac:dyDescent="0.3">
      <c r="F7670" s="64">
        <v>7667</v>
      </c>
      <c r="G7670" s="64">
        <f t="shared" ca="1" si="158"/>
        <v>-1.7825345751108286E-2</v>
      </c>
    </row>
    <row r="7671" spans="6:7" x14ac:dyDescent="0.3">
      <c r="F7671" s="64">
        <v>7668</v>
      </c>
      <c r="G7671" s="64">
        <f t="shared" ca="1" si="158"/>
        <v>8.6348615821197801E-3</v>
      </c>
    </row>
    <row r="7672" spans="6:7" x14ac:dyDescent="0.3">
      <c r="F7672" s="64">
        <v>7669</v>
      </c>
      <c r="G7672" s="64">
        <f t="shared" ca="1" si="158"/>
        <v>-2.0280503325985973E-2</v>
      </c>
    </row>
    <row r="7673" spans="6:7" x14ac:dyDescent="0.3">
      <c r="F7673" s="64">
        <v>7670</v>
      </c>
      <c r="G7673" s="64">
        <f t="shared" ca="1" si="158"/>
        <v>-3.0246462338286602E-3</v>
      </c>
    </row>
    <row r="7674" spans="6:7" x14ac:dyDescent="0.3">
      <c r="F7674" s="64">
        <v>7671</v>
      </c>
      <c r="G7674" s="64">
        <f t="shared" ca="1" si="158"/>
        <v>-8.7146087715627499E-3</v>
      </c>
    </row>
    <row r="7675" spans="6:7" x14ac:dyDescent="0.3">
      <c r="F7675" s="64">
        <v>7672</v>
      </c>
      <c r="G7675" s="64">
        <f t="shared" ca="1" si="158"/>
        <v>2.3578920414990328E-3</v>
      </c>
    </row>
    <row r="7676" spans="6:7" x14ac:dyDescent="0.3">
      <c r="F7676" s="64">
        <v>7673</v>
      </c>
      <c r="G7676" s="64">
        <f t="shared" ca="1" si="158"/>
        <v>4.9015762408449763E-3</v>
      </c>
    </row>
    <row r="7677" spans="6:7" x14ac:dyDescent="0.3">
      <c r="F7677" s="64">
        <v>7674</v>
      </c>
      <c r="G7677" s="64">
        <f t="shared" ca="1" si="158"/>
        <v>-2.4595204860978506E-2</v>
      </c>
    </row>
    <row r="7678" spans="6:7" x14ac:dyDescent="0.3">
      <c r="F7678" s="64">
        <v>7675</v>
      </c>
      <c r="G7678" s="64">
        <f t="shared" ca="1" si="158"/>
        <v>-4.0432778169434587E-2</v>
      </c>
    </row>
    <row r="7679" spans="6:7" x14ac:dyDescent="0.3">
      <c r="F7679" s="64">
        <v>7676</v>
      </c>
      <c r="G7679" s="64">
        <f t="shared" ca="1" si="158"/>
        <v>-3.1445472141401675E-3</v>
      </c>
    </row>
    <row r="7680" spans="6:7" x14ac:dyDescent="0.3">
      <c r="F7680" s="64">
        <v>7677</v>
      </c>
      <c r="G7680" s="64">
        <f t="shared" ca="1" si="158"/>
        <v>1.0809858791645833E-2</v>
      </c>
    </row>
    <row r="7681" spans="6:7" x14ac:dyDescent="0.3">
      <c r="F7681" s="64">
        <v>7678</v>
      </c>
      <c r="G7681" s="64">
        <f t="shared" ca="1" si="158"/>
        <v>-1.1120371797268665E-2</v>
      </c>
    </row>
    <row r="7682" spans="6:7" x14ac:dyDescent="0.3">
      <c r="F7682" s="64">
        <v>7679</v>
      </c>
      <c r="G7682" s="64">
        <f t="shared" ca="1" si="158"/>
        <v>-1.2159901925494944E-2</v>
      </c>
    </row>
    <row r="7683" spans="6:7" x14ac:dyDescent="0.3">
      <c r="F7683" s="64">
        <v>7680</v>
      </c>
      <c r="G7683" s="64">
        <f t="shared" ca="1" si="158"/>
        <v>2.2710398264668218E-2</v>
      </c>
    </row>
    <row r="7684" spans="6:7" x14ac:dyDescent="0.3">
      <c r="F7684" s="64">
        <v>7681</v>
      </c>
      <c r="G7684" s="64">
        <f t="shared" ca="1" si="158"/>
        <v>-1.6044801986306187E-2</v>
      </c>
    </row>
    <row r="7685" spans="6:7" x14ac:dyDescent="0.3">
      <c r="F7685" s="64">
        <v>7682</v>
      </c>
      <c r="G7685" s="64">
        <f t="shared" ref="G7685:G7748" ca="1" si="159">_xlfn.NORM.INV(RAND(),K$6,K$7)</f>
        <v>3.1530715276973938E-2</v>
      </c>
    </row>
    <row r="7686" spans="6:7" x14ac:dyDescent="0.3">
      <c r="F7686" s="64">
        <v>7683</v>
      </c>
      <c r="G7686" s="64">
        <f t="shared" ca="1" si="159"/>
        <v>4.6405292650175893E-2</v>
      </c>
    </row>
    <row r="7687" spans="6:7" x14ac:dyDescent="0.3">
      <c r="F7687" s="64">
        <v>7684</v>
      </c>
      <c r="G7687" s="64">
        <f t="shared" ca="1" si="159"/>
        <v>-3.5212810648244809E-2</v>
      </c>
    </row>
    <row r="7688" spans="6:7" x14ac:dyDescent="0.3">
      <c r="F7688" s="64">
        <v>7685</v>
      </c>
      <c r="G7688" s="64">
        <f t="shared" ca="1" si="159"/>
        <v>2.7548139276435228E-2</v>
      </c>
    </row>
    <row r="7689" spans="6:7" x14ac:dyDescent="0.3">
      <c r="F7689" s="64">
        <v>7686</v>
      </c>
      <c r="G7689" s="64">
        <f t="shared" ca="1" si="159"/>
        <v>4.069442411257472E-3</v>
      </c>
    </row>
    <row r="7690" spans="6:7" x14ac:dyDescent="0.3">
      <c r="F7690" s="64">
        <v>7687</v>
      </c>
      <c r="G7690" s="64">
        <f t="shared" ca="1" si="159"/>
        <v>2.9518303486737264E-2</v>
      </c>
    </row>
    <row r="7691" spans="6:7" x14ac:dyDescent="0.3">
      <c r="F7691" s="64">
        <v>7688</v>
      </c>
      <c r="G7691" s="64">
        <f t="shared" ca="1" si="159"/>
        <v>2.4695951084464401E-2</v>
      </c>
    </row>
    <row r="7692" spans="6:7" x14ac:dyDescent="0.3">
      <c r="F7692" s="64">
        <v>7689</v>
      </c>
      <c r="G7692" s="64">
        <f t="shared" ca="1" si="159"/>
        <v>-4.8772241752203698E-3</v>
      </c>
    </row>
    <row r="7693" spans="6:7" x14ac:dyDescent="0.3">
      <c r="F7693" s="64">
        <v>7690</v>
      </c>
      <c r="G7693" s="64">
        <f t="shared" ca="1" si="159"/>
        <v>-8.1376289923254623E-3</v>
      </c>
    </row>
    <row r="7694" spans="6:7" x14ac:dyDescent="0.3">
      <c r="F7694" s="64">
        <v>7691</v>
      </c>
      <c r="G7694" s="64">
        <f t="shared" ca="1" si="159"/>
        <v>-1.8842173011878884E-2</v>
      </c>
    </row>
    <row r="7695" spans="6:7" x14ac:dyDescent="0.3">
      <c r="F7695" s="64">
        <v>7692</v>
      </c>
      <c r="G7695" s="64">
        <f t="shared" ca="1" si="159"/>
        <v>3.3306191639551397E-2</v>
      </c>
    </row>
    <row r="7696" spans="6:7" x14ac:dyDescent="0.3">
      <c r="F7696" s="64">
        <v>7693</v>
      </c>
      <c r="G7696" s="64">
        <f t="shared" ca="1" si="159"/>
        <v>-1.6917493394639854E-2</v>
      </c>
    </row>
    <row r="7697" spans="6:7" x14ac:dyDescent="0.3">
      <c r="F7697" s="64">
        <v>7694</v>
      </c>
      <c r="G7697" s="64">
        <f t="shared" ca="1" si="159"/>
        <v>-1.2846646808253592E-2</v>
      </c>
    </row>
    <row r="7698" spans="6:7" x14ac:dyDescent="0.3">
      <c r="F7698" s="64">
        <v>7695</v>
      </c>
      <c r="G7698" s="64">
        <f t="shared" ca="1" si="159"/>
        <v>2.3833904259296635E-3</v>
      </c>
    </row>
    <row r="7699" spans="6:7" x14ac:dyDescent="0.3">
      <c r="F7699" s="64">
        <v>7696</v>
      </c>
      <c r="G7699" s="64">
        <f t="shared" ca="1" si="159"/>
        <v>-3.3620824075228043E-3</v>
      </c>
    </row>
    <row r="7700" spans="6:7" x14ac:dyDescent="0.3">
      <c r="F7700" s="64">
        <v>7697</v>
      </c>
      <c r="G7700" s="64">
        <f t="shared" ca="1" si="159"/>
        <v>-3.5420976216433298E-3</v>
      </c>
    </row>
    <row r="7701" spans="6:7" x14ac:dyDescent="0.3">
      <c r="F7701" s="64">
        <v>7698</v>
      </c>
      <c r="G7701" s="64">
        <f t="shared" ca="1" si="159"/>
        <v>1.3226412329245296E-2</v>
      </c>
    </row>
    <row r="7702" spans="6:7" x14ac:dyDescent="0.3">
      <c r="F7702" s="64">
        <v>7699</v>
      </c>
      <c r="G7702" s="64">
        <f t="shared" ca="1" si="159"/>
        <v>6.88317583842059E-3</v>
      </c>
    </row>
    <row r="7703" spans="6:7" x14ac:dyDescent="0.3">
      <c r="F7703" s="64">
        <v>7700</v>
      </c>
      <c r="G7703" s="64">
        <f t="shared" ca="1" si="159"/>
        <v>6.6514207622605731E-3</v>
      </c>
    </row>
    <row r="7704" spans="6:7" x14ac:dyDescent="0.3">
      <c r="F7704" s="64">
        <v>7701</v>
      </c>
      <c r="G7704" s="64">
        <f t="shared" ca="1" si="159"/>
        <v>-2.1220406446840418E-3</v>
      </c>
    </row>
    <row r="7705" spans="6:7" x14ac:dyDescent="0.3">
      <c r="F7705" s="64">
        <v>7702</v>
      </c>
      <c r="G7705" s="64">
        <f t="shared" ca="1" si="159"/>
        <v>-1.685224259957023E-2</v>
      </c>
    </row>
    <row r="7706" spans="6:7" x14ac:dyDescent="0.3">
      <c r="F7706" s="64">
        <v>7703</v>
      </c>
      <c r="G7706" s="64">
        <f t="shared" ca="1" si="159"/>
        <v>-6.5665402638970891E-3</v>
      </c>
    </row>
    <row r="7707" spans="6:7" x14ac:dyDescent="0.3">
      <c r="F7707" s="64">
        <v>7704</v>
      </c>
      <c r="G7707" s="64">
        <f t="shared" ca="1" si="159"/>
        <v>-2.3414286642866128E-2</v>
      </c>
    </row>
    <row r="7708" spans="6:7" x14ac:dyDescent="0.3">
      <c r="F7708" s="64">
        <v>7705</v>
      </c>
      <c r="G7708" s="64">
        <f t="shared" ca="1" si="159"/>
        <v>-5.7969730983395078E-2</v>
      </c>
    </row>
    <row r="7709" spans="6:7" x14ac:dyDescent="0.3">
      <c r="F7709" s="64">
        <v>7706</v>
      </c>
      <c r="G7709" s="64">
        <f t="shared" ca="1" si="159"/>
        <v>1.5437082181635357E-2</v>
      </c>
    </row>
    <row r="7710" spans="6:7" x14ac:dyDescent="0.3">
      <c r="F7710" s="64">
        <v>7707</v>
      </c>
      <c r="G7710" s="64">
        <f t="shared" ca="1" si="159"/>
        <v>4.0916667680627253E-3</v>
      </c>
    </row>
    <row r="7711" spans="6:7" x14ac:dyDescent="0.3">
      <c r="F7711" s="64">
        <v>7708</v>
      </c>
      <c r="G7711" s="64">
        <f t="shared" ca="1" si="159"/>
        <v>-5.1786805942119051E-3</v>
      </c>
    </row>
    <row r="7712" spans="6:7" x14ac:dyDescent="0.3">
      <c r="F7712" s="64">
        <v>7709</v>
      </c>
      <c r="G7712" s="64">
        <f t="shared" ca="1" si="159"/>
        <v>-1.5149682800817932E-2</v>
      </c>
    </row>
    <row r="7713" spans="6:7" x14ac:dyDescent="0.3">
      <c r="F7713" s="64">
        <v>7710</v>
      </c>
      <c r="G7713" s="64">
        <f t="shared" ca="1" si="159"/>
        <v>-7.129717424573738E-3</v>
      </c>
    </row>
    <row r="7714" spans="6:7" x14ac:dyDescent="0.3">
      <c r="F7714" s="64">
        <v>7711</v>
      </c>
      <c r="G7714" s="64">
        <f t="shared" ca="1" si="159"/>
        <v>1.97238624195962E-2</v>
      </c>
    </row>
    <row r="7715" spans="6:7" x14ac:dyDescent="0.3">
      <c r="F7715" s="64">
        <v>7712</v>
      </c>
      <c r="G7715" s="64">
        <f t="shared" ca="1" si="159"/>
        <v>-1.4704586357950805E-2</v>
      </c>
    </row>
    <row r="7716" spans="6:7" x14ac:dyDescent="0.3">
      <c r="F7716" s="64">
        <v>7713</v>
      </c>
      <c r="G7716" s="64">
        <f t="shared" ca="1" si="159"/>
        <v>1.077433142799545E-2</v>
      </c>
    </row>
    <row r="7717" spans="6:7" x14ac:dyDescent="0.3">
      <c r="F7717" s="64">
        <v>7714</v>
      </c>
      <c r="G7717" s="64">
        <f t="shared" ca="1" si="159"/>
        <v>-1.8470302392391322E-2</v>
      </c>
    </row>
    <row r="7718" spans="6:7" x14ac:dyDescent="0.3">
      <c r="F7718" s="64">
        <v>7715</v>
      </c>
      <c r="G7718" s="64">
        <f t="shared" ca="1" si="159"/>
        <v>2.7111422108207217E-3</v>
      </c>
    </row>
    <row r="7719" spans="6:7" x14ac:dyDescent="0.3">
      <c r="F7719" s="64">
        <v>7716</v>
      </c>
      <c r="G7719" s="64">
        <f t="shared" ca="1" si="159"/>
        <v>-1.7324374048116034E-5</v>
      </c>
    </row>
    <row r="7720" spans="6:7" x14ac:dyDescent="0.3">
      <c r="F7720" s="64">
        <v>7717</v>
      </c>
      <c r="G7720" s="64">
        <f t="shared" ca="1" si="159"/>
        <v>-1.9083426579155675E-2</v>
      </c>
    </row>
    <row r="7721" spans="6:7" x14ac:dyDescent="0.3">
      <c r="F7721" s="64">
        <v>7718</v>
      </c>
      <c r="G7721" s="64">
        <f t="shared" ca="1" si="159"/>
        <v>-3.8198367791718237E-2</v>
      </c>
    </row>
    <row r="7722" spans="6:7" x14ac:dyDescent="0.3">
      <c r="F7722" s="64">
        <v>7719</v>
      </c>
      <c r="G7722" s="64">
        <f t="shared" ca="1" si="159"/>
        <v>1.3671964814257731E-2</v>
      </c>
    </row>
    <row r="7723" spans="6:7" x14ac:dyDescent="0.3">
      <c r="F7723" s="64">
        <v>7720</v>
      </c>
      <c r="G7723" s="64">
        <f t="shared" ca="1" si="159"/>
        <v>-3.3152100815581845E-3</v>
      </c>
    </row>
    <row r="7724" spans="6:7" x14ac:dyDescent="0.3">
      <c r="F7724" s="64">
        <v>7721</v>
      </c>
      <c r="G7724" s="64">
        <f t="shared" ca="1" si="159"/>
        <v>-2.0747422384231108E-3</v>
      </c>
    </row>
    <row r="7725" spans="6:7" x14ac:dyDescent="0.3">
      <c r="F7725" s="64">
        <v>7722</v>
      </c>
      <c r="G7725" s="64">
        <f t="shared" ca="1" si="159"/>
        <v>-6.7170773218296559E-3</v>
      </c>
    </row>
    <row r="7726" spans="6:7" x14ac:dyDescent="0.3">
      <c r="F7726" s="64">
        <v>7723</v>
      </c>
      <c r="G7726" s="64">
        <f t="shared" ca="1" si="159"/>
        <v>3.9063066697058328E-2</v>
      </c>
    </row>
    <row r="7727" spans="6:7" x14ac:dyDescent="0.3">
      <c r="F7727" s="64">
        <v>7724</v>
      </c>
      <c r="G7727" s="64">
        <f t="shared" ca="1" si="159"/>
        <v>-1.4106001753206615E-2</v>
      </c>
    </row>
    <row r="7728" spans="6:7" x14ac:dyDescent="0.3">
      <c r="F7728" s="64">
        <v>7725</v>
      </c>
      <c r="G7728" s="64">
        <f t="shared" ca="1" si="159"/>
        <v>-5.4734596108770711E-3</v>
      </c>
    </row>
    <row r="7729" spans="6:7" x14ac:dyDescent="0.3">
      <c r="F7729" s="64">
        <v>7726</v>
      </c>
      <c r="G7729" s="64">
        <f t="shared" ca="1" si="159"/>
        <v>6.7911277782459764E-3</v>
      </c>
    </row>
    <row r="7730" spans="6:7" x14ac:dyDescent="0.3">
      <c r="F7730" s="64">
        <v>7727</v>
      </c>
      <c r="G7730" s="64">
        <f t="shared" ca="1" si="159"/>
        <v>-6.4528429067930567E-3</v>
      </c>
    </row>
    <row r="7731" spans="6:7" x14ac:dyDescent="0.3">
      <c r="F7731" s="64">
        <v>7728</v>
      </c>
      <c r="G7731" s="64">
        <f t="shared" ca="1" si="159"/>
        <v>-2.3105031671210021E-3</v>
      </c>
    </row>
    <row r="7732" spans="6:7" x14ac:dyDescent="0.3">
      <c r="F7732" s="64">
        <v>7729</v>
      </c>
      <c r="G7732" s="64">
        <f t="shared" ca="1" si="159"/>
        <v>4.025468884729607E-2</v>
      </c>
    </row>
    <row r="7733" spans="6:7" x14ac:dyDescent="0.3">
      <c r="F7733" s="64">
        <v>7730</v>
      </c>
      <c r="G7733" s="64">
        <f t="shared" ca="1" si="159"/>
        <v>-5.9555135702453414E-3</v>
      </c>
    </row>
    <row r="7734" spans="6:7" x14ac:dyDescent="0.3">
      <c r="F7734" s="64">
        <v>7731</v>
      </c>
      <c r="G7734" s="64">
        <f t="shared" ca="1" si="159"/>
        <v>-2.8170764266824182E-2</v>
      </c>
    </row>
    <row r="7735" spans="6:7" x14ac:dyDescent="0.3">
      <c r="F7735" s="64">
        <v>7732</v>
      </c>
      <c r="G7735" s="64">
        <f t="shared" ca="1" si="159"/>
        <v>5.1597484079337209E-2</v>
      </c>
    </row>
    <row r="7736" spans="6:7" x14ac:dyDescent="0.3">
      <c r="F7736" s="64">
        <v>7733</v>
      </c>
      <c r="G7736" s="64">
        <f t="shared" ca="1" si="159"/>
        <v>4.0013969188113473E-4</v>
      </c>
    </row>
    <row r="7737" spans="6:7" x14ac:dyDescent="0.3">
      <c r="F7737" s="64">
        <v>7734</v>
      </c>
      <c r="G7737" s="64">
        <f t="shared" ca="1" si="159"/>
        <v>-2.6145627206940976E-2</v>
      </c>
    </row>
    <row r="7738" spans="6:7" x14ac:dyDescent="0.3">
      <c r="F7738" s="64">
        <v>7735</v>
      </c>
      <c r="G7738" s="64">
        <f t="shared" ca="1" si="159"/>
        <v>8.0786057077902197E-3</v>
      </c>
    </row>
    <row r="7739" spans="6:7" x14ac:dyDescent="0.3">
      <c r="F7739" s="64">
        <v>7736</v>
      </c>
      <c r="G7739" s="64">
        <f t="shared" ca="1" si="159"/>
        <v>-3.3205125071759538E-2</v>
      </c>
    </row>
    <row r="7740" spans="6:7" x14ac:dyDescent="0.3">
      <c r="F7740" s="64">
        <v>7737</v>
      </c>
      <c r="G7740" s="64">
        <f t="shared" ca="1" si="159"/>
        <v>9.5223456276425887E-3</v>
      </c>
    </row>
    <row r="7741" spans="6:7" x14ac:dyDescent="0.3">
      <c r="F7741" s="64">
        <v>7738</v>
      </c>
      <c r="G7741" s="64">
        <f t="shared" ca="1" si="159"/>
        <v>1.7574176168177642E-2</v>
      </c>
    </row>
    <row r="7742" spans="6:7" x14ac:dyDescent="0.3">
      <c r="F7742" s="64">
        <v>7739</v>
      </c>
      <c r="G7742" s="64">
        <f t="shared" ca="1" si="159"/>
        <v>1.5321628166924591E-2</v>
      </c>
    </row>
    <row r="7743" spans="6:7" x14ac:dyDescent="0.3">
      <c r="F7743" s="64">
        <v>7740</v>
      </c>
      <c r="G7743" s="64">
        <f t="shared" ca="1" si="159"/>
        <v>2.1954966201760899E-2</v>
      </c>
    </row>
    <row r="7744" spans="6:7" x14ac:dyDescent="0.3">
      <c r="F7744" s="64">
        <v>7741</v>
      </c>
      <c r="G7744" s="64">
        <f t="shared" ca="1" si="159"/>
        <v>-5.0624312729098085E-3</v>
      </c>
    </row>
    <row r="7745" spans="6:7" x14ac:dyDescent="0.3">
      <c r="F7745" s="64">
        <v>7742</v>
      </c>
      <c r="G7745" s="64">
        <f t="shared" ca="1" si="159"/>
        <v>-4.6729803767648131E-3</v>
      </c>
    </row>
    <row r="7746" spans="6:7" x14ac:dyDescent="0.3">
      <c r="F7746" s="64">
        <v>7743</v>
      </c>
      <c r="G7746" s="64">
        <f t="shared" ca="1" si="159"/>
        <v>-1.4639243074310065E-2</v>
      </c>
    </row>
    <row r="7747" spans="6:7" x14ac:dyDescent="0.3">
      <c r="F7747" s="64">
        <v>7744</v>
      </c>
      <c r="G7747" s="64">
        <f t="shared" ca="1" si="159"/>
        <v>-5.6884096408828799E-3</v>
      </c>
    </row>
    <row r="7748" spans="6:7" x14ac:dyDescent="0.3">
      <c r="F7748" s="64">
        <v>7745</v>
      </c>
      <c r="G7748" s="64">
        <f t="shared" ca="1" si="159"/>
        <v>-2.1919595701972994E-2</v>
      </c>
    </row>
    <row r="7749" spans="6:7" x14ac:dyDescent="0.3">
      <c r="F7749" s="64">
        <v>7746</v>
      </c>
      <c r="G7749" s="64">
        <f t="shared" ref="G7749:G7812" ca="1" si="160">_xlfn.NORM.INV(RAND(),K$6,K$7)</f>
        <v>-1.1571547080472705E-2</v>
      </c>
    </row>
    <row r="7750" spans="6:7" x14ac:dyDescent="0.3">
      <c r="F7750" s="64">
        <v>7747</v>
      </c>
      <c r="G7750" s="64">
        <f t="shared" ca="1" si="160"/>
        <v>1.2217694579952443E-2</v>
      </c>
    </row>
    <row r="7751" spans="6:7" x14ac:dyDescent="0.3">
      <c r="F7751" s="64">
        <v>7748</v>
      </c>
      <c r="G7751" s="64">
        <f t="shared" ca="1" si="160"/>
        <v>-6.433085312705384E-5</v>
      </c>
    </row>
    <row r="7752" spans="6:7" x14ac:dyDescent="0.3">
      <c r="F7752" s="64">
        <v>7749</v>
      </c>
      <c r="G7752" s="64">
        <f t="shared" ca="1" si="160"/>
        <v>-4.1032600608443784E-2</v>
      </c>
    </row>
    <row r="7753" spans="6:7" x14ac:dyDescent="0.3">
      <c r="F7753" s="64">
        <v>7750</v>
      </c>
      <c r="G7753" s="64">
        <f t="shared" ca="1" si="160"/>
        <v>6.6326922414138567E-3</v>
      </c>
    </row>
    <row r="7754" spans="6:7" x14ac:dyDescent="0.3">
      <c r="F7754" s="64">
        <v>7751</v>
      </c>
      <c r="G7754" s="64">
        <f t="shared" ca="1" si="160"/>
        <v>-3.1048819788428751E-2</v>
      </c>
    </row>
    <row r="7755" spans="6:7" x14ac:dyDescent="0.3">
      <c r="F7755" s="64">
        <v>7752</v>
      </c>
      <c r="G7755" s="64">
        <f t="shared" ca="1" si="160"/>
        <v>-1.2123635147866133E-2</v>
      </c>
    </row>
    <row r="7756" spans="6:7" x14ac:dyDescent="0.3">
      <c r="F7756" s="64">
        <v>7753</v>
      </c>
      <c r="G7756" s="64">
        <f t="shared" ca="1" si="160"/>
        <v>5.0398224176443377E-3</v>
      </c>
    </row>
    <row r="7757" spans="6:7" x14ac:dyDescent="0.3">
      <c r="F7757" s="64">
        <v>7754</v>
      </c>
      <c r="G7757" s="64">
        <f t="shared" ca="1" si="160"/>
        <v>6.4950184537296658E-3</v>
      </c>
    </row>
    <row r="7758" spans="6:7" x14ac:dyDescent="0.3">
      <c r="F7758" s="64">
        <v>7755</v>
      </c>
      <c r="G7758" s="64">
        <f t="shared" ca="1" si="160"/>
        <v>-3.9615121424573423E-3</v>
      </c>
    </row>
    <row r="7759" spans="6:7" x14ac:dyDescent="0.3">
      <c r="F7759" s="64">
        <v>7756</v>
      </c>
      <c r="G7759" s="64">
        <f t="shared" ca="1" si="160"/>
        <v>-6.5804137605356217E-3</v>
      </c>
    </row>
    <row r="7760" spans="6:7" x14ac:dyDescent="0.3">
      <c r="F7760" s="64">
        <v>7757</v>
      </c>
      <c r="G7760" s="64">
        <f t="shared" ca="1" si="160"/>
        <v>-1.4611872728823017E-2</v>
      </c>
    </row>
    <row r="7761" spans="6:7" x14ac:dyDescent="0.3">
      <c r="F7761" s="64">
        <v>7758</v>
      </c>
      <c r="G7761" s="64">
        <f t="shared" ca="1" si="160"/>
        <v>-1.7539363511904035E-2</v>
      </c>
    </row>
    <row r="7762" spans="6:7" x14ac:dyDescent="0.3">
      <c r="F7762" s="64">
        <v>7759</v>
      </c>
      <c r="G7762" s="64">
        <f t="shared" ca="1" si="160"/>
        <v>-3.511071905643098E-3</v>
      </c>
    </row>
    <row r="7763" spans="6:7" x14ac:dyDescent="0.3">
      <c r="F7763" s="64">
        <v>7760</v>
      </c>
      <c r="G7763" s="64">
        <f t="shared" ca="1" si="160"/>
        <v>1.682515911326897E-2</v>
      </c>
    </row>
    <row r="7764" spans="6:7" x14ac:dyDescent="0.3">
      <c r="F7764" s="64">
        <v>7761</v>
      </c>
      <c r="G7764" s="64">
        <f t="shared" ca="1" si="160"/>
        <v>-2.8152586038135509E-2</v>
      </c>
    </row>
    <row r="7765" spans="6:7" x14ac:dyDescent="0.3">
      <c r="F7765" s="64">
        <v>7762</v>
      </c>
      <c r="G7765" s="64">
        <f t="shared" ca="1" si="160"/>
        <v>1.8918867805105467E-2</v>
      </c>
    </row>
    <row r="7766" spans="6:7" x14ac:dyDescent="0.3">
      <c r="F7766" s="64">
        <v>7763</v>
      </c>
      <c r="G7766" s="64">
        <f t="shared" ca="1" si="160"/>
        <v>1.0686690062989104E-2</v>
      </c>
    </row>
    <row r="7767" spans="6:7" x14ac:dyDescent="0.3">
      <c r="F7767" s="64">
        <v>7764</v>
      </c>
      <c r="G7767" s="64">
        <f t="shared" ca="1" si="160"/>
        <v>1.7275093247790083E-3</v>
      </c>
    </row>
    <row r="7768" spans="6:7" x14ac:dyDescent="0.3">
      <c r="F7768" s="64">
        <v>7765</v>
      </c>
      <c r="G7768" s="64">
        <f t="shared" ca="1" si="160"/>
        <v>1.4687126978424588E-2</v>
      </c>
    </row>
    <row r="7769" spans="6:7" x14ac:dyDescent="0.3">
      <c r="F7769" s="64">
        <v>7766</v>
      </c>
      <c r="G7769" s="64">
        <f t="shared" ca="1" si="160"/>
        <v>-3.7885478508603389E-2</v>
      </c>
    </row>
    <row r="7770" spans="6:7" x14ac:dyDescent="0.3">
      <c r="F7770" s="64">
        <v>7767</v>
      </c>
      <c r="G7770" s="64">
        <f t="shared" ca="1" si="160"/>
        <v>-3.0276600749868611E-3</v>
      </c>
    </row>
    <row r="7771" spans="6:7" x14ac:dyDescent="0.3">
      <c r="F7771" s="64">
        <v>7768</v>
      </c>
      <c r="G7771" s="64">
        <f t="shared" ca="1" si="160"/>
        <v>2.1456222402692758E-2</v>
      </c>
    </row>
    <row r="7772" spans="6:7" x14ac:dyDescent="0.3">
      <c r="F7772" s="64">
        <v>7769</v>
      </c>
      <c r="G7772" s="64">
        <f t="shared" ca="1" si="160"/>
        <v>1.5670629280174623E-4</v>
      </c>
    </row>
    <row r="7773" spans="6:7" x14ac:dyDescent="0.3">
      <c r="F7773" s="64">
        <v>7770</v>
      </c>
      <c r="G7773" s="64">
        <f t="shared" ca="1" si="160"/>
        <v>-2.0522181039411294E-2</v>
      </c>
    </row>
    <row r="7774" spans="6:7" x14ac:dyDescent="0.3">
      <c r="F7774" s="64">
        <v>7771</v>
      </c>
      <c r="G7774" s="64">
        <f t="shared" ca="1" si="160"/>
        <v>7.6576703767455151E-3</v>
      </c>
    </row>
    <row r="7775" spans="6:7" x14ac:dyDescent="0.3">
      <c r="F7775" s="64">
        <v>7772</v>
      </c>
      <c r="G7775" s="64">
        <f t="shared" ca="1" si="160"/>
        <v>4.2330544887832558E-4</v>
      </c>
    </row>
    <row r="7776" spans="6:7" x14ac:dyDescent="0.3">
      <c r="F7776" s="64">
        <v>7773</v>
      </c>
      <c r="G7776" s="64">
        <f t="shared" ca="1" si="160"/>
        <v>-3.347695806754121E-2</v>
      </c>
    </row>
    <row r="7777" spans="6:7" x14ac:dyDescent="0.3">
      <c r="F7777" s="64">
        <v>7774</v>
      </c>
      <c r="G7777" s="64">
        <f t="shared" ca="1" si="160"/>
        <v>-2.2156845264918242E-2</v>
      </c>
    </row>
    <row r="7778" spans="6:7" x14ac:dyDescent="0.3">
      <c r="F7778" s="64">
        <v>7775</v>
      </c>
      <c r="G7778" s="64">
        <f t="shared" ca="1" si="160"/>
        <v>-2.5380917677338632E-2</v>
      </c>
    </row>
    <row r="7779" spans="6:7" x14ac:dyDescent="0.3">
      <c r="F7779" s="64">
        <v>7776</v>
      </c>
      <c r="G7779" s="64">
        <f t="shared" ca="1" si="160"/>
        <v>2.7940359450602326E-3</v>
      </c>
    </row>
    <row r="7780" spans="6:7" x14ac:dyDescent="0.3">
      <c r="F7780" s="64">
        <v>7777</v>
      </c>
      <c r="G7780" s="64">
        <f t="shared" ca="1" si="160"/>
        <v>1.7212876708827887E-2</v>
      </c>
    </row>
    <row r="7781" spans="6:7" x14ac:dyDescent="0.3">
      <c r="F7781" s="64">
        <v>7778</v>
      </c>
      <c r="G7781" s="64">
        <f t="shared" ca="1" si="160"/>
        <v>2.1364530581184704E-2</v>
      </c>
    </row>
    <row r="7782" spans="6:7" x14ac:dyDescent="0.3">
      <c r="F7782" s="64">
        <v>7779</v>
      </c>
      <c r="G7782" s="64">
        <f t="shared" ca="1" si="160"/>
        <v>2.2572093947120238E-2</v>
      </c>
    </row>
    <row r="7783" spans="6:7" x14ac:dyDescent="0.3">
      <c r="F7783" s="64">
        <v>7780</v>
      </c>
      <c r="G7783" s="64">
        <f t="shared" ca="1" si="160"/>
        <v>-3.8160378764965135E-2</v>
      </c>
    </row>
    <row r="7784" spans="6:7" x14ac:dyDescent="0.3">
      <c r="F7784" s="64">
        <v>7781</v>
      </c>
      <c r="G7784" s="64">
        <f t="shared" ca="1" si="160"/>
        <v>-3.3703009617307413E-2</v>
      </c>
    </row>
    <row r="7785" spans="6:7" x14ac:dyDescent="0.3">
      <c r="F7785" s="64">
        <v>7782</v>
      </c>
      <c r="G7785" s="64">
        <f t="shared" ca="1" si="160"/>
        <v>-1.0257974856381065E-2</v>
      </c>
    </row>
    <row r="7786" spans="6:7" x14ac:dyDescent="0.3">
      <c r="F7786" s="64">
        <v>7783</v>
      </c>
      <c r="G7786" s="64">
        <f t="shared" ca="1" si="160"/>
        <v>1.1001674898525424E-2</v>
      </c>
    </row>
    <row r="7787" spans="6:7" x14ac:dyDescent="0.3">
      <c r="F7787" s="64">
        <v>7784</v>
      </c>
      <c r="G7787" s="64">
        <f t="shared" ca="1" si="160"/>
        <v>2.4176571062461107E-2</v>
      </c>
    </row>
    <row r="7788" spans="6:7" x14ac:dyDescent="0.3">
      <c r="F7788" s="64">
        <v>7785</v>
      </c>
      <c r="G7788" s="64">
        <f t="shared" ca="1" si="160"/>
        <v>-1.2120976773146034E-2</v>
      </c>
    </row>
    <row r="7789" spans="6:7" x14ac:dyDescent="0.3">
      <c r="F7789" s="64">
        <v>7786</v>
      </c>
      <c r="G7789" s="64">
        <f t="shared" ca="1" si="160"/>
        <v>-8.7412744571624943E-4</v>
      </c>
    </row>
    <row r="7790" spans="6:7" x14ac:dyDescent="0.3">
      <c r="F7790" s="64">
        <v>7787</v>
      </c>
      <c r="G7790" s="64">
        <f t="shared" ca="1" si="160"/>
        <v>2.5625760388062822E-2</v>
      </c>
    </row>
    <row r="7791" spans="6:7" x14ac:dyDescent="0.3">
      <c r="F7791" s="64">
        <v>7788</v>
      </c>
      <c r="G7791" s="64">
        <f t="shared" ca="1" si="160"/>
        <v>5.6779801224452121E-2</v>
      </c>
    </row>
    <row r="7792" spans="6:7" x14ac:dyDescent="0.3">
      <c r="F7792" s="64">
        <v>7789</v>
      </c>
      <c r="G7792" s="64">
        <f t="shared" ca="1" si="160"/>
        <v>2.6544704290071093E-3</v>
      </c>
    </row>
    <row r="7793" spans="6:7" x14ac:dyDescent="0.3">
      <c r="F7793" s="64">
        <v>7790</v>
      </c>
      <c r="G7793" s="64">
        <f t="shared" ca="1" si="160"/>
        <v>1.6927072138751061E-2</v>
      </c>
    </row>
    <row r="7794" spans="6:7" x14ac:dyDescent="0.3">
      <c r="F7794" s="64">
        <v>7791</v>
      </c>
      <c r="G7794" s="64">
        <f t="shared" ca="1" si="160"/>
        <v>3.2650052414238636E-4</v>
      </c>
    </row>
    <row r="7795" spans="6:7" x14ac:dyDescent="0.3">
      <c r="F7795" s="64">
        <v>7792</v>
      </c>
      <c r="G7795" s="64">
        <f t="shared" ca="1" si="160"/>
        <v>-2.4561040020385288E-3</v>
      </c>
    </row>
    <row r="7796" spans="6:7" x14ac:dyDescent="0.3">
      <c r="F7796" s="64">
        <v>7793</v>
      </c>
      <c r="G7796" s="64">
        <f t="shared" ca="1" si="160"/>
        <v>1.3930450567117832E-2</v>
      </c>
    </row>
    <row r="7797" spans="6:7" x14ac:dyDescent="0.3">
      <c r="F7797" s="64">
        <v>7794</v>
      </c>
      <c r="G7797" s="64">
        <f t="shared" ca="1" si="160"/>
        <v>-1.8566462883155659E-2</v>
      </c>
    </row>
    <row r="7798" spans="6:7" x14ac:dyDescent="0.3">
      <c r="F7798" s="64">
        <v>7795</v>
      </c>
      <c r="G7798" s="64">
        <f t="shared" ca="1" si="160"/>
        <v>-2.5439826402865941E-2</v>
      </c>
    </row>
    <row r="7799" spans="6:7" x14ac:dyDescent="0.3">
      <c r="F7799" s="64">
        <v>7796</v>
      </c>
      <c r="G7799" s="64">
        <f t="shared" ca="1" si="160"/>
        <v>3.7232559377974282E-2</v>
      </c>
    </row>
    <row r="7800" spans="6:7" x14ac:dyDescent="0.3">
      <c r="F7800" s="64">
        <v>7797</v>
      </c>
      <c r="G7800" s="64">
        <f t="shared" ca="1" si="160"/>
        <v>1.2760298419411705E-2</v>
      </c>
    </row>
    <row r="7801" spans="6:7" x14ac:dyDescent="0.3">
      <c r="F7801" s="64">
        <v>7798</v>
      </c>
      <c r="G7801" s="64">
        <f t="shared" ca="1" si="160"/>
        <v>1.4837349992265259E-2</v>
      </c>
    </row>
    <row r="7802" spans="6:7" x14ac:dyDescent="0.3">
      <c r="F7802" s="64">
        <v>7799</v>
      </c>
      <c r="G7802" s="64">
        <f t="shared" ca="1" si="160"/>
        <v>3.4330359705539576E-3</v>
      </c>
    </row>
    <row r="7803" spans="6:7" x14ac:dyDescent="0.3">
      <c r="F7803" s="64">
        <v>7800</v>
      </c>
      <c r="G7803" s="64">
        <f t="shared" ca="1" si="160"/>
        <v>3.2123775699561423E-2</v>
      </c>
    </row>
    <row r="7804" spans="6:7" x14ac:dyDescent="0.3">
      <c r="F7804" s="64">
        <v>7801</v>
      </c>
      <c r="G7804" s="64">
        <f t="shared" ca="1" si="160"/>
        <v>-1.5629424161567734E-2</v>
      </c>
    </row>
    <row r="7805" spans="6:7" x14ac:dyDescent="0.3">
      <c r="F7805" s="64">
        <v>7802</v>
      </c>
      <c r="G7805" s="64">
        <f t="shared" ca="1" si="160"/>
        <v>-3.3148884543910077E-3</v>
      </c>
    </row>
    <row r="7806" spans="6:7" x14ac:dyDescent="0.3">
      <c r="F7806" s="64">
        <v>7803</v>
      </c>
      <c r="G7806" s="64">
        <f t="shared" ca="1" si="160"/>
        <v>3.2774846268235687E-2</v>
      </c>
    </row>
    <row r="7807" spans="6:7" x14ac:dyDescent="0.3">
      <c r="F7807" s="64">
        <v>7804</v>
      </c>
      <c r="G7807" s="64">
        <f t="shared" ca="1" si="160"/>
        <v>2.1803783811084367E-3</v>
      </c>
    </row>
    <row r="7808" spans="6:7" x14ac:dyDescent="0.3">
      <c r="F7808" s="64">
        <v>7805</v>
      </c>
      <c r="G7808" s="64">
        <f t="shared" ca="1" si="160"/>
        <v>-4.0562837003723998E-3</v>
      </c>
    </row>
    <row r="7809" spans="6:7" x14ac:dyDescent="0.3">
      <c r="F7809" s="64">
        <v>7806</v>
      </c>
      <c r="G7809" s="64">
        <f t="shared" ca="1" si="160"/>
        <v>-7.0944894298032059E-3</v>
      </c>
    </row>
    <row r="7810" spans="6:7" x14ac:dyDescent="0.3">
      <c r="F7810" s="64">
        <v>7807</v>
      </c>
      <c r="G7810" s="64">
        <f t="shared" ca="1" si="160"/>
        <v>-1.5716966126066226E-3</v>
      </c>
    </row>
    <row r="7811" spans="6:7" x14ac:dyDescent="0.3">
      <c r="F7811" s="64">
        <v>7808</v>
      </c>
      <c r="G7811" s="64">
        <f t="shared" ca="1" si="160"/>
        <v>-1.9449347926764428E-2</v>
      </c>
    </row>
    <row r="7812" spans="6:7" x14ac:dyDescent="0.3">
      <c r="F7812" s="64">
        <v>7809</v>
      </c>
      <c r="G7812" s="64">
        <f t="shared" ca="1" si="160"/>
        <v>-2.6332815920489714E-3</v>
      </c>
    </row>
    <row r="7813" spans="6:7" x14ac:dyDescent="0.3">
      <c r="F7813" s="64">
        <v>7810</v>
      </c>
      <c r="G7813" s="64">
        <f t="shared" ref="G7813:G7876" ca="1" si="161">_xlfn.NORM.INV(RAND(),K$6,K$7)</f>
        <v>-2.0925097677381668E-2</v>
      </c>
    </row>
    <row r="7814" spans="6:7" x14ac:dyDescent="0.3">
      <c r="F7814" s="64">
        <v>7811</v>
      </c>
      <c r="G7814" s="64">
        <f t="shared" ca="1" si="161"/>
        <v>-1.9988765810885011E-2</v>
      </c>
    </row>
    <row r="7815" spans="6:7" x14ac:dyDescent="0.3">
      <c r="F7815" s="64">
        <v>7812</v>
      </c>
      <c r="G7815" s="64">
        <f t="shared" ca="1" si="161"/>
        <v>4.7491661567329875E-2</v>
      </c>
    </row>
    <row r="7816" spans="6:7" x14ac:dyDescent="0.3">
      <c r="F7816" s="64">
        <v>7813</v>
      </c>
      <c r="G7816" s="64">
        <f t="shared" ca="1" si="161"/>
        <v>-1.6451759467392399E-2</v>
      </c>
    </row>
    <row r="7817" spans="6:7" x14ac:dyDescent="0.3">
      <c r="F7817" s="64">
        <v>7814</v>
      </c>
      <c r="G7817" s="64">
        <f t="shared" ca="1" si="161"/>
        <v>-2.7686502050233874E-2</v>
      </c>
    </row>
    <row r="7818" spans="6:7" x14ac:dyDescent="0.3">
      <c r="F7818" s="64">
        <v>7815</v>
      </c>
      <c r="G7818" s="64">
        <f t="shared" ca="1" si="161"/>
        <v>4.8251696608824623E-3</v>
      </c>
    </row>
    <row r="7819" spans="6:7" x14ac:dyDescent="0.3">
      <c r="F7819" s="64">
        <v>7816</v>
      </c>
      <c r="G7819" s="64">
        <f t="shared" ca="1" si="161"/>
        <v>3.0173349490132527E-2</v>
      </c>
    </row>
    <row r="7820" spans="6:7" x14ac:dyDescent="0.3">
      <c r="F7820" s="64">
        <v>7817</v>
      </c>
      <c r="G7820" s="64">
        <f t="shared" ca="1" si="161"/>
        <v>1.721845611431725E-2</v>
      </c>
    </row>
    <row r="7821" spans="6:7" x14ac:dyDescent="0.3">
      <c r="F7821" s="64">
        <v>7818</v>
      </c>
      <c r="G7821" s="64">
        <f t="shared" ca="1" si="161"/>
        <v>-2.1904074153789956E-2</v>
      </c>
    </row>
    <row r="7822" spans="6:7" x14ac:dyDescent="0.3">
      <c r="F7822" s="64">
        <v>7819</v>
      </c>
      <c r="G7822" s="64">
        <f t="shared" ca="1" si="161"/>
        <v>-2.0559723319408495E-2</v>
      </c>
    </row>
    <row r="7823" spans="6:7" x14ac:dyDescent="0.3">
      <c r="F7823" s="64">
        <v>7820</v>
      </c>
      <c r="G7823" s="64">
        <f t="shared" ca="1" si="161"/>
        <v>1.4438091090562316E-3</v>
      </c>
    </row>
    <row r="7824" spans="6:7" x14ac:dyDescent="0.3">
      <c r="F7824" s="64">
        <v>7821</v>
      </c>
      <c r="G7824" s="64">
        <f t="shared" ca="1" si="161"/>
        <v>2.3116410603753468E-2</v>
      </c>
    </row>
    <row r="7825" spans="6:7" x14ac:dyDescent="0.3">
      <c r="F7825" s="64">
        <v>7822</v>
      </c>
      <c r="G7825" s="64">
        <f t="shared" ca="1" si="161"/>
        <v>3.6894294283742017E-2</v>
      </c>
    </row>
    <row r="7826" spans="6:7" x14ac:dyDescent="0.3">
      <c r="F7826" s="64">
        <v>7823</v>
      </c>
      <c r="G7826" s="64">
        <f t="shared" ca="1" si="161"/>
        <v>1.7607943353868567E-3</v>
      </c>
    </row>
    <row r="7827" spans="6:7" x14ac:dyDescent="0.3">
      <c r="F7827" s="64">
        <v>7824</v>
      </c>
      <c r="G7827" s="64">
        <f t="shared" ca="1" si="161"/>
        <v>-2.1569043620194184E-2</v>
      </c>
    </row>
    <row r="7828" spans="6:7" x14ac:dyDescent="0.3">
      <c r="F7828" s="64">
        <v>7825</v>
      </c>
      <c r="G7828" s="64">
        <f t="shared" ca="1" si="161"/>
        <v>1.8910410978497542E-2</v>
      </c>
    </row>
    <row r="7829" spans="6:7" x14ac:dyDescent="0.3">
      <c r="F7829" s="64">
        <v>7826</v>
      </c>
      <c r="G7829" s="64">
        <f t="shared" ca="1" si="161"/>
        <v>-1.0348516956063519E-2</v>
      </c>
    </row>
    <row r="7830" spans="6:7" x14ac:dyDescent="0.3">
      <c r="F7830" s="64">
        <v>7827</v>
      </c>
      <c r="G7830" s="64">
        <f t="shared" ca="1" si="161"/>
        <v>-1.5417890509744356E-2</v>
      </c>
    </row>
    <row r="7831" spans="6:7" x14ac:dyDescent="0.3">
      <c r="F7831" s="64">
        <v>7828</v>
      </c>
      <c r="G7831" s="64">
        <f t="shared" ca="1" si="161"/>
        <v>1.2385636741144899E-2</v>
      </c>
    </row>
    <row r="7832" spans="6:7" x14ac:dyDescent="0.3">
      <c r="F7832" s="64">
        <v>7829</v>
      </c>
      <c r="G7832" s="64">
        <f t="shared" ca="1" si="161"/>
        <v>-1.3383326849578671E-2</v>
      </c>
    </row>
    <row r="7833" spans="6:7" x14ac:dyDescent="0.3">
      <c r="F7833" s="64">
        <v>7830</v>
      </c>
      <c r="G7833" s="64">
        <f t="shared" ca="1" si="161"/>
        <v>-3.1554501701815188E-2</v>
      </c>
    </row>
    <row r="7834" spans="6:7" x14ac:dyDescent="0.3">
      <c r="F7834" s="64">
        <v>7831</v>
      </c>
      <c r="G7834" s="64">
        <f t="shared" ca="1" si="161"/>
        <v>1.5228561244413222E-3</v>
      </c>
    </row>
    <row r="7835" spans="6:7" x14ac:dyDescent="0.3">
      <c r="F7835" s="64">
        <v>7832</v>
      </c>
      <c r="G7835" s="64">
        <f t="shared" ca="1" si="161"/>
        <v>1.869316406380845E-2</v>
      </c>
    </row>
    <row r="7836" spans="6:7" x14ac:dyDescent="0.3">
      <c r="F7836" s="64">
        <v>7833</v>
      </c>
      <c r="G7836" s="64">
        <f t="shared" ca="1" si="161"/>
        <v>5.2252025192685838E-3</v>
      </c>
    </row>
    <row r="7837" spans="6:7" x14ac:dyDescent="0.3">
      <c r="F7837" s="64">
        <v>7834</v>
      </c>
      <c r="G7837" s="64">
        <f t="shared" ca="1" si="161"/>
        <v>-6.1636213280643615E-3</v>
      </c>
    </row>
    <row r="7838" spans="6:7" x14ac:dyDescent="0.3">
      <c r="F7838" s="64">
        <v>7835</v>
      </c>
      <c r="G7838" s="64">
        <f t="shared" ca="1" si="161"/>
        <v>-1.1712866326697943E-3</v>
      </c>
    </row>
    <row r="7839" spans="6:7" x14ac:dyDescent="0.3">
      <c r="F7839" s="64">
        <v>7836</v>
      </c>
      <c r="G7839" s="64">
        <f t="shared" ca="1" si="161"/>
        <v>1.678809737662338E-2</v>
      </c>
    </row>
    <row r="7840" spans="6:7" x14ac:dyDescent="0.3">
      <c r="F7840" s="64">
        <v>7837</v>
      </c>
      <c r="G7840" s="64">
        <f t="shared" ca="1" si="161"/>
        <v>-2.071598434967141E-2</v>
      </c>
    </row>
    <row r="7841" spans="6:7" x14ac:dyDescent="0.3">
      <c r="F7841" s="64">
        <v>7838</v>
      </c>
      <c r="G7841" s="64">
        <f t="shared" ca="1" si="161"/>
        <v>-7.3317112260779926E-5</v>
      </c>
    </row>
    <row r="7842" spans="6:7" x14ac:dyDescent="0.3">
      <c r="F7842" s="64">
        <v>7839</v>
      </c>
      <c r="G7842" s="64">
        <f t="shared" ca="1" si="161"/>
        <v>-5.5186421689880791E-2</v>
      </c>
    </row>
    <row r="7843" spans="6:7" x14ac:dyDescent="0.3">
      <c r="F7843" s="64">
        <v>7840</v>
      </c>
      <c r="G7843" s="64">
        <f t="shared" ca="1" si="161"/>
        <v>9.5498839126126351E-3</v>
      </c>
    </row>
    <row r="7844" spans="6:7" x14ac:dyDescent="0.3">
      <c r="F7844" s="64">
        <v>7841</v>
      </c>
      <c r="G7844" s="64">
        <f t="shared" ca="1" si="161"/>
        <v>-6.4702869993447367E-3</v>
      </c>
    </row>
    <row r="7845" spans="6:7" x14ac:dyDescent="0.3">
      <c r="F7845" s="64">
        <v>7842</v>
      </c>
      <c r="G7845" s="64">
        <f t="shared" ca="1" si="161"/>
        <v>2.9883291449487738E-2</v>
      </c>
    </row>
    <row r="7846" spans="6:7" x14ac:dyDescent="0.3">
      <c r="F7846" s="64">
        <v>7843</v>
      </c>
      <c r="G7846" s="64">
        <f t="shared" ca="1" si="161"/>
        <v>5.2692886951386008E-3</v>
      </c>
    </row>
    <row r="7847" spans="6:7" x14ac:dyDescent="0.3">
      <c r="F7847" s="64">
        <v>7844</v>
      </c>
      <c r="G7847" s="64">
        <f t="shared" ca="1" si="161"/>
        <v>6.0349842969048603E-3</v>
      </c>
    </row>
    <row r="7848" spans="6:7" x14ac:dyDescent="0.3">
      <c r="F7848" s="64">
        <v>7845</v>
      </c>
      <c r="G7848" s="64">
        <f t="shared" ca="1" si="161"/>
        <v>-1.5733310910607114E-4</v>
      </c>
    </row>
    <row r="7849" spans="6:7" x14ac:dyDescent="0.3">
      <c r="F7849" s="64">
        <v>7846</v>
      </c>
      <c r="G7849" s="64">
        <f t="shared" ca="1" si="161"/>
        <v>2.4958976082413771E-2</v>
      </c>
    </row>
    <row r="7850" spans="6:7" x14ac:dyDescent="0.3">
      <c r="F7850" s="64">
        <v>7847</v>
      </c>
      <c r="G7850" s="64">
        <f t="shared" ca="1" si="161"/>
        <v>-3.7112980441800624E-3</v>
      </c>
    </row>
    <row r="7851" spans="6:7" x14ac:dyDescent="0.3">
      <c r="F7851" s="64">
        <v>7848</v>
      </c>
      <c r="G7851" s="64">
        <f t="shared" ca="1" si="161"/>
        <v>-1.0647686833070037E-2</v>
      </c>
    </row>
    <row r="7852" spans="6:7" x14ac:dyDescent="0.3">
      <c r="F7852" s="64">
        <v>7849</v>
      </c>
      <c r="G7852" s="64">
        <f t="shared" ca="1" si="161"/>
        <v>8.4934115654934021E-4</v>
      </c>
    </row>
    <row r="7853" spans="6:7" x14ac:dyDescent="0.3">
      <c r="F7853" s="64">
        <v>7850</v>
      </c>
      <c r="G7853" s="64">
        <f t="shared" ca="1" si="161"/>
        <v>1.0141649807944787E-2</v>
      </c>
    </row>
    <row r="7854" spans="6:7" x14ac:dyDescent="0.3">
      <c r="F7854" s="64">
        <v>7851</v>
      </c>
      <c r="G7854" s="64">
        <f t="shared" ca="1" si="161"/>
        <v>-1.4524760546939788E-3</v>
      </c>
    </row>
    <row r="7855" spans="6:7" x14ac:dyDescent="0.3">
      <c r="F7855" s="64">
        <v>7852</v>
      </c>
      <c r="G7855" s="64">
        <f t="shared" ca="1" si="161"/>
        <v>9.8654720421286861E-3</v>
      </c>
    </row>
    <row r="7856" spans="6:7" x14ac:dyDescent="0.3">
      <c r="F7856" s="64">
        <v>7853</v>
      </c>
      <c r="G7856" s="64">
        <f t="shared" ca="1" si="161"/>
        <v>2.1034985926111076E-2</v>
      </c>
    </row>
    <row r="7857" spans="6:7" x14ac:dyDescent="0.3">
      <c r="F7857" s="64">
        <v>7854</v>
      </c>
      <c r="G7857" s="64">
        <f t="shared" ca="1" si="161"/>
        <v>7.6709937866921759E-3</v>
      </c>
    </row>
    <row r="7858" spans="6:7" x14ac:dyDescent="0.3">
      <c r="F7858" s="64">
        <v>7855</v>
      </c>
      <c r="G7858" s="64">
        <f t="shared" ca="1" si="161"/>
        <v>-1.0742895370825862E-2</v>
      </c>
    </row>
    <row r="7859" spans="6:7" x14ac:dyDescent="0.3">
      <c r="F7859" s="64">
        <v>7856</v>
      </c>
      <c r="G7859" s="64">
        <f t="shared" ca="1" si="161"/>
        <v>1.6218909222544209E-2</v>
      </c>
    </row>
    <row r="7860" spans="6:7" x14ac:dyDescent="0.3">
      <c r="F7860" s="64">
        <v>7857</v>
      </c>
      <c r="G7860" s="64">
        <f t="shared" ca="1" si="161"/>
        <v>1.207907244421891E-2</v>
      </c>
    </row>
    <row r="7861" spans="6:7" x14ac:dyDescent="0.3">
      <c r="F7861" s="64">
        <v>7858</v>
      </c>
      <c r="G7861" s="64">
        <f t="shared" ca="1" si="161"/>
        <v>2.2096672081736407E-2</v>
      </c>
    </row>
    <row r="7862" spans="6:7" x14ac:dyDescent="0.3">
      <c r="F7862" s="64">
        <v>7859</v>
      </c>
      <c r="G7862" s="64">
        <f t="shared" ca="1" si="161"/>
        <v>-9.2683515444707543E-3</v>
      </c>
    </row>
    <row r="7863" spans="6:7" x14ac:dyDescent="0.3">
      <c r="F7863" s="64">
        <v>7860</v>
      </c>
      <c r="G7863" s="64">
        <f t="shared" ca="1" si="161"/>
        <v>2.0629628706351003E-3</v>
      </c>
    </row>
    <row r="7864" spans="6:7" x14ac:dyDescent="0.3">
      <c r="F7864" s="64">
        <v>7861</v>
      </c>
      <c r="G7864" s="64">
        <f t="shared" ca="1" si="161"/>
        <v>1.3259287634963375E-2</v>
      </c>
    </row>
    <row r="7865" spans="6:7" x14ac:dyDescent="0.3">
      <c r="F7865" s="64">
        <v>7862</v>
      </c>
      <c r="G7865" s="64">
        <f t="shared" ca="1" si="161"/>
        <v>2.9560266499791557E-2</v>
      </c>
    </row>
    <row r="7866" spans="6:7" x14ac:dyDescent="0.3">
      <c r="F7866" s="64">
        <v>7863</v>
      </c>
      <c r="G7866" s="64">
        <f t="shared" ca="1" si="161"/>
        <v>1.7272662831976128E-2</v>
      </c>
    </row>
    <row r="7867" spans="6:7" x14ac:dyDescent="0.3">
      <c r="F7867" s="64">
        <v>7864</v>
      </c>
      <c r="G7867" s="64">
        <f t="shared" ca="1" si="161"/>
        <v>9.3913963259433363E-3</v>
      </c>
    </row>
    <row r="7868" spans="6:7" x14ac:dyDescent="0.3">
      <c r="F7868" s="64">
        <v>7865</v>
      </c>
      <c r="G7868" s="64">
        <f t="shared" ca="1" si="161"/>
        <v>-4.2133238569131308E-2</v>
      </c>
    </row>
    <row r="7869" spans="6:7" x14ac:dyDescent="0.3">
      <c r="F7869" s="64">
        <v>7866</v>
      </c>
      <c r="G7869" s="64">
        <f t="shared" ca="1" si="161"/>
        <v>1.1370987687801263E-2</v>
      </c>
    </row>
    <row r="7870" spans="6:7" x14ac:dyDescent="0.3">
      <c r="F7870" s="64">
        <v>7867</v>
      </c>
      <c r="G7870" s="64">
        <f t="shared" ca="1" si="161"/>
        <v>6.3091872164466383E-3</v>
      </c>
    </row>
    <row r="7871" spans="6:7" x14ac:dyDescent="0.3">
      <c r="F7871" s="64">
        <v>7868</v>
      </c>
      <c r="G7871" s="64">
        <f t="shared" ca="1" si="161"/>
        <v>-2.3669608732962109E-2</v>
      </c>
    </row>
    <row r="7872" spans="6:7" x14ac:dyDescent="0.3">
      <c r="F7872" s="64">
        <v>7869</v>
      </c>
      <c r="G7872" s="64">
        <f t="shared" ca="1" si="161"/>
        <v>-4.7363591906842417E-3</v>
      </c>
    </row>
    <row r="7873" spans="6:7" x14ac:dyDescent="0.3">
      <c r="F7873" s="64">
        <v>7870</v>
      </c>
      <c r="G7873" s="64">
        <f t="shared" ca="1" si="161"/>
        <v>4.3463308196148678E-4</v>
      </c>
    </row>
    <row r="7874" spans="6:7" x14ac:dyDescent="0.3">
      <c r="F7874" s="64">
        <v>7871</v>
      </c>
      <c r="G7874" s="64">
        <f t="shared" ca="1" si="161"/>
        <v>-1.5141938447354524E-2</v>
      </c>
    </row>
    <row r="7875" spans="6:7" x14ac:dyDescent="0.3">
      <c r="F7875" s="64">
        <v>7872</v>
      </c>
      <c r="G7875" s="64">
        <f t="shared" ca="1" si="161"/>
        <v>7.4744902847322702E-3</v>
      </c>
    </row>
    <row r="7876" spans="6:7" x14ac:dyDescent="0.3">
      <c r="F7876" s="64">
        <v>7873</v>
      </c>
      <c r="G7876" s="64">
        <f t="shared" ca="1" si="161"/>
        <v>-4.1699088106054244E-2</v>
      </c>
    </row>
    <row r="7877" spans="6:7" x14ac:dyDescent="0.3">
      <c r="F7877" s="64">
        <v>7874</v>
      </c>
      <c r="G7877" s="64">
        <f t="shared" ref="G7877:G7940" ca="1" si="162">_xlfn.NORM.INV(RAND(),K$6,K$7)</f>
        <v>-1.919656267347411E-2</v>
      </c>
    </row>
    <row r="7878" spans="6:7" x14ac:dyDescent="0.3">
      <c r="F7878" s="64">
        <v>7875</v>
      </c>
      <c r="G7878" s="64">
        <f t="shared" ca="1" si="162"/>
        <v>-4.778481884921729E-3</v>
      </c>
    </row>
    <row r="7879" spans="6:7" x14ac:dyDescent="0.3">
      <c r="F7879" s="64">
        <v>7876</v>
      </c>
      <c r="G7879" s="64">
        <f t="shared" ca="1" si="162"/>
        <v>-1.4345351743325694E-2</v>
      </c>
    </row>
    <row r="7880" spans="6:7" x14ac:dyDescent="0.3">
      <c r="F7880" s="64">
        <v>7877</v>
      </c>
      <c r="G7880" s="64">
        <f t="shared" ca="1" si="162"/>
        <v>2.1136846926418894E-2</v>
      </c>
    </row>
    <row r="7881" spans="6:7" x14ac:dyDescent="0.3">
      <c r="F7881" s="64">
        <v>7878</v>
      </c>
      <c r="G7881" s="64">
        <f t="shared" ca="1" si="162"/>
        <v>6.0217478964430284E-3</v>
      </c>
    </row>
    <row r="7882" spans="6:7" x14ac:dyDescent="0.3">
      <c r="F7882" s="64">
        <v>7879</v>
      </c>
      <c r="G7882" s="64">
        <f t="shared" ca="1" si="162"/>
        <v>-8.3496695205315411E-4</v>
      </c>
    </row>
    <row r="7883" spans="6:7" x14ac:dyDescent="0.3">
      <c r="F7883" s="64">
        <v>7880</v>
      </c>
      <c r="G7883" s="64">
        <f t="shared" ca="1" si="162"/>
        <v>8.902505570358708E-3</v>
      </c>
    </row>
    <row r="7884" spans="6:7" x14ac:dyDescent="0.3">
      <c r="F7884" s="64">
        <v>7881</v>
      </c>
      <c r="G7884" s="64">
        <f t="shared" ca="1" si="162"/>
        <v>5.4909335939249682E-3</v>
      </c>
    </row>
    <row r="7885" spans="6:7" x14ac:dyDescent="0.3">
      <c r="F7885" s="64">
        <v>7882</v>
      </c>
      <c r="G7885" s="64">
        <f t="shared" ca="1" si="162"/>
        <v>-1.6398099004339112E-2</v>
      </c>
    </row>
    <row r="7886" spans="6:7" x14ac:dyDescent="0.3">
      <c r="F7886" s="64">
        <v>7883</v>
      </c>
      <c r="G7886" s="64">
        <f t="shared" ca="1" si="162"/>
        <v>-4.4094416161307671E-3</v>
      </c>
    </row>
    <row r="7887" spans="6:7" x14ac:dyDescent="0.3">
      <c r="F7887" s="64">
        <v>7884</v>
      </c>
      <c r="G7887" s="64">
        <f t="shared" ca="1" si="162"/>
        <v>1.870188791791625E-2</v>
      </c>
    </row>
    <row r="7888" spans="6:7" x14ac:dyDescent="0.3">
      <c r="F7888" s="64">
        <v>7885</v>
      </c>
      <c r="G7888" s="64">
        <f t="shared" ca="1" si="162"/>
        <v>1.3319509621411088E-2</v>
      </c>
    </row>
    <row r="7889" spans="6:7" x14ac:dyDescent="0.3">
      <c r="F7889" s="64">
        <v>7886</v>
      </c>
      <c r="G7889" s="64">
        <f t="shared" ca="1" si="162"/>
        <v>-8.8626150650379949E-3</v>
      </c>
    </row>
    <row r="7890" spans="6:7" x14ac:dyDescent="0.3">
      <c r="F7890" s="64">
        <v>7887</v>
      </c>
      <c r="G7890" s="64">
        <f t="shared" ca="1" si="162"/>
        <v>-2.5831238392941824E-2</v>
      </c>
    </row>
    <row r="7891" spans="6:7" x14ac:dyDescent="0.3">
      <c r="F7891" s="64">
        <v>7888</v>
      </c>
      <c r="G7891" s="64">
        <f t="shared" ca="1" si="162"/>
        <v>3.3125471030661005E-2</v>
      </c>
    </row>
    <row r="7892" spans="6:7" x14ac:dyDescent="0.3">
      <c r="F7892" s="64">
        <v>7889</v>
      </c>
      <c r="G7892" s="64">
        <f t="shared" ca="1" si="162"/>
        <v>6.2942410751512471E-3</v>
      </c>
    </row>
    <row r="7893" spans="6:7" x14ac:dyDescent="0.3">
      <c r="F7893" s="64">
        <v>7890</v>
      </c>
      <c r="G7893" s="64">
        <f t="shared" ca="1" si="162"/>
        <v>2.0895095724878888E-2</v>
      </c>
    </row>
    <row r="7894" spans="6:7" x14ac:dyDescent="0.3">
      <c r="F7894" s="64">
        <v>7891</v>
      </c>
      <c r="G7894" s="64">
        <f t="shared" ca="1" si="162"/>
        <v>-2.6059499924062641E-3</v>
      </c>
    </row>
    <row r="7895" spans="6:7" x14ac:dyDescent="0.3">
      <c r="F7895" s="64">
        <v>7892</v>
      </c>
      <c r="G7895" s="64">
        <f t="shared" ca="1" si="162"/>
        <v>7.4597537367129168E-3</v>
      </c>
    </row>
    <row r="7896" spans="6:7" x14ac:dyDescent="0.3">
      <c r="F7896" s="64">
        <v>7893</v>
      </c>
      <c r="G7896" s="64">
        <f t="shared" ca="1" si="162"/>
        <v>-3.7016565059143219E-2</v>
      </c>
    </row>
    <row r="7897" spans="6:7" x14ac:dyDescent="0.3">
      <c r="F7897" s="64">
        <v>7894</v>
      </c>
      <c r="G7897" s="64">
        <f t="shared" ca="1" si="162"/>
        <v>-3.1798516244330851E-3</v>
      </c>
    </row>
    <row r="7898" spans="6:7" x14ac:dyDescent="0.3">
      <c r="F7898" s="64">
        <v>7895</v>
      </c>
      <c r="G7898" s="64">
        <f t="shared" ca="1" si="162"/>
        <v>1.9482850246697735E-2</v>
      </c>
    </row>
    <row r="7899" spans="6:7" x14ac:dyDescent="0.3">
      <c r="F7899" s="64">
        <v>7896</v>
      </c>
      <c r="G7899" s="64">
        <f t="shared" ca="1" si="162"/>
        <v>1.5883574517011334E-2</v>
      </c>
    </row>
    <row r="7900" spans="6:7" x14ac:dyDescent="0.3">
      <c r="F7900" s="64">
        <v>7897</v>
      </c>
      <c r="G7900" s="64">
        <f t="shared" ca="1" si="162"/>
        <v>3.4684832115898161E-3</v>
      </c>
    </row>
    <row r="7901" spans="6:7" x14ac:dyDescent="0.3">
      <c r="F7901" s="64">
        <v>7898</v>
      </c>
      <c r="G7901" s="64">
        <f t="shared" ca="1" si="162"/>
        <v>-3.485069933426365E-2</v>
      </c>
    </row>
    <row r="7902" spans="6:7" x14ac:dyDescent="0.3">
      <c r="F7902" s="64">
        <v>7899</v>
      </c>
      <c r="G7902" s="64">
        <f t="shared" ca="1" si="162"/>
        <v>1.6532004353600922E-2</v>
      </c>
    </row>
    <row r="7903" spans="6:7" x14ac:dyDescent="0.3">
      <c r="F7903" s="64">
        <v>7900</v>
      </c>
      <c r="G7903" s="64">
        <f t="shared" ca="1" si="162"/>
        <v>-2.4149028719280576E-2</v>
      </c>
    </row>
    <row r="7904" spans="6:7" x14ac:dyDescent="0.3">
      <c r="F7904" s="64">
        <v>7901</v>
      </c>
      <c r="G7904" s="64">
        <f t="shared" ca="1" si="162"/>
        <v>-5.8247433988151522E-3</v>
      </c>
    </row>
    <row r="7905" spans="6:7" x14ac:dyDescent="0.3">
      <c r="F7905" s="64">
        <v>7902</v>
      </c>
      <c r="G7905" s="64">
        <f t="shared" ca="1" si="162"/>
        <v>1.3268455720850449E-2</v>
      </c>
    </row>
    <row r="7906" spans="6:7" x14ac:dyDescent="0.3">
      <c r="F7906" s="64">
        <v>7903</v>
      </c>
      <c r="G7906" s="64">
        <f t="shared" ca="1" si="162"/>
        <v>-1.9825098819018616E-2</v>
      </c>
    </row>
    <row r="7907" spans="6:7" x14ac:dyDescent="0.3">
      <c r="F7907" s="64">
        <v>7904</v>
      </c>
      <c r="G7907" s="64">
        <f t="shared" ca="1" si="162"/>
        <v>1.044364684614465E-2</v>
      </c>
    </row>
    <row r="7908" spans="6:7" x14ac:dyDescent="0.3">
      <c r="F7908" s="64">
        <v>7905</v>
      </c>
      <c r="G7908" s="64">
        <f t="shared" ca="1" si="162"/>
        <v>-2.9530743885268315E-2</v>
      </c>
    </row>
    <row r="7909" spans="6:7" x14ac:dyDescent="0.3">
      <c r="F7909" s="64">
        <v>7906</v>
      </c>
      <c r="G7909" s="64">
        <f t="shared" ca="1" si="162"/>
        <v>-7.0148623607477652E-3</v>
      </c>
    </row>
    <row r="7910" spans="6:7" x14ac:dyDescent="0.3">
      <c r="F7910" s="64">
        <v>7907</v>
      </c>
      <c r="G7910" s="64">
        <f t="shared" ca="1" si="162"/>
        <v>2.0222844086827153E-2</v>
      </c>
    </row>
    <row r="7911" spans="6:7" x14ac:dyDescent="0.3">
      <c r="F7911" s="64">
        <v>7908</v>
      </c>
      <c r="G7911" s="64">
        <f t="shared" ca="1" si="162"/>
        <v>5.6073236040059659E-3</v>
      </c>
    </row>
    <row r="7912" spans="6:7" x14ac:dyDescent="0.3">
      <c r="F7912" s="64">
        <v>7909</v>
      </c>
      <c r="G7912" s="64">
        <f t="shared" ca="1" si="162"/>
        <v>-2.652579441152033E-2</v>
      </c>
    </row>
    <row r="7913" spans="6:7" x14ac:dyDescent="0.3">
      <c r="F7913" s="64">
        <v>7910</v>
      </c>
      <c r="G7913" s="64">
        <f t="shared" ca="1" si="162"/>
        <v>2.8270666447962299E-3</v>
      </c>
    </row>
    <row r="7914" spans="6:7" x14ac:dyDescent="0.3">
      <c r="F7914" s="64">
        <v>7911</v>
      </c>
      <c r="G7914" s="64">
        <f t="shared" ca="1" si="162"/>
        <v>1.3635006593350664E-2</v>
      </c>
    </row>
    <row r="7915" spans="6:7" x14ac:dyDescent="0.3">
      <c r="F7915" s="64">
        <v>7912</v>
      </c>
      <c r="G7915" s="64">
        <f t="shared" ca="1" si="162"/>
        <v>5.992702277378064E-3</v>
      </c>
    </row>
    <row r="7916" spans="6:7" x14ac:dyDescent="0.3">
      <c r="F7916" s="64">
        <v>7913</v>
      </c>
      <c r="G7916" s="64">
        <f t="shared" ca="1" si="162"/>
        <v>1.0564732184955357E-2</v>
      </c>
    </row>
    <row r="7917" spans="6:7" x14ac:dyDescent="0.3">
      <c r="F7917" s="64">
        <v>7914</v>
      </c>
      <c r="G7917" s="64">
        <f t="shared" ca="1" si="162"/>
        <v>-2.9124469522191096E-2</v>
      </c>
    </row>
    <row r="7918" spans="6:7" x14ac:dyDescent="0.3">
      <c r="F7918" s="64">
        <v>7915</v>
      </c>
      <c r="G7918" s="64">
        <f t="shared" ca="1" si="162"/>
        <v>-5.1460955202718844E-3</v>
      </c>
    </row>
    <row r="7919" spans="6:7" x14ac:dyDescent="0.3">
      <c r="F7919" s="64">
        <v>7916</v>
      </c>
      <c r="G7919" s="64">
        <f t="shared" ca="1" si="162"/>
        <v>2.2561924776314073E-2</v>
      </c>
    </row>
    <row r="7920" spans="6:7" x14ac:dyDescent="0.3">
      <c r="F7920" s="64">
        <v>7917</v>
      </c>
      <c r="G7920" s="64">
        <f t="shared" ca="1" si="162"/>
        <v>-1.1692832040073148E-2</v>
      </c>
    </row>
    <row r="7921" spans="6:7" x14ac:dyDescent="0.3">
      <c r="F7921" s="64">
        <v>7918</v>
      </c>
      <c r="G7921" s="64">
        <f t="shared" ca="1" si="162"/>
        <v>-5.9474561687129952E-3</v>
      </c>
    </row>
    <row r="7922" spans="6:7" x14ac:dyDescent="0.3">
      <c r="F7922" s="64">
        <v>7919</v>
      </c>
      <c r="G7922" s="64">
        <f t="shared" ca="1" si="162"/>
        <v>-4.0503532277595358E-2</v>
      </c>
    </row>
    <row r="7923" spans="6:7" x14ac:dyDescent="0.3">
      <c r="F7923" s="64">
        <v>7920</v>
      </c>
      <c r="G7923" s="64">
        <f t="shared" ca="1" si="162"/>
        <v>-3.2529677593806433E-4</v>
      </c>
    </row>
    <row r="7924" spans="6:7" x14ac:dyDescent="0.3">
      <c r="F7924" s="64">
        <v>7921</v>
      </c>
      <c r="G7924" s="64">
        <f t="shared" ca="1" si="162"/>
        <v>-4.6719903001878928E-4</v>
      </c>
    </row>
    <row r="7925" spans="6:7" x14ac:dyDescent="0.3">
      <c r="F7925" s="64">
        <v>7922</v>
      </c>
      <c r="G7925" s="64">
        <f t="shared" ca="1" si="162"/>
        <v>-3.099969571991862E-3</v>
      </c>
    </row>
    <row r="7926" spans="6:7" x14ac:dyDescent="0.3">
      <c r="F7926" s="64">
        <v>7923</v>
      </c>
      <c r="G7926" s="64">
        <f t="shared" ca="1" si="162"/>
        <v>6.7698895030359908E-3</v>
      </c>
    </row>
    <row r="7927" spans="6:7" x14ac:dyDescent="0.3">
      <c r="F7927" s="64">
        <v>7924</v>
      </c>
      <c r="G7927" s="64">
        <f t="shared" ca="1" si="162"/>
        <v>1.8365655003171971E-2</v>
      </c>
    </row>
    <row r="7928" spans="6:7" x14ac:dyDescent="0.3">
      <c r="F7928" s="64">
        <v>7925</v>
      </c>
      <c r="G7928" s="64">
        <f t="shared" ca="1" si="162"/>
        <v>8.4964428570553268E-4</v>
      </c>
    </row>
    <row r="7929" spans="6:7" x14ac:dyDescent="0.3">
      <c r="F7929" s="64">
        <v>7926</v>
      </c>
      <c r="G7929" s="64">
        <f t="shared" ca="1" si="162"/>
        <v>2.5638768078325089E-3</v>
      </c>
    </row>
    <row r="7930" spans="6:7" x14ac:dyDescent="0.3">
      <c r="F7930" s="64">
        <v>7927</v>
      </c>
      <c r="G7930" s="64">
        <f t="shared" ca="1" si="162"/>
        <v>-5.1885242601637706E-3</v>
      </c>
    </row>
    <row r="7931" spans="6:7" x14ac:dyDescent="0.3">
      <c r="F7931" s="64">
        <v>7928</v>
      </c>
      <c r="G7931" s="64">
        <f t="shared" ca="1" si="162"/>
        <v>-1.4763184514178086E-2</v>
      </c>
    </row>
    <row r="7932" spans="6:7" x14ac:dyDescent="0.3">
      <c r="F7932" s="64">
        <v>7929</v>
      </c>
      <c r="G7932" s="64">
        <f t="shared" ca="1" si="162"/>
        <v>-3.0679282370389964E-2</v>
      </c>
    </row>
    <row r="7933" spans="6:7" x14ac:dyDescent="0.3">
      <c r="F7933" s="64">
        <v>7930</v>
      </c>
      <c r="G7933" s="64">
        <f t="shared" ca="1" si="162"/>
        <v>-2.1620961699236073E-2</v>
      </c>
    </row>
    <row r="7934" spans="6:7" x14ac:dyDescent="0.3">
      <c r="F7934" s="64">
        <v>7931</v>
      </c>
      <c r="G7934" s="64">
        <f t="shared" ca="1" si="162"/>
        <v>-6.1631734014368916E-3</v>
      </c>
    </row>
    <row r="7935" spans="6:7" x14ac:dyDescent="0.3">
      <c r="F7935" s="64">
        <v>7932</v>
      </c>
      <c r="G7935" s="64">
        <f t="shared" ca="1" si="162"/>
        <v>3.117042013199144E-3</v>
      </c>
    </row>
    <row r="7936" spans="6:7" x14ac:dyDescent="0.3">
      <c r="F7936" s="64">
        <v>7933</v>
      </c>
      <c r="G7936" s="64">
        <f t="shared" ca="1" si="162"/>
        <v>6.4871589757881914E-3</v>
      </c>
    </row>
    <row r="7937" spans="6:7" x14ac:dyDescent="0.3">
      <c r="F7937" s="64">
        <v>7934</v>
      </c>
      <c r="G7937" s="64">
        <f t="shared" ca="1" si="162"/>
        <v>-4.2480456151061203E-3</v>
      </c>
    </row>
    <row r="7938" spans="6:7" x14ac:dyDescent="0.3">
      <c r="F7938" s="64">
        <v>7935</v>
      </c>
      <c r="G7938" s="64">
        <f t="shared" ca="1" si="162"/>
        <v>-4.4405804921876013E-2</v>
      </c>
    </row>
    <row r="7939" spans="6:7" x14ac:dyDescent="0.3">
      <c r="F7939" s="64">
        <v>7936</v>
      </c>
      <c r="G7939" s="64">
        <f t="shared" ca="1" si="162"/>
        <v>3.5229553840226718E-2</v>
      </c>
    </row>
    <row r="7940" spans="6:7" x14ac:dyDescent="0.3">
      <c r="F7940" s="64">
        <v>7937</v>
      </c>
      <c r="G7940" s="64">
        <f t="shared" ca="1" si="162"/>
        <v>-1.6918812987007634E-2</v>
      </c>
    </row>
    <row r="7941" spans="6:7" x14ac:dyDescent="0.3">
      <c r="F7941" s="64">
        <v>7938</v>
      </c>
      <c r="G7941" s="64">
        <f t="shared" ref="G7941:G8004" ca="1" si="163">_xlfn.NORM.INV(RAND(),K$6,K$7)</f>
        <v>-6.7492528103999814E-3</v>
      </c>
    </row>
    <row r="7942" spans="6:7" x14ac:dyDescent="0.3">
      <c r="F7942" s="64">
        <v>7939</v>
      </c>
      <c r="G7942" s="64">
        <f t="shared" ca="1" si="163"/>
        <v>1.5374067451796529E-3</v>
      </c>
    </row>
    <row r="7943" spans="6:7" x14ac:dyDescent="0.3">
      <c r="F7943" s="64">
        <v>7940</v>
      </c>
      <c r="G7943" s="64">
        <f t="shared" ca="1" si="163"/>
        <v>-1.5307920931389616E-2</v>
      </c>
    </row>
    <row r="7944" spans="6:7" x14ac:dyDescent="0.3">
      <c r="F7944" s="64">
        <v>7941</v>
      </c>
      <c r="G7944" s="64">
        <f t="shared" ca="1" si="163"/>
        <v>1.8953534501592775E-2</v>
      </c>
    </row>
    <row r="7945" spans="6:7" x14ac:dyDescent="0.3">
      <c r="F7945" s="64">
        <v>7942</v>
      </c>
      <c r="G7945" s="64">
        <f t="shared" ca="1" si="163"/>
        <v>-3.2706264680538104E-2</v>
      </c>
    </row>
    <row r="7946" spans="6:7" x14ac:dyDescent="0.3">
      <c r="F7946" s="64">
        <v>7943</v>
      </c>
      <c r="G7946" s="64">
        <f t="shared" ca="1" si="163"/>
        <v>-1.7054466912342955E-2</v>
      </c>
    </row>
    <row r="7947" spans="6:7" x14ac:dyDescent="0.3">
      <c r="F7947" s="64">
        <v>7944</v>
      </c>
      <c r="G7947" s="64">
        <f t="shared" ca="1" si="163"/>
        <v>-5.0904778151026557E-2</v>
      </c>
    </row>
    <row r="7948" spans="6:7" x14ac:dyDescent="0.3">
      <c r="F7948" s="64">
        <v>7945</v>
      </c>
      <c r="G7948" s="64">
        <f t="shared" ca="1" si="163"/>
        <v>2.4844153750567706E-2</v>
      </c>
    </row>
    <row r="7949" spans="6:7" x14ac:dyDescent="0.3">
      <c r="F7949" s="64">
        <v>7946</v>
      </c>
      <c r="G7949" s="64">
        <f t="shared" ca="1" si="163"/>
        <v>1.1718221343106938E-2</v>
      </c>
    </row>
    <row r="7950" spans="6:7" x14ac:dyDescent="0.3">
      <c r="F7950" s="64">
        <v>7947</v>
      </c>
      <c r="G7950" s="64">
        <f t="shared" ca="1" si="163"/>
        <v>3.5123206039871749E-2</v>
      </c>
    </row>
    <row r="7951" spans="6:7" x14ac:dyDescent="0.3">
      <c r="F7951" s="64">
        <v>7948</v>
      </c>
      <c r="G7951" s="64">
        <f t="shared" ca="1" si="163"/>
        <v>1.6303157556599526E-2</v>
      </c>
    </row>
    <row r="7952" spans="6:7" x14ac:dyDescent="0.3">
      <c r="F7952" s="64">
        <v>7949</v>
      </c>
      <c r="G7952" s="64">
        <f t="shared" ca="1" si="163"/>
        <v>4.4110340837574761E-3</v>
      </c>
    </row>
    <row r="7953" spans="6:7" x14ac:dyDescent="0.3">
      <c r="F7953" s="64">
        <v>7950</v>
      </c>
      <c r="G7953" s="64">
        <f t="shared" ca="1" si="163"/>
        <v>-1.2748013502565403E-2</v>
      </c>
    </row>
    <row r="7954" spans="6:7" x14ac:dyDescent="0.3">
      <c r="F7954" s="64">
        <v>7951</v>
      </c>
      <c r="G7954" s="64">
        <f t="shared" ca="1" si="163"/>
        <v>1.7044344166976484E-2</v>
      </c>
    </row>
    <row r="7955" spans="6:7" x14ac:dyDescent="0.3">
      <c r="F7955" s="64">
        <v>7952</v>
      </c>
      <c r="G7955" s="64">
        <f t="shared" ca="1" si="163"/>
        <v>-1.0697228803258485E-2</v>
      </c>
    </row>
    <row r="7956" spans="6:7" x14ac:dyDescent="0.3">
      <c r="F7956" s="64">
        <v>7953</v>
      </c>
      <c r="G7956" s="64">
        <f t="shared" ca="1" si="163"/>
        <v>-1.1019076365887807E-2</v>
      </c>
    </row>
    <row r="7957" spans="6:7" x14ac:dyDescent="0.3">
      <c r="F7957" s="64">
        <v>7954</v>
      </c>
      <c r="G7957" s="64">
        <f t="shared" ca="1" si="163"/>
        <v>8.2021006931789163E-4</v>
      </c>
    </row>
    <row r="7958" spans="6:7" x14ac:dyDescent="0.3">
      <c r="F7958" s="64">
        <v>7955</v>
      </c>
      <c r="G7958" s="64">
        <f t="shared" ca="1" si="163"/>
        <v>2.8617954943549531E-2</v>
      </c>
    </row>
    <row r="7959" spans="6:7" x14ac:dyDescent="0.3">
      <c r="F7959" s="64">
        <v>7956</v>
      </c>
      <c r="G7959" s="64">
        <f t="shared" ca="1" si="163"/>
        <v>-1.8114710939186006E-2</v>
      </c>
    </row>
    <row r="7960" spans="6:7" x14ac:dyDescent="0.3">
      <c r="F7960" s="64">
        <v>7957</v>
      </c>
      <c r="G7960" s="64">
        <f t="shared" ca="1" si="163"/>
        <v>-1.8717689810920597E-2</v>
      </c>
    </row>
    <row r="7961" spans="6:7" x14ac:dyDescent="0.3">
      <c r="F7961" s="64">
        <v>7958</v>
      </c>
      <c r="G7961" s="64">
        <f t="shared" ca="1" si="163"/>
        <v>1.6013460648403574E-2</v>
      </c>
    </row>
    <row r="7962" spans="6:7" x14ac:dyDescent="0.3">
      <c r="F7962" s="64">
        <v>7959</v>
      </c>
      <c r="G7962" s="64">
        <f t="shared" ca="1" si="163"/>
        <v>1.8095344801073103E-2</v>
      </c>
    </row>
    <row r="7963" spans="6:7" x14ac:dyDescent="0.3">
      <c r="F7963" s="64">
        <v>7960</v>
      </c>
      <c r="G7963" s="64">
        <f t="shared" ca="1" si="163"/>
        <v>-7.8597777811660282E-4</v>
      </c>
    </row>
    <row r="7964" spans="6:7" x14ac:dyDescent="0.3">
      <c r="F7964" s="64">
        <v>7961</v>
      </c>
      <c r="G7964" s="64">
        <f t="shared" ca="1" si="163"/>
        <v>-4.97077005417959E-2</v>
      </c>
    </row>
    <row r="7965" spans="6:7" x14ac:dyDescent="0.3">
      <c r="F7965" s="64">
        <v>7962</v>
      </c>
      <c r="G7965" s="64">
        <f t="shared" ca="1" si="163"/>
        <v>3.6249129900997726E-2</v>
      </c>
    </row>
    <row r="7966" spans="6:7" x14ac:dyDescent="0.3">
      <c r="F7966" s="64">
        <v>7963</v>
      </c>
      <c r="G7966" s="64">
        <f t="shared" ca="1" si="163"/>
        <v>-8.7506120515430108E-3</v>
      </c>
    </row>
    <row r="7967" spans="6:7" x14ac:dyDescent="0.3">
      <c r="F7967" s="64">
        <v>7964</v>
      </c>
      <c r="G7967" s="64">
        <f t="shared" ca="1" si="163"/>
        <v>-3.5359743653208188E-2</v>
      </c>
    </row>
    <row r="7968" spans="6:7" x14ac:dyDescent="0.3">
      <c r="F7968" s="64">
        <v>7965</v>
      </c>
      <c r="G7968" s="64">
        <f t="shared" ca="1" si="163"/>
        <v>-1.3205096373416676E-2</v>
      </c>
    </row>
    <row r="7969" spans="6:7" x14ac:dyDescent="0.3">
      <c r="F7969" s="64">
        <v>7966</v>
      </c>
      <c r="G7969" s="64">
        <f t="shared" ca="1" si="163"/>
        <v>7.70643342956852E-3</v>
      </c>
    </row>
    <row r="7970" spans="6:7" x14ac:dyDescent="0.3">
      <c r="F7970" s="64">
        <v>7967</v>
      </c>
      <c r="G7970" s="64">
        <f t="shared" ca="1" si="163"/>
        <v>2.9281045350781722E-2</v>
      </c>
    </row>
    <row r="7971" spans="6:7" x14ac:dyDescent="0.3">
      <c r="F7971" s="64">
        <v>7968</v>
      </c>
      <c r="G7971" s="64">
        <f t="shared" ca="1" si="163"/>
        <v>-1.5349201476287056E-2</v>
      </c>
    </row>
    <row r="7972" spans="6:7" x14ac:dyDescent="0.3">
      <c r="F7972" s="64">
        <v>7969</v>
      </c>
      <c r="G7972" s="64">
        <f t="shared" ca="1" si="163"/>
        <v>1.0518092847587679E-2</v>
      </c>
    </row>
    <row r="7973" spans="6:7" x14ac:dyDescent="0.3">
      <c r="F7973" s="64">
        <v>7970</v>
      </c>
      <c r="G7973" s="64">
        <f t="shared" ca="1" si="163"/>
        <v>1.4300678832535807E-3</v>
      </c>
    </row>
    <row r="7974" spans="6:7" x14ac:dyDescent="0.3">
      <c r="F7974" s="64">
        <v>7971</v>
      </c>
      <c r="G7974" s="64">
        <f t="shared" ca="1" si="163"/>
        <v>-9.6935279047430153E-3</v>
      </c>
    </row>
    <row r="7975" spans="6:7" x14ac:dyDescent="0.3">
      <c r="F7975" s="64">
        <v>7972</v>
      </c>
      <c r="G7975" s="64">
        <f t="shared" ca="1" si="163"/>
        <v>-2.0395610142849114E-3</v>
      </c>
    </row>
    <row r="7976" spans="6:7" x14ac:dyDescent="0.3">
      <c r="F7976" s="64">
        <v>7973</v>
      </c>
      <c r="G7976" s="64">
        <f t="shared" ca="1" si="163"/>
        <v>3.3381055883384518E-2</v>
      </c>
    </row>
    <row r="7977" spans="6:7" x14ac:dyDescent="0.3">
      <c r="F7977" s="64">
        <v>7974</v>
      </c>
      <c r="G7977" s="64">
        <f t="shared" ca="1" si="163"/>
        <v>-7.8732283688595864E-3</v>
      </c>
    </row>
    <row r="7978" spans="6:7" x14ac:dyDescent="0.3">
      <c r="F7978" s="64">
        <v>7975</v>
      </c>
      <c r="G7978" s="64">
        <f t="shared" ca="1" si="163"/>
        <v>-5.4242397457261184E-4</v>
      </c>
    </row>
    <row r="7979" spans="6:7" x14ac:dyDescent="0.3">
      <c r="F7979" s="64">
        <v>7976</v>
      </c>
      <c r="G7979" s="64">
        <f t="shared" ca="1" si="163"/>
        <v>-1.2898754294993985E-3</v>
      </c>
    </row>
    <row r="7980" spans="6:7" x14ac:dyDescent="0.3">
      <c r="F7980" s="64">
        <v>7977</v>
      </c>
      <c r="G7980" s="64">
        <f t="shared" ca="1" si="163"/>
        <v>-5.7831155275314822E-3</v>
      </c>
    </row>
    <row r="7981" spans="6:7" x14ac:dyDescent="0.3">
      <c r="F7981" s="64">
        <v>7978</v>
      </c>
      <c r="G7981" s="64">
        <f t="shared" ca="1" si="163"/>
        <v>2.7221172212569852E-2</v>
      </c>
    </row>
    <row r="7982" spans="6:7" x14ac:dyDescent="0.3">
      <c r="F7982" s="64">
        <v>7979</v>
      </c>
      <c r="G7982" s="64">
        <f t="shared" ca="1" si="163"/>
        <v>1.4552683999489908E-2</v>
      </c>
    </row>
    <row r="7983" spans="6:7" x14ac:dyDescent="0.3">
      <c r="F7983" s="64">
        <v>7980</v>
      </c>
      <c r="G7983" s="64">
        <f t="shared" ca="1" si="163"/>
        <v>1.668207195192347E-2</v>
      </c>
    </row>
    <row r="7984" spans="6:7" x14ac:dyDescent="0.3">
      <c r="F7984" s="64">
        <v>7981</v>
      </c>
      <c r="G7984" s="64">
        <f t="shared" ca="1" si="163"/>
        <v>-1.3530687448093564E-2</v>
      </c>
    </row>
    <row r="7985" spans="6:7" x14ac:dyDescent="0.3">
      <c r="F7985" s="64">
        <v>7982</v>
      </c>
      <c r="G7985" s="64">
        <f t="shared" ca="1" si="163"/>
        <v>-1.7964243966480747E-2</v>
      </c>
    </row>
    <row r="7986" spans="6:7" x14ac:dyDescent="0.3">
      <c r="F7986" s="64">
        <v>7983</v>
      </c>
      <c r="G7986" s="64">
        <f t="shared" ca="1" si="163"/>
        <v>1.3653716688204708E-4</v>
      </c>
    </row>
    <row r="7987" spans="6:7" x14ac:dyDescent="0.3">
      <c r="F7987" s="64">
        <v>7984</v>
      </c>
      <c r="G7987" s="64">
        <f t="shared" ca="1" si="163"/>
        <v>1.3288232256833331E-2</v>
      </c>
    </row>
    <row r="7988" spans="6:7" x14ac:dyDescent="0.3">
      <c r="F7988" s="64">
        <v>7985</v>
      </c>
      <c r="G7988" s="64">
        <f t="shared" ca="1" si="163"/>
        <v>-5.6418948665544022E-4</v>
      </c>
    </row>
    <row r="7989" spans="6:7" x14ac:dyDescent="0.3">
      <c r="F7989" s="64">
        <v>7986</v>
      </c>
      <c r="G7989" s="64">
        <f t="shared" ca="1" si="163"/>
        <v>1.2013064334822595E-2</v>
      </c>
    </row>
    <row r="7990" spans="6:7" x14ac:dyDescent="0.3">
      <c r="F7990" s="64">
        <v>7987</v>
      </c>
      <c r="G7990" s="64">
        <f t="shared" ca="1" si="163"/>
        <v>1.1417362818360524E-2</v>
      </c>
    </row>
    <row r="7991" spans="6:7" x14ac:dyDescent="0.3">
      <c r="F7991" s="64">
        <v>7988</v>
      </c>
      <c r="G7991" s="64">
        <f t="shared" ca="1" si="163"/>
        <v>-1.8496404246314865E-2</v>
      </c>
    </row>
    <row r="7992" spans="6:7" x14ac:dyDescent="0.3">
      <c r="F7992" s="64">
        <v>7989</v>
      </c>
      <c r="G7992" s="64">
        <f t="shared" ca="1" si="163"/>
        <v>6.5778447395015453E-4</v>
      </c>
    </row>
    <row r="7993" spans="6:7" x14ac:dyDescent="0.3">
      <c r="F7993" s="64">
        <v>7990</v>
      </c>
      <c r="G7993" s="64">
        <f t="shared" ca="1" si="163"/>
        <v>3.3723608533499316E-2</v>
      </c>
    </row>
    <row r="7994" spans="6:7" x14ac:dyDescent="0.3">
      <c r="F7994" s="64">
        <v>7991</v>
      </c>
      <c r="G7994" s="64">
        <f t="shared" ca="1" si="163"/>
        <v>2.4108446435747055E-2</v>
      </c>
    </row>
    <row r="7995" spans="6:7" x14ac:dyDescent="0.3">
      <c r="F7995" s="64">
        <v>7992</v>
      </c>
      <c r="G7995" s="64">
        <f t="shared" ca="1" si="163"/>
        <v>1.4995092255938923E-2</v>
      </c>
    </row>
    <row r="7996" spans="6:7" x14ac:dyDescent="0.3">
      <c r="F7996" s="64">
        <v>7993</v>
      </c>
      <c r="G7996" s="64">
        <f t="shared" ca="1" si="163"/>
        <v>-2.4357388413367331E-3</v>
      </c>
    </row>
    <row r="7997" spans="6:7" x14ac:dyDescent="0.3">
      <c r="F7997" s="64">
        <v>7994</v>
      </c>
      <c r="G7997" s="64">
        <f t="shared" ca="1" si="163"/>
        <v>8.8530130432740248E-3</v>
      </c>
    </row>
    <row r="7998" spans="6:7" x14ac:dyDescent="0.3">
      <c r="F7998" s="64">
        <v>7995</v>
      </c>
      <c r="G7998" s="64">
        <f t="shared" ca="1" si="163"/>
        <v>-2.9117889692288443E-2</v>
      </c>
    </row>
    <row r="7999" spans="6:7" x14ac:dyDescent="0.3">
      <c r="F7999" s="64">
        <v>7996</v>
      </c>
      <c r="G7999" s="64">
        <f t="shared" ca="1" si="163"/>
        <v>-2.6907809941700781E-3</v>
      </c>
    </row>
    <row r="8000" spans="6:7" x14ac:dyDescent="0.3">
      <c r="F8000" s="64">
        <v>7997</v>
      </c>
      <c r="G8000" s="64">
        <f t="shared" ca="1" si="163"/>
        <v>1.875620881999715E-2</v>
      </c>
    </row>
    <row r="8001" spans="6:7" x14ac:dyDescent="0.3">
      <c r="F8001" s="64">
        <v>7998</v>
      </c>
      <c r="G8001" s="64">
        <f t="shared" ca="1" si="163"/>
        <v>7.2285494637378102E-3</v>
      </c>
    </row>
    <row r="8002" spans="6:7" x14ac:dyDescent="0.3">
      <c r="F8002" s="64">
        <v>7999</v>
      </c>
      <c r="G8002" s="64">
        <f t="shared" ca="1" si="163"/>
        <v>-7.3071887180278291E-3</v>
      </c>
    </row>
    <row r="8003" spans="6:7" x14ac:dyDescent="0.3">
      <c r="F8003" s="64">
        <v>8000</v>
      </c>
      <c r="G8003" s="64">
        <f t="shared" ca="1" si="163"/>
        <v>4.6011207125198628E-2</v>
      </c>
    </row>
    <row r="8004" spans="6:7" x14ac:dyDescent="0.3">
      <c r="F8004" s="64">
        <v>8001</v>
      </c>
      <c r="G8004" s="64">
        <f t="shared" ca="1" si="163"/>
        <v>1.5584333227113289E-2</v>
      </c>
    </row>
    <row r="8005" spans="6:7" x14ac:dyDescent="0.3">
      <c r="F8005" s="64">
        <v>8002</v>
      </c>
      <c r="G8005" s="64">
        <f t="shared" ref="G8005:G8068" ca="1" si="164">_xlfn.NORM.INV(RAND(),K$6,K$7)</f>
        <v>3.1503644227583193E-2</v>
      </c>
    </row>
    <row r="8006" spans="6:7" x14ac:dyDescent="0.3">
      <c r="F8006" s="64">
        <v>8003</v>
      </c>
      <c r="G8006" s="64">
        <f t="shared" ca="1" si="164"/>
        <v>-3.3988440056085333E-2</v>
      </c>
    </row>
    <row r="8007" spans="6:7" x14ac:dyDescent="0.3">
      <c r="F8007" s="64">
        <v>8004</v>
      </c>
      <c r="G8007" s="64">
        <f t="shared" ca="1" si="164"/>
        <v>1.7092655886155148E-2</v>
      </c>
    </row>
    <row r="8008" spans="6:7" x14ac:dyDescent="0.3">
      <c r="F8008" s="64">
        <v>8005</v>
      </c>
      <c r="G8008" s="64">
        <f t="shared" ca="1" si="164"/>
        <v>-1.1086617165939606E-2</v>
      </c>
    </row>
    <row r="8009" spans="6:7" x14ac:dyDescent="0.3">
      <c r="F8009" s="64">
        <v>8006</v>
      </c>
      <c r="G8009" s="64">
        <f t="shared" ca="1" si="164"/>
        <v>5.651512991636928E-3</v>
      </c>
    </row>
    <row r="8010" spans="6:7" x14ac:dyDescent="0.3">
      <c r="F8010" s="64">
        <v>8007</v>
      </c>
      <c r="G8010" s="64">
        <f t="shared" ca="1" si="164"/>
        <v>-4.1182984725665452E-3</v>
      </c>
    </row>
    <row r="8011" spans="6:7" x14ac:dyDescent="0.3">
      <c r="F8011" s="64">
        <v>8008</v>
      </c>
      <c r="G8011" s="64">
        <f t="shared" ca="1" si="164"/>
        <v>3.6495986850910322E-2</v>
      </c>
    </row>
    <row r="8012" spans="6:7" x14ac:dyDescent="0.3">
      <c r="F8012" s="64">
        <v>8009</v>
      </c>
      <c r="G8012" s="64">
        <f t="shared" ca="1" si="164"/>
        <v>-8.1389762763046693E-3</v>
      </c>
    </row>
    <row r="8013" spans="6:7" x14ac:dyDescent="0.3">
      <c r="F8013" s="64">
        <v>8010</v>
      </c>
      <c r="G8013" s="64">
        <f t="shared" ca="1" si="164"/>
        <v>2.782216152453186E-3</v>
      </c>
    </row>
    <row r="8014" spans="6:7" x14ac:dyDescent="0.3">
      <c r="F8014" s="64">
        <v>8011</v>
      </c>
      <c r="G8014" s="64">
        <f t="shared" ca="1" si="164"/>
        <v>1.7460935887689072E-2</v>
      </c>
    </row>
    <row r="8015" spans="6:7" x14ac:dyDescent="0.3">
      <c r="F8015" s="64">
        <v>8012</v>
      </c>
      <c r="G8015" s="64">
        <f t="shared" ca="1" si="164"/>
        <v>-2.3669254797682129E-2</v>
      </c>
    </row>
    <row r="8016" spans="6:7" x14ac:dyDescent="0.3">
      <c r="F8016" s="64">
        <v>8013</v>
      </c>
      <c r="G8016" s="64">
        <f t="shared" ca="1" si="164"/>
        <v>1.4928451355875958E-2</v>
      </c>
    </row>
    <row r="8017" spans="6:7" x14ac:dyDescent="0.3">
      <c r="F8017" s="64">
        <v>8014</v>
      </c>
      <c r="G8017" s="64">
        <f t="shared" ca="1" si="164"/>
        <v>-4.3302703301483503E-3</v>
      </c>
    </row>
    <row r="8018" spans="6:7" x14ac:dyDescent="0.3">
      <c r="F8018" s="64">
        <v>8015</v>
      </c>
      <c r="G8018" s="64">
        <f t="shared" ca="1" si="164"/>
        <v>2.2466898335256016E-2</v>
      </c>
    </row>
    <row r="8019" spans="6:7" x14ac:dyDescent="0.3">
      <c r="F8019" s="64">
        <v>8016</v>
      </c>
      <c r="G8019" s="64">
        <f t="shared" ca="1" si="164"/>
        <v>-4.0260100575463375E-3</v>
      </c>
    </row>
    <row r="8020" spans="6:7" x14ac:dyDescent="0.3">
      <c r="F8020" s="64">
        <v>8017</v>
      </c>
      <c r="G8020" s="64">
        <f t="shared" ca="1" si="164"/>
        <v>1.7047471960918867E-2</v>
      </c>
    </row>
    <row r="8021" spans="6:7" x14ac:dyDescent="0.3">
      <c r="F8021" s="64">
        <v>8018</v>
      </c>
      <c r="G8021" s="64">
        <f t="shared" ca="1" si="164"/>
        <v>7.4595992746585426E-4</v>
      </c>
    </row>
    <row r="8022" spans="6:7" x14ac:dyDescent="0.3">
      <c r="F8022" s="64">
        <v>8019</v>
      </c>
      <c r="G8022" s="64">
        <f t="shared" ca="1" si="164"/>
        <v>7.5331939554133462E-3</v>
      </c>
    </row>
    <row r="8023" spans="6:7" x14ac:dyDescent="0.3">
      <c r="F8023" s="64">
        <v>8020</v>
      </c>
      <c r="G8023" s="64">
        <f t="shared" ca="1" si="164"/>
        <v>-5.2080805541168645E-2</v>
      </c>
    </row>
    <row r="8024" spans="6:7" x14ac:dyDescent="0.3">
      <c r="F8024" s="64">
        <v>8021</v>
      </c>
      <c r="G8024" s="64">
        <f t="shared" ca="1" si="164"/>
        <v>-2.1445202344028053E-2</v>
      </c>
    </row>
    <row r="8025" spans="6:7" x14ac:dyDescent="0.3">
      <c r="F8025" s="64">
        <v>8022</v>
      </c>
      <c r="G8025" s="64">
        <f t="shared" ca="1" si="164"/>
        <v>1.8749961601686252E-2</v>
      </c>
    </row>
    <row r="8026" spans="6:7" x14ac:dyDescent="0.3">
      <c r="F8026" s="64">
        <v>8023</v>
      </c>
      <c r="G8026" s="64">
        <f t="shared" ca="1" si="164"/>
        <v>5.6222870293757303E-3</v>
      </c>
    </row>
    <row r="8027" spans="6:7" x14ac:dyDescent="0.3">
      <c r="F8027" s="64">
        <v>8024</v>
      </c>
      <c r="G8027" s="64">
        <f t="shared" ca="1" si="164"/>
        <v>-1.5590223533532637E-2</v>
      </c>
    </row>
    <row r="8028" spans="6:7" x14ac:dyDescent="0.3">
      <c r="F8028" s="64">
        <v>8025</v>
      </c>
      <c r="G8028" s="64">
        <f t="shared" ca="1" si="164"/>
        <v>1.501561241681171E-2</v>
      </c>
    </row>
    <row r="8029" spans="6:7" x14ac:dyDescent="0.3">
      <c r="F8029" s="64">
        <v>8026</v>
      </c>
      <c r="G8029" s="64">
        <f t="shared" ca="1" si="164"/>
        <v>-2.7169175669034866E-2</v>
      </c>
    </row>
    <row r="8030" spans="6:7" x14ac:dyDescent="0.3">
      <c r="F8030" s="64">
        <v>8027</v>
      </c>
      <c r="G8030" s="64">
        <f t="shared" ca="1" si="164"/>
        <v>-1.3565850770767031E-2</v>
      </c>
    </row>
    <row r="8031" spans="6:7" x14ac:dyDescent="0.3">
      <c r="F8031" s="64">
        <v>8028</v>
      </c>
      <c r="G8031" s="64">
        <f t="shared" ca="1" si="164"/>
        <v>-1.3026775009041059E-2</v>
      </c>
    </row>
    <row r="8032" spans="6:7" x14ac:dyDescent="0.3">
      <c r="F8032" s="64">
        <v>8029</v>
      </c>
      <c r="G8032" s="64">
        <f t="shared" ca="1" si="164"/>
        <v>7.5923072559646917E-3</v>
      </c>
    </row>
    <row r="8033" spans="6:7" x14ac:dyDescent="0.3">
      <c r="F8033" s="64">
        <v>8030</v>
      </c>
      <c r="G8033" s="64">
        <f t="shared" ca="1" si="164"/>
        <v>-2.3883047916638291E-2</v>
      </c>
    </row>
    <row r="8034" spans="6:7" x14ac:dyDescent="0.3">
      <c r="F8034" s="64">
        <v>8031</v>
      </c>
      <c r="G8034" s="64">
        <f t="shared" ca="1" si="164"/>
        <v>-2.4652013758943984E-2</v>
      </c>
    </row>
    <row r="8035" spans="6:7" x14ac:dyDescent="0.3">
      <c r="F8035" s="64">
        <v>8032</v>
      </c>
      <c r="G8035" s="64">
        <f t="shared" ca="1" si="164"/>
        <v>2.0762289333734536E-2</v>
      </c>
    </row>
    <row r="8036" spans="6:7" x14ac:dyDescent="0.3">
      <c r="F8036" s="64">
        <v>8033</v>
      </c>
      <c r="G8036" s="64">
        <f t="shared" ca="1" si="164"/>
        <v>7.9708336681323603E-3</v>
      </c>
    </row>
    <row r="8037" spans="6:7" x14ac:dyDescent="0.3">
      <c r="F8037" s="64">
        <v>8034</v>
      </c>
      <c r="G8037" s="64">
        <f t="shared" ca="1" si="164"/>
        <v>2.0554776459284649E-2</v>
      </c>
    </row>
    <row r="8038" spans="6:7" x14ac:dyDescent="0.3">
      <c r="F8038" s="64">
        <v>8035</v>
      </c>
      <c r="G8038" s="64">
        <f t="shared" ca="1" si="164"/>
        <v>1.3254741928198554E-4</v>
      </c>
    </row>
    <row r="8039" spans="6:7" x14ac:dyDescent="0.3">
      <c r="F8039" s="64">
        <v>8036</v>
      </c>
      <c r="G8039" s="64">
        <f t="shared" ca="1" si="164"/>
        <v>-2.2937750787806067E-3</v>
      </c>
    </row>
    <row r="8040" spans="6:7" x14ac:dyDescent="0.3">
      <c r="F8040" s="64">
        <v>8037</v>
      </c>
      <c r="G8040" s="64">
        <f t="shared" ca="1" si="164"/>
        <v>1.7268613633730959E-2</v>
      </c>
    </row>
    <row r="8041" spans="6:7" x14ac:dyDescent="0.3">
      <c r="F8041" s="64">
        <v>8038</v>
      </c>
      <c r="G8041" s="64">
        <f t="shared" ca="1" si="164"/>
        <v>2.6642513351195198E-2</v>
      </c>
    </row>
    <row r="8042" spans="6:7" x14ac:dyDescent="0.3">
      <c r="F8042" s="64">
        <v>8039</v>
      </c>
      <c r="G8042" s="64">
        <f t="shared" ca="1" si="164"/>
        <v>2.3281165432470032E-2</v>
      </c>
    </row>
    <row r="8043" spans="6:7" x14ac:dyDescent="0.3">
      <c r="F8043" s="64">
        <v>8040</v>
      </c>
      <c r="G8043" s="64">
        <f t="shared" ca="1" si="164"/>
        <v>7.3484021356508772E-3</v>
      </c>
    </row>
    <row r="8044" spans="6:7" x14ac:dyDescent="0.3">
      <c r="F8044" s="64">
        <v>8041</v>
      </c>
      <c r="G8044" s="64">
        <f t="shared" ca="1" si="164"/>
        <v>1.9244280331569698E-2</v>
      </c>
    </row>
    <row r="8045" spans="6:7" x14ac:dyDescent="0.3">
      <c r="F8045" s="64">
        <v>8042</v>
      </c>
      <c r="G8045" s="64">
        <f t="shared" ca="1" si="164"/>
        <v>5.4981424543800424E-3</v>
      </c>
    </row>
    <row r="8046" spans="6:7" x14ac:dyDescent="0.3">
      <c r="F8046" s="64">
        <v>8043</v>
      </c>
      <c r="G8046" s="64">
        <f t="shared" ca="1" si="164"/>
        <v>2.9077279828448786E-2</v>
      </c>
    </row>
    <row r="8047" spans="6:7" x14ac:dyDescent="0.3">
      <c r="F8047" s="64">
        <v>8044</v>
      </c>
      <c r="G8047" s="64">
        <f t="shared" ca="1" si="164"/>
        <v>2.1185347088988817E-2</v>
      </c>
    </row>
    <row r="8048" spans="6:7" x14ac:dyDescent="0.3">
      <c r="F8048" s="64">
        <v>8045</v>
      </c>
      <c r="G8048" s="64">
        <f t="shared" ca="1" si="164"/>
        <v>-1.5033802986711598E-2</v>
      </c>
    </row>
    <row r="8049" spans="6:7" x14ac:dyDescent="0.3">
      <c r="F8049" s="64">
        <v>8046</v>
      </c>
      <c r="G8049" s="64">
        <f t="shared" ca="1" si="164"/>
        <v>7.8097510510062237E-3</v>
      </c>
    </row>
    <row r="8050" spans="6:7" x14ac:dyDescent="0.3">
      <c r="F8050" s="64">
        <v>8047</v>
      </c>
      <c r="G8050" s="64">
        <f t="shared" ca="1" si="164"/>
        <v>2.0982101985166396E-2</v>
      </c>
    </row>
    <row r="8051" spans="6:7" x14ac:dyDescent="0.3">
      <c r="F8051" s="64">
        <v>8048</v>
      </c>
      <c r="G8051" s="64">
        <f t="shared" ca="1" si="164"/>
        <v>-2.005647118746124E-2</v>
      </c>
    </row>
    <row r="8052" spans="6:7" x14ac:dyDescent="0.3">
      <c r="F8052" s="64">
        <v>8049</v>
      </c>
      <c r="G8052" s="64">
        <f t="shared" ca="1" si="164"/>
        <v>1.9269257917381356E-2</v>
      </c>
    </row>
    <row r="8053" spans="6:7" x14ac:dyDescent="0.3">
      <c r="F8053" s="64">
        <v>8050</v>
      </c>
      <c r="G8053" s="64">
        <f t="shared" ca="1" si="164"/>
        <v>1.5234520599862696E-2</v>
      </c>
    </row>
    <row r="8054" spans="6:7" x14ac:dyDescent="0.3">
      <c r="F8054" s="64">
        <v>8051</v>
      </c>
      <c r="G8054" s="64">
        <f t="shared" ca="1" si="164"/>
        <v>-1.6595057552208851E-2</v>
      </c>
    </row>
    <row r="8055" spans="6:7" x14ac:dyDescent="0.3">
      <c r="F8055" s="64">
        <v>8052</v>
      </c>
      <c r="G8055" s="64">
        <f t="shared" ca="1" si="164"/>
        <v>1.4346427345639757E-2</v>
      </c>
    </row>
    <row r="8056" spans="6:7" x14ac:dyDescent="0.3">
      <c r="F8056" s="64">
        <v>8053</v>
      </c>
      <c r="G8056" s="64">
        <f t="shared" ca="1" si="164"/>
        <v>-1.1185730457773534E-2</v>
      </c>
    </row>
    <row r="8057" spans="6:7" x14ac:dyDescent="0.3">
      <c r="F8057" s="64">
        <v>8054</v>
      </c>
      <c r="G8057" s="64">
        <f t="shared" ca="1" si="164"/>
        <v>-1.4681079467611062E-2</v>
      </c>
    </row>
    <row r="8058" spans="6:7" x14ac:dyDescent="0.3">
      <c r="F8058" s="64">
        <v>8055</v>
      </c>
      <c r="G8058" s="64">
        <f t="shared" ca="1" si="164"/>
        <v>3.9156014977647778E-2</v>
      </c>
    </row>
    <row r="8059" spans="6:7" x14ac:dyDescent="0.3">
      <c r="F8059" s="64">
        <v>8056</v>
      </c>
      <c r="G8059" s="64">
        <f t="shared" ca="1" si="164"/>
        <v>1.9933217512908878E-2</v>
      </c>
    </row>
    <row r="8060" spans="6:7" x14ac:dyDescent="0.3">
      <c r="F8060" s="64">
        <v>8057</v>
      </c>
      <c r="G8060" s="64">
        <f t="shared" ca="1" si="164"/>
        <v>1.7613528930498862E-2</v>
      </c>
    </row>
    <row r="8061" spans="6:7" x14ac:dyDescent="0.3">
      <c r="F8061" s="64">
        <v>8058</v>
      </c>
      <c r="G8061" s="64">
        <f t="shared" ca="1" si="164"/>
        <v>-3.9935422794461564E-3</v>
      </c>
    </row>
    <row r="8062" spans="6:7" x14ac:dyDescent="0.3">
      <c r="F8062" s="64">
        <v>8059</v>
      </c>
      <c r="G8062" s="64">
        <f t="shared" ca="1" si="164"/>
        <v>1.2905967083798281E-3</v>
      </c>
    </row>
    <row r="8063" spans="6:7" x14ac:dyDescent="0.3">
      <c r="F8063" s="64">
        <v>8060</v>
      </c>
      <c r="G8063" s="64">
        <f t="shared" ca="1" si="164"/>
        <v>2.333995500752967E-3</v>
      </c>
    </row>
    <row r="8064" spans="6:7" x14ac:dyDescent="0.3">
      <c r="F8064" s="64">
        <v>8061</v>
      </c>
      <c r="G8064" s="64">
        <f t="shared" ca="1" si="164"/>
        <v>-4.2496650364160027E-3</v>
      </c>
    </row>
    <row r="8065" spans="6:7" x14ac:dyDescent="0.3">
      <c r="F8065" s="64">
        <v>8062</v>
      </c>
      <c r="G8065" s="64">
        <f t="shared" ca="1" si="164"/>
        <v>-1.0332398164361618E-2</v>
      </c>
    </row>
    <row r="8066" spans="6:7" x14ac:dyDescent="0.3">
      <c r="F8066" s="64">
        <v>8063</v>
      </c>
      <c r="G8066" s="64">
        <f t="shared" ca="1" si="164"/>
        <v>3.5352547356849672E-3</v>
      </c>
    </row>
    <row r="8067" spans="6:7" x14ac:dyDescent="0.3">
      <c r="F8067" s="64">
        <v>8064</v>
      </c>
      <c r="G8067" s="64">
        <f t="shared" ca="1" si="164"/>
        <v>3.2564275376065904E-2</v>
      </c>
    </row>
    <row r="8068" spans="6:7" x14ac:dyDescent="0.3">
      <c r="F8068" s="64">
        <v>8065</v>
      </c>
      <c r="G8068" s="64">
        <f t="shared" ca="1" si="164"/>
        <v>1.3304610215108809E-2</v>
      </c>
    </row>
    <row r="8069" spans="6:7" x14ac:dyDescent="0.3">
      <c r="F8069" s="64">
        <v>8066</v>
      </c>
      <c r="G8069" s="64">
        <f t="shared" ref="G8069:G8132" ca="1" si="165">_xlfn.NORM.INV(RAND(),K$6,K$7)</f>
        <v>-2.9494490884776153E-2</v>
      </c>
    </row>
    <row r="8070" spans="6:7" x14ac:dyDescent="0.3">
      <c r="F8070" s="64">
        <v>8067</v>
      </c>
      <c r="G8070" s="64">
        <f t="shared" ca="1" si="165"/>
        <v>4.3903657555572316E-3</v>
      </c>
    </row>
    <row r="8071" spans="6:7" x14ac:dyDescent="0.3">
      <c r="F8071" s="64">
        <v>8068</v>
      </c>
      <c r="G8071" s="64">
        <f t="shared" ca="1" si="165"/>
        <v>-6.6427795699363634E-3</v>
      </c>
    </row>
    <row r="8072" spans="6:7" x14ac:dyDescent="0.3">
      <c r="F8072" s="64">
        <v>8069</v>
      </c>
      <c r="G8072" s="64">
        <f t="shared" ca="1" si="165"/>
        <v>5.7246668170171516E-3</v>
      </c>
    </row>
    <row r="8073" spans="6:7" x14ac:dyDescent="0.3">
      <c r="F8073" s="64">
        <v>8070</v>
      </c>
      <c r="G8073" s="64">
        <f t="shared" ca="1" si="165"/>
        <v>-9.5298416784112203E-3</v>
      </c>
    </row>
    <row r="8074" spans="6:7" x14ac:dyDescent="0.3">
      <c r="F8074" s="64">
        <v>8071</v>
      </c>
      <c r="G8074" s="64">
        <f t="shared" ca="1" si="165"/>
        <v>2.0946373127890147E-2</v>
      </c>
    </row>
    <row r="8075" spans="6:7" x14ac:dyDescent="0.3">
      <c r="F8075" s="64">
        <v>8072</v>
      </c>
      <c r="G8075" s="64">
        <f t="shared" ca="1" si="165"/>
        <v>2.1233103359628053E-2</v>
      </c>
    </row>
    <row r="8076" spans="6:7" x14ac:dyDescent="0.3">
      <c r="F8076" s="64">
        <v>8073</v>
      </c>
      <c r="G8076" s="64">
        <f t="shared" ca="1" si="165"/>
        <v>-1.3354579834778472E-2</v>
      </c>
    </row>
    <row r="8077" spans="6:7" x14ac:dyDescent="0.3">
      <c r="F8077" s="64">
        <v>8074</v>
      </c>
      <c r="G8077" s="64">
        <f t="shared" ca="1" si="165"/>
        <v>-3.1841449061429827E-2</v>
      </c>
    </row>
    <row r="8078" spans="6:7" x14ac:dyDescent="0.3">
      <c r="F8078" s="64">
        <v>8075</v>
      </c>
      <c r="G8078" s="64">
        <f t="shared" ca="1" si="165"/>
        <v>3.006043811013355E-2</v>
      </c>
    </row>
    <row r="8079" spans="6:7" x14ac:dyDescent="0.3">
      <c r="F8079" s="64">
        <v>8076</v>
      </c>
      <c r="G8079" s="64">
        <f t="shared" ca="1" si="165"/>
        <v>-5.3916762263405945E-4</v>
      </c>
    </row>
    <row r="8080" spans="6:7" x14ac:dyDescent="0.3">
      <c r="F8080" s="64">
        <v>8077</v>
      </c>
      <c r="G8080" s="64">
        <f t="shared" ca="1" si="165"/>
        <v>3.9722000903037111E-3</v>
      </c>
    </row>
    <row r="8081" spans="6:7" x14ac:dyDescent="0.3">
      <c r="F8081" s="64">
        <v>8078</v>
      </c>
      <c r="G8081" s="64">
        <f t="shared" ca="1" si="165"/>
        <v>3.0198709934064455E-2</v>
      </c>
    </row>
    <row r="8082" spans="6:7" x14ac:dyDescent="0.3">
      <c r="F8082" s="64">
        <v>8079</v>
      </c>
      <c r="G8082" s="64">
        <f t="shared" ca="1" si="165"/>
        <v>2.2101426630496456E-3</v>
      </c>
    </row>
    <row r="8083" spans="6:7" x14ac:dyDescent="0.3">
      <c r="F8083" s="64">
        <v>8080</v>
      </c>
      <c r="G8083" s="64">
        <f t="shared" ca="1" si="165"/>
        <v>-3.2365825244494606E-2</v>
      </c>
    </row>
    <row r="8084" spans="6:7" x14ac:dyDescent="0.3">
      <c r="F8084" s="64">
        <v>8081</v>
      </c>
      <c r="G8084" s="64">
        <f t="shared" ca="1" si="165"/>
        <v>-1.1561416695793829E-2</v>
      </c>
    </row>
    <row r="8085" spans="6:7" x14ac:dyDescent="0.3">
      <c r="F8085" s="64">
        <v>8082</v>
      </c>
      <c r="G8085" s="64">
        <f t="shared" ca="1" si="165"/>
        <v>-8.6678387849173366E-3</v>
      </c>
    </row>
    <row r="8086" spans="6:7" x14ac:dyDescent="0.3">
      <c r="F8086" s="64">
        <v>8083</v>
      </c>
      <c r="G8086" s="64">
        <f t="shared" ca="1" si="165"/>
        <v>-5.4970538895242589E-3</v>
      </c>
    </row>
    <row r="8087" spans="6:7" x14ac:dyDescent="0.3">
      <c r="F8087" s="64">
        <v>8084</v>
      </c>
      <c r="G8087" s="64">
        <f t="shared" ca="1" si="165"/>
        <v>-3.1399888091212927E-2</v>
      </c>
    </row>
    <row r="8088" spans="6:7" x14ac:dyDescent="0.3">
      <c r="F8088" s="64">
        <v>8085</v>
      </c>
      <c r="G8088" s="64">
        <f t="shared" ca="1" si="165"/>
        <v>-1.8633192912032671E-2</v>
      </c>
    </row>
    <row r="8089" spans="6:7" x14ac:dyDescent="0.3">
      <c r="F8089" s="64">
        <v>8086</v>
      </c>
      <c r="G8089" s="64">
        <f t="shared" ca="1" si="165"/>
        <v>-1.4930840908928487E-2</v>
      </c>
    </row>
    <row r="8090" spans="6:7" x14ac:dyDescent="0.3">
      <c r="F8090" s="64">
        <v>8087</v>
      </c>
      <c r="G8090" s="64">
        <f t="shared" ca="1" si="165"/>
        <v>1.0980524647689559E-3</v>
      </c>
    </row>
    <row r="8091" spans="6:7" x14ac:dyDescent="0.3">
      <c r="F8091" s="64">
        <v>8088</v>
      </c>
      <c r="G8091" s="64">
        <f t="shared" ca="1" si="165"/>
        <v>-4.4578923757859507E-3</v>
      </c>
    </row>
    <row r="8092" spans="6:7" x14ac:dyDescent="0.3">
      <c r="F8092" s="64">
        <v>8089</v>
      </c>
      <c r="G8092" s="64">
        <f t="shared" ca="1" si="165"/>
        <v>1.139093007498726E-2</v>
      </c>
    </row>
    <row r="8093" spans="6:7" x14ac:dyDescent="0.3">
      <c r="F8093" s="64">
        <v>8090</v>
      </c>
      <c r="G8093" s="64">
        <f t="shared" ca="1" si="165"/>
        <v>2.2783398498052894E-2</v>
      </c>
    </row>
    <row r="8094" spans="6:7" x14ac:dyDescent="0.3">
      <c r="F8094" s="64">
        <v>8091</v>
      </c>
      <c r="G8094" s="64">
        <f t="shared" ca="1" si="165"/>
        <v>6.6469841656786608E-3</v>
      </c>
    </row>
    <row r="8095" spans="6:7" x14ac:dyDescent="0.3">
      <c r="F8095" s="64">
        <v>8092</v>
      </c>
      <c r="G8095" s="64">
        <f t="shared" ca="1" si="165"/>
        <v>-1.4186317590865104E-2</v>
      </c>
    </row>
    <row r="8096" spans="6:7" x14ac:dyDescent="0.3">
      <c r="F8096" s="64">
        <v>8093</v>
      </c>
      <c r="G8096" s="64">
        <f t="shared" ca="1" si="165"/>
        <v>-2.376623939904339E-2</v>
      </c>
    </row>
    <row r="8097" spans="6:7" x14ac:dyDescent="0.3">
      <c r="F8097" s="64">
        <v>8094</v>
      </c>
      <c r="G8097" s="64">
        <f t="shared" ca="1" si="165"/>
        <v>8.5027881063009358E-3</v>
      </c>
    </row>
    <row r="8098" spans="6:7" x14ac:dyDescent="0.3">
      <c r="F8098" s="64">
        <v>8095</v>
      </c>
      <c r="G8098" s="64">
        <f t="shared" ca="1" si="165"/>
        <v>-2.3375352405618374E-2</v>
      </c>
    </row>
    <row r="8099" spans="6:7" x14ac:dyDescent="0.3">
      <c r="F8099" s="64">
        <v>8096</v>
      </c>
      <c r="G8099" s="64">
        <f t="shared" ca="1" si="165"/>
        <v>2.0794372228733107E-2</v>
      </c>
    </row>
    <row r="8100" spans="6:7" x14ac:dyDescent="0.3">
      <c r="F8100" s="64">
        <v>8097</v>
      </c>
      <c r="G8100" s="64">
        <f t="shared" ca="1" si="165"/>
        <v>1.8572995190891811E-2</v>
      </c>
    </row>
    <row r="8101" spans="6:7" x14ac:dyDescent="0.3">
      <c r="F8101" s="64">
        <v>8098</v>
      </c>
      <c r="G8101" s="64">
        <f t="shared" ca="1" si="165"/>
        <v>1.3044172499616057E-2</v>
      </c>
    </row>
    <row r="8102" spans="6:7" x14ac:dyDescent="0.3">
      <c r="F8102" s="64">
        <v>8099</v>
      </c>
      <c r="G8102" s="64">
        <f t="shared" ca="1" si="165"/>
        <v>-5.612175376283687E-3</v>
      </c>
    </row>
    <row r="8103" spans="6:7" x14ac:dyDescent="0.3">
      <c r="F8103" s="64">
        <v>8100</v>
      </c>
      <c r="G8103" s="64">
        <f t="shared" ca="1" si="165"/>
        <v>8.4727480880050147E-4</v>
      </c>
    </row>
    <row r="8104" spans="6:7" x14ac:dyDescent="0.3">
      <c r="F8104" s="64">
        <v>8101</v>
      </c>
      <c r="G8104" s="64">
        <f t="shared" ca="1" si="165"/>
        <v>4.5091504291253713E-2</v>
      </c>
    </row>
    <row r="8105" spans="6:7" x14ac:dyDescent="0.3">
      <c r="F8105" s="64">
        <v>8102</v>
      </c>
      <c r="G8105" s="64">
        <f t="shared" ca="1" si="165"/>
        <v>-1.8004045776071759E-2</v>
      </c>
    </row>
    <row r="8106" spans="6:7" x14ac:dyDescent="0.3">
      <c r="F8106" s="64">
        <v>8103</v>
      </c>
      <c r="G8106" s="64">
        <f t="shared" ca="1" si="165"/>
        <v>-1.8256893725497733E-3</v>
      </c>
    </row>
    <row r="8107" spans="6:7" x14ac:dyDescent="0.3">
      <c r="F8107" s="64">
        <v>8104</v>
      </c>
      <c r="G8107" s="64">
        <f t="shared" ca="1" si="165"/>
        <v>-2.8724532126924281E-2</v>
      </c>
    </row>
    <row r="8108" spans="6:7" x14ac:dyDescent="0.3">
      <c r="F8108" s="64">
        <v>8105</v>
      </c>
      <c r="G8108" s="64">
        <f t="shared" ca="1" si="165"/>
        <v>1.3477309062085956E-2</v>
      </c>
    </row>
    <row r="8109" spans="6:7" x14ac:dyDescent="0.3">
      <c r="F8109" s="64">
        <v>8106</v>
      </c>
      <c r="G8109" s="64">
        <f t="shared" ca="1" si="165"/>
        <v>1.2851070457429989E-2</v>
      </c>
    </row>
    <row r="8110" spans="6:7" x14ac:dyDescent="0.3">
      <c r="F8110" s="64">
        <v>8107</v>
      </c>
      <c r="G8110" s="64">
        <f t="shared" ca="1" si="165"/>
        <v>-2.8189003106666395E-2</v>
      </c>
    </row>
    <row r="8111" spans="6:7" x14ac:dyDescent="0.3">
      <c r="F8111" s="64">
        <v>8108</v>
      </c>
      <c r="G8111" s="64">
        <f t="shared" ca="1" si="165"/>
        <v>5.7742382373662691E-3</v>
      </c>
    </row>
    <row r="8112" spans="6:7" x14ac:dyDescent="0.3">
      <c r="F8112" s="64">
        <v>8109</v>
      </c>
      <c r="G8112" s="64">
        <f t="shared" ca="1" si="165"/>
        <v>5.0334908957900278E-2</v>
      </c>
    </row>
    <row r="8113" spans="6:7" x14ac:dyDescent="0.3">
      <c r="F8113" s="64">
        <v>8110</v>
      </c>
      <c r="G8113" s="64">
        <f t="shared" ca="1" si="165"/>
        <v>1.4966941325773852E-2</v>
      </c>
    </row>
    <row r="8114" spans="6:7" x14ac:dyDescent="0.3">
      <c r="F8114" s="64">
        <v>8111</v>
      </c>
      <c r="G8114" s="64">
        <f t="shared" ca="1" si="165"/>
        <v>3.3251533340286159E-3</v>
      </c>
    </row>
    <row r="8115" spans="6:7" x14ac:dyDescent="0.3">
      <c r="F8115" s="64">
        <v>8112</v>
      </c>
      <c r="G8115" s="64">
        <f t="shared" ca="1" si="165"/>
        <v>-8.7034710677018554E-3</v>
      </c>
    </row>
    <row r="8116" spans="6:7" x14ac:dyDescent="0.3">
      <c r="F8116" s="64">
        <v>8113</v>
      </c>
      <c r="G8116" s="64">
        <f t="shared" ca="1" si="165"/>
        <v>1.8313184894932187E-3</v>
      </c>
    </row>
    <row r="8117" spans="6:7" x14ac:dyDescent="0.3">
      <c r="F8117" s="64">
        <v>8114</v>
      </c>
      <c r="G8117" s="64">
        <f t="shared" ca="1" si="165"/>
        <v>-1.2525375164764494E-2</v>
      </c>
    </row>
    <row r="8118" spans="6:7" x14ac:dyDescent="0.3">
      <c r="F8118" s="64">
        <v>8115</v>
      </c>
      <c r="G8118" s="64">
        <f t="shared" ca="1" si="165"/>
        <v>-7.1495512053125626E-3</v>
      </c>
    </row>
    <row r="8119" spans="6:7" x14ac:dyDescent="0.3">
      <c r="F8119" s="64">
        <v>8116</v>
      </c>
      <c r="G8119" s="64">
        <f t="shared" ca="1" si="165"/>
        <v>-1.59322137550491E-2</v>
      </c>
    </row>
    <row r="8120" spans="6:7" x14ac:dyDescent="0.3">
      <c r="F8120" s="64">
        <v>8117</v>
      </c>
      <c r="G8120" s="64">
        <f t="shared" ca="1" si="165"/>
        <v>-2.7892104850303023E-2</v>
      </c>
    </row>
    <row r="8121" spans="6:7" x14ac:dyDescent="0.3">
      <c r="F8121" s="64">
        <v>8118</v>
      </c>
      <c r="G8121" s="64">
        <f t="shared" ca="1" si="165"/>
        <v>3.8797477548563647E-3</v>
      </c>
    </row>
    <row r="8122" spans="6:7" x14ac:dyDescent="0.3">
      <c r="F8122" s="64">
        <v>8119</v>
      </c>
      <c r="G8122" s="64">
        <f t="shared" ca="1" si="165"/>
        <v>2.2872647891176455E-2</v>
      </c>
    </row>
    <row r="8123" spans="6:7" x14ac:dyDescent="0.3">
      <c r="F8123" s="64">
        <v>8120</v>
      </c>
      <c r="G8123" s="64">
        <f t="shared" ca="1" si="165"/>
        <v>-4.7542499381873224E-3</v>
      </c>
    </row>
    <row r="8124" spans="6:7" x14ac:dyDescent="0.3">
      <c r="F8124" s="64">
        <v>8121</v>
      </c>
      <c r="G8124" s="64">
        <f t="shared" ca="1" si="165"/>
        <v>-1.6184722869175647E-2</v>
      </c>
    </row>
    <row r="8125" spans="6:7" x14ac:dyDescent="0.3">
      <c r="F8125" s="64">
        <v>8122</v>
      </c>
      <c r="G8125" s="64">
        <f t="shared" ca="1" si="165"/>
        <v>1.7565099740603522E-4</v>
      </c>
    </row>
    <row r="8126" spans="6:7" x14ac:dyDescent="0.3">
      <c r="F8126" s="64">
        <v>8123</v>
      </c>
      <c r="G8126" s="64">
        <f t="shared" ca="1" si="165"/>
        <v>-5.8617746901005957E-3</v>
      </c>
    </row>
    <row r="8127" spans="6:7" x14ac:dyDescent="0.3">
      <c r="F8127" s="64">
        <v>8124</v>
      </c>
      <c r="G8127" s="64">
        <f t="shared" ca="1" si="165"/>
        <v>-5.9577545187848155E-3</v>
      </c>
    </row>
    <row r="8128" spans="6:7" x14ac:dyDescent="0.3">
      <c r="F8128" s="64">
        <v>8125</v>
      </c>
      <c r="G8128" s="64">
        <f t="shared" ca="1" si="165"/>
        <v>3.1299626018919967E-2</v>
      </c>
    </row>
    <row r="8129" spans="6:7" x14ac:dyDescent="0.3">
      <c r="F8129" s="64">
        <v>8126</v>
      </c>
      <c r="G8129" s="64">
        <f t="shared" ca="1" si="165"/>
        <v>5.3494729991643867E-3</v>
      </c>
    </row>
    <row r="8130" spans="6:7" x14ac:dyDescent="0.3">
      <c r="F8130" s="64">
        <v>8127</v>
      </c>
      <c r="G8130" s="64">
        <f t="shared" ca="1" si="165"/>
        <v>1.4716409272755285E-2</v>
      </c>
    </row>
    <row r="8131" spans="6:7" x14ac:dyDescent="0.3">
      <c r="F8131" s="64">
        <v>8128</v>
      </c>
      <c r="G8131" s="64">
        <f t="shared" ca="1" si="165"/>
        <v>-2.6876168105332603E-2</v>
      </c>
    </row>
    <row r="8132" spans="6:7" x14ac:dyDescent="0.3">
      <c r="F8132" s="64">
        <v>8129</v>
      </c>
      <c r="G8132" s="64">
        <f t="shared" ca="1" si="165"/>
        <v>2.7016669402286302E-2</v>
      </c>
    </row>
    <row r="8133" spans="6:7" x14ac:dyDescent="0.3">
      <c r="F8133" s="64">
        <v>8130</v>
      </c>
      <c r="G8133" s="64">
        <f t="shared" ref="G8133:G8196" ca="1" si="166">_xlfn.NORM.INV(RAND(),K$6,K$7)</f>
        <v>-9.7584065250336076E-4</v>
      </c>
    </row>
    <row r="8134" spans="6:7" x14ac:dyDescent="0.3">
      <c r="F8134" s="64">
        <v>8131</v>
      </c>
      <c r="G8134" s="64">
        <f t="shared" ca="1" si="166"/>
        <v>1.932125320392418E-2</v>
      </c>
    </row>
    <row r="8135" spans="6:7" x14ac:dyDescent="0.3">
      <c r="F8135" s="64">
        <v>8132</v>
      </c>
      <c r="G8135" s="64">
        <f t="shared" ca="1" si="166"/>
        <v>2.3035077906623118E-2</v>
      </c>
    </row>
    <row r="8136" spans="6:7" x14ac:dyDescent="0.3">
      <c r="F8136" s="64">
        <v>8133</v>
      </c>
      <c r="G8136" s="64">
        <f t="shared" ca="1" si="166"/>
        <v>1.5112919474288727E-2</v>
      </c>
    </row>
    <row r="8137" spans="6:7" x14ac:dyDescent="0.3">
      <c r="F8137" s="64">
        <v>8134</v>
      </c>
      <c r="G8137" s="64">
        <f t="shared" ca="1" si="166"/>
        <v>1.1836596849759701E-2</v>
      </c>
    </row>
    <row r="8138" spans="6:7" x14ac:dyDescent="0.3">
      <c r="F8138" s="64">
        <v>8135</v>
      </c>
      <c r="G8138" s="64">
        <f t="shared" ca="1" si="166"/>
        <v>-9.6859306789656621E-4</v>
      </c>
    </row>
    <row r="8139" spans="6:7" x14ac:dyDescent="0.3">
      <c r="F8139" s="64">
        <v>8136</v>
      </c>
      <c r="G8139" s="64">
        <f t="shared" ca="1" si="166"/>
        <v>-2.3565585968543933E-2</v>
      </c>
    </row>
    <row r="8140" spans="6:7" x14ac:dyDescent="0.3">
      <c r="F8140" s="64">
        <v>8137</v>
      </c>
      <c r="G8140" s="64">
        <f t="shared" ca="1" si="166"/>
        <v>-7.857309530082169E-3</v>
      </c>
    </row>
    <row r="8141" spans="6:7" x14ac:dyDescent="0.3">
      <c r="F8141" s="64">
        <v>8138</v>
      </c>
      <c r="G8141" s="64">
        <f t="shared" ca="1" si="166"/>
        <v>-7.5902522685512702E-3</v>
      </c>
    </row>
    <row r="8142" spans="6:7" x14ac:dyDescent="0.3">
      <c r="F8142" s="64">
        <v>8139</v>
      </c>
      <c r="G8142" s="64">
        <f t="shared" ca="1" si="166"/>
        <v>3.8664154447038739E-2</v>
      </c>
    </row>
    <row r="8143" spans="6:7" x14ac:dyDescent="0.3">
      <c r="F8143" s="64">
        <v>8140</v>
      </c>
      <c r="G8143" s="64">
        <f t="shared" ca="1" si="166"/>
        <v>-1.6000641236626277E-2</v>
      </c>
    </row>
    <row r="8144" spans="6:7" x14ac:dyDescent="0.3">
      <c r="F8144" s="64">
        <v>8141</v>
      </c>
      <c r="G8144" s="64">
        <f t="shared" ca="1" si="166"/>
        <v>-1.187022811469092E-2</v>
      </c>
    </row>
    <row r="8145" spans="6:7" x14ac:dyDescent="0.3">
      <c r="F8145" s="64">
        <v>8142</v>
      </c>
      <c r="G8145" s="64">
        <f t="shared" ca="1" si="166"/>
        <v>-2.9110131595938345E-2</v>
      </c>
    </row>
    <row r="8146" spans="6:7" x14ac:dyDescent="0.3">
      <c r="F8146" s="64">
        <v>8143</v>
      </c>
      <c r="G8146" s="64">
        <f t="shared" ca="1" si="166"/>
        <v>3.2156532015031802E-3</v>
      </c>
    </row>
    <row r="8147" spans="6:7" x14ac:dyDescent="0.3">
      <c r="F8147" s="64">
        <v>8144</v>
      </c>
      <c r="G8147" s="64">
        <f t="shared" ca="1" si="166"/>
        <v>-6.0716520798085503E-2</v>
      </c>
    </row>
    <row r="8148" spans="6:7" x14ac:dyDescent="0.3">
      <c r="F8148" s="64">
        <v>8145</v>
      </c>
      <c r="G8148" s="64">
        <f t="shared" ca="1" si="166"/>
        <v>1.2184380192159956E-2</v>
      </c>
    </row>
    <row r="8149" spans="6:7" x14ac:dyDescent="0.3">
      <c r="F8149" s="64">
        <v>8146</v>
      </c>
      <c r="G8149" s="64">
        <f t="shared" ca="1" si="166"/>
        <v>1.6589940012787137E-2</v>
      </c>
    </row>
    <row r="8150" spans="6:7" x14ac:dyDescent="0.3">
      <c r="F8150" s="64">
        <v>8147</v>
      </c>
      <c r="G8150" s="64">
        <f t="shared" ca="1" si="166"/>
        <v>1.7551265626184033E-3</v>
      </c>
    </row>
    <row r="8151" spans="6:7" x14ac:dyDescent="0.3">
      <c r="F8151" s="64">
        <v>8148</v>
      </c>
      <c r="G8151" s="64">
        <f t="shared" ca="1" si="166"/>
        <v>-6.6442383460849734E-3</v>
      </c>
    </row>
    <row r="8152" spans="6:7" x14ac:dyDescent="0.3">
      <c r="F8152" s="64">
        <v>8149</v>
      </c>
      <c r="G8152" s="64">
        <f t="shared" ca="1" si="166"/>
        <v>-3.5354481478075579E-3</v>
      </c>
    </row>
    <row r="8153" spans="6:7" x14ac:dyDescent="0.3">
      <c r="F8153" s="64">
        <v>8150</v>
      </c>
      <c r="G8153" s="64">
        <f t="shared" ca="1" si="166"/>
        <v>1.258349525207484E-3</v>
      </c>
    </row>
    <row r="8154" spans="6:7" x14ac:dyDescent="0.3">
      <c r="F8154" s="64">
        <v>8151</v>
      </c>
      <c r="G8154" s="64">
        <f t="shared" ca="1" si="166"/>
        <v>4.4844289061190777E-3</v>
      </c>
    </row>
    <row r="8155" spans="6:7" x14ac:dyDescent="0.3">
      <c r="F8155" s="64">
        <v>8152</v>
      </c>
      <c r="G8155" s="64">
        <f t="shared" ca="1" si="166"/>
        <v>9.2523589349489499E-4</v>
      </c>
    </row>
    <row r="8156" spans="6:7" x14ac:dyDescent="0.3">
      <c r="F8156" s="64">
        <v>8153</v>
      </c>
      <c r="G8156" s="64">
        <f t="shared" ca="1" si="166"/>
        <v>-3.7248707984882029E-2</v>
      </c>
    </row>
    <row r="8157" spans="6:7" x14ac:dyDescent="0.3">
      <c r="F8157" s="64">
        <v>8154</v>
      </c>
      <c r="G8157" s="64">
        <f t="shared" ca="1" si="166"/>
        <v>2.1540156640907526E-2</v>
      </c>
    </row>
    <row r="8158" spans="6:7" x14ac:dyDescent="0.3">
      <c r="F8158" s="64">
        <v>8155</v>
      </c>
      <c r="G8158" s="64">
        <f t="shared" ca="1" si="166"/>
        <v>-1.8929518850838746E-2</v>
      </c>
    </row>
    <row r="8159" spans="6:7" x14ac:dyDescent="0.3">
      <c r="F8159" s="64">
        <v>8156</v>
      </c>
      <c r="G8159" s="64">
        <f t="shared" ca="1" si="166"/>
        <v>-7.7969208497665251E-3</v>
      </c>
    </row>
    <row r="8160" spans="6:7" x14ac:dyDescent="0.3">
      <c r="F8160" s="64">
        <v>8157</v>
      </c>
      <c r="G8160" s="64">
        <f t="shared" ca="1" si="166"/>
        <v>1.0965824881204626E-2</v>
      </c>
    </row>
    <row r="8161" spans="6:7" x14ac:dyDescent="0.3">
      <c r="F8161" s="64">
        <v>8158</v>
      </c>
      <c r="G8161" s="64">
        <f t="shared" ca="1" si="166"/>
        <v>1.6086335856369066E-2</v>
      </c>
    </row>
    <row r="8162" spans="6:7" x14ac:dyDescent="0.3">
      <c r="F8162" s="64">
        <v>8159</v>
      </c>
      <c r="G8162" s="64">
        <f t="shared" ca="1" si="166"/>
        <v>4.7635846903024354E-3</v>
      </c>
    </row>
    <row r="8163" spans="6:7" x14ac:dyDescent="0.3">
      <c r="F8163" s="64">
        <v>8160</v>
      </c>
      <c r="G8163" s="64">
        <f t="shared" ca="1" si="166"/>
        <v>-2.8715857283534686E-2</v>
      </c>
    </row>
    <row r="8164" spans="6:7" x14ac:dyDescent="0.3">
      <c r="F8164" s="64">
        <v>8161</v>
      </c>
      <c r="G8164" s="64">
        <f t="shared" ca="1" si="166"/>
        <v>1.5096218123466735E-2</v>
      </c>
    </row>
    <row r="8165" spans="6:7" x14ac:dyDescent="0.3">
      <c r="F8165" s="64">
        <v>8162</v>
      </c>
      <c r="G8165" s="64">
        <f t="shared" ca="1" si="166"/>
        <v>1.0800831396997128E-2</v>
      </c>
    </row>
    <row r="8166" spans="6:7" x14ac:dyDescent="0.3">
      <c r="F8166" s="64">
        <v>8163</v>
      </c>
      <c r="G8166" s="64">
        <f t="shared" ca="1" si="166"/>
        <v>1.8596922382935789E-2</v>
      </c>
    </row>
    <row r="8167" spans="6:7" x14ac:dyDescent="0.3">
      <c r="F8167" s="64">
        <v>8164</v>
      </c>
      <c r="G8167" s="64">
        <f t="shared" ca="1" si="166"/>
        <v>2.0847320998004723E-2</v>
      </c>
    </row>
    <row r="8168" spans="6:7" x14ac:dyDescent="0.3">
      <c r="F8168" s="64">
        <v>8165</v>
      </c>
      <c r="G8168" s="64">
        <f t="shared" ca="1" si="166"/>
        <v>1.295052241588346E-3</v>
      </c>
    </row>
    <row r="8169" spans="6:7" x14ac:dyDescent="0.3">
      <c r="F8169" s="64">
        <v>8166</v>
      </c>
      <c r="G8169" s="64">
        <f t="shared" ca="1" si="166"/>
        <v>-1.6062061355220335E-2</v>
      </c>
    </row>
    <row r="8170" spans="6:7" x14ac:dyDescent="0.3">
      <c r="F8170" s="64">
        <v>8167</v>
      </c>
      <c r="G8170" s="64">
        <f t="shared" ca="1" si="166"/>
        <v>6.2332996981903123E-3</v>
      </c>
    </row>
    <row r="8171" spans="6:7" x14ac:dyDescent="0.3">
      <c r="F8171" s="64">
        <v>8168</v>
      </c>
      <c r="G8171" s="64">
        <f t="shared" ca="1" si="166"/>
        <v>-1.7006994854971182E-2</v>
      </c>
    </row>
    <row r="8172" spans="6:7" x14ac:dyDescent="0.3">
      <c r="F8172" s="64">
        <v>8169</v>
      </c>
      <c r="G8172" s="64">
        <f t="shared" ca="1" si="166"/>
        <v>1.7478561432164134E-2</v>
      </c>
    </row>
    <row r="8173" spans="6:7" x14ac:dyDescent="0.3">
      <c r="F8173" s="64">
        <v>8170</v>
      </c>
      <c r="G8173" s="64">
        <f t="shared" ca="1" si="166"/>
        <v>2.7129244264531858E-2</v>
      </c>
    </row>
    <row r="8174" spans="6:7" x14ac:dyDescent="0.3">
      <c r="F8174" s="64">
        <v>8171</v>
      </c>
      <c r="G8174" s="64">
        <f t="shared" ca="1" si="166"/>
        <v>2.1521302089093315E-2</v>
      </c>
    </row>
    <row r="8175" spans="6:7" x14ac:dyDescent="0.3">
      <c r="F8175" s="64">
        <v>8172</v>
      </c>
      <c r="G8175" s="64">
        <f t="shared" ca="1" si="166"/>
        <v>-1.1162105971061775E-2</v>
      </c>
    </row>
    <row r="8176" spans="6:7" x14ac:dyDescent="0.3">
      <c r="F8176" s="64">
        <v>8173</v>
      </c>
      <c r="G8176" s="64">
        <f t="shared" ca="1" si="166"/>
        <v>1.6912269212644583E-2</v>
      </c>
    </row>
    <row r="8177" spans="6:7" x14ac:dyDescent="0.3">
      <c r="F8177" s="64">
        <v>8174</v>
      </c>
      <c r="G8177" s="64">
        <f t="shared" ca="1" si="166"/>
        <v>2.7749067666542017E-3</v>
      </c>
    </row>
    <row r="8178" spans="6:7" x14ac:dyDescent="0.3">
      <c r="F8178" s="64">
        <v>8175</v>
      </c>
      <c r="G8178" s="64">
        <f t="shared" ca="1" si="166"/>
        <v>2.4243547078378128E-2</v>
      </c>
    </row>
    <row r="8179" spans="6:7" x14ac:dyDescent="0.3">
      <c r="F8179" s="64">
        <v>8176</v>
      </c>
      <c r="G8179" s="64">
        <f t="shared" ca="1" si="166"/>
        <v>-5.966460526227485E-3</v>
      </c>
    </row>
    <row r="8180" spans="6:7" x14ac:dyDescent="0.3">
      <c r="F8180" s="64">
        <v>8177</v>
      </c>
      <c r="G8180" s="64">
        <f t="shared" ca="1" si="166"/>
        <v>3.8118018126694479E-3</v>
      </c>
    </row>
    <row r="8181" spans="6:7" x14ac:dyDescent="0.3">
      <c r="F8181" s="64">
        <v>8178</v>
      </c>
      <c r="G8181" s="64">
        <f t="shared" ca="1" si="166"/>
        <v>-1.8065791100197862E-2</v>
      </c>
    </row>
    <row r="8182" spans="6:7" x14ac:dyDescent="0.3">
      <c r="F8182" s="64">
        <v>8179</v>
      </c>
      <c r="G8182" s="64">
        <f t="shared" ca="1" si="166"/>
        <v>-2.2299104634318494E-2</v>
      </c>
    </row>
    <row r="8183" spans="6:7" x14ac:dyDescent="0.3">
      <c r="F8183" s="64">
        <v>8180</v>
      </c>
      <c r="G8183" s="64">
        <f t="shared" ca="1" si="166"/>
        <v>2.2897803838628612E-2</v>
      </c>
    </row>
    <row r="8184" spans="6:7" x14ac:dyDescent="0.3">
      <c r="F8184" s="64">
        <v>8181</v>
      </c>
      <c r="G8184" s="64">
        <f t="shared" ca="1" si="166"/>
        <v>-2.3298821243394746E-2</v>
      </c>
    </row>
    <row r="8185" spans="6:7" x14ac:dyDescent="0.3">
      <c r="F8185" s="64">
        <v>8182</v>
      </c>
      <c r="G8185" s="64">
        <f t="shared" ca="1" si="166"/>
        <v>2.1046832543168775E-2</v>
      </c>
    </row>
    <row r="8186" spans="6:7" x14ac:dyDescent="0.3">
      <c r="F8186" s="64">
        <v>8183</v>
      </c>
      <c r="G8186" s="64">
        <f t="shared" ca="1" si="166"/>
        <v>-4.3498182307616894E-2</v>
      </c>
    </row>
    <row r="8187" spans="6:7" x14ac:dyDescent="0.3">
      <c r="F8187" s="64">
        <v>8184</v>
      </c>
      <c r="G8187" s="64">
        <f t="shared" ca="1" si="166"/>
        <v>-6.1210871549716534E-3</v>
      </c>
    </row>
    <row r="8188" spans="6:7" x14ac:dyDescent="0.3">
      <c r="F8188" s="64">
        <v>8185</v>
      </c>
      <c r="G8188" s="64">
        <f t="shared" ca="1" si="166"/>
        <v>-3.1799893891695012E-2</v>
      </c>
    </row>
    <row r="8189" spans="6:7" x14ac:dyDescent="0.3">
      <c r="F8189" s="64">
        <v>8186</v>
      </c>
      <c r="G8189" s="64">
        <f t="shared" ca="1" si="166"/>
        <v>1.4560135817669284E-3</v>
      </c>
    </row>
    <row r="8190" spans="6:7" x14ac:dyDescent="0.3">
      <c r="F8190" s="64">
        <v>8187</v>
      </c>
      <c r="G8190" s="64">
        <f t="shared" ca="1" si="166"/>
        <v>1.1496591094167403E-2</v>
      </c>
    </row>
    <row r="8191" spans="6:7" x14ac:dyDescent="0.3">
      <c r="F8191" s="64">
        <v>8188</v>
      </c>
      <c r="G8191" s="64">
        <f t="shared" ca="1" si="166"/>
        <v>-2.9883553206666809E-2</v>
      </c>
    </row>
    <row r="8192" spans="6:7" x14ac:dyDescent="0.3">
      <c r="F8192" s="64">
        <v>8189</v>
      </c>
      <c r="G8192" s="64">
        <f t="shared" ca="1" si="166"/>
        <v>1.379375943227637E-2</v>
      </c>
    </row>
    <row r="8193" spans="6:7" x14ac:dyDescent="0.3">
      <c r="F8193" s="64">
        <v>8190</v>
      </c>
      <c r="G8193" s="64">
        <f t="shared" ca="1" si="166"/>
        <v>1.482839629707247E-2</v>
      </c>
    </row>
    <row r="8194" spans="6:7" x14ac:dyDescent="0.3">
      <c r="F8194" s="64">
        <v>8191</v>
      </c>
      <c r="G8194" s="64">
        <f t="shared" ca="1" si="166"/>
        <v>1.3693822141374592E-2</v>
      </c>
    </row>
    <row r="8195" spans="6:7" x14ac:dyDescent="0.3">
      <c r="F8195" s="64">
        <v>8192</v>
      </c>
      <c r="G8195" s="64">
        <f t="shared" ca="1" si="166"/>
        <v>3.9168893996335802E-2</v>
      </c>
    </row>
    <row r="8196" spans="6:7" x14ac:dyDescent="0.3">
      <c r="F8196" s="64">
        <v>8193</v>
      </c>
      <c r="G8196" s="64">
        <f t="shared" ca="1" si="166"/>
        <v>3.7188463128111321E-3</v>
      </c>
    </row>
    <row r="8197" spans="6:7" x14ac:dyDescent="0.3">
      <c r="F8197" s="64">
        <v>8194</v>
      </c>
      <c r="G8197" s="64">
        <f t="shared" ref="G8197:G8260" ca="1" si="167">_xlfn.NORM.INV(RAND(),K$6,K$7)</f>
        <v>-1.2778678549792141E-2</v>
      </c>
    </row>
    <row r="8198" spans="6:7" x14ac:dyDescent="0.3">
      <c r="F8198" s="64">
        <v>8195</v>
      </c>
      <c r="G8198" s="64">
        <f t="shared" ca="1" si="167"/>
        <v>-5.2824668483423522E-2</v>
      </c>
    </row>
    <row r="8199" spans="6:7" x14ac:dyDescent="0.3">
      <c r="F8199" s="64">
        <v>8196</v>
      </c>
      <c r="G8199" s="64">
        <f t="shared" ca="1" si="167"/>
        <v>1.821808657213504E-3</v>
      </c>
    </row>
    <row r="8200" spans="6:7" x14ac:dyDescent="0.3">
      <c r="F8200" s="64">
        <v>8197</v>
      </c>
      <c r="G8200" s="64">
        <f t="shared" ca="1" si="167"/>
        <v>2.1092343677938615E-3</v>
      </c>
    </row>
    <row r="8201" spans="6:7" x14ac:dyDescent="0.3">
      <c r="F8201" s="64">
        <v>8198</v>
      </c>
      <c r="G8201" s="64">
        <f t="shared" ca="1" si="167"/>
        <v>2.2016334147034146E-3</v>
      </c>
    </row>
    <row r="8202" spans="6:7" x14ac:dyDescent="0.3">
      <c r="F8202" s="64">
        <v>8199</v>
      </c>
      <c r="G8202" s="64">
        <f t="shared" ca="1" si="167"/>
        <v>3.0095375805133601E-3</v>
      </c>
    </row>
    <row r="8203" spans="6:7" x14ac:dyDescent="0.3">
      <c r="F8203" s="64">
        <v>8200</v>
      </c>
      <c r="G8203" s="64">
        <f t="shared" ca="1" si="167"/>
        <v>-5.9592558393010047E-3</v>
      </c>
    </row>
    <row r="8204" spans="6:7" x14ac:dyDescent="0.3">
      <c r="F8204" s="64">
        <v>8201</v>
      </c>
      <c r="G8204" s="64">
        <f t="shared" ca="1" si="167"/>
        <v>9.9748536676931114E-3</v>
      </c>
    </row>
    <row r="8205" spans="6:7" x14ac:dyDescent="0.3">
      <c r="F8205" s="64">
        <v>8202</v>
      </c>
      <c r="G8205" s="64">
        <f t="shared" ca="1" si="167"/>
        <v>-9.0852519898256424E-3</v>
      </c>
    </row>
    <row r="8206" spans="6:7" x14ac:dyDescent="0.3">
      <c r="F8206" s="64">
        <v>8203</v>
      </c>
      <c r="G8206" s="64">
        <f t="shared" ca="1" si="167"/>
        <v>6.0494368334663585E-3</v>
      </c>
    </row>
    <row r="8207" spans="6:7" x14ac:dyDescent="0.3">
      <c r="F8207" s="64">
        <v>8204</v>
      </c>
      <c r="G8207" s="64">
        <f t="shared" ca="1" si="167"/>
        <v>2.198454788567019E-2</v>
      </c>
    </row>
    <row r="8208" spans="6:7" x14ac:dyDescent="0.3">
      <c r="F8208" s="64">
        <v>8205</v>
      </c>
      <c r="G8208" s="64">
        <f t="shared" ca="1" si="167"/>
        <v>3.6539205007513754E-3</v>
      </c>
    </row>
    <row r="8209" spans="6:7" x14ac:dyDescent="0.3">
      <c r="F8209" s="64">
        <v>8206</v>
      </c>
      <c r="G8209" s="64">
        <f t="shared" ca="1" si="167"/>
        <v>-1.8712046205658925E-3</v>
      </c>
    </row>
    <row r="8210" spans="6:7" x14ac:dyDescent="0.3">
      <c r="F8210" s="64">
        <v>8207</v>
      </c>
      <c r="G8210" s="64">
        <f t="shared" ca="1" si="167"/>
        <v>8.7406617280673046E-3</v>
      </c>
    </row>
    <row r="8211" spans="6:7" x14ac:dyDescent="0.3">
      <c r="F8211" s="64">
        <v>8208</v>
      </c>
      <c r="G8211" s="64">
        <f t="shared" ca="1" si="167"/>
        <v>-1.047880610933492E-2</v>
      </c>
    </row>
    <row r="8212" spans="6:7" x14ac:dyDescent="0.3">
      <c r="F8212" s="64">
        <v>8209</v>
      </c>
      <c r="G8212" s="64">
        <f t="shared" ca="1" si="167"/>
        <v>-1.6522401741460517E-2</v>
      </c>
    </row>
    <row r="8213" spans="6:7" x14ac:dyDescent="0.3">
      <c r="F8213" s="64">
        <v>8210</v>
      </c>
      <c r="G8213" s="64">
        <f t="shared" ca="1" si="167"/>
        <v>5.8057045489148099E-2</v>
      </c>
    </row>
    <row r="8214" spans="6:7" x14ac:dyDescent="0.3">
      <c r="F8214" s="64">
        <v>8211</v>
      </c>
      <c r="G8214" s="64">
        <f t="shared" ca="1" si="167"/>
        <v>-4.3091672261321996E-2</v>
      </c>
    </row>
    <row r="8215" spans="6:7" x14ac:dyDescent="0.3">
      <c r="F8215" s="64">
        <v>8212</v>
      </c>
      <c r="G8215" s="64">
        <f t="shared" ca="1" si="167"/>
        <v>2.3728475631921042E-2</v>
      </c>
    </row>
    <row r="8216" spans="6:7" x14ac:dyDescent="0.3">
      <c r="F8216" s="64">
        <v>8213</v>
      </c>
      <c r="G8216" s="64">
        <f t="shared" ca="1" si="167"/>
        <v>-7.1404347067670956E-3</v>
      </c>
    </row>
    <row r="8217" spans="6:7" x14ac:dyDescent="0.3">
      <c r="F8217" s="64">
        <v>8214</v>
      </c>
      <c r="G8217" s="64">
        <f t="shared" ca="1" si="167"/>
        <v>-2.6393648018171417E-3</v>
      </c>
    </row>
    <row r="8218" spans="6:7" x14ac:dyDescent="0.3">
      <c r="F8218" s="64">
        <v>8215</v>
      </c>
      <c r="G8218" s="64">
        <f t="shared" ca="1" si="167"/>
        <v>2.509363804158294E-2</v>
      </c>
    </row>
    <row r="8219" spans="6:7" x14ac:dyDescent="0.3">
      <c r="F8219" s="64">
        <v>8216</v>
      </c>
      <c r="G8219" s="64">
        <f t="shared" ca="1" si="167"/>
        <v>1.363711279496734E-2</v>
      </c>
    </row>
    <row r="8220" spans="6:7" x14ac:dyDescent="0.3">
      <c r="F8220" s="64">
        <v>8217</v>
      </c>
      <c r="G8220" s="64">
        <f t="shared" ca="1" si="167"/>
        <v>-3.3517176565284197E-2</v>
      </c>
    </row>
    <row r="8221" spans="6:7" x14ac:dyDescent="0.3">
      <c r="F8221" s="64">
        <v>8218</v>
      </c>
      <c r="G8221" s="64">
        <f t="shared" ca="1" si="167"/>
        <v>-2.2388421710320905E-2</v>
      </c>
    </row>
    <row r="8222" spans="6:7" x14ac:dyDescent="0.3">
      <c r="F8222" s="64">
        <v>8219</v>
      </c>
      <c r="G8222" s="64">
        <f t="shared" ca="1" si="167"/>
        <v>-2.2788929223944973E-2</v>
      </c>
    </row>
    <row r="8223" spans="6:7" x14ac:dyDescent="0.3">
      <c r="F8223" s="64">
        <v>8220</v>
      </c>
      <c r="G8223" s="64">
        <f t="shared" ca="1" si="167"/>
        <v>-4.2396807624124608E-2</v>
      </c>
    </row>
    <row r="8224" spans="6:7" x14ac:dyDescent="0.3">
      <c r="F8224" s="64">
        <v>8221</v>
      </c>
      <c r="G8224" s="64">
        <f t="shared" ca="1" si="167"/>
        <v>1.8953943169082957E-2</v>
      </c>
    </row>
    <row r="8225" spans="6:7" x14ac:dyDescent="0.3">
      <c r="F8225" s="64">
        <v>8222</v>
      </c>
      <c r="G8225" s="64">
        <f t="shared" ca="1" si="167"/>
        <v>3.0240106469518808E-2</v>
      </c>
    </row>
    <row r="8226" spans="6:7" x14ac:dyDescent="0.3">
      <c r="F8226" s="64">
        <v>8223</v>
      </c>
      <c r="G8226" s="64">
        <f t="shared" ca="1" si="167"/>
        <v>1.8665102332917342E-2</v>
      </c>
    </row>
    <row r="8227" spans="6:7" x14ac:dyDescent="0.3">
      <c r="F8227" s="64">
        <v>8224</v>
      </c>
      <c r="G8227" s="64">
        <f t="shared" ca="1" si="167"/>
        <v>-6.365698375308084E-4</v>
      </c>
    </row>
    <row r="8228" spans="6:7" x14ac:dyDescent="0.3">
      <c r="F8228" s="64">
        <v>8225</v>
      </c>
      <c r="G8228" s="64">
        <f t="shared" ca="1" si="167"/>
        <v>1.0911502909039061E-2</v>
      </c>
    </row>
    <row r="8229" spans="6:7" x14ac:dyDescent="0.3">
      <c r="F8229" s="64">
        <v>8226</v>
      </c>
      <c r="G8229" s="64">
        <f t="shared" ca="1" si="167"/>
        <v>-1.0532197536997455E-2</v>
      </c>
    </row>
    <row r="8230" spans="6:7" x14ac:dyDescent="0.3">
      <c r="F8230" s="64">
        <v>8227</v>
      </c>
      <c r="G8230" s="64">
        <f t="shared" ca="1" si="167"/>
        <v>2.8290568761082525E-2</v>
      </c>
    </row>
    <row r="8231" spans="6:7" x14ac:dyDescent="0.3">
      <c r="F8231" s="64">
        <v>8228</v>
      </c>
      <c r="G8231" s="64">
        <f t="shared" ca="1" si="167"/>
        <v>1.1616862052504211E-2</v>
      </c>
    </row>
    <row r="8232" spans="6:7" x14ac:dyDescent="0.3">
      <c r="F8232" s="64">
        <v>8229</v>
      </c>
      <c r="G8232" s="64">
        <f t="shared" ca="1" si="167"/>
        <v>1.8075321806623398E-3</v>
      </c>
    </row>
    <row r="8233" spans="6:7" x14ac:dyDescent="0.3">
      <c r="F8233" s="64">
        <v>8230</v>
      </c>
      <c r="G8233" s="64">
        <f t="shared" ca="1" si="167"/>
        <v>3.0802501968086016E-3</v>
      </c>
    </row>
    <row r="8234" spans="6:7" x14ac:dyDescent="0.3">
      <c r="F8234" s="64">
        <v>8231</v>
      </c>
      <c r="G8234" s="64">
        <f t="shared" ca="1" si="167"/>
        <v>-3.337327598622636E-3</v>
      </c>
    </row>
    <row r="8235" spans="6:7" x14ac:dyDescent="0.3">
      <c r="F8235" s="64">
        <v>8232</v>
      </c>
      <c r="G8235" s="64">
        <f t="shared" ca="1" si="167"/>
        <v>1.2294590978423631E-3</v>
      </c>
    </row>
    <row r="8236" spans="6:7" x14ac:dyDescent="0.3">
      <c r="F8236" s="64">
        <v>8233</v>
      </c>
      <c r="G8236" s="64">
        <f t="shared" ca="1" si="167"/>
        <v>1.2565410117086926E-2</v>
      </c>
    </row>
    <row r="8237" spans="6:7" x14ac:dyDescent="0.3">
      <c r="F8237" s="64">
        <v>8234</v>
      </c>
      <c r="G8237" s="64">
        <f t="shared" ca="1" si="167"/>
        <v>-1.7093248079418089E-2</v>
      </c>
    </row>
    <row r="8238" spans="6:7" x14ac:dyDescent="0.3">
      <c r="F8238" s="64">
        <v>8235</v>
      </c>
      <c r="G8238" s="64">
        <f t="shared" ca="1" si="167"/>
        <v>-1.8074211313247629E-2</v>
      </c>
    </row>
    <row r="8239" spans="6:7" x14ac:dyDescent="0.3">
      <c r="F8239" s="64">
        <v>8236</v>
      </c>
      <c r="G8239" s="64">
        <f t="shared" ca="1" si="167"/>
        <v>-1.0877830465045308E-3</v>
      </c>
    </row>
    <row r="8240" spans="6:7" x14ac:dyDescent="0.3">
      <c r="F8240" s="64">
        <v>8237</v>
      </c>
      <c r="G8240" s="64">
        <f t="shared" ca="1" si="167"/>
        <v>-1.6026986559459069E-2</v>
      </c>
    </row>
    <row r="8241" spans="6:7" x14ac:dyDescent="0.3">
      <c r="F8241" s="64">
        <v>8238</v>
      </c>
      <c r="G8241" s="64">
        <f t="shared" ca="1" si="167"/>
        <v>1.6495633940554283E-2</v>
      </c>
    </row>
    <row r="8242" spans="6:7" x14ac:dyDescent="0.3">
      <c r="F8242" s="64">
        <v>8239</v>
      </c>
      <c r="G8242" s="64">
        <f t="shared" ca="1" si="167"/>
        <v>-1.1504058863844103E-2</v>
      </c>
    </row>
    <row r="8243" spans="6:7" x14ac:dyDescent="0.3">
      <c r="F8243" s="64">
        <v>8240</v>
      </c>
      <c r="G8243" s="64">
        <f t="shared" ca="1" si="167"/>
        <v>1.7236287082238677E-2</v>
      </c>
    </row>
    <row r="8244" spans="6:7" x14ac:dyDescent="0.3">
      <c r="F8244" s="64">
        <v>8241</v>
      </c>
      <c r="G8244" s="64">
        <f t="shared" ca="1" si="167"/>
        <v>-1.4859308677153715E-2</v>
      </c>
    </row>
    <row r="8245" spans="6:7" x14ac:dyDescent="0.3">
      <c r="F8245" s="64">
        <v>8242</v>
      </c>
      <c r="G8245" s="64">
        <f t="shared" ca="1" si="167"/>
        <v>1.6824676247735142E-2</v>
      </c>
    </row>
    <row r="8246" spans="6:7" x14ac:dyDescent="0.3">
      <c r="F8246" s="64">
        <v>8243</v>
      </c>
      <c r="G8246" s="64">
        <f t="shared" ca="1" si="167"/>
        <v>-1.8682502180533307E-2</v>
      </c>
    </row>
    <row r="8247" spans="6:7" x14ac:dyDescent="0.3">
      <c r="F8247" s="64">
        <v>8244</v>
      </c>
      <c r="G8247" s="64">
        <f t="shared" ca="1" si="167"/>
        <v>-9.9878402234229707E-3</v>
      </c>
    </row>
    <row r="8248" spans="6:7" x14ac:dyDescent="0.3">
      <c r="F8248" s="64">
        <v>8245</v>
      </c>
      <c r="G8248" s="64">
        <f t="shared" ca="1" si="167"/>
        <v>-2.2078630960178838E-3</v>
      </c>
    </row>
    <row r="8249" spans="6:7" x14ac:dyDescent="0.3">
      <c r="F8249" s="64">
        <v>8246</v>
      </c>
      <c r="G8249" s="64">
        <f t="shared" ca="1" si="167"/>
        <v>-1.6591015712496396E-2</v>
      </c>
    </row>
    <row r="8250" spans="6:7" x14ac:dyDescent="0.3">
      <c r="F8250" s="64">
        <v>8247</v>
      </c>
      <c r="G8250" s="64">
        <f t="shared" ca="1" si="167"/>
        <v>-2.8001217135024514E-2</v>
      </c>
    </row>
    <row r="8251" spans="6:7" x14ac:dyDescent="0.3">
      <c r="F8251" s="64">
        <v>8248</v>
      </c>
      <c r="G8251" s="64">
        <f t="shared" ca="1" si="167"/>
        <v>2.0128833773071725E-3</v>
      </c>
    </row>
    <row r="8252" spans="6:7" x14ac:dyDescent="0.3">
      <c r="F8252" s="64">
        <v>8249</v>
      </c>
      <c r="G8252" s="64">
        <f t="shared" ca="1" si="167"/>
        <v>-3.3303496702078036E-2</v>
      </c>
    </row>
    <row r="8253" spans="6:7" x14ac:dyDescent="0.3">
      <c r="F8253" s="64">
        <v>8250</v>
      </c>
      <c r="G8253" s="64">
        <f t="shared" ca="1" si="167"/>
        <v>-1.4982733940189315E-2</v>
      </c>
    </row>
    <row r="8254" spans="6:7" x14ac:dyDescent="0.3">
      <c r="F8254" s="64">
        <v>8251</v>
      </c>
      <c r="G8254" s="64">
        <f t="shared" ca="1" si="167"/>
        <v>6.1667605056776416E-3</v>
      </c>
    </row>
    <row r="8255" spans="6:7" x14ac:dyDescent="0.3">
      <c r="F8255" s="64">
        <v>8252</v>
      </c>
      <c r="G8255" s="64">
        <f t="shared" ca="1" si="167"/>
        <v>-2.1669679188457358E-2</v>
      </c>
    </row>
    <row r="8256" spans="6:7" x14ac:dyDescent="0.3">
      <c r="F8256" s="64">
        <v>8253</v>
      </c>
      <c r="G8256" s="64">
        <f t="shared" ca="1" si="167"/>
        <v>-1.53230066281115E-3</v>
      </c>
    </row>
    <row r="8257" spans="6:7" x14ac:dyDescent="0.3">
      <c r="F8257" s="64">
        <v>8254</v>
      </c>
      <c r="G8257" s="64">
        <f t="shared" ca="1" si="167"/>
        <v>2.4840096548759662E-2</v>
      </c>
    </row>
    <row r="8258" spans="6:7" x14ac:dyDescent="0.3">
      <c r="F8258" s="64">
        <v>8255</v>
      </c>
      <c r="G8258" s="64">
        <f t="shared" ca="1" si="167"/>
        <v>1.4129816460462285E-2</v>
      </c>
    </row>
    <row r="8259" spans="6:7" x14ac:dyDescent="0.3">
      <c r="F8259" s="64">
        <v>8256</v>
      </c>
      <c r="G8259" s="64">
        <f t="shared" ca="1" si="167"/>
        <v>2.1388664671269188E-2</v>
      </c>
    </row>
    <row r="8260" spans="6:7" x14ac:dyDescent="0.3">
      <c r="F8260" s="64">
        <v>8257</v>
      </c>
      <c r="G8260" s="64">
        <f t="shared" ca="1" si="167"/>
        <v>-1.3583817078094954E-2</v>
      </c>
    </row>
    <row r="8261" spans="6:7" x14ac:dyDescent="0.3">
      <c r="F8261" s="64">
        <v>8258</v>
      </c>
      <c r="G8261" s="64">
        <f t="shared" ref="G8261:G8324" ca="1" si="168">_xlfn.NORM.INV(RAND(),K$6,K$7)</f>
        <v>8.3340598801897262E-3</v>
      </c>
    </row>
    <row r="8262" spans="6:7" x14ac:dyDescent="0.3">
      <c r="F8262" s="64">
        <v>8259</v>
      </c>
      <c r="G8262" s="64">
        <f t="shared" ca="1" si="168"/>
        <v>-1.1668476328341641E-2</v>
      </c>
    </row>
    <row r="8263" spans="6:7" x14ac:dyDescent="0.3">
      <c r="F8263" s="64">
        <v>8260</v>
      </c>
      <c r="G8263" s="64">
        <f t="shared" ca="1" si="168"/>
        <v>-1.3313949387707216E-2</v>
      </c>
    </row>
    <row r="8264" spans="6:7" x14ac:dyDescent="0.3">
      <c r="F8264" s="64">
        <v>8261</v>
      </c>
      <c r="G8264" s="64">
        <f t="shared" ca="1" si="168"/>
        <v>1.8943069793823479E-3</v>
      </c>
    </row>
    <row r="8265" spans="6:7" x14ac:dyDescent="0.3">
      <c r="F8265" s="64">
        <v>8262</v>
      </c>
      <c r="G8265" s="64">
        <f t="shared" ca="1" si="168"/>
        <v>-3.0222321914417559E-2</v>
      </c>
    </row>
    <row r="8266" spans="6:7" x14ac:dyDescent="0.3">
      <c r="F8266" s="64">
        <v>8263</v>
      </c>
      <c r="G8266" s="64">
        <f t="shared" ca="1" si="168"/>
        <v>-1.6345107557730144E-2</v>
      </c>
    </row>
    <row r="8267" spans="6:7" x14ac:dyDescent="0.3">
      <c r="F8267" s="64">
        <v>8264</v>
      </c>
      <c r="G8267" s="64">
        <f t="shared" ca="1" si="168"/>
        <v>2.4007594755763195E-2</v>
      </c>
    </row>
    <row r="8268" spans="6:7" x14ac:dyDescent="0.3">
      <c r="F8268" s="64">
        <v>8265</v>
      </c>
      <c r="G8268" s="64">
        <f t="shared" ca="1" si="168"/>
        <v>-3.221985177351392E-2</v>
      </c>
    </row>
    <row r="8269" spans="6:7" x14ac:dyDescent="0.3">
      <c r="F8269" s="64">
        <v>8266</v>
      </c>
      <c r="G8269" s="64">
        <f t="shared" ca="1" si="168"/>
        <v>-1.4839227027338009E-2</v>
      </c>
    </row>
    <row r="8270" spans="6:7" x14ac:dyDescent="0.3">
      <c r="F8270" s="64">
        <v>8267</v>
      </c>
      <c r="G8270" s="64">
        <f t="shared" ca="1" si="168"/>
        <v>2.2268761929162524E-3</v>
      </c>
    </row>
    <row r="8271" spans="6:7" x14ac:dyDescent="0.3">
      <c r="F8271" s="64">
        <v>8268</v>
      </c>
      <c r="G8271" s="64">
        <f t="shared" ca="1" si="168"/>
        <v>-3.4428740561513745E-2</v>
      </c>
    </row>
    <row r="8272" spans="6:7" x14ac:dyDescent="0.3">
      <c r="F8272" s="64">
        <v>8269</v>
      </c>
      <c r="G8272" s="64">
        <f t="shared" ca="1" si="168"/>
        <v>-2.4828046433750021E-2</v>
      </c>
    </row>
    <row r="8273" spans="6:7" x14ac:dyDescent="0.3">
      <c r="F8273" s="64">
        <v>8270</v>
      </c>
      <c r="G8273" s="64">
        <f t="shared" ca="1" si="168"/>
        <v>1.7113550634507528E-2</v>
      </c>
    </row>
    <row r="8274" spans="6:7" x14ac:dyDescent="0.3">
      <c r="F8274" s="64">
        <v>8271</v>
      </c>
      <c r="G8274" s="64">
        <f t="shared" ca="1" si="168"/>
        <v>7.856803935324428E-3</v>
      </c>
    </row>
    <row r="8275" spans="6:7" x14ac:dyDescent="0.3">
      <c r="F8275" s="64">
        <v>8272</v>
      </c>
      <c r="G8275" s="64">
        <f t="shared" ca="1" si="168"/>
        <v>3.5655169319272643E-2</v>
      </c>
    </row>
    <row r="8276" spans="6:7" x14ac:dyDescent="0.3">
      <c r="F8276" s="64">
        <v>8273</v>
      </c>
      <c r="G8276" s="64">
        <f t="shared" ca="1" si="168"/>
        <v>9.7736606851200405E-3</v>
      </c>
    </row>
    <row r="8277" spans="6:7" x14ac:dyDescent="0.3">
      <c r="F8277" s="64">
        <v>8274</v>
      </c>
      <c r="G8277" s="64">
        <f t="shared" ca="1" si="168"/>
        <v>-2.4610946882191932E-2</v>
      </c>
    </row>
    <row r="8278" spans="6:7" x14ac:dyDescent="0.3">
      <c r="F8278" s="64">
        <v>8275</v>
      </c>
      <c r="G8278" s="64">
        <f t="shared" ca="1" si="168"/>
        <v>3.045810587423315E-2</v>
      </c>
    </row>
    <row r="8279" spans="6:7" x14ac:dyDescent="0.3">
      <c r="F8279" s="64">
        <v>8276</v>
      </c>
      <c r="G8279" s="64">
        <f t="shared" ca="1" si="168"/>
        <v>3.2892690891353684E-3</v>
      </c>
    </row>
    <row r="8280" spans="6:7" x14ac:dyDescent="0.3">
      <c r="F8280" s="64">
        <v>8277</v>
      </c>
      <c r="G8280" s="64">
        <f t="shared" ca="1" si="168"/>
        <v>-4.7224959954808819E-3</v>
      </c>
    </row>
    <row r="8281" spans="6:7" x14ac:dyDescent="0.3">
      <c r="F8281" s="64">
        <v>8278</v>
      </c>
      <c r="G8281" s="64">
        <f t="shared" ca="1" si="168"/>
        <v>6.935018857592852E-3</v>
      </c>
    </row>
    <row r="8282" spans="6:7" x14ac:dyDescent="0.3">
      <c r="F8282" s="64">
        <v>8279</v>
      </c>
      <c r="G8282" s="64">
        <f t="shared" ca="1" si="168"/>
        <v>2.8714778198826917E-2</v>
      </c>
    </row>
    <row r="8283" spans="6:7" x14ac:dyDescent="0.3">
      <c r="F8283" s="64">
        <v>8280</v>
      </c>
      <c r="G8283" s="64">
        <f t="shared" ca="1" si="168"/>
        <v>-1.2121147727724891E-2</v>
      </c>
    </row>
    <row r="8284" spans="6:7" x14ac:dyDescent="0.3">
      <c r="F8284" s="64">
        <v>8281</v>
      </c>
      <c r="G8284" s="64">
        <f t="shared" ca="1" si="168"/>
        <v>1.195482662654202E-2</v>
      </c>
    </row>
    <row r="8285" spans="6:7" x14ac:dyDescent="0.3">
      <c r="F8285" s="64">
        <v>8282</v>
      </c>
      <c r="G8285" s="64">
        <f t="shared" ca="1" si="168"/>
        <v>2.5194920292970435E-2</v>
      </c>
    </row>
    <row r="8286" spans="6:7" x14ac:dyDescent="0.3">
      <c r="F8286" s="64">
        <v>8283</v>
      </c>
      <c r="G8286" s="64">
        <f t="shared" ca="1" si="168"/>
        <v>-9.955919282154984E-3</v>
      </c>
    </row>
    <row r="8287" spans="6:7" x14ac:dyDescent="0.3">
      <c r="F8287" s="64">
        <v>8284</v>
      </c>
      <c r="G8287" s="64">
        <f t="shared" ca="1" si="168"/>
        <v>-2.7355469163384272E-2</v>
      </c>
    </row>
    <row r="8288" spans="6:7" x14ac:dyDescent="0.3">
      <c r="F8288" s="64">
        <v>8285</v>
      </c>
      <c r="G8288" s="64">
        <f t="shared" ca="1" si="168"/>
        <v>-3.6028515345530067E-2</v>
      </c>
    </row>
    <row r="8289" spans="6:7" x14ac:dyDescent="0.3">
      <c r="F8289" s="64">
        <v>8286</v>
      </c>
      <c r="G8289" s="64">
        <f t="shared" ca="1" si="168"/>
        <v>2.2410546430367904E-2</v>
      </c>
    </row>
    <row r="8290" spans="6:7" x14ac:dyDescent="0.3">
      <c r="F8290" s="64">
        <v>8287</v>
      </c>
      <c r="G8290" s="64">
        <f t="shared" ca="1" si="168"/>
        <v>9.2391857827249894E-3</v>
      </c>
    </row>
    <row r="8291" spans="6:7" x14ac:dyDescent="0.3">
      <c r="F8291" s="64">
        <v>8288</v>
      </c>
      <c r="G8291" s="64">
        <f t="shared" ca="1" si="168"/>
        <v>-2.3345971657885392E-2</v>
      </c>
    </row>
    <row r="8292" spans="6:7" x14ac:dyDescent="0.3">
      <c r="F8292" s="64">
        <v>8289</v>
      </c>
      <c r="G8292" s="64">
        <f t="shared" ca="1" si="168"/>
        <v>4.171961575197807E-3</v>
      </c>
    </row>
    <row r="8293" spans="6:7" x14ac:dyDescent="0.3">
      <c r="F8293" s="64">
        <v>8290</v>
      </c>
      <c r="G8293" s="64">
        <f t="shared" ca="1" si="168"/>
        <v>-8.5012702508657917E-3</v>
      </c>
    </row>
    <row r="8294" spans="6:7" x14ac:dyDescent="0.3">
      <c r="F8294" s="64">
        <v>8291</v>
      </c>
      <c r="G8294" s="64">
        <f t="shared" ca="1" si="168"/>
        <v>-8.9423059337106689E-3</v>
      </c>
    </row>
    <row r="8295" spans="6:7" x14ac:dyDescent="0.3">
      <c r="F8295" s="64">
        <v>8292</v>
      </c>
      <c r="G8295" s="64">
        <f t="shared" ca="1" si="168"/>
        <v>1.4699800234987929E-2</v>
      </c>
    </row>
    <row r="8296" spans="6:7" x14ac:dyDescent="0.3">
      <c r="F8296" s="64">
        <v>8293</v>
      </c>
      <c r="G8296" s="64">
        <f t="shared" ca="1" si="168"/>
        <v>-2.2530029142668127E-2</v>
      </c>
    </row>
    <row r="8297" spans="6:7" x14ac:dyDescent="0.3">
      <c r="F8297" s="64">
        <v>8294</v>
      </c>
      <c r="G8297" s="64">
        <f t="shared" ca="1" si="168"/>
        <v>1.65437527608044E-2</v>
      </c>
    </row>
    <row r="8298" spans="6:7" x14ac:dyDescent="0.3">
      <c r="F8298" s="64">
        <v>8295</v>
      </c>
      <c r="G8298" s="64">
        <f t="shared" ca="1" si="168"/>
        <v>-2.884478941438081E-2</v>
      </c>
    </row>
    <row r="8299" spans="6:7" x14ac:dyDescent="0.3">
      <c r="F8299" s="64">
        <v>8296</v>
      </c>
      <c r="G8299" s="64">
        <f t="shared" ca="1" si="168"/>
        <v>2.7997726979741393E-2</v>
      </c>
    </row>
    <row r="8300" spans="6:7" x14ac:dyDescent="0.3">
      <c r="F8300" s="64">
        <v>8297</v>
      </c>
      <c r="G8300" s="64">
        <f t="shared" ca="1" si="168"/>
        <v>-9.8018403251247874E-3</v>
      </c>
    </row>
    <row r="8301" spans="6:7" x14ac:dyDescent="0.3">
      <c r="F8301" s="64">
        <v>8298</v>
      </c>
      <c r="G8301" s="64">
        <f t="shared" ca="1" si="168"/>
        <v>1.4109617656231673E-2</v>
      </c>
    </row>
    <row r="8302" spans="6:7" x14ac:dyDescent="0.3">
      <c r="F8302" s="64">
        <v>8299</v>
      </c>
      <c r="G8302" s="64">
        <f t="shared" ca="1" si="168"/>
        <v>2.5534719082337377E-2</v>
      </c>
    </row>
    <row r="8303" spans="6:7" x14ac:dyDescent="0.3">
      <c r="F8303" s="64">
        <v>8300</v>
      </c>
      <c r="G8303" s="64">
        <f t="shared" ca="1" si="168"/>
        <v>3.3343632524081075E-2</v>
      </c>
    </row>
    <row r="8304" spans="6:7" x14ac:dyDescent="0.3">
      <c r="F8304" s="64">
        <v>8301</v>
      </c>
      <c r="G8304" s="64">
        <f t="shared" ca="1" si="168"/>
        <v>5.0029185378854771E-4</v>
      </c>
    </row>
    <row r="8305" spans="6:7" x14ac:dyDescent="0.3">
      <c r="F8305" s="64">
        <v>8302</v>
      </c>
      <c r="G8305" s="64">
        <f t="shared" ca="1" si="168"/>
        <v>-1.6332148656952638E-3</v>
      </c>
    </row>
    <row r="8306" spans="6:7" x14ac:dyDescent="0.3">
      <c r="F8306" s="64">
        <v>8303</v>
      </c>
      <c r="G8306" s="64">
        <f t="shared" ca="1" si="168"/>
        <v>-1.1366406830283209E-2</v>
      </c>
    </row>
    <row r="8307" spans="6:7" x14ac:dyDescent="0.3">
      <c r="F8307" s="64">
        <v>8304</v>
      </c>
      <c r="G8307" s="64">
        <f t="shared" ca="1" si="168"/>
        <v>1.414830168564251E-2</v>
      </c>
    </row>
    <row r="8308" spans="6:7" x14ac:dyDescent="0.3">
      <c r="F8308" s="64">
        <v>8305</v>
      </c>
      <c r="G8308" s="64">
        <f t="shared" ca="1" si="168"/>
        <v>-1.4467791396731692E-2</v>
      </c>
    </row>
    <row r="8309" spans="6:7" x14ac:dyDescent="0.3">
      <c r="F8309" s="64">
        <v>8306</v>
      </c>
      <c r="G8309" s="64">
        <f t="shared" ca="1" si="168"/>
        <v>1.9727044679554773E-2</v>
      </c>
    </row>
    <row r="8310" spans="6:7" x14ac:dyDescent="0.3">
      <c r="F8310" s="64">
        <v>8307</v>
      </c>
      <c r="G8310" s="64">
        <f t="shared" ca="1" si="168"/>
        <v>8.9448258399892448E-3</v>
      </c>
    </row>
    <row r="8311" spans="6:7" x14ac:dyDescent="0.3">
      <c r="F8311" s="64">
        <v>8308</v>
      </c>
      <c r="G8311" s="64">
        <f t="shared" ca="1" si="168"/>
        <v>-3.9442361446957331E-3</v>
      </c>
    </row>
    <row r="8312" spans="6:7" x14ac:dyDescent="0.3">
      <c r="F8312" s="64">
        <v>8309</v>
      </c>
      <c r="G8312" s="64">
        <f t="shared" ca="1" si="168"/>
        <v>1.3995547560709216E-2</v>
      </c>
    </row>
    <row r="8313" spans="6:7" x14ac:dyDescent="0.3">
      <c r="F8313" s="64">
        <v>8310</v>
      </c>
      <c r="G8313" s="64">
        <f t="shared" ca="1" si="168"/>
        <v>1.2503228331786482E-2</v>
      </c>
    </row>
    <row r="8314" spans="6:7" x14ac:dyDescent="0.3">
      <c r="F8314" s="64">
        <v>8311</v>
      </c>
      <c r="G8314" s="64">
        <f t="shared" ca="1" si="168"/>
        <v>2.634656566680274E-2</v>
      </c>
    </row>
    <row r="8315" spans="6:7" x14ac:dyDescent="0.3">
      <c r="F8315" s="64">
        <v>8312</v>
      </c>
      <c r="G8315" s="64">
        <f t="shared" ca="1" si="168"/>
        <v>1.5019989751020906E-2</v>
      </c>
    </row>
    <row r="8316" spans="6:7" x14ac:dyDescent="0.3">
      <c r="F8316" s="64">
        <v>8313</v>
      </c>
      <c r="G8316" s="64">
        <f t="shared" ca="1" si="168"/>
        <v>2.2709294598295383E-2</v>
      </c>
    </row>
    <row r="8317" spans="6:7" x14ac:dyDescent="0.3">
      <c r="F8317" s="64">
        <v>8314</v>
      </c>
      <c r="G8317" s="64">
        <f t="shared" ca="1" si="168"/>
        <v>-2.2090444374582338E-2</v>
      </c>
    </row>
    <row r="8318" spans="6:7" x14ac:dyDescent="0.3">
      <c r="F8318" s="64">
        <v>8315</v>
      </c>
      <c r="G8318" s="64">
        <f t="shared" ca="1" si="168"/>
        <v>-2.9728057132425281E-2</v>
      </c>
    </row>
    <row r="8319" spans="6:7" x14ac:dyDescent="0.3">
      <c r="F8319" s="64">
        <v>8316</v>
      </c>
      <c r="G8319" s="64">
        <f t="shared" ca="1" si="168"/>
        <v>6.5534215957230675E-3</v>
      </c>
    </row>
    <row r="8320" spans="6:7" x14ac:dyDescent="0.3">
      <c r="F8320" s="64">
        <v>8317</v>
      </c>
      <c r="G8320" s="64">
        <f t="shared" ca="1" si="168"/>
        <v>-9.6774510875113871E-3</v>
      </c>
    </row>
    <row r="8321" spans="6:7" x14ac:dyDescent="0.3">
      <c r="F8321" s="64">
        <v>8318</v>
      </c>
      <c r="G8321" s="64">
        <f t="shared" ca="1" si="168"/>
        <v>-5.0307036465804143E-3</v>
      </c>
    </row>
    <row r="8322" spans="6:7" x14ac:dyDescent="0.3">
      <c r="F8322" s="64">
        <v>8319</v>
      </c>
      <c r="G8322" s="64">
        <f t="shared" ca="1" si="168"/>
        <v>3.9639018477947305E-2</v>
      </c>
    </row>
    <row r="8323" spans="6:7" x14ac:dyDescent="0.3">
      <c r="F8323" s="64">
        <v>8320</v>
      </c>
      <c r="G8323" s="64">
        <f t="shared" ca="1" si="168"/>
        <v>1.4165711767525388E-2</v>
      </c>
    </row>
    <row r="8324" spans="6:7" x14ac:dyDescent="0.3">
      <c r="F8324" s="64">
        <v>8321</v>
      </c>
      <c r="G8324" s="64">
        <f t="shared" ca="1" si="168"/>
        <v>-9.4770273797224226E-3</v>
      </c>
    </row>
    <row r="8325" spans="6:7" x14ac:dyDescent="0.3">
      <c r="F8325" s="64">
        <v>8322</v>
      </c>
      <c r="G8325" s="64">
        <f t="shared" ref="G8325:G8388" ca="1" si="169">_xlfn.NORM.INV(RAND(),K$6,K$7)</f>
        <v>5.992925788790673E-3</v>
      </c>
    </row>
    <row r="8326" spans="6:7" x14ac:dyDescent="0.3">
      <c r="F8326" s="64">
        <v>8323</v>
      </c>
      <c r="G8326" s="64">
        <f t="shared" ca="1" si="169"/>
        <v>1.876099968091649E-2</v>
      </c>
    </row>
    <row r="8327" spans="6:7" x14ac:dyDescent="0.3">
      <c r="F8327" s="64">
        <v>8324</v>
      </c>
      <c r="G8327" s="64">
        <f t="shared" ca="1" si="169"/>
        <v>-8.5270488618215921E-3</v>
      </c>
    </row>
    <row r="8328" spans="6:7" x14ac:dyDescent="0.3">
      <c r="F8328" s="64">
        <v>8325</v>
      </c>
      <c r="G8328" s="64">
        <f t="shared" ca="1" si="169"/>
        <v>-5.201340159780769E-3</v>
      </c>
    </row>
    <row r="8329" spans="6:7" x14ac:dyDescent="0.3">
      <c r="F8329" s="64">
        <v>8326</v>
      </c>
      <c r="G8329" s="64">
        <f t="shared" ca="1" si="169"/>
        <v>8.8490858771051763E-3</v>
      </c>
    </row>
    <row r="8330" spans="6:7" x14ac:dyDescent="0.3">
      <c r="F8330" s="64">
        <v>8327</v>
      </c>
      <c r="G8330" s="64">
        <f t="shared" ca="1" si="169"/>
        <v>2.9185060512418537E-2</v>
      </c>
    </row>
    <row r="8331" spans="6:7" x14ac:dyDescent="0.3">
      <c r="F8331" s="64">
        <v>8328</v>
      </c>
      <c r="G8331" s="64">
        <f t="shared" ca="1" si="169"/>
        <v>1.5841980117004842E-2</v>
      </c>
    </row>
    <row r="8332" spans="6:7" x14ac:dyDescent="0.3">
      <c r="F8332" s="64">
        <v>8329</v>
      </c>
      <c r="G8332" s="64">
        <f t="shared" ca="1" si="169"/>
        <v>1.7136451349969946E-2</v>
      </c>
    </row>
    <row r="8333" spans="6:7" x14ac:dyDescent="0.3">
      <c r="F8333" s="64">
        <v>8330</v>
      </c>
      <c r="G8333" s="64">
        <f t="shared" ca="1" si="169"/>
        <v>1.7490635019673944E-3</v>
      </c>
    </row>
    <row r="8334" spans="6:7" x14ac:dyDescent="0.3">
      <c r="F8334" s="64">
        <v>8331</v>
      </c>
      <c r="G8334" s="64">
        <f t="shared" ca="1" si="169"/>
        <v>-2.8206858239946064E-2</v>
      </c>
    </row>
    <row r="8335" spans="6:7" x14ac:dyDescent="0.3">
      <c r="F8335" s="64">
        <v>8332</v>
      </c>
      <c r="G8335" s="64">
        <f t="shared" ca="1" si="169"/>
        <v>-1.1865019344812719E-2</v>
      </c>
    </row>
    <row r="8336" spans="6:7" x14ac:dyDescent="0.3">
      <c r="F8336" s="64">
        <v>8333</v>
      </c>
      <c r="G8336" s="64">
        <f t="shared" ca="1" si="169"/>
        <v>3.1543857776461633E-2</v>
      </c>
    </row>
    <row r="8337" spans="6:7" x14ac:dyDescent="0.3">
      <c r="F8337" s="64">
        <v>8334</v>
      </c>
      <c r="G8337" s="64">
        <f t="shared" ca="1" si="169"/>
        <v>4.1502988040792886E-3</v>
      </c>
    </row>
    <row r="8338" spans="6:7" x14ac:dyDescent="0.3">
      <c r="F8338" s="64">
        <v>8335</v>
      </c>
      <c r="G8338" s="64">
        <f t="shared" ca="1" si="169"/>
        <v>-2.8733025866876725E-2</v>
      </c>
    </row>
    <row r="8339" spans="6:7" x14ac:dyDescent="0.3">
      <c r="F8339" s="64">
        <v>8336</v>
      </c>
      <c r="G8339" s="64">
        <f t="shared" ca="1" si="169"/>
        <v>-5.6886916331836561E-2</v>
      </c>
    </row>
    <row r="8340" spans="6:7" x14ac:dyDescent="0.3">
      <c r="F8340" s="64">
        <v>8337</v>
      </c>
      <c r="G8340" s="64">
        <f t="shared" ca="1" si="169"/>
        <v>8.5154449890715543E-3</v>
      </c>
    </row>
    <row r="8341" spans="6:7" x14ac:dyDescent="0.3">
      <c r="F8341" s="64">
        <v>8338</v>
      </c>
      <c r="G8341" s="64">
        <f t="shared" ca="1" si="169"/>
        <v>5.9980561391014577E-3</v>
      </c>
    </row>
    <row r="8342" spans="6:7" x14ac:dyDescent="0.3">
      <c r="F8342" s="64">
        <v>8339</v>
      </c>
      <c r="G8342" s="64">
        <f t="shared" ca="1" si="169"/>
        <v>-1.3973607891380666E-2</v>
      </c>
    </row>
    <row r="8343" spans="6:7" x14ac:dyDescent="0.3">
      <c r="F8343" s="64">
        <v>8340</v>
      </c>
      <c r="G8343" s="64">
        <f t="shared" ca="1" si="169"/>
        <v>-2.2926011118912706E-3</v>
      </c>
    </row>
    <row r="8344" spans="6:7" x14ac:dyDescent="0.3">
      <c r="F8344" s="64">
        <v>8341</v>
      </c>
      <c r="G8344" s="64">
        <f t="shared" ca="1" si="169"/>
        <v>1.5399962970021353E-2</v>
      </c>
    </row>
    <row r="8345" spans="6:7" x14ac:dyDescent="0.3">
      <c r="F8345" s="64">
        <v>8342</v>
      </c>
      <c r="G8345" s="64">
        <f t="shared" ca="1" si="169"/>
        <v>1.0462461652924686E-2</v>
      </c>
    </row>
    <row r="8346" spans="6:7" x14ac:dyDescent="0.3">
      <c r="F8346" s="64">
        <v>8343</v>
      </c>
      <c r="G8346" s="64">
        <f t="shared" ca="1" si="169"/>
        <v>-1.1076661299843036E-2</v>
      </c>
    </row>
    <row r="8347" spans="6:7" x14ac:dyDescent="0.3">
      <c r="F8347" s="64">
        <v>8344</v>
      </c>
      <c r="G8347" s="64">
        <f t="shared" ca="1" si="169"/>
        <v>1.1670245977581673E-2</v>
      </c>
    </row>
    <row r="8348" spans="6:7" x14ac:dyDescent="0.3">
      <c r="F8348" s="64">
        <v>8345</v>
      </c>
      <c r="G8348" s="64">
        <f t="shared" ca="1" si="169"/>
        <v>-1.4621299438941636E-2</v>
      </c>
    </row>
    <row r="8349" spans="6:7" x14ac:dyDescent="0.3">
      <c r="F8349" s="64">
        <v>8346</v>
      </c>
      <c r="G8349" s="64">
        <f t="shared" ca="1" si="169"/>
        <v>-2.4584030781784234E-2</v>
      </c>
    </row>
    <row r="8350" spans="6:7" x14ac:dyDescent="0.3">
      <c r="F8350" s="64">
        <v>8347</v>
      </c>
      <c r="G8350" s="64">
        <f t="shared" ca="1" si="169"/>
        <v>-7.0544549866595908E-3</v>
      </c>
    </row>
    <row r="8351" spans="6:7" x14ac:dyDescent="0.3">
      <c r="F8351" s="64">
        <v>8348</v>
      </c>
      <c r="G8351" s="64">
        <f t="shared" ca="1" si="169"/>
        <v>-3.94532996413616E-2</v>
      </c>
    </row>
    <row r="8352" spans="6:7" x14ac:dyDescent="0.3">
      <c r="F8352" s="64">
        <v>8349</v>
      </c>
      <c r="G8352" s="64">
        <f t="shared" ca="1" si="169"/>
        <v>1.4758830806552287E-2</v>
      </c>
    </row>
    <row r="8353" spans="6:7" x14ac:dyDescent="0.3">
      <c r="F8353" s="64">
        <v>8350</v>
      </c>
      <c r="G8353" s="64">
        <f t="shared" ca="1" si="169"/>
        <v>1.9086537030587609E-2</v>
      </c>
    </row>
    <row r="8354" spans="6:7" x14ac:dyDescent="0.3">
      <c r="F8354" s="64">
        <v>8351</v>
      </c>
      <c r="G8354" s="64">
        <f t="shared" ca="1" si="169"/>
        <v>2.5903319366732576E-5</v>
      </c>
    </row>
    <row r="8355" spans="6:7" x14ac:dyDescent="0.3">
      <c r="F8355" s="64">
        <v>8352</v>
      </c>
      <c r="G8355" s="64">
        <f t="shared" ca="1" si="169"/>
        <v>-2.5695004549127425E-2</v>
      </c>
    </row>
    <row r="8356" spans="6:7" x14ac:dyDescent="0.3">
      <c r="F8356" s="64">
        <v>8353</v>
      </c>
      <c r="G8356" s="64">
        <f t="shared" ca="1" si="169"/>
        <v>-9.963597859995529E-3</v>
      </c>
    </row>
    <row r="8357" spans="6:7" x14ac:dyDescent="0.3">
      <c r="F8357" s="64">
        <v>8354</v>
      </c>
      <c r="G8357" s="64">
        <f t="shared" ca="1" si="169"/>
        <v>1.0107291856592485E-2</v>
      </c>
    </row>
    <row r="8358" spans="6:7" x14ac:dyDescent="0.3">
      <c r="F8358" s="64">
        <v>8355</v>
      </c>
      <c r="G8358" s="64">
        <f t="shared" ca="1" si="169"/>
        <v>2.474832112882519E-2</v>
      </c>
    </row>
    <row r="8359" spans="6:7" x14ac:dyDescent="0.3">
      <c r="F8359" s="64">
        <v>8356</v>
      </c>
      <c r="G8359" s="64">
        <f t="shared" ca="1" si="169"/>
        <v>-1.8630087609771889E-2</v>
      </c>
    </row>
    <row r="8360" spans="6:7" x14ac:dyDescent="0.3">
      <c r="F8360" s="64">
        <v>8357</v>
      </c>
      <c r="G8360" s="64">
        <f t="shared" ca="1" si="169"/>
        <v>2.0385971793210181E-2</v>
      </c>
    </row>
    <row r="8361" spans="6:7" x14ac:dyDescent="0.3">
      <c r="F8361" s="64">
        <v>8358</v>
      </c>
      <c r="G8361" s="64">
        <f t="shared" ca="1" si="169"/>
        <v>-2.5120210743532836E-2</v>
      </c>
    </row>
    <row r="8362" spans="6:7" x14ac:dyDescent="0.3">
      <c r="F8362" s="64">
        <v>8359</v>
      </c>
      <c r="G8362" s="64">
        <f t="shared" ca="1" si="169"/>
        <v>-2.4373872215049587E-2</v>
      </c>
    </row>
    <row r="8363" spans="6:7" x14ac:dyDescent="0.3">
      <c r="F8363" s="64">
        <v>8360</v>
      </c>
      <c r="G8363" s="64">
        <f t="shared" ca="1" si="169"/>
        <v>1.7078289209078799E-2</v>
      </c>
    </row>
    <row r="8364" spans="6:7" x14ac:dyDescent="0.3">
      <c r="F8364" s="64">
        <v>8361</v>
      </c>
      <c r="G8364" s="64">
        <f t="shared" ca="1" si="169"/>
        <v>-5.2238870818717472E-3</v>
      </c>
    </row>
    <row r="8365" spans="6:7" x14ac:dyDescent="0.3">
      <c r="F8365" s="64">
        <v>8362</v>
      </c>
      <c r="G8365" s="64">
        <f t="shared" ca="1" si="169"/>
        <v>-1.9981538942714629E-2</v>
      </c>
    </row>
    <row r="8366" spans="6:7" x14ac:dyDescent="0.3">
      <c r="F8366" s="64">
        <v>8363</v>
      </c>
      <c r="G8366" s="64">
        <f t="shared" ca="1" si="169"/>
        <v>-3.1127847552943594E-2</v>
      </c>
    </row>
    <row r="8367" spans="6:7" x14ac:dyDescent="0.3">
      <c r="F8367" s="64">
        <v>8364</v>
      </c>
      <c r="G8367" s="64">
        <f t="shared" ca="1" si="169"/>
        <v>-1.2336724064742744E-2</v>
      </c>
    </row>
    <row r="8368" spans="6:7" x14ac:dyDescent="0.3">
      <c r="F8368" s="64">
        <v>8365</v>
      </c>
      <c r="G8368" s="64">
        <f t="shared" ca="1" si="169"/>
        <v>1.2047421440044928E-2</v>
      </c>
    </row>
    <row r="8369" spans="6:7" x14ac:dyDescent="0.3">
      <c r="F8369" s="64">
        <v>8366</v>
      </c>
      <c r="G8369" s="64">
        <f t="shared" ca="1" si="169"/>
        <v>2.881321618519049E-3</v>
      </c>
    </row>
    <row r="8370" spans="6:7" x14ac:dyDescent="0.3">
      <c r="F8370" s="64">
        <v>8367</v>
      </c>
      <c r="G8370" s="64">
        <f t="shared" ca="1" si="169"/>
        <v>-8.6606047309193048E-3</v>
      </c>
    </row>
    <row r="8371" spans="6:7" x14ac:dyDescent="0.3">
      <c r="F8371" s="64">
        <v>8368</v>
      </c>
      <c r="G8371" s="64">
        <f t="shared" ca="1" si="169"/>
        <v>-1.9591446215615232E-2</v>
      </c>
    </row>
    <row r="8372" spans="6:7" x14ac:dyDescent="0.3">
      <c r="F8372" s="64">
        <v>8369</v>
      </c>
      <c r="G8372" s="64">
        <f t="shared" ca="1" si="169"/>
        <v>1.3733994462081468E-2</v>
      </c>
    </row>
    <row r="8373" spans="6:7" x14ac:dyDescent="0.3">
      <c r="F8373" s="64">
        <v>8370</v>
      </c>
      <c r="G8373" s="64">
        <f t="shared" ca="1" si="169"/>
        <v>3.1052684388293707E-2</v>
      </c>
    </row>
    <row r="8374" spans="6:7" x14ac:dyDescent="0.3">
      <c r="F8374" s="64">
        <v>8371</v>
      </c>
      <c r="G8374" s="64">
        <f t="shared" ca="1" si="169"/>
        <v>4.1276295890062169E-3</v>
      </c>
    </row>
    <row r="8375" spans="6:7" x14ac:dyDescent="0.3">
      <c r="F8375" s="64">
        <v>8372</v>
      </c>
      <c r="G8375" s="64">
        <f t="shared" ca="1" si="169"/>
        <v>4.6411266034850594E-3</v>
      </c>
    </row>
    <row r="8376" spans="6:7" x14ac:dyDescent="0.3">
      <c r="F8376" s="64">
        <v>8373</v>
      </c>
      <c r="G8376" s="64">
        <f t="shared" ca="1" si="169"/>
        <v>-1.7094779247658246E-2</v>
      </c>
    </row>
    <row r="8377" spans="6:7" x14ac:dyDescent="0.3">
      <c r="F8377" s="64">
        <v>8374</v>
      </c>
      <c r="G8377" s="64">
        <f t="shared" ca="1" si="169"/>
        <v>1.3255875627443002E-2</v>
      </c>
    </row>
    <row r="8378" spans="6:7" x14ac:dyDescent="0.3">
      <c r="F8378" s="64">
        <v>8375</v>
      </c>
      <c r="G8378" s="64">
        <f t="shared" ca="1" si="169"/>
        <v>-2.7004636118780546E-2</v>
      </c>
    </row>
    <row r="8379" spans="6:7" x14ac:dyDescent="0.3">
      <c r="F8379" s="64">
        <v>8376</v>
      </c>
      <c r="G8379" s="64">
        <f t="shared" ca="1" si="169"/>
        <v>2.1450188435208004E-2</v>
      </c>
    </row>
    <row r="8380" spans="6:7" x14ac:dyDescent="0.3">
      <c r="F8380" s="64">
        <v>8377</v>
      </c>
      <c r="G8380" s="64">
        <f t="shared" ca="1" si="169"/>
        <v>1.0625663631760266E-3</v>
      </c>
    </row>
    <row r="8381" spans="6:7" x14ac:dyDescent="0.3">
      <c r="F8381" s="64">
        <v>8378</v>
      </c>
      <c r="G8381" s="64">
        <f t="shared" ca="1" si="169"/>
        <v>-1.7274492833545214E-2</v>
      </c>
    </row>
    <row r="8382" spans="6:7" x14ac:dyDescent="0.3">
      <c r="F8382" s="64">
        <v>8379</v>
      </c>
      <c r="G8382" s="64">
        <f t="shared" ca="1" si="169"/>
        <v>-8.4520904040191035E-3</v>
      </c>
    </row>
    <row r="8383" spans="6:7" x14ac:dyDescent="0.3">
      <c r="F8383" s="64">
        <v>8380</v>
      </c>
      <c r="G8383" s="64">
        <f t="shared" ca="1" si="169"/>
        <v>-2.5153936276048068E-2</v>
      </c>
    </row>
    <row r="8384" spans="6:7" x14ac:dyDescent="0.3">
      <c r="F8384" s="64">
        <v>8381</v>
      </c>
      <c r="G8384" s="64">
        <f t="shared" ca="1" si="169"/>
        <v>-2.0001856373831166E-2</v>
      </c>
    </row>
    <row r="8385" spans="6:7" x14ac:dyDescent="0.3">
      <c r="F8385" s="64">
        <v>8382</v>
      </c>
      <c r="G8385" s="64">
        <f t="shared" ca="1" si="169"/>
        <v>-1.5138968429189254E-2</v>
      </c>
    </row>
    <row r="8386" spans="6:7" x14ac:dyDescent="0.3">
      <c r="F8386" s="64">
        <v>8383</v>
      </c>
      <c r="G8386" s="64">
        <f t="shared" ca="1" si="169"/>
        <v>6.0579355065323495E-3</v>
      </c>
    </row>
    <row r="8387" spans="6:7" x14ac:dyDescent="0.3">
      <c r="F8387" s="64">
        <v>8384</v>
      </c>
      <c r="G8387" s="64">
        <f t="shared" ca="1" si="169"/>
        <v>-1.5134033403476519E-2</v>
      </c>
    </row>
    <row r="8388" spans="6:7" x14ac:dyDescent="0.3">
      <c r="F8388" s="64">
        <v>8385</v>
      </c>
      <c r="G8388" s="64">
        <f t="shared" ca="1" si="169"/>
        <v>-2.677095066244322E-2</v>
      </c>
    </row>
    <row r="8389" spans="6:7" x14ac:dyDescent="0.3">
      <c r="F8389" s="64">
        <v>8386</v>
      </c>
      <c r="G8389" s="64">
        <f t="shared" ref="G8389:G8452" ca="1" si="170">_xlfn.NORM.INV(RAND(),K$6,K$7)</f>
        <v>-1.1046026041983978E-2</v>
      </c>
    </row>
    <row r="8390" spans="6:7" x14ac:dyDescent="0.3">
      <c r="F8390" s="64">
        <v>8387</v>
      </c>
      <c r="G8390" s="64">
        <f t="shared" ca="1" si="170"/>
        <v>-9.1910157651448263E-3</v>
      </c>
    </row>
    <row r="8391" spans="6:7" x14ac:dyDescent="0.3">
      <c r="F8391" s="64">
        <v>8388</v>
      </c>
      <c r="G8391" s="64">
        <f t="shared" ca="1" si="170"/>
        <v>-1.5905650852593871E-2</v>
      </c>
    </row>
    <row r="8392" spans="6:7" x14ac:dyDescent="0.3">
      <c r="F8392" s="64">
        <v>8389</v>
      </c>
      <c r="G8392" s="64">
        <f t="shared" ca="1" si="170"/>
        <v>1.240467165340701E-2</v>
      </c>
    </row>
    <row r="8393" spans="6:7" x14ac:dyDescent="0.3">
      <c r="F8393" s="64">
        <v>8390</v>
      </c>
      <c r="G8393" s="64">
        <f t="shared" ca="1" si="170"/>
        <v>-6.6068150251466238E-3</v>
      </c>
    </row>
    <row r="8394" spans="6:7" x14ac:dyDescent="0.3">
      <c r="F8394" s="64">
        <v>8391</v>
      </c>
      <c r="G8394" s="64">
        <f t="shared" ca="1" si="170"/>
        <v>-9.9205312529737338E-3</v>
      </c>
    </row>
    <row r="8395" spans="6:7" x14ac:dyDescent="0.3">
      <c r="F8395" s="64">
        <v>8392</v>
      </c>
      <c r="G8395" s="64">
        <f t="shared" ca="1" si="170"/>
        <v>1.6234376492729422E-2</v>
      </c>
    </row>
    <row r="8396" spans="6:7" x14ac:dyDescent="0.3">
      <c r="F8396" s="64">
        <v>8393</v>
      </c>
      <c r="G8396" s="64">
        <f t="shared" ca="1" si="170"/>
        <v>7.5601445531581568E-3</v>
      </c>
    </row>
    <row r="8397" spans="6:7" x14ac:dyDescent="0.3">
      <c r="F8397" s="64">
        <v>8394</v>
      </c>
      <c r="G8397" s="64">
        <f t="shared" ca="1" si="170"/>
        <v>-6.5193076152202682E-3</v>
      </c>
    </row>
    <row r="8398" spans="6:7" x14ac:dyDescent="0.3">
      <c r="F8398" s="64">
        <v>8395</v>
      </c>
      <c r="G8398" s="64">
        <f t="shared" ca="1" si="170"/>
        <v>-5.228071854536249E-3</v>
      </c>
    </row>
    <row r="8399" spans="6:7" x14ac:dyDescent="0.3">
      <c r="F8399" s="64">
        <v>8396</v>
      </c>
      <c r="G8399" s="64">
        <f t="shared" ca="1" si="170"/>
        <v>7.7882148465008441E-3</v>
      </c>
    </row>
    <row r="8400" spans="6:7" x14ac:dyDescent="0.3">
      <c r="F8400" s="64">
        <v>8397</v>
      </c>
      <c r="G8400" s="64">
        <f t="shared" ca="1" si="170"/>
        <v>5.2432524771435412E-3</v>
      </c>
    </row>
    <row r="8401" spans="6:7" x14ac:dyDescent="0.3">
      <c r="F8401" s="64">
        <v>8398</v>
      </c>
      <c r="G8401" s="64">
        <f t="shared" ca="1" si="170"/>
        <v>2.7699953223295597E-2</v>
      </c>
    </row>
    <row r="8402" spans="6:7" x14ac:dyDescent="0.3">
      <c r="F8402" s="64">
        <v>8399</v>
      </c>
      <c r="G8402" s="64">
        <f t="shared" ca="1" si="170"/>
        <v>-1.010016206409582E-2</v>
      </c>
    </row>
    <row r="8403" spans="6:7" x14ac:dyDescent="0.3">
      <c r="F8403" s="64">
        <v>8400</v>
      </c>
      <c r="G8403" s="64">
        <f t="shared" ca="1" si="170"/>
        <v>-1.7409221211275375E-2</v>
      </c>
    </row>
    <row r="8404" spans="6:7" x14ac:dyDescent="0.3">
      <c r="F8404" s="64">
        <v>8401</v>
      </c>
      <c r="G8404" s="64">
        <f t="shared" ca="1" si="170"/>
        <v>2.0299172555949705E-3</v>
      </c>
    </row>
    <row r="8405" spans="6:7" x14ac:dyDescent="0.3">
      <c r="F8405" s="64">
        <v>8402</v>
      </c>
      <c r="G8405" s="64">
        <f t="shared" ca="1" si="170"/>
        <v>-7.3400218366848069E-3</v>
      </c>
    </row>
    <row r="8406" spans="6:7" x14ac:dyDescent="0.3">
      <c r="F8406" s="64">
        <v>8403</v>
      </c>
      <c r="G8406" s="64">
        <f t="shared" ca="1" si="170"/>
        <v>4.3373111671125626E-2</v>
      </c>
    </row>
    <row r="8407" spans="6:7" x14ac:dyDescent="0.3">
      <c r="F8407" s="64">
        <v>8404</v>
      </c>
      <c r="G8407" s="64">
        <f t="shared" ca="1" si="170"/>
        <v>1.5528278595148211E-2</v>
      </c>
    </row>
    <row r="8408" spans="6:7" x14ac:dyDescent="0.3">
      <c r="F8408" s="64">
        <v>8405</v>
      </c>
      <c r="G8408" s="64">
        <f t="shared" ca="1" si="170"/>
        <v>-1.0589710384179605E-2</v>
      </c>
    </row>
    <row r="8409" spans="6:7" x14ac:dyDescent="0.3">
      <c r="F8409" s="64">
        <v>8406</v>
      </c>
      <c r="G8409" s="64">
        <f t="shared" ca="1" si="170"/>
        <v>5.0029533600264735E-2</v>
      </c>
    </row>
    <row r="8410" spans="6:7" x14ac:dyDescent="0.3">
      <c r="F8410" s="64">
        <v>8407</v>
      </c>
      <c r="G8410" s="64">
        <f t="shared" ca="1" si="170"/>
        <v>1.0997907685120382E-2</v>
      </c>
    </row>
    <row r="8411" spans="6:7" x14ac:dyDescent="0.3">
      <c r="F8411" s="64">
        <v>8408</v>
      </c>
      <c r="G8411" s="64">
        <f t="shared" ca="1" si="170"/>
        <v>1.4351510259591412E-2</v>
      </c>
    </row>
    <row r="8412" spans="6:7" x14ac:dyDescent="0.3">
      <c r="F8412" s="64">
        <v>8409</v>
      </c>
      <c r="G8412" s="64">
        <f t="shared" ca="1" si="170"/>
        <v>3.1108178521301877E-2</v>
      </c>
    </row>
    <row r="8413" spans="6:7" x14ac:dyDescent="0.3">
      <c r="F8413" s="64">
        <v>8410</v>
      </c>
      <c r="G8413" s="64">
        <f t="shared" ca="1" si="170"/>
        <v>1.6751558827247479E-2</v>
      </c>
    </row>
    <row r="8414" spans="6:7" x14ac:dyDescent="0.3">
      <c r="F8414" s="64">
        <v>8411</v>
      </c>
      <c r="G8414" s="64">
        <f t="shared" ca="1" si="170"/>
        <v>2.6793464124400611E-2</v>
      </c>
    </row>
    <row r="8415" spans="6:7" x14ac:dyDescent="0.3">
      <c r="F8415" s="64">
        <v>8412</v>
      </c>
      <c r="G8415" s="64">
        <f t="shared" ca="1" si="170"/>
        <v>2.6960128907797212E-2</v>
      </c>
    </row>
    <row r="8416" spans="6:7" x14ac:dyDescent="0.3">
      <c r="F8416" s="64">
        <v>8413</v>
      </c>
      <c r="G8416" s="64">
        <f t="shared" ca="1" si="170"/>
        <v>-1.8386937516527008E-2</v>
      </c>
    </row>
    <row r="8417" spans="6:7" x14ac:dyDescent="0.3">
      <c r="F8417" s="64">
        <v>8414</v>
      </c>
      <c r="G8417" s="64">
        <f t="shared" ca="1" si="170"/>
        <v>-1.9011017443127075E-2</v>
      </c>
    </row>
    <row r="8418" spans="6:7" x14ac:dyDescent="0.3">
      <c r="F8418" s="64">
        <v>8415</v>
      </c>
      <c r="G8418" s="64">
        <f t="shared" ca="1" si="170"/>
        <v>-5.5780014015866962E-3</v>
      </c>
    </row>
    <row r="8419" spans="6:7" x14ac:dyDescent="0.3">
      <c r="F8419" s="64">
        <v>8416</v>
      </c>
      <c r="G8419" s="64">
        <f t="shared" ca="1" si="170"/>
        <v>-1.7985481137593887E-3</v>
      </c>
    </row>
    <row r="8420" spans="6:7" x14ac:dyDescent="0.3">
      <c r="F8420" s="64">
        <v>8417</v>
      </c>
      <c r="G8420" s="64">
        <f t="shared" ca="1" si="170"/>
        <v>-6.4303757091424543E-3</v>
      </c>
    </row>
    <row r="8421" spans="6:7" x14ac:dyDescent="0.3">
      <c r="F8421" s="64">
        <v>8418</v>
      </c>
      <c r="G8421" s="64">
        <f t="shared" ca="1" si="170"/>
        <v>8.9887346291236091E-3</v>
      </c>
    </row>
    <row r="8422" spans="6:7" x14ac:dyDescent="0.3">
      <c r="F8422" s="64">
        <v>8419</v>
      </c>
      <c r="G8422" s="64">
        <f t="shared" ca="1" si="170"/>
        <v>1.7853466775711771E-2</v>
      </c>
    </row>
    <row r="8423" spans="6:7" x14ac:dyDescent="0.3">
      <c r="F8423" s="64">
        <v>8420</v>
      </c>
      <c r="G8423" s="64">
        <f t="shared" ca="1" si="170"/>
        <v>-2.520550702252531E-2</v>
      </c>
    </row>
    <row r="8424" spans="6:7" x14ac:dyDescent="0.3">
      <c r="F8424" s="64">
        <v>8421</v>
      </c>
      <c r="G8424" s="64">
        <f t="shared" ca="1" si="170"/>
        <v>2.4317790151952554E-2</v>
      </c>
    </row>
    <row r="8425" spans="6:7" x14ac:dyDescent="0.3">
      <c r="F8425" s="64">
        <v>8422</v>
      </c>
      <c r="G8425" s="64">
        <f t="shared" ca="1" si="170"/>
        <v>1.156982099027821E-2</v>
      </c>
    </row>
    <row r="8426" spans="6:7" x14ac:dyDescent="0.3">
      <c r="F8426" s="64">
        <v>8423</v>
      </c>
      <c r="G8426" s="64">
        <f t="shared" ca="1" si="170"/>
        <v>1.3407437505161076E-2</v>
      </c>
    </row>
    <row r="8427" spans="6:7" x14ac:dyDescent="0.3">
      <c r="F8427" s="64">
        <v>8424</v>
      </c>
      <c r="G8427" s="64">
        <f t="shared" ca="1" si="170"/>
        <v>-3.1302066726753612E-2</v>
      </c>
    </row>
    <row r="8428" spans="6:7" x14ac:dyDescent="0.3">
      <c r="F8428" s="64">
        <v>8425</v>
      </c>
      <c r="G8428" s="64">
        <f t="shared" ca="1" si="170"/>
        <v>1.2840259503347187E-2</v>
      </c>
    </row>
    <row r="8429" spans="6:7" x14ac:dyDescent="0.3">
      <c r="F8429" s="64">
        <v>8426</v>
      </c>
      <c r="G8429" s="64">
        <f t="shared" ca="1" si="170"/>
        <v>-1.4134387158510325E-2</v>
      </c>
    </row>
    <row r="8430" spans="6:7" x14ac:dyDescent="0.3">
      <c r="F8430" s="64">
        <v>8427</v>
      </c>
      <c r="G8430" s="64">
        <f t="shared" ca="1" si="170"/>
        <v>1.7329339465226773E-2</v>
      </c>
    </row>
    <row r="8431" spans="6:7" x14ac:dyDescent="0.3">
      <c r="F8431" s="64">
        <v>8428</v>
      </c>
      <c r="G8431" s="64">
        <f t="shared" ca="1" si="170"/>
        <v>-1.9562764044834843E-3</v>
      </c>
    </row>
    <row r="8432" spans="6:7" x14ac:dyDescent="0.3">
      <c r="F8432" s="64">
        <v>8429</v>
      </c>
      <c r="G8432" s="64">
        <f t="shared" ca="1" si="170"/>
        <v>1.0346165817357441E-2</v>
      </c>
    </row>
    <row r="8433" spans="6:7" x14ac:dyDescent="0.3">
      <c r="F8433" s="64">
        <v>8430</v>
      </c>
      <c r="G8433" s="64">
        <f t="shared" ca="1" si="170"/>
        <v>9.1581877397869001E-3</v>
      </c>
    </row>
    <row r="8434" spans="6:7" x14ac:dyDescent="0.3">
      <c r="F8434" s="64">
        <v>8431</v>
      </c>
      <c r="G8434" s="64">
        <f t="shared" ca="1" si="170"/>
        <v>1.6004030645940522E-2</v>
      </c>
    </row>
    <row r="8435" spans="6:7" x14ac:dyDescent="0.3">
      <c r="F8435" s="64">
        <v>8432</v>
      </c>
      <c r="G8435" s="64">
        <f t="shared" ca="1" si="170"/>
        <v>-2.8255342891807525E-3</v>
      </c>
    </row>
    <row r="8436" spans="6:7" x14ac:dyDescent="0.3">
      <c r="F8436" s="64">
        <v>8433</v>
      </c>
      <c r="G8436" s="64">
        <f t="shared" ca="1" si="170"/>
        <v>-2.5586835011766201E-2</v>
      </c>
    </row>
    <row r="8437" spans="6:7" x14ac:dyDescent="0.3">
      <c r="F8437" s="64">
        <v>8434</v>
      </c>
      <c r="G8437" s="64">
        <f t="shared" ca="1" si="170"/>
        <v>1.5209792369563756E-2</v>
      </c>
    </row>
    <row r="8438" spans="6:7" x14ac:dyDescent="0.3">
      <c r="F8438" s="64">
        <v>8435</v>
      </c>
      <c r="G8438" s="64">
        <f t="shared" ca="1" si="170"/>
        <v>-5.102302433779972E-4</v>
      </c>
    </row>
    <row r="8439" spans="6:7" x14ac:dyDescent="0.3">
      <c r="F8439" s="64">
        <v>8436</v>
      </c>
      <c r="G8439" s="64">
        <f t="shared" ca="1" si="170"/>
        <v>2.3450015681284721E-2</v>
      </c>
    </row>
    <row r="8440" spans="6:7" x14ac:dyDescent="0.3">
      <c r="F8440" s="64">
        <v>8437</v>
      </c>
      <c r="G8440" s="64">
        <f t="shared" ca="1" si="170"/>
        <v>1.1480914276450732E-2</v>
      </c>
    </row>
    <row r="8441" spans="6:7" x14ac:dyDescent="0.3">
      <c r="F8441" s="64">
        <v>8438</v>
      </c>
      <c r="G8441" s="64">
        <f t="shared" ca="1" si="170"/>
        <v>2.5232578670648237E-2</v>
      </c>
    </row>
    <row r="8442" spans="6:7" x14ac:dyDescent="0.3">
      <c r="F8442" s="64">
        <v>8439</v>
      </c>
      <c r="G8442" s="64">
        <f t="shared" ca="1" si="170"/>
        <v>2.2028967788110344E-2</v>
      </c>
    </row>
    <row r="8443" spans="6:7" x14ac:dyDescent="0.3">
      <c r="F8443" s="64">
        <v>8440</v>
      </c>
      <c r="G8443" s="64">
        <f t="shared" ca="1" si="170"/>
        <v>-8.2677384789387586E-3</v>
      </c>
    </row>
    <row r="8444" spans="6:7" x14ac:dyDescent="0.3">
      <c r="F8444" s="64">
        <v>8441</v>
      </c>
      <c r="G8444" s="64">
        <f t="shared" ca="1" si="170"/>
        <v>-8.2913698027483121E-3</v>
      </c>
    </row>
    <row r="8445" spans="6:7" x14ac:dyDescent="0.3">
      <c r="F8445" s="64">
        <v>8442</v>
      </c>
      <c r="G8445" s="64">
        <f t="shared" ca="1" si="170"/>
        <v>2.6291849876843076E-2</v>
      </c>
    </row>
    <row r="8446" spans="6:7" x14ac:dyDescent="0.3">
      <c r="F8446" s="64">
        <v>8443</v>
      </c>
      <c r="G8446" s="64">
        <f t="shared" ca="1" si="170"/>
        <v>1.7515199125455558E-2</v>
      </c>
    </row>
    <row r="8447" spans="6:7" x14ac:dyDescent="0.3">
      <c r="F8447" s="64">
        <v>8444</v>
      </c>
      <c r="G8447" s="64">
        <f t="shared" ca="1" si="170"/>
        <v>-2.9738514721880237E-2</v>
      </c>
    </row>
    <row r="8448" spans="6:7" x14ac:dyDescent="0.3">
      <c r="F8448" s="64">
        <v>8445</v>
      </c>
      <c r="G8448" s="64">
        <f t="shared" ca="1" si="170"/>
        <v>8.8019377314878383E-3</v>
      </c>
    </row>
    <row r="8449" spans="6:7" x14ac:dyDescent="0.3">
      <c r="F8449" s="64">
        <v>8446</v>
      </c>
      <c r="G8449" s="64">
        <f t="shared" ca="1" si="170"/>
        <v>-1.3814333915904324E-2</v>
      </c>
    </row>
    <row r="8450" spans="6:7" x14ac:dyDescent="0.3">
      <c r="F8450" s="64">
        <v>8447</v>
      </c>
      <c r="G8450" s="64">
        <f t="shared" ca="1" si="170"/>
        <v>2.1175749227890545E-3</v>
      </c>
    </row>
    <row r="8451" spans="6:7" x14ac:dyDescent="0.3">
      <c r="F8451" s="64">
        <v>8448</v>
      </c>
      <c r="G8451" s="64">
        <f t="shared" ca="1" si="170"/>
        <v>-2.3578913365751387E-2</v>
      </c>
    </row>
    <row r="8452" spans="6:7" x14ac:dyDescent="0.3">
      <c r="F8452" s="64">
        <v>8449</v>
      </c>
      <c r="G8452" s="64">
        <f t="shared" ca="1" si="170"/>
        <v>1.3637970507901344E-2</v>
      </c>
    </row>
    <row r="8453" spans="6:7" x14ac:dyDescent="0.3">
      <c r="F8453" s="64">
        <v>8450</v>
      </c>
      <c r="G8453" s="64">
        <f t="shared" ref="G8453:G8516" ca="1" si="171">_xlfn.NORM.INV(RAND(),K$6,K$7)</f>
        <v>1.1001540326825423E-2</v>
      </c>
    </row>
    <row r="8454" spans="6:7" x14ac:dyDescent="0.3">
      <c r="F8454" s="64">
        <v>8451</v>
      </c>
      <c r="G8454" s="64">
        <f t="shared" ca="1" si="171"/>
        <v>1.7730959508874822E-2</v>
      </c>
    </row>
    <row r="8455" spans="6:7" x14ac:dyDescent="0.3">
      <c r="F8455" s="64">
        <v>8452</v>
      </c>
      <c r="G8455" s="64">
        <f t="shared" ca="1" si="171"/>
        <v>1.3879859965189567E-2</v>
      </c>
    </row>
    <row r="8456" spans="6:7" x14ac:dyDescent="0.3">
      <c r="F8456" s="64">
        <v>8453</v>
      </c>
      <c r="G8456" s="64">
        <f t="shared" ca="1" si="171"/>
        <v>8.4655535027708534E-3</v>
      </c>
    </row>
    <row r="8457" spans="6:7" x14ac:dyDescent="0.3">
      <c r="F8457" s="64">
        <v>8454</v>
      </c>
      <c r="G8457" s="64">
        <f t="shared" ca="1" si="171"/>
        <v>4.3324926277648898E-3</v>
      </c>
    </row>
    <row r="8458" spans="6:7" x14ac:dyDescent="0.3">
      <c r="F8458" s="64">
        <v>8455</v>
      </c>
      <c r="G8458" s="64">
        <f t="shared" ca="1" si="171"/>
        <v>2.7311969535455172E-2</v>
      </c>
    </row>
    <row r="8459" spans="6:7" x14ac:dyDescent="0.3">
      <c r="F8459" s="64">
        <v>8456</v>
      </c>
      <c r="G8459" s="64">
        <f t="shared" ca="1" si="171"/>
        <v>-3.1463608558738525E-2</v>
      </c>
    </row>
    <row r="8460" spans="6:7" x14ac:dyDescent="0.3">
      <c r="F8460" s="64">
        <v>8457</v>
      </c>
      <c r="G8460" s="64">
        <f t="shared" ca="1" si="171"/>
        <v>3.8451175671183002E-2</v>
      </c>
    </row>
    <row r="8461" spans="6:7" x14ac:dyDescent="0.3">
      <c r="F8461" s="64">
        <v>8458</v>
      </c>
      <c r="G8461" s="64">
        <f t="shared" ca="1" si="171"/>
        <v>9.3504982868210882E-3</v>
      </c>
    </row>
    <row r="8462" spans="6:7" x14ac:dyDescent="0.3">
      <c r="F8462" s="64">
        <v>8459</v>
      </c>
      <c r="G8462" s="64">
        <f t="shared" ca="1" si="171"/>
        <v>-1.3295145080419277E-2</v>
      </c>
    </row>
    <row r="8463" spans="6:7" x14ac:dyDescent="0.3">
      <c r="F8463" s="64">
        <v>8460</v>
      </c>
      <c r="G8463" s="64">
        <f t="shared" ca="1" si="171"/>
        <v>1.7710843166645236E-2</v>
      </c>
    </row>
    <row r="8464" spans="6:7" x14ac:dyDescent="0.3">
      <c r="F8464" s="64">
        <v>8461</v>
      </c>
      <c r="G8464" s="64">
        <f t="shared" ca="1" si="171"/>
        <v>1.476347640205475E-2</v>
      </c>
    </row>
    <row r="8465" spans="6:7" x14ac:dyDescent="0.3">
      <c r="F8465" s="64">
        <v>8462</v>
      </c>
      <c r="G8465" s="64">
        <f t="shared" ca="1" si="171"/>
        <v>2.7241231437366641E-2</v>
      </c>
    </row>
    <row r="8466" spans="6:7" x14ac:dyDescent="0.3">
      <c r="F8466" s="64">
        <v>8463</v>
      </c>
      <c r="G8466" s="64">
        <f t="shared" ca="1" si="171"/>
        <v>4.5525148619149471E-3</v>
      </c>
    </row>
    <row r="8467" spans="6:7" x14ac:dyDescent="0.3">
      <c r="F8467" s="64">
        <v>8464</v>
      </c>
      <c r="G8467" s="64">
        <f t="shared" ca="1" si="171"/>
        <v>-4.6199784111975095E-3</v>
      </c>
    </row>
    <row r="8468" spans="6:7" x14ac:dyDescent="0.3">
      <c r="F8468" s="64">
        <v>8465</v>
      </c>
      <c r="G8468" s="64">
        <f t="shared" ca="1" si="171"/>
        <v>-1.505579637443657E-2</v>
      </c>
    </row>
    <row r="8469" spans="6:7" x14ac:dyDescent="0.3">
      <c r="F8469" s="64">
        <v>8466</v>
      </c>
      <c r="G8469" s="64">
        <f t="shared" ca="1" si="171"/>
        <v>3.3345930280208255E-2</v>
      </c>
    </row>
    <row r="8470" spans="6:7" x14ac:dyDescent="0.3">
      <c r="F8470" s="64">
        <v>8467</v>
      </c>
      <c r="G8470" s="64">
        <f t="shared" ca="1" si="171"/>
        <v>1.9688752929463843E-2</v>
      </c>
    </row>
    <row r="8471" spans="6:7" x14ac:dyDescent="0.3">
      <c r="F8471" s="64">
        <v>8468</v>
      </c>
      <c r="G8471" s="64">
        <f t="shared" ca="1" si="171"/>
        <v>1.6551071261737091E-2</v>
      </c>
    </row>
    <row r="8472" spans="6:7" x14ac:dyDescent="0.3">
      <c r="F8472" s="64">
        <v>8469</v>
      </c>
      <c r="G8472" s="64">
        <f t="shared" ca="1" si="171"/>
        <v>-1.9403129835590411E-3</v>
      </c>
    </row>
    <row r="8473" spans="6:7" x14ac:dyDescent="0.3">
      <c r="F8473" s="64">
        <v>8470</v>
      </c>
      <c r="G8473" s="64">
        <f t="shared" ca="1" si="171"/>
        <v>1.947662060522104E-2</v>
      </c>
    </row>
    <row r="8474" spans="6:7" x14ac:dyDescent="0.3">
      <c r="F8474" s="64">
        <v>8471</v>
      </c>
      <c r="G8474" s="64">
        <f t="shared" ca="1" si="171"/>
        <v>7.5038194274544539E-3</v>
      </c>
    </row>
    <row r="8475" spans="6:7" x14ac:dyDescent="0.3">
      <c r="F8475" s="64">
        <v>8472</v>
      </c>
      <c r="G8475" s="64">
        <f t="shared" ca="1" si="171"/>
        <v>-4.6157457156170028E-4</v>
      </c>
    </row>
    <row r="8476" spans="6:7" x14ac:dyDescent="0.3">
      <c r="F8476" s="64">
        <v>8473</v>
      </c>
      <c r="G8476" s="64">
        <f t="shared" ca="1" si="171"/>
        <v>8.1211072822529051E-4</v>
      </c>
    </row>
    <row r="8477" spans="6:7" x14ac:dyDescent="0.3">
      <c r="F8477" s="64">
        <v>8474</v>
      </c>
      <c r="G8477" s="64">
        <f t="shared" ca="1" si="171"/>
        <v>2.0293786299633752E-4</v>
      </c>
    </row>
    <row r="8478" spans="6:7" x14ac:dyDescent="0.3">
      <c r="F8478" s="64">
        <v>8475</v>
      </c>
      <c r="G8478" s="64">
        <f t="shared" ca="1" si="171"/>
        <v>-6.1494787919402268E-3</v>
      </c>
    </row>
    <row r="8479" spans="6:7" x14ac:dyDescent="0.3">
      <c r="F8479" s="64">
        <v>8476</v>
      </c>
      <c r="G8479" s="64">
        <f t="shared" ca="1" si="171"/>
        <v>1.6973535937890374E-2</v>
      </c>
    </row>
    <row r="8480" spans="6:7" x14ac:dyDescent="0.3">
      <c r="F8480" s="64">
        <v>8477</v>
      </c>
      <c r="G8480" s="64">
        <f t="shared" ca="1" si="171"/>
        <v>-3.3247534476015597E-3</v>
      </c>
    </row>
    <row r="8481" spans="6:7" x14ac:dyDescent="0.3">
      <c r="F8481" s="64">
        <v>8478</v>
      </c>
      <c r="G8481" s="64">
        <f t="shared" ca="1" si="171"/>
        <v>6.6102309101593966E-3</v>
      </c>
    </row>
    <row r="8482" spans="6:7" x14ac:dyDescent="0.3">
      <c r="F8482" s="64">
        <v>8479</v>
      </c>
      <c r="G8482" s="64">
        <f t="shared" ca="1" si="171"/>
        <v>-5.764841002125363E-3</v>
      </c>
    </row>
    <row r="8483" spans="6:7" x14ac:dyDescent="0.3">
      <c r="F8483" s="64">
        <v>8480</v>
      </c>
      <c r="G8483" s="64">
        <f t="shared" ca="1" si="171"/>
        <v>-3.2016417148954396E-2</v>
      </c>
    </row>
    <row r="8484" spans="6:7" x14ac:dyDescent="0.3">
      <c r="F8484" s="64">
        <v>8481</v>
      </c>
      <c r="G8484" s="64">
        <f t="shared" ca="1" si="171"/>
        <v>-2.8757037150600089E-3</v>
      </c>
    </row>
    <row r="8485" spans="6:7" x14ac:dyDescent="0.3">
      <c r="F8485" s="64">
        <v>8482</v>
      </c>
      <c r="G8485" s="64">
        <f t="shared" ca="1" si="171"/>
        <v>1.045789002195773E-3</v>
      </c>
    </row>
    <row r="8486" spans="6:7" x14ac:dyDescent="0.3">
      <c r="F8486" s="64">
        <v>8483</v>
      </c>
      <c r="G8486" s="64">
        <f t="shared" ca="1" si="171"/>
        <v>1.5391692798238613E-2</v>
      </c>
    </row>
    <row r="8487" spans="6:7" x14ac:dyDescent="0.3">
      <c r="F8487" s="64">
        <v>8484</v>
      </c>
      <c r="G8487" s="64">
        <f t="shared" ca="1" si="171"/>
        <v>1.6150573006073018E-2</v>
      </c>
    </row>
    <row r="8488" spans="6:7" x14ac:dyDescent="0.3">
      <c r="F8488" s="64">
        <v>8485</v>
      </c>
      <c r="G8488" s="64">
        <f t="shared" ca="1" si="171"/>
        <v>-1.8160983823577108E-2</v>
      </c>
    </row>
    <row r="8489" spans="6:7" x14ac:dyDescent="0.3">
      <c r="F8489" s="64">
        <v>8486</v>
      </c>
      <c r="G8489" s="64">
        <f t="shared" ca="1" si="171"/>
        <v>-2.8083971930482142E-2</v>
      </c>
    </row>
    <row r="8490" spans="6:7" x14ac:dyDescent="0.3">
      <c r="F8490" s="64">
        <v>8487</v>
      </c>
      <c r="G8490" s="64">
        <f t="shared" ca="1" si="171"/>
        <v>-9.1108374018321813E-4</v>
      </c>
    </row>
    <row r="8491" spans="6:7" x14ac:dyDescent="0.3">
      <c r="F8491" s="64">
        <v>8488</v>
      </c>
      <c r="G8491" s="64">
        <f t="shared" ca="1" si="171"/>
        <v>-3.6267623099004255E-2</v>
      </c>
    </row>
    <row r="8492" spans="6:7" x14ac:dyDescent="0.3">
      <c r="F8492" s="64">
        <v>8489</v>
      </c>
      <c r="G8492" s="64">
        <f t="shared" ca="1" si="171"/>
        <v>1.5881141219543378E-2</v>
      </c>
    </row>
    <row r="8493" spans="6:7" x14ac:dyDescent="0.3">
      <c r="F8493" s="64">
        <v>8490</v>
      </c>
      <c r="G8493" s="64">
        <f t="shared" ca="1" si="171"/>
        <v>2.5621433485243254E-2</v>
      </c>
    </row>
    <row r="8494" spans="6:7" x14ac:dyDescent="0.3">
      <c r="F8494" s="64">
        <v>8491</v>
      </c>
      <c r="G8494" s="64">
        <f t="shared" ca="1" si="171"/>
        <v>1.0323241423234455E-2</v>
      </c>
    </row>
    <row r="8495" spans="6:7" x14ac:dyDescent="0.3">
      <c r="F8495" s="64">
        <v>8492</v>
      </c>
      <c r="G8495" s="64">
        <f t="shared" ca="1" si="171"/>
        <v>-3.0112441208317853E-3</v>
      </c>
    </row>
    <row r="8496" spans="6:7" x14ac:dyDescent="0.3">
      <c r="F8496" s="64">
        <v>8493</v>
      </c>
      <c r="G8496" s="64">
        <f t="shared" ca="1" si="171"/>
        <v>1.158302129580566E-2</v>
      </c>
    </row>
    <row r="8497" spans="6:7" x14ac:dyDescent="0.3">
      <c r="F8497" s="64">
        <v>8494</v>
      </c>
      <c r="G8497" s="64">
        <f t="shared" ca="1" si="171"/>
        <v>4.0204414238630866E-3</v>
      </c>
    </row>
    <row r="8498" spans="6:7" x14ac:dyDescent="0.3">
      <c r="F8498" s="64">
        <v>8495</v>
      </c>
      <c r="G8498" s="64">
        <f t="shared" ca="1" si="171"/>
        <v>2.8392858493241392E-3</v>
      </c>
    </row>
    <row r="8499" spans="6:7" x14ac:dyDescent="0.3">
      <c r="F8499" s="64">
        <v>8496</v>
      </c>
      <c r="G8499" s="64">
        <f t="shared" ca="1" si="171"/>
        <v>2.4253545934941827E-2</v>
      </c>
    </row>
    <row r="8500" spans="6:7" x14ac:dyDescent="0.3">
      <c r="F8500" s="64">
        <v>8497</v>
      </c>
      <c r="G8500" s="64">
        <f t="shared" ca="1" si="171"/>
        <v>-1.3094708616821297E-2</v>
      </c>
    </row>
    <row r="8501" spans="6:7" x14ac:dyDescent="0.3">
      <c r="F8501" s="64">
        <v>8498</v>
      </c>
      <c r="G8501" s="64">
        <f t="shared" ca="1" si="171"/>
        <v>-1.2715066268410815E-2</v>
      </c>
    </row>
    <row r="8502" spans="6:7" x14ac:dyDescent="0.3">
      <c r="F8502" s="64">
        <v>8499</v>
      </c>
      <c r="G8502" s="64">
        <f t="shared" ca="1" si="171"/>
        <v>-7.3950726004981798E-3</v>
      </c>
    </row>
    <row r="8503" spans="6:7" x14ac:dyDescent="0.3">
      <c r="F8503" s="64">
        <v>8500</v>
      </c>
      <c r="G8503" s="64">
        <f t="shared" ca="1" si="171"/>
        <v>-1.5073222073880331E-2</v>
      </c>
    </row>
    <row r="8504" spans="6:7" x14ac:dyDescent="0.3">
      <c r="F8504" s="64">
        <v>8501</v>
      </c>
      <c r="G8504" s="64">
        <f t="shared" ca="1" si="171"/>
        <v>-2.2330634902061976E-2</v>
      </c>
    </row>
    <row r="8505" spans="6:7" x14ac:dyDescent="0.3">
      <c r="F8505" s="64">
        <v>8502</v>
      </c>
      <c r="G8505" s="64">
        <f t="shared" ca="1" si="171"/>
        <v>-1.3142111349945005E-2</v>
      </c>
    </row>
    <row r="8506" spans="6:7" x14ac:dyDescent="0.3">
      <c r="F8506" s="64">
        <v>8503</v>
      </c>
      <c r="G8506" s="64">
        <f t="shared" ca="1" si="171"/>
        <v>4.3236139874938961E-3</v>
      </c>
    </row>
    <row r="8507" spans="6:7" x14ac:dyDescent="0.3">
      <c r="F8507" s="64">
        <v>8504</v>
      </c>
      <c r="G8507" s="64">
        <f t="shared" ca="1" si="171"/>
        <v>-2.09077494219966E-3</v>
      </c>
    </row>
    <row r="8508" spans="6:7" x14ac:dyDescent="0.3">
      <c r="F8508" s="64">
        <v>8505</v>
      </c>
      <c r="G8508" s="64">
        <f t="shared" ca="1" si="171"/>
        <v>1.3330590600198375E-2</v>
      </c>
    </row>
    <row r="8509" spans="6:7" x14ac:dyDescent="0.3">
      <c r="F8509" s="64">
        <v>8506</v>
      </c>
      <c r="G8509" s="64">
        <f t="shared" ca="1" si="171"/>
        <v>-3.9129628521573374E-2</v>
      </c>
    </row>
    <row r="8510" spans="6:7" x14ac:dyDescent="0.3">
      <c r="F8510" s="64">
        <v>8507</v>
      </c>
      <c r="G8510" s="64">
        <f t="shared" ca="1" si="171"/>
        <v>-3.9277359209602118E-2</v>
      </c>
    </row>
    <row r="8511" spans="6:7" x14ac:dyDescent="0.3">
      <c r="F8511" s="64">
        <v>8508</v>
      </c>
      <c r="G8511" s="64">
        <f t="shared" ca="1" si="171"/>
        <v>2.5597725688594163E-2</v>
      </c>
    </row>
    <row r="8512" spans="6:7" x14ac:dyDescent="0.3">
      <c r="F8512" s="64">
        <v>8509</v>
      </c>
      <c r="G8512" s="64">
        <f t="shared" ca="1" si="171"/>
        <v>-3.2431385601997757E-2</v>
      </c>
    </row>
    <row r="8513" spans="6:7" x14ac:dyDescent="0.3">
      <c r="F8513" s="64">
        <v>8510</v>
      </c>
      <c r="G8513" s="64">
        <f t="shared" ca="1" si="171"/>
        <v>2.7260539634614118E-2</v>
      </c>
    </row>
    <row r="8514" spans="6:7" x14ac:dyDescent="0.3">
      <c r="F8514" s="64">
        <v>8511</v>
      </c>
      <c r="G8514" s="64">
        <f t="shared" ca="1" si="171"/>
        <v>-1.2077517737545089E-2</v>
      </c>
    </row>
    <row r="8515" spans="6:7" x14ac:dyDescent="0.3">
      <c r="F8515" s="64">
        <v>8512</v>
      </c>
      <c r="G8515" s="64">
        <f t="shared" ca="1" si="171"/>
        <v>-5.6692255677339891E-3</v>
      </c>
    </row>
    <row r="8516" spans="6:7" x14ac:dyDescent="0.3">
      <c r="F8516" s="64">
        <v>8513</v>
      </c>
      <c r="G8516" s="64">
        <f t="shared" ca="1" si="171"/>
        <v>-2.1212315328949754E-3</v>
      </c>
    </row>
    <row r="8517" spans="6:7" x14ac:dyDescent="0.3">
      <c r="F8517" s="64">
        <v>8514</v>
      </c>
      <c r="G8517" s="64">
        <f t="shared" ref="G8517:G8580" ca="1" si="172">_xlfn.NORM.INV(RAND(),K$6,K$7)</f>
        <v>6.9639505468198611E-3</v>
      </c>
    </row>
    <row r="8518" spans="6:7" x14ac:dyDescent="0.3">
      <c r="F8518" s="64">
        <v>8515</v>
      </c>
      <c r="G8518" s="64">
        <f t="shared" ca="1" si="172"/>
        <v>-2.2571145100230509E-3</v>
      </c>
    </row>
    <row r="8519" spans="6:7" x14ac:dyDescent="0.3">
      <c r="F8519" s="64">
        <v>8516</v>
      </c>
      <c r="G8519" s="64">
        <f t="shared" ca="1" si="172"/>
        <v>8.2841100713125539E-3</v>
      </c>
    </row>
    <row r="8520" spans="6:7" x14ac:dyDescent="0.3">
      <c r="F8520" s="64">
        <v>8517</v>
      </c>
      <c r="G8520" s="64">
        <f t="shared" ca="1" si="172"/>
        <v>-6.1527971054487771E-3</v>
      </c>
    </row>
    <row r="8521" spans="6:7" x14ac:dyDescent="0.3">
      <c r="F8521" s="64">
        <v>8518</v>
      </c>
      <c r="G8521" s="64">
        <f t="shared" ca="1" si="172"/>
        <v>2.5402658635528125E-2</v>
      </c>
    </row>
    <row r="8522" spans="6:7" x14ac:dyDescent="0.3">
      <c r="F8522" s="64">
        <v>8519</v>
      </c>
      <c r="G8522" s="64">
        <f t="shared" ca="1" si="172"/>
        <v>4.2326610958335828E-3</v>
      </c>
    </row>
    <row r="8523" spans="6:7" x14ac:dyDescent="0.3">
      <c r="F8523" s="64">
        <v>8520</v>
      </c>
      <c r="G8523" s="64">
        <f t="shared" ca="1" si="172"/>
        <v>-1.0368441798115599E-2</v>
      </c>
    </row>
    <row r="8524" spans="6:7" x14ac:dyDescent="0.3">
      <c r="F8524" s="64">
        <v>8521</v>
      </c>
      <c r="G8524" s="64">
        <f t="shared" ca="1" si="172"/>
        <v>-1.5867800197826229E-2</v>
      </c>
    </row>
    <row r="8525" spans="6:7" x14ac:dyDescent="0.3">
      <c r="F8525" s="64">
        <v>8522</v>
      </c>
      <c r="G8525" s="64">
        <f t="shared" ca="1" si="172"/>
        <v>8.5834401725054695E-4</v>
      </c>
    </row>
    <row r="8526" spans="6:7" x14ac:dyDescent="0.3">
      <c r="F8526" s="64">
        <v>8523</v>
      </c>
      <c r="G8526" s="64">
        <f t="shared" ca="1" si="172"/>
        <v>1.6769958293227916E-2</v>
      </c>
    </row>
    <row r="8527" spans="6:7" x14ac:dyDescent="0.3">
      <c r="F8527" s="64">
        <v>8524</v>
      </c>
      <c r="G8527" s="64">
        <f t="shared" ca="1" si="172"/>
        <v>2.1216548596208196E-2</v>
      </c>
    </row>
    <row r="8528" spans="6:7" x14ac:dyDescent="0.3">
      <c r="F8528" s="64">
        <v>8525</v>
      </c>
      <c r="G8528" s="64">
        <f t="shared" ca="1" si="172"/>
        <v>5.9458219495307106E-3</v>
      </c>
    </row>
    <row r="8529" spans="6:7" x14ac:dyDescent="0.3">
      <c r="F8529" s="64">
        <v>8526</v>
      </c>
      <c r="G8529" s="64">
        <f t="shared" ca="1" si="172"/>
        <v>1.9218138271371449E-2</v>
      </c>
    </row>
    <row r="8530" spans="6:7" x14ac:dyDescent="0.3">
      <c r="F8530" s="64">
        <v>8527</v>
      </c>
      <c r="G8530" s="64">
        <f t="shared" ca="1" si="172"/>
        <v>3.8599652592808203E-2</v>
      </c>
    </row>
    <row r="8531" spans="6:7" x14ac:dyDescent="0.3">
      <c r="F8531" s="64">
        <v>8528</v>
      </c>
      <c r="G8531" s="64">
        <f t="shared" ca="1" si="172"/>
        <v>-1.8525488720849324E-2</v>
      </c>
    </row>
    <row r="8532" spans="6:7" x14ac:dyDescent="0.3">
      <c r="F8532" s="64">
        <v>8529</v>
      </c>
      <c r="G8532" s="64">
        <f t="shared" ca="1" si="172"/>
        <v>6.5827662704545736E-2</v>
      </c>
    </row>
    <row r="8533" spans="6:7" x14ac:dyDescent="0.3">
      <c r="F8533" s="64">
        <v>8530</v>
      </c>
      <c r="G8533" s="64">
        <f t="shared" ca="1" si="172"/>
        <v>-8.3276237670932181E-3</v>
      </c>
    </row>
    <row r="8534" spans="6:7" x14ac:dyDescent="0.3">
      <c r="F8534" s="64">
        <v>8531</v>
      </c>
      <c r="G8534" s="64">
        <f t="shared" ca="1" si="172"/>
        <v>1.2311284069393825E-3</v>
      </c>
    </row>
    <row r="8535" spans="6:7" x14ac:dyDescent="0.3">
      <c r="F8535" s="64">
        <v>8532</v>
      </c>
      <c r="G8535" s="64">
        <f t="shared" ca="1" si="172"/>
        <v>3.4037086130660373E-2</v>
      </c>
    </row>
    <row r="8536" spans="6:7" x14ac:dyDescent="0.3">
      <c r="F8536" s="64">
        <v>8533</v>
      </c>
      <c r="G8536" s="64">
        <f t="shared" ca="1" si="172"/>
        <v>-1.6058545218825243E-2</v>
      </c>
    </row>
    <row r="8537" spans="6:7" x14ac:dyDescent="0.3">
      <c r="F8537" s="64">
        <v>8534</v>
      </c>
      <c r="G8537" s="64">
        <f t="shared" ca="1" si="172"/>
        <v>1.8022208414943154E-2</v>
      </c>
    </row>
    <row r="8538" spans="6:7" x14ac:dyDescent="0.3">
      <c r="F8538" s="64">
        <v>8535</v>
      </c>
      <c r="G8538" s="64">
        <f t="shared" ca="1" si="172"/>
        <v>-1.2780152567388162E-2</v>
      </c>
    </row>
    <row r="8539" spans="6:7" x14ac:dyDescent="0.3">
      <c r="F8539" s="64">
        <v>8536</v>
      </c>
      <c r="G8539" s="64">
        <f t="shared" ca="1" si="172"/>
        <v>-1.3744890583959004E-2</v>
      </c>
    </row>
    <row r="8540" spans="6:7" x14ac:dyDescent="0.3">
      <c r="F8540" s="64">
        <v>8537</v>
      </c>
      <c r="G8540" s="64">
        <f t="shared" ca="1" si="172"/>
        <v>-2.2149531325113887E-2</v>
      </c>
    </row>
    <row r="8541" spans="6:7" x14ac:dyDescent="0.3">
      <c r="F8541" s="64">
        <v>8538</v>
      </c>
      <c r="G8541" s="64">
        <f t="shared" ca="1" si="172"/>
        <v>-1.881835801661349E-3</v>
      </c>
    </row>
    <row r="8542" spans="6:7" x14ac:dyDescent="0.3">
      <c r="F8542" s="64">
        <v>8539</v>
      </c>
      <c r="G8542" s="64">
        <f t="shared" ca="1" si="172"/>
        <v>-7.1349404818078586E-3</v>
      </c>
    </row>
    <row r="8543" spans="6:7" x14ac:dyDescent="0.3">
      <c r="F8543" s="64">
        <v>8540</v>
      </c>
      <c r="G8543" s="64">
        <f t="shared" ca="1" si="172"/>
        <v>1.2571604773195974E-2</v>
      </c>
    </row>
    <row r="8544" spans="6:7" x14ac:dyDescent="0.3">
      <c r="F8544" s="64">
        <v>8541</v>
      </c>
      <c r="G8544" s="64">
        <f t="shared" ca="1" si="172"/>
        <v>2.125628392176155E-2</v>
      </c>
    </row>
    <row r="8545" spans="6:7" x14ac:dyDescent="0.3">
      <c r="F8545" s="64">
        <v>8542</v>
      </c>
      <c r="G8545" s="64">
        <f t="shared" ca="1" si="172"/>
        <v>-1.9916178174449561E-3</v>
      </c>
    </row>
    <row r="8546" spans="6:7" x14ac:dyDescent="0.3">
      <c r="F8546" s="64">
        <v>8543</v>
      </c>
      <c r="G8546" s="64">
        <f t="shared" ca="1" si="172"/>
        <v>2.540923948873719E-2</v>
      </c>
    </row>
    <row r="8547" spans="6:7" x14ac:dyDescent="0.3">
      <c r="F8547" s="64">
        <v>8544</v>
      </c>
      <c r="G8547" s="64">
        <f t="shared" ca="1" si="172"/>
        <v>-1.2278266703970909E-2</v>
      </c>
    </row>
    <row r="8548" spans="6:7" x14ac:dyDescent="0.3">
      <c r="F8548" s="64">
        <v>8545</v>
      </c>
      <c r="G8548" s="64">
        <f t="shared" ca="1" si="172"/>
        <v>9.5493302510113055E-3</v>
      </c>
    </row>
    <row r="8549" spans="6:7" x14ac:dyDescent="0.3">
      <c r="F8549" s="64">
        <v>8546</v>
      </c>
      <c r="G8549" s="64">
        <f t="shared" ca="1" si="172"/>
        <v>-9.5753724354555609E-3</v>
      </c>
    </row>
    <row r="8550" spans="6:7" x14ac:dyDescent="0.3">
      <c r="F8550" s="64">
        <v>8547</v>
      </c>
      <c r="G8550" s="64">
        <f t="shared" ca="1" si="172"/>
        <v>-3.2752707933520225E-2</v>
      </c>
    </row>
    <row r="8551" spans="6:7" x14ac:dyDescent="0.3">
      <c r="F8551" s="64">
        <v>8548</v>
      </c>
      <c r="G8551" s="64">
        <f t="shared" ca="1" si="172"/>
        <v>1.0564424551688364E-2</v>
      </c>
    </row>
    <row r="8552" spans="6:7" x14ac:dyDescent="0.3">
      <c r="F8552" s="64">
        <v>8549</v>
      </c>
      <c r="G8552" s="64">
        <f t="shared" ca="1" si="172"/>
        <v>-1.5520447646710572E-3</v>
      </c>
    </row>
    <row r="8553" spans="6:7" x14ac:dyDescent="0.3">
      <c r="F8553" s="64">
        <v>8550</v>
      </c>
      <c r="G8553" s="64">
        <f t="shared" ca="1" si="172"/>
        <v>5.3200833263645185E-3</v>
      </c>
    </row>
    <row r="8554" spans="6:7" x14ac:dyDescent="0.3">
      <c r="F8554" s="64">
        <v>8551</v>
      </c>
      <c r="G8554" s="64">
        <f t="shared" ca="1" si="172"/>
        <v>2.8432344594774152E-2</v>
      </c>
    </row>
    <row r="8555" spans="6:7" x14ac:dyDescent="0.3">
      <c r="F8555" s="64">
        <v>8552</v>
      </c>
      <c r="G8555" s="64">
        <f t="shared" ca="1" si="172"/>
        <v>4.4059007815605032E-2</v>
      </c>
    </row>
    <row r="8556" spans="6:7" x14ac:dyDescent="0.3">
      <c r="F8556" s="64">
        <v>8553</v>
      </c>
      <c r="G8556" s="64">
        <f t="shared" ca="1" si="172"/>
        <v>-3.3871557472194939E-2</v>
      </c>
    </row>
    <row r="8557" spans="6:7" x14ac:dyDescent="0.3">
      <c r="F8557" s="64">
        <v>8554</v>
      </c>
      <c r="G8557" s="64">
        <f t="shared" ca="1" si="172"/>
        <v>-1.2733496130905297E-2</v>
      </c>
    </row>
    <row r="8558" spans="6:7" x14ac:dyDescent="0.3">
      <c r="F8558" s="64">
        <v>8555</v>
      </c>
      <c r="G8558" s="64">
        <f t="shared" ca="1" si="172"/>
        <v>-2.1213839450053389E-2</v>
      </c>
    </row>
    <row r="8559" spans="6:7" x14ac:dyDescent="0.3">
      <c r="F8559" s="64">
        <v>8556</v>
      </c>
      <c r="G8559" s="64">
        <f t="shared" ca="1" si="172"/>
        <v>1.238518745905207E-3</v>
      </c>
    </row>
    <row r="8560" spans="6:7" x14ac:dyDescent="0.3">
      <c r="F8560" s="64">
        <v>8557</v>
      </c>
      <c r="G8560" s="64">
        <f t="shared" ca="1" si="172"/>
        <v>2.6647532034496602E-2</v>
      </c>
    </row>
    <row r="8561" spans="6:7" x14ac:dyDescent="0.3">
      <c r="F8561" s="64">
        <v>8558</v>
      </c>
      <c r="G8561" s="64">
        <f t="shared" ca="1" si="172"/>
        <v>-2.7633332049165874E-4</v>
      </c>
    </row>
    <row r="8562" spans="6:7" x14ac:dyDescent="0.3">
      <c r="F8562" s="64">
        <v>8559</v>
      </c>
      <c r="G8562" s="64">
        <f t="shared" ca="1" si="172"/>
        <v>-4.8484999460539366E-3</v>
      </c>
    </row>
    <row r="8563" spans="6:7" x14ac:dyDescent="0.3">
      <c r="F8563" s="64">
        <v>8560</v>
      </c>
      <c r="G8563" s="64">
        <f t="shared" ca="1" si="172"/>
        <v>-1.2421933770379121E-3</v>
      </c>
    </row>
    <row r="8564" spans="6:7" x14ac:dyDescent="0.3">
      <c r="F8564" s="64">
        <v>8561</v>
      </c>
      <c r="G8564" s="64">
        <f t="shared" ca="1" si="172"/>
        <v>-6.3751492769688412E-3</v>
      </c>
    </row>
    <row r="8565" spans="6:7" x14ac:dyDescent="0.3">
      <c r="F8565" s="64">
        <v>8562</v>
      </c>
      <c r="G8565" s="64">
        <f t="shared" ca="1" si="172"/>
        <v>-2.075750421175232E-2</v>
      </c>
    </row>
    <row r="8566" spans="6:7" x14ac:dyDescent="0.3">
      <c r="F8566" s="64">
        <v>8563</v>
      </c>
      <c r="G8566" s="64">
        <f t="shared" ca="1" si="172"/>
        <v>2.8511576590984355E-2</v>
      </c>
    </row>
    <row r="8567" spans="6:7" x14ac:dyDescent="0.3">
      <c r="F8567" s="64">
        <v>8564</v>
      </c>
      <c r="G8567" s="64">
        <f t="shared" ca="1" si="172"/>
        <v>-1.1120699258937052E-2</v>
      </c>
    </row>
    <row r="8568" spans="6:7" x14ac:dyDescent="0.3">
      <c r="F8568" s="64">
        <v>8565</v>
      </c>
      <c r="G8568" s="64">
        <f t="shared" ca="1" si="172"/>
        <v>-7.7935157578684806E-5</v>
      </c>
    </row>
    <row r="8569" spans="6:7" x14ac:dyDescent="0.3">
      <c r="F8569" s="64">
        <v>8566</v>
      </c>
      <c r="G8569" s="64">
        <f t="shared" ca="1" si="172"/>
        <v>5.1918340438601015E-3</v>
      </c>
    </row>
    <row r="8570" spans="6:7" x14ac:dyDescent="0.3">
      <c r="F8570" s="64">
        <v>8567</v>
      </c>
      <c r="G8570" s="64">
        <f t="shared" ca="1" si="172"/>
        <v>2.4524563412096682E-2</v>
      </c>
    </row>
    <row r="8571" spans="6:7" x14ac:dyDescent="0.3">
      <c r="F8571" s="64">
        <v>8568</v>
      </c>
      <c r="G8571" s="64">
        <f t="shared" ca="1" si="172"/>
        <v>-3.0526696688636022E-2</v>
      </c>
    </row>
    <row r="8572" spans="6:7" x14ac:dyDescent="0.3">
      <c r="F8572" s="64">
        <v>8569</v>
      </c>
      <c r="G8572" s="64">
        <f t="shared" ca="1" si="172"/>
        <v>2.0689995430942326E-2</v>
      </c>
    </row>
    <row r="8573" spans="6:7" x14ac:dyDescent="0.3">
      <c r="F8573" s="64">
        <v>8570</v>
      </c>
      <c r="G8573" s="64">
        <f t="shared" ca="1" si="172"/>
        <v>3.1890079962039387E-2</v>
      </c>
    </row>
    <row r="8574" spans="6:7" x14ac:dyDescent="0.3">
      <c r="F8574" s="64">
        <v>8571</v>
      </c>
      <c r="G8574" s="64">
        <f t="shared" ca="1" si="172"/>
        <v>-5.7530724583977127E-3</v>
      </c>
    </row>
    <row r="8575" spans="6:7" x14ac:dyDescent="0.3">
      <c r="F8575" s="64">
        <v>8572</v>
      </c>
      <c r="G8575" s="64">
        <f t="shared" ca="1" si="172"/>
        <v>4.4617911773291233E-3</v>
      </c>
    </row>
    <row r="8576" spans="6:7" x14ac:dyDescent="0.3">
      <c r="F8576" s="64">
        <v>8573</v>
      </c>
      <c r="G8576" s="64">
        <f t="shared" ca="1" si="172"/>
        <v>-1.3180221193784473E-2</v>
      </c>
    </row>
    <row r="8577" spans="6:7" x14ac:dyDescent="0.3">
      <c r="F8577" s="64">
        <v>8574</v>
      </c>
      <c r="G8577" s="64">
        <f t="shared" ca="1" si="172"/>
        <v>8.6279036625908877E-3</v>
      </c>
    </row>
    <row r="8578" spans="6:7" x14ac:dyDescent="0.3">
      <c r="F8578" s="64">
        <v>8575</v>
      </c>
      <c r="G8578" s="64">
        <f t="shared" ca="1" si="172"/>
        <v>2.6786025441567374E-3</v>
      </c>
    </row>
    <row r="8579" spans="6:7" x14ac:dyDescent="0.3">
      <c r="F8579" s="64">
        <v>8576</v>
      </c>
      <c r="G8579" s="64">
        <f t="shared" ca="1" si="172"/>
        <v>1.4454467464316801E-3</v>
      </c>
    </row>
    <row r="8580" spans="6:7" x14ac:dyDescent="0.3">
      <c r="F8580" s="64">
        <v>8577</v>
      </c>
      <c r="G8580" s="64">
        <f t="shared" ca="1" si="172"/>
        <v>-3.7847921349286488E-2</v>
      </c>
    </row>
    <row r="8581" spans="6:7" x14ac:dyDescent="0.3">
      <c r="F8581" s="64">
        <v>8578</v>
      </c>
      <c r="G8581" s="64">
        <f t="shared" ref="G8581:G8644" ca="1" si="173">_xlfn.NORM.INV(RAND(),K$6,K$7)</f>
        <v>6.1477194847980213E-2</v>
      </c>
    </row>
    <row r="8582" spans="6:7" x14ac:dyDescent="0.3">
      <c r="F8582" s="64">
        <v>8579</v>
      </c>
      <c r="G8582" s="64">
        <f t="shared" ca="1" si="173"/>
        <v>4.9326954301249122E-3</v>
      </c>
    </row>
    <row r="8583" spans="6:7" x14ac:dyDescent="0.3">
      <c r="F8583" s="64">
        <v>8580</v>
      </c>
      <c r="G8583" s="64">
        <f t="shared" ca="1" si="173"/>
        <v>-6.7803527710667286E-3</v>
      </c>
    </row>
    <row r="8584" spans="6:7" x14ac:dyDescent="0.3">
      <c r="F8584" s="64">
        <v>8581</v>
      </c>
      <c r="G8584" s="64">
        <f t="shared" ca="1" si="173"/>
        <v>-1.1643433706513233E-2</v>
      </c>
    </row>
    <row r="8585" spans="6:7" x14ac:dyDescent="0.3">
      <c r="F8585" s="64">
        <v>8582</v>
      </c>
      <c r="G8585" s="64">
        <f t="shared" ca="1" si="173"/>
        <v>2.5123968646910022E-2</v>
      </c>
    </row>
    <row r="8586" spans="6:7" x14ac:dyDescent="0.3">
      <c r="F8586" s="64">
        <v>8583</v>
      </c>
      <c r="G8586" s="64">
        <f t="shared" ca="1" si="173"/>
        <v>-2.3564540965129339E-2</v>
      </c>
    </row>
    <row r="8587" spans="6:7" x14ac:dyDescent="0.3">
      <c r="F8587" s="64">
        <v>8584</v>
      </c>
      <c r="G8587" s="64">
        <f t="shared" ca="1" si="173"/>
        <v>4.389479805291769E-2</v>
      </c>
    </row>
    <row r="8588" spans="6:7" x14ac:dyDescent="0.3">
      <c r="F8588" s="64">
        <v>8585</v>
      </c>
      <c r="G8588" s="64">
        <f t="shared" ca="1" si="173"/>
        <v>7.4812731734390809E-3</v>
      </c>
    </row>
    <row r="8589" spans="6:7" x14ac:dyDescent="0.3">
      <c r="F8589" s="64">
        <v>8586</v>
      </c>
      <c r="G8589" s="64">
        <f t="shared" ca="1" si="173"/>
        <v>8.4365877185772365E-3</v>
      </c>
    </row>
    <row r="8590" spans="6:7" x14ac:dyDescent="0.3">
      <c r="F8590" s="64">
        <v>8587</v>
      </c>
      <c r="G8590" s="64">
        <f t="shared" ca="1" si="173"/>
        <v>-1.3994498751119012E-2</v>
      </c>
    </row>
    <row r="8591" spans="6:7" x14ac:dyDescent="0.3">
      <c r="F8591" s="64">
        <v>8588</v>
      </c>
      <c r="G8591" s="64">
        <f t="shared" ca="1" si="173"/>
        <v>1.3554792548132848E-2</v>
      </c>
    </row>
    <row r="8592" spans="6:7" x14ac:dyDescent="0.3">
      <c r="F8592" s="64">
        <v>8589</v>
      </c>
      <c r="G8592" s="64">
        <f t="shared" ca="1" si="173"/>
        <v>-3.5468939788172144E-2</v>
      </c>
    </row>
    <row r="8593" spans="6:7" x14ac:dyDescent="0.3">
      <c r="F8593" s="64">
        <v>8590</v>
      </c>
      <c r="G8593" s="64">
        <f t="shared" ca="1" si="173"/>
        <v>3.5184872274245778E-2</v>
      </c>
    </row>
    <row r="8594" spans="6:7" x14ac:dyDescent="0.3">
      <c r="F8594" s="64">
        <v>8591</v>
      </c>
      <c r="G8594" s="64">
        <f t="shared" ca="1" si="173"/>
        <v>1.5285194462241808E-3</v>
      </c>
    </row>
    <row r="8595" spans="6:7" x14ac:dyDescent="0.3">
      <c r="F8595" s="64">
        <v>8592</v>
      </c>
      <c r="G8595" s="64">
        <f t="shared" ca="1" si="173"/>
        <v>-2.0346324752665887E-2</v>
      </c>
    </row>
    <row r="8596" spans="6:7" x14ac:dyDescent="0.3">
      <c r="F8596" s="64">
        <v>8593</v>
      </c>
      <c r="G8596" s="64">
        <f t="shared" ca="1" si="173"/>
        <v>-8.367952768782206E-3</v>
      </c>
    </row>
    <row r="8597" spans="6:7" x14ac:dyDescent="0.3">
      <c r="F8597" s="64">
        <v>8594</v>
      </c>
      <c r="G8597" s="64">
        <f t="shared" ca="1" si="173"/>
        <v>-1.3950839539654885E-2</v>
      </c>
    </row>
    <row r="8598" spans="6:7" x14ac:dyDescent="0.3">
      <c r="F8598" s="64">
        <v>8595</v>
      </c>
      <c r="G8598" s="64">
        <f t="shared" ca="1" si="173"/>
        <v>-1.1606105226268083E-2</v>
      </c>
    </row>
    <row r="8599" spans="6:7" x14ac:dyDescent="0.3">
      <c r="F8599" s="64">
        <v>8596</v>
      </c>
      <c r="G8599" s="64">
        <f t="shared" ca="1" si="173"/>
        <v>6.9875410319407208E-3</v>
      </c>
    </row>
    <row r="8600" spans="6:7" x14ac:dyDescent="0.3">
      <c r="F8600" s="64">
        <v>8597</v>
      </c>
      <c r="G8600" s="64">
        <f t="shared" ca="1" si="173"/>
        <v>-1.2685022470163296E-2</v>
      </c>
    </row>
    <row r="8601" spans="6:7" x14ac:dyDescent="0.3">
      <c r="F8601" s="64">
        <v>8598</v>
      </c>
      <c r="G8601" s="64">
        <f t="shared" ca="1" si="173"/>
        <v>1.6715091776234176E-2</v>
      </c>
    </row>
    <row r="8602" spans="6:7" x14ac:dyDescent="0.3">
      <c r="F8602" s="64">
        <v>8599</v>
      </c>
      <c r="G8602" s="64">
        <f t="shared" ca="1" si="173"/>
        <v>-2.5190646384751061E-2</v>
      </c>
    </row>
    <row r="8603" spans="6:7" x14ac:dyDescent="0.3">
      <c r="F8603" s="64">
        <v>8600</v>
      </c>
      <c r="G8603" s="64">
        <f t="shared" ca="1" si="173"/>
        <v>9.7825630445062817E-3</v>
      </c>
    </row>
    <row r="8604" spans="6:7" x14ac:dyDescent="0.3">
      <c r="F8604" s="64">
        <v>8601</v>
      </c>
      <c r="G8604" s="64">
        <f t="shared" ca="1" si="173"/>
        <v>7.2677317580025977E-2</v>
      </c>
    </row>
    <row r="8605" spans="6:7" x14ac:dyDescent="0.3">
      <c r="F8605" s="64">
        <v>8602</v>
      </c>
      <c r="G8605" s="64">
        <f t="shared" ca="1" si="173"/>
        <v>-1.0993545205481006E-4</v>
      </c>
    </row>
    <row r="8606" spans="6:7" x14ac:dyDescent="0.3">
      <c r="F8606" s="64">
        <v>8603</v>
      </c>
      <c r="G8606" s="64">
        <f t="shared" ca="1" si="173"/>
        <v>9.936169283787529E-4</v>
      </c>
    </row>
    <row r="8607" spans="6:7" x14ac:dyDescent="0.3">
      <c r="F8607" s="64">
        <v>8604</v>
      </c>
      <c r="G8607" s="64">
        <f t="shared" ca="1" si="173"/>
        <v>-7.5938288407173321E-4</v>
      </c>
    </row>
    <row r="8608" spans="6:7" x14ac:dyDescent="0.3">
      <c r="F8608" s="64">
        <v>8605</v>
      </c>
      <c r="G8608" s="64">
        <f t="shared" ca="1" si="173"/>
        <v>1.7904940785189276E-2</v>
      </c>
    </row>
    <row r="8609" spans="6:7" x14ac:dyDescent="0.3">
      <c r="F8609" s="64">
        <v>8606</v>
      </c>
      <c r="G8609" s="64">
        <f t="shared" ca="1" si="173"/>
        <v>8.4706722790542192E-3</v>
      </c>
    </row>
    <row r="8610" spans="6:7" x14ac:dyDescent="0.3">
      <c r="F8610" s="64">
        <v>8607</v>
      </c>
      <c r="G8610" s="64">
        <f t="shared" ca="1" si="173"/>
        <v>-1.8372649919533662E-2</v>
      </c>
    </row>
    <row r="8611" spans="6:7" x14ac:dyDescent="0.3">
      <c r="F8611" s="64">
        <v>8608</v>
      </c>
      <c r="G8611" s="64">
        <f t="shared" ca="1" si="173"/>
        <v>4.0372311198427616E-2</v>
      </c>
    </row>
    <row r="8612" spans="6:7" x14ac:dyDescent="0.3">
      <c r="F8612" s="64">
        <v>8609</v>
      </c>
      <c r="G8612" s="64">
        <f t="shared" ca="1" si="173"/>
        <v>1.5990232304130211E-2</v>
      </c>
    </row>
    <row r="8613" spans="6:7" x14ac:dyDescent="0.3">
      <c r="F8613" s="64">
        <v>8610</v>
      </c>
      <c r="G8613" s="64">
        <f t="shared" ca="1" si="173"/>
        <v>-9.1629052057819096E-3</v>
      </c>
    </row>
    <row r="8614" spans="6:7" x14ac:dyDescent="0.3">
      <c r="F8614" s="64">
        <v>8611</v>
      </c>
      <c r="G8614" s="64">
        <f t="shared" ca="1" si="173"/>
        <v>-2.7636050503342224E-2</v>
      </c>
    </row>
    <row r="8615" spans="6:7" x14ac:dyDescent="0.3">
      <c r="F8615" s="64">
        <v>8612</v>
      </c>
      <c r="G8615" s="64">
        <f t="shared" ca="1" si="173"/>
        <v>1.3233816150991222E-2</v>
      </c>
    </row>
    <row r="8616" spans="6:7" x14ac:dyDescent="0.3">
      <c r="F8616" s="64">
        <v>8613</v>
      </c>
      <c r="G8616" s="64">
        <f t="shared" ca="1" si="173"/>
        <v>-6.521831572514584E-3</v>
      </c>
    </row>
    <row r="8617" spans="6:7" x14ac:dyDescent="0.3">
      <c r="F8617" s="64">
        <v>8614</v>
      </c>
      <c r="G8617" s="64">
        <f t="shared" ca="1" si="173"/>
        <v>6.1163593302710944E-3</v>
      </c>
    </row>
    <row r="8618" spans="6:7" x14ac:dyDescent="0.3">
      <c r="F8618" s="64">
        <v>8615</v>
      </c>
      <c r="G8618" s="64">
        <f t="shared" ca="1" si="173"/>
        <v>-2.2593904708504906E-2</v>
      </c>
    </row>
    <row r="8619" spans="6:7" x14ac:dyDescent="0.3">
      <c r="F8619" s="64">
        <v>8616</v>
      </c>
      <c r="G8619" s="64">
        <f t="shared" ca="1" si="173"/>
        <v>2.0486289902967532E-2</v>
      </c>
    </row>
    <row r="8620" spans="6:7" x14ac:dyDescent="0.3">
      <c r="F8620" s="64">
        <v>8617</v>
      </c>
      <c r="G8620" s="64">
        <f t="shared" ca="1" si="173"/>
        <v>-1.2197735503112227E-2</v>
      </c>
    </row>
    <row r="8621" spans="6:7" x14ac:dyDescent="0.3">
      <c r="F8621" s="64">
        <v>8618</v>
      </c>
      <c r="G8621" s="64">
        <f t="shared" ca="1" si="173"/>
        <v>8.101645072845956E-3</v>
      </c>
    </row>
    <row r="8622" spans="6:7" x14ac:dyDescent="0.3">
      <c r="F8622" s="64">
        <v>8619</v>
      </c>
      <c r="G8622" s="64">
        <f t="shared" ca="1" si="173"/>
        <v>-5.25232553003798E-3</v>
      </c>
    </row>
    <row r="8623" spans="6:7" x14ac:dyDescent="0.3">
      <c r="F8623" s="64">
        <v>8620</v>
      </c>
      <c r="G8623" s="64">
        <f t="shared" ca="1" si="173"/>
        <v>6.4752088433456109E-3</v>
      </c>
    </row>
    <row r="8624" spans="6:7" x14ac:dyDescent="0.3">
      <c r="F8624" s="64">
        <v>8621</v>
      </c>
      <c r="G8624" s="64">
        <f t="shared" ca="1" si="173"/>
        <v>8.6160664840964768E-3</v>
      </c>
    </row>
    <row r="8625" spans="6:7" x14ac:dyDescent="0.3">
      <c r="F8625" s="64">
        <v>8622</v>
      </c>
      <c r="G8625" s="64">
        <f t="shared" ca="1" si="173"/>
        <v>-1.8408576507761093E-2</v>
      </c>
    </row>
    <row r="8626" spans="6:7" x14ac:dyDescent="0.3">
      <c r="F8626" s="64">
        <v>8623</v>
      </c>
      <c r="G8626" s="64">
        <f t="shared" ca="1" si="173"/>
        <v>4.8407915889401559E-3</v>
      </c>
    </row>
    <row r="8627" spans="6:7" x14ac:dyDescent="0.3">
      <c r="F8627" s="64">
        <v>8624</v>
      </c>
      <c r="G8627" s="64">
        <f t="shared" ca="1" si="173"/>
        <v>7.0070188726274333E-3</v>
      </c>
    </row>
    <row r="8628" spans="6:7" x14ac:dyDescent="0.3">
      <c r="F8628" s="64">
        <v>8625</v>
      </c>
      <c r="G8628" s="64">
        <f t="shared" ca="1" si="173"/>
        <v>-5.9861991445393347E-4</v>
      </c>
    </row>
    <row r="8629" spans="6:7" x14ac:dyDescent="0.3">
      <c r="F8629" s="64">
        <v>8626</v>
      </c>
      <c r="G8629" s="64">
        <f t="shared" ca="1" si="173"/>
        <v>1.6872337360135124E-2</v>
      </c>
    </row>
    <row r="8630" spans="6:7" x14ac:dyDescent="0.3">
      <c r="F8630" s="64">
        <v>8627</v>
      </c>
      <c r="G8630" s="64">
        <f t="shared" ca="1" si="173"/>
        <v>2.6007390536576941E-2</v>
      </c>
    </row>
    <row r="8631" spans="6:7" x14ac:dyDescent="0.3">
      <c r="F8631" s="64">
        <v>8628</v>
      </c>
      <c r="G8631" s="64">
        <f t="shared" ca="1" si="173"/>
        <v>2.5019933377902467E-2</v>
      </c>
    </row>
    <row r="8632" spans="6:7" x14ac:dyDescent="0.3">
      <c r="F8632" s="64">
        <v>8629</v>
      </c>
      <c r="G8632" s="64">
        <f t="shared" ca="1" si="173"/>
        <v>-1.5504699927860002E-3</v>
      </c>
    </row>
    <row r="8633" spans="6:7" x14ac:dyDescent="0.3">
      <c r="F8633" s="64">
        <v>8630</v>
      </c>
      <c r="G8633" s="64">
        <f t="shared" ca="1" si="173"/>
        <v>-3.145852928318113E-2</v>
      </c>
    </row>
    <row r="8634" spans="6:7" x14ac:dyDescent="0.3">
      <c r="F8634" s="64">
        <v>8631</v>
      </c>
      <c r="G8634" s="64">
        <f t="shared" ca="1" si="173"/>
        <v>-1.5197243671332168E-2</v>
      </c>
    </row>
    <row r="8635" spans="6:7" x14ac:dyDescent="0.3">
      <c r="F8635" s="64">
        <v>8632</v>
      </c>
      <c r="G8635" s="64">
        <f t="shared" ca="1" si="173"/>
        <v>6.8867727482257906E-3</v>
      </c>
    </row>
    <row r="8636" spans="6:7" x14ac:dyDescent="0.3">
      <c r="F8636" s="64">
        <v>8633</v>
      </c>
      <c r="G8636" s="64">
        <f t="shared" ca="1" si="173"/>
        <v>-1.4529752672308324E-2</v>
      </c>
    </row>
    <row r="8637" spans="6:7" x14ac:dyDescent="0.3">
      <c r="F8637" s="64">
        <v>8634</v>
      </c>
      <c r="G8637" s="64">
        <f t="shared" ca="1" si="173"/>
        <v>2.1941822914663026E-2</v>
      </c>
    </row>
    <row r="8638" spans="6:7" x14ac:dyDescent="0.3">
      <c r="F8638" s="64">
        <v>8635</v>
      </c>
      <c r="G8638" s="64">
        <f t="shared" ca="1" si="173"/>
        <v>1.0076666154407575E-3</v>
      </c>
    </row>
    <row r="8639" spans="6:7" x14ac:dyDescent="0.3">
      <c r="F8639" s="64">
        <v>8636</v>
      </c>
      <c r="G8639" s="64">
        <f t="shared" ca="1" si="173"/>
        <v>-4.5726610831338561E-2</v>
      </c>
    </row>
    <row r="8640" spans="6:7" x14ac:dyDescent="0.3">
      <c r="F8640" s="64">
        <v>8637</v>
      </c>
      <c r="G8640" s="64">
        <f t="shared" ca="1" si="173"/>
        <v>7.6116712954746295E-3</v>
      </c>
    </row>
    <row r="8641" spans="6:7" x14ac:dyDescent="0.3">
      <c r="F8641" s="64">
        <v>8638</v>
      </c>
      <c r="G8641" s="64">
        <f t="shared" ca="1" si="173"/>
        <v>-3.4289017888092868E-2</v>
      </c>
    </row>
    <row r="8642" spans="6:7" x14ac:dyDescent="0.3">
      <c r="F8642" s="64">
        <v>8639</v>
      </c>
      <c r="G8642" s="64">
        <f t="shared" ca="1" si="173"/>
        <v>-2.2331614315575558E-2</v>
      </c>
    </row>
    <row r="8643" spans="6:7" x14ac:dyDescent="0.3">
      <c r="F8643" s="64">
        <v>8640</v>
      </c>
      <c r="G8643" s="64">
        <f t="shared" ca="1" si="173"/>
        <v>2.15669992934703E-2</v>
      </c>
    </row>
    <row r="8644" spans="6:7" x14ac:dyDescent="0.3">
      <c r="F8644" s="64">
        <v>8641</v>
      </c>
      <c r="G8644" s="64">
        <f t="shared" ca="1" si="173"/>
        <v>-9.3783667815261484E-3</v>
      </c>
    </row>
    <row r="8645" spans="6:7" x14ac:dyDescent="0.3">
      <c r="F8645" s="64">
        <v>8642</v>
      </c>
      <c r="G8645" s="64">
        <f t="shared" ref="G8645:G8708" ca="1" si="174">_xlfn.NORM.INV(RAND(),K$6,K$7)</f>
        <v>-1.4625417234496235E-3</v>
      </c>
    </row>
    <row r="8646" spans="6:7" x14ac:dyDescent="0.3">
      <c r="F8646" s="64">
        <v>8643</v>
      </c>
      <c r="G8646" s="64">
        <f t="shared" ca="1" si="174"/>
        <v>2.5559955937660007E-2</v>
      </c>
    </row>
    <row r="8647" spans="6:7" x14ac:dyDescent="0.3">
      <c r="F8647" s="64">
        <v>8644</v>
      </c>
      <c r="G8647" s="64">
        <f t="shared" ca="1" si="174"/>
        <v>-4.3190759392185987E-2</v>
      </c>
    </row>
    <row r="8648" spans="6:7" x14ac:dyDescent="0.3">
      <c r="F8648" s="64">
        <v>8645</v>
      </c>
      <c r="G8648" s="64">
        <f t="shared" ca="1" si="174"/>
        <v>1.2497519990475747E-2</v>
      </c>
    </row>
    <row r="8649" spans="6:7" x14ac:dyDescent="0.3">
      <c r="F8649" s="64">
        <v>8646</v>
      </c>
      <c r="G8649" s="64">
        <f t="shared" ca="1" si="174"/>
        <v>-1.1489565588448516E-2</v>
      </c>
    </row>
    <row r="8650" spans="6:7" x14ac:dyDescent="0.3">
      <c r="F8650" s="64">
        <v>8647</v>
      </c>
      <c r="G8650" s="64">
        <f t="shared" ca="1" si="174"/>
        <v>1.6217654602106257E-3</v>
      </c>
    </row>
    <row r="8651" spans="6:7" x14ac:dyDescent="0.3">
      <c r="F8651" s="64">
        <v>8648</v>
      </c>
      <c r="G8651" s="64">
        <f t="shared" ca="1" si="174"/>
        <v>2.2199949580767417E-2</v>
      </c>
    </row>
    <row r="8652" spans="6:7" x14ac:dyDescent="0.3">
      <c r="F8652" s="64">
        <v>8649</v>
      </c>
      <c r="G8652" s="64">
        <f t="shared" ca="1" si="174"/>
        <v>-1.4214089185991936E-2</v>
      </c>
    </row>
    <row r="8653" spans="6:7" x14ac:dyDescent="0.3">
      <c r="F8653" s="64">
        <v>8650</v>
      </c>
      <c r="G8653" s="64">
        <f t="shared" ca="1" si="174"/>
        <v>3.0133766520182716E-2</v>
      </c>
    </row>
    <row r="8654" spans="6:7" x14ac:dyDescent="0.3">
      <c r="F8654" s="64">
        <v>8651</v>
      </c>
      <c r="G8654" s="64">
        <f t="shared" ca="1" si="174"/>
        <v>-1.3364773775273694E-2</v>
      </c>
    </row>
    <row r="8655" spans="6:7" x14ac:dyDescent="0.3">
      <c r="F8655" s="64">
        <v>8652</v>
      </c>
      <c r="G8655" s="64">
        <f t="shared" ca="1" si="174"/>
        <v>1.2818963381806554E-2</v>
      </c>
    </row>
    <row r="8656" spans="6:7" x14ac:dyDescent="0.3">
      <c r="F8656" s="64">
        <v>8653</v>
      </c>
      <c r="G8656" s="64">
        <f t="shared" ca="1" si="174"/>
        <v>-3.5233660380619106E-2</v>
      </c>
    </row>
    <row r="8657" spans="6:7" x14ac:dyDescent="0.3">
      <c r="F8657" s="64">
        <v>8654</v>
      </c>
      <c r="G8657" s="64">
        <f t="shared" ca="1" si="174"/>
        <v>-7.9549219180065963E-3</v>
      </c>
    </row>
    <row r="8658" spans="6:7" x14ac:dyDescent="0.3">
      <c r="F8658" s="64">
        <v>8655</v>
      </c>
      <c r="G8658" s="64">
        <f t="shared" ca="1" si="174"/>
        <v>-1.342995603587999E-2</v>
      </c>
    </row>
    <row r="8659" spans="6:7" x14ac:dyDescent="0.3">
      <c r="F8659" s="64">
        <v>8656</v>
      </c>
      <c r="G8659" s="64">
        <f t="shared" ca="1" si="174"/>
        <v>-1.8284772434691073E-2</v>
      </c>
    </row>
    <row r="8660" spans="6:7" x14ac:dyDescent="0.3">
      <c r="F8660" s="64">
        <v>8657</v>
      </c>
      <c r="G8660" s="64">
        <f t="shared" ca="1" si="174"/>
        <v>-5.2728930930141509E-3</v>
      </c>
    </row>
    <row r="8661" spans="6:7" x14ac:dyDescent="0.3">
      <c r="F8661" s="64">
        <v>8658</v>
      </c>
      <c r="G8661" s="64">
        <f t="shared" ca="1" si="174"/>
        <v>-1.4932395426374182E-2</v>
      </c>
    </row>
    <row r="8662" spans="6:7" x14ac:dyDescent="0.3">
      <c r="F8662" s="64">
        <v>8659</v>
      </c>
      <c r="G8662" s="64">
        <f t="shared" ca="1" si="174"/>
        <v>2.5514984573294958E-2</v>
      </c>
    </row>
    <row r="8663" spans="6:7" x14ac:dyDescent="0.3">
      <c r="F8663" s="64">
        <v>8660</v>
      </c>
      <c r="G8663" s="64">
        <f t="shared" ca="1" si="174"/>
        <v>2.8615653205829795E-2</v>
      </c>
    </row>
    <row r="8664" spans="6:7" x14ac:dyDescent="0.3">
      <c r="F8664" s="64">
        <v>8661</v>
      </c>
      <c r="G8664" s="64">
        <f t="shared" ca="1" si="174"/>
        <v>7.503039755079358E-3</v>
      </c>
    </row>
    <row r="8665" spans="6:7" x14ac:dyDescent="0.3">
      <c r="F8665" s="64">
        <v>8662</v>
      </c>
      <c r="G8665" s="64">
        <f t="shared" ca="1" si="174"/>
        <v>8.1009398772021041E-3</v>
      </c>
    </row>
    <row r="8666" spans="6:7" x14ac:dyDescent="0.3">
      <c r="F8666" s="64">
        <v>8663</v>
      </c>
      <c r="G8666" s="64">
        <f t="shared" ca="1" si="174"/>
        <v>-1.8705252590770535E-2</v>
      </c>
    </row>
    <row r="8667" spans="6:7" x14ac:dyDescent="0.3">
      <c r="F8667" s="64">
        <v>8664</v>
      </c>
      <c r="G8667" s="64">
        <f t="shared" ca="1" si="174"/>
        <v>-1.1416858053940212E-2</v>
      </c>
    </row>
    <row r="8668" spans="6:7" x14ac:dyDescent="0.3">
      <c r="F8668" s="64">
        <v>8665</v>
      </c>
      <c r="G8668" s="64">
        <f t="shared" ca="1" si="174"/>
        <v>2.4709823603928212E-2</v>
      </c>
    </row>
    <row r="8669" spans="6:7" x14ac:dyDescent="0.3">
      <c r="F8669" s="64">
        <v>8666</v>
      </c>
      <c r="G8669" s="64">
        <f t="shared" ca="1" si="174"/>
        <v>-1.674880865803665E-2</v>
      </c>
    </row>
    <row r="8670" spans="6:7" x14ac:dyDescent="0.3">
      <c r="F8670" s="64">
        <v>8667</v>
      </c>
      <c r="G8670" s="64">
        <f t="shared" ca="1" si="174"/>
        <v>-2.250354504447187E-2</v>
      </c>
    </row>
    <row r="8671" spans="6:7" x14ac:dyDescent="0.3">
      <c r="F8671" s="64">
        <v>8668</v>
      </c>
      <c r="G8671" s="64">
        <f t="shared" ca="1" si="174"/>
        <v>2.187514742112414E-2</v>
      </c>
    </row>
    <row r="8672" spans="6:7" x14ac:dyDescent="0.3">
      <c r="F8672" s="64">
        <v>8669</v>
      </c>
      <c r="G8672" s="64">
        <f t="shared" ca="1" si="174"/>
        <v>1.605714873784355E-2</v>
      </c>
    </row>
    <row r="8673" spans="6:7" x14ac:dyDescent="0.3">
      <c r="F8673" s="64">
        <v>8670</v>
      </c>
      <c r="G8673" s="64">
        <f t="shared" ca="1" si="174"/>
        <v>-1.8740323598697976E-2</v>
      </c>
    </row>
    <row r="8674" spans="6:7" x14ac:dyDescent="0.3">
      <c r="F8674" s="64">
        <v>8671</v>
      </c>
      <c r="G8674" s="64">
        <f t="shared" ca="1" si="174"/>
        <v>-1.1072542478886815E-2</v>
      </c>
    </row>
    <row r="8675" spans="6:7" x14ac:dyDescent="0.3">
      <c r="F8675" s="64">
        <v>8672</v>
      </c>
      <c r="G8675" s="64">
        <f t="shared" ca="1" si="174"/>
        <v>-8.0198996477588731E-3</v>
      </c>
    </row>
    <row r="8676" spans="6:7" x14ac:dyDescent="0.3">
      <c r="F8676" s="64">
        <v>8673</v>
      </c>
      <c r="G8676" s="64">
        <f t="shared" ca="1" si="174"/>
        <v>9.2279718205981898E-3</v>
      </c>
    </row>
    <row r="8677" spans="6:7" x14ac:dyDescent="0.3">
      <c r="F8677" s="64">
        <v>8674</v>
      </c>
      <c r="G8677" s="64">
        <f t="shared" ca="1" si="174"/>
        <v>-1.8778433268427548E-2</v>
      </c>
    </row>
    <row r="8678" spans="6:7" x14ac:dyDescent="0.3">
      <c r="F8678" s="64">
        <v>8675</v>
      </c>
      <c r="G8678" s="64">
        <f t="shared" ca="1" si="174"/>
        <v>1.3778899943207989E-3</v>
      </c>
    </row>
    <row r="8679" spans="6:7" x14ac:dyDescent="0.3">
      <c r="F8679" s="64">
        <v>8676</v>
      </c>
      <c r="G8679" s="64">
        <f t="shared" ca="1" si="174"/>
        <v>-6.1809813291743392E-3</v>
      </c>
    </row>
    <row r="8680" spans="6:7" x14ac:dyDescent="0.3">
      <c r="F8680" s="64">
        <v>8677</v>
      </c>
      <c r="G8680" s="64">
        <f t="shared" ca="1" si="174"/>
        <v>-1.1944722508201498E-2</v>
      </c>
    </row>
    <row r="8681" spans="6:7" x14ac:dyDescent="0.3">
      <c r="F8681" s="64">
        <v>8678</v>
      </c>
      <c r="G8681" s="64">
        <f t="shared" ca="1" si="174"/>
        <v>2.3932946213734473E-3</v>
      </c>
    </row>
    <row r="8682" spans="6:7" x14ac:dyDescent="0.3">
      <c r="F8682" s="64">
        <v>8679</v>
      </c>
      <c r="G8682" s="64">
        <f t="shared" ca="1" si="174"/>
        <v>5.0993409604516739E-2</v>
      </c>
    </row>
    <row r="8683" spans="6:7" x14ac:dyDescent="0.3">
      <c r="F8683" s="64">
        <v>8680</v>
      </c>
      <c r="G8683" s="64">
        <f t="shared" ca="1" si="174"/>
        <v>-1.5142589463949059E-2</v>
      </c>
    </row>
    <row r="8684" spans="6:7" x14ac:dyDescent="0.3">
      <c r="F8684" s="64">
        <v>8681</v>
      </c>
      <c r="G8684" s="64">
        <f t="shared" ca="1" si="174"/>
        <v>-2.5310994107464349E-3</v>
      </c>
    </row>
    <row r="8685" spans="6:7" x14ac:dyDescent="0.3">
      <c r="F8685" s="64">
        <v>8682</v>
      </c>
      <c r="G8685" s="64">
        <f t="shared" ca="1" si="174"/>
        <v>-3.2539597978050838E-2</v>
      </c>
    </row>
    <row r="8686" spans="6:7" x14ac:dyDescent="0.3">
      <c r="F8686" s="64">
        <v>8683</v>
      </c>
      <c r="G8686" s="64">
        <f t="shared" ca="1" si="174"/>
        <v>-1.1849002187642493E-2</v>
      </c>
    </row>
    <row r="8687" spans="6:7" x14ac:dyDescent="0.3">
      <c r="F8687" s="64">
        <v>8684</v>
      </c>
      <c r="G8687" s="64">
        <f t="shared" ca="1" si="174"/>
        <v>-7.5863767866915562E-3</v>
      </c>
    </row>
    <row r="8688" spans="6:7" x14ac:dyDescent="0.3">
      <c r="F8688" s="64">
        <v>8685</v>
      </c>
      <c r="G8688" s="64">
        <f t="shared" ca="1" si="174"/>
        <v>-8.594027805115749E-3</v>
      </c>
    </row>
    <row r="8689" spans="6:7" x14ac:dyDescent="0.3">
      <c r="F8689" s="64">
        <v>8686</v>
      </c>
      <c r="G8689" s="64">
        <f t="shared" ca="1" si="174"/>
        <v>5.6374368983972767E-3</v>
      </c>
    </row>
    <row r="8690" spans="6:7" x14ac:dyDescent="0.3">
      <c r="F8690" s="64">
        <v>8687</v>
      </c>
      <c r="G8690" s="64">
        <f t="shared" ca="1" si="174"/>
        <v>-1.6109981354877775E-2</v>
      </c>
    </row>
    <row r="8691" spans="6:7" x14ac:dyDescent="0.3">
      <c r="F8691" s="64">
        <v>8688</v>
      </c>
      <c r="G8691" s="64">
        <f t="shared" ca="1" si="174"/>
        <v>1.1208151847879247E-2</v>
      </c>
    </row>
    <row r="8692" spans="6:7" x14ac:dyDescent="0.3">
      <c r="F8692" s="64">
        <v>8689</v>
      </c>
      <c r="G8692" s="64">
        <f t="shared" ca="1" si="174"/>
        <v>1.9050063306706527E-2</v>
      </c>
    </row>
    <row r="8693" spans="6:7" x14ac:dyDescent="0.3">
      <c r="F8693" s="64">
        <v>8690</v>
      </c>
      <c r="G8693" s="64">
        <f t="shared" ca="1" si="174"/>
        <v>-1.1418260937027223E-2</v>
      </c>
    </row>
    <row r="8694" spans="6:7" x14ac:dyDescent="0.3">
      <c r="F8694" s="64">
        <v>8691</v>
      </c>
      <c r="G8694" s="64">
        <f t="shared" ca="1" si="174"/>
        <v>1.6662702482994424E-2</v>
      </c>
    </row>
    <row r="8695" spans="6:7" x14ac:dyDescent="0.3">
      <c r="F8695" s="64">
        <v>8692</v>
      </c>
      <c r="G8695" s="64">
        <f t="shared" ca="1" si="174"/>
        <v>-1.5975293892268511E-2</v>
      </c>
    </row>
    <row r="8696" spans="6:7" x14ac:dyDescent="0.3">
      <c r="F8696" s="64">
        <v>8693</v>
      </c>
      <c r="G8696" s="64">
        <f t="shared" ca="1" si="174"/>
        <v>9.3902516509517669E-3</v>
      </c>
    </row>
    <row r="8697" spans="6:7" x14ac:dyDescent="0.3">
      <c r="F8697" s="64">
        <v>8694</v>
      </c>
      <c r="G8697" s="64">
        <f t="shared" ca="1" si="174"/>
        <v>-2.2186492422230877E-2</v>
      </c>
    </row>
    <row r="8698" spans="6:7" x14ac:dyDescent="0.3">
      <c r="F8698" s="64">
        <v>8695</v>
      </c>
      <c r="G8698" s="64">
        <f t="shared" ca="1" si="174"/>
        <v>3.069509028556754E-3</v>
      </c>
    </row>
    <row r="8699" spans="6:7" x14ac:dyDescent="0.3">
      <c r="F8699" s="64">
        <v>8696</v>
      </c>
      <c r="G8699" s="64">
        <f t="shared" ca="1" si="174"/>
        <v>7.5399334398595624E-3</v>
      </c>
    </row>
    <row r="8700" spans="6:7" x14ac:dyDescent="0.3">
      <c r="F8700" s="64">
        <v>8697</v>
      </c>
      <c r="G8700" s="64">
        <f t="shared" ca="1" si="174"/>
        <v>1.5857391068555077E-2</v>
      </c>
    </row>
    <row r="8701" spans="6:7" x14ac:dyDescent="0.3">
      <c r="F8701" s="64">
        <v>8698</v>
      </c>
      <c r="G8701" s="64">
        <f t="shared" ca="1" si="174"/>
        <v>-1.5497923280580661E-2</v>
      </c>
    </row>
    <row r="8702" spans="6:7" x14ac:dyDescent="0.3">
      <c r="F8702" s="64">
        <v>8699</v>
      </c>
      <c r="G8702" s="64">
        <f t="shared" ca="1" si="174"/>
        <v>-1.3723389241434483E-2</v>
      </c>
    </row>
    <row r="8703" spans="6:7" x14ac:dyDescent="0.3">
      <c r="F8703" s="64">
        <v>8700</v>
      </c>
      <c r="G8703" s="64">
        <f t="shared" ca="1" si="174"/>
        <v>2.0134090893535302E-2</v>
      </c>
    </row>
    <row r="8704" spans="6:7" x14ac:dyDescent="0.3">
      <c r="F8704" s="64">
        <v>8701</v>
      </c>
      <c r="G8704" s="64">
        <f t="shared" ca="1" si="174"/>
        <v>-5.2873448750112633E-3</v>
      </c>
    </row>
    <row r="8705" spans="6:7" x14ac:dyDescent="0.3">
      <c r="F8705" s="64">
        <v>8702</v>
      </c>
      <c r="G8705" s="64">
        <f t="shared" ca="1" si="174"/>
        <v>1.7456234195174725E-2</v>
      </c>
    </row>
    <row r="8706" spans="6:7" x14ac:dyDescent="0.3">
      <c r="F8706" s="64">
        <v>8703</v>
      </c>
      <c r="G8706" s="64">
        <f t="shared" ca="1" si="174"/>
        <v>-2.9294267250700751E-2</v>
      </c>
    </row>
    <row r="8707" spans="6:7" x14ac:dyDescent="0.3">
      <c r="F8707" s="64">
        <v>8704</v>
      </c>
      <c r="G8707" s="64">
        <f t="shared" ca="1" si="174"/>
        <v>-1.0500383507967264E-2</v>
      </c>
    </row>
    <row r="8708" spans="6:7" x14ac:dyDescent="0.3">
      <c r="F8708" s="64">
        <v>8705</v>
      </c>
      <c r="G8708" s="64">
        <f t="shared" ca="1" si="174"/>
        <v>-1.0046015410792263E-2</v>
      </c>
    </row>
    <row r="8709" spans="6:7" x14ac:dyDescent="0.3">
      <c r="F8709" s="64">
        <v>8706</v>
      </c>
      <c r="G8709" s="64">
        <f t="shared" ref="G8709:G8772" ca="1" si="175">_xlfn.NORM.INV(RAND(),K$6,K$7)</f>
        <v>-4.2088000484827096E-3</v>
      </c>
    </row>
    <row r="8710" spans="6:7" x14ac:dyDescent="0.3">
      <c r="F8710" s="64">
        <v>8707</v>
      </c>
      <c r="G8710" s="64">
        <f t="shared" ca="1" si="175"/>
        <v>-2.6231100613200664E-2</v>
      </c>
    </row>
    <row r="8711" spans="6:7" x14ac:dyDescent="0.3">
      <c r="F8711" s="64">
        <v>8708</v>
      </c>
      <c r="G8711" s="64">
        <f t="shared" ca="1" si="175"/>
        <v>-1.5024156138970695E-2</v>
      </c>
    </row>
    <row r="8712" spans="6:7" x14ac:dyDescent="0.3">
      <c r="F8712" s="64">
        <v>8709</v>
      </c>
      <c r="G8712" s="64">
        <f t="shared" ca="1" si="175"/>
        <v>2.4839960105502948E-2</v>
      </c>
    </row>
    <row r="8713" spans="6:7" x14ac:dyDescent="0.3">
      <c r="F8713" s="64">
        <v>8710</v>
      </c>
      <c r="G8713" s="64">
        <f t="shared" ca="1" si="175"/>
        <v>2.2274513113150138E-2</v>
      </c>
    </row>
    <row r="8714" spans="6:7" x14ac:dyDescent="0.3">
      <c r="F8714" s="64">
        <v>8711</v>
      </c>
      <c r="G8714" s="64">
        <f t="shared" ca="1" si="175"/>
        <v>2.4479847981077094E-2</v>
      </c>
    </row>
    <row r="8715" spans="6:7" x14ac:dyDescent="0.3">
      <c r="F8715" s="64">
        <v>8712</v>
      </c>
      <c r="G8715" s="64">
        <f t="shared" ca="1" si="175"/>
        <v>2.4007913679070042E-2</v>
      </c>
    </row>
    <row r="8716" spans="6:7" x14ac:dyDescent="0.3">
      <c r="F8716" s="64">
        <v>8713</v>
      </c>
      <c r="G8716" s="64">
        <f t="shared" ca="1" si="175"/>
        <v>7.3532117293107725E-3</v>
      </c>
    </row>
    <row r="8717" spans="6:7" x14ac:dyDescent="0.3">
      <c r="F8717" s="64">
        <v>8714</v>
      </c>
      <c r="G8717" s="64">
        <f t="shared" ca="1" si="175"/>
        <v>-1.074996527595405E-2</v>
      </c>
    </row>
    <row r="8718" spans="6:7" x14ac:dyDescent="0.3">
      <c r="F8718" s="64">
        <v>8715</v>
      </c>
      <c r="G8718" s="64">
        <f t="shared" ca="1" si="175"/>
        <v>1.1023948083436406E-2</v>
      </c>
    </row>
    <row r="8719" spans="6:7" x14ac:dyDescent="0.3">
      <c r="F8719" s="64">
        <v>8716</v>
      </c>
      <c r="G8719" s="64">
        <f t="shared" ca="1" si="175"/>
        <v>3.197614493212373E-2</v>
      </c>
    </row>
    <row r="8720" spans="6:7" x14ac:dyDescent="0.3">
      <c r="F8720" s="64">
        <v>8717</v>
      </c>
      <c r="G8720" s="64">
        <f t="shared" ca="1" si="175"/>
        <v>-4.6132479153539574E-2</v>
      </c>
    </row>
    <row r="8721" spans="6:7" x14ac:dyDescent="0.3">
      <c r="F8721" s="64">
        <v>8718</v>
      </c>
      <c r="G8721" s="64">
        <f t="shared" ca="1" si="175"/>
        <v>1.4874556767814332E-2</v>
      </c>
    </row>
    <row r="8722" spans="6:7" x14ac:dyDescent="0.3">
      <c r="F8722" s="64">
        <v>8719</v>
      </c>
      <c r="G8722" s="64">
        <f t="shared" ca="1" si="175"/>
        <v>-1.3615642868446395E-2</v>
      </c>
    </row>
    <row r="8723" spans="6:7" x14ac:dyDescent="0.3">
      <c r="F8723" s="64">
        <v>8720</v>
      </c>
      <c r="G8723" s="64">
        <f t="shared" ca="1" si="175"/>
        <v>-4.0989275384248937E-2</v>
      </c>
    </row>
    <row r="8724" spans="6:7" x14ac:dyDescent="0.3">
      <c r="F8724" s="64">
        <v>8721</v>
      </c>
      <c r="G8724" s="64">
        <f t="shared" ca="1" si="175"/>
        <v>3.4414251512638735E-3</v>
      </c>
    </row>
    <row r="8725" spans="6:7" x14ac:dyDescent="0.3">
      <c r="F8725" s="64">
        <v>8722</v>
      </c>
      <c r="G8725" s="64">
        <f t="shared" ca="1" si="175"/>
        <v>4.2764392398510253E-3</v>
      </c>
    </row>
    <row r="8726" spans="6:7" x14ac:dyDescent="0.3">
      <c r="F8726" s="64">
        <v>8723</v>
      </c>
      <c r="G8726" s="64">
        <f t="shared" ca="1" si="175"/>
        <v>-6.542514700929012E-3</v>
      </c>
    </row>
    <row r="8727" spans="6:7" x14ac:dyDescent="0.3">
      <c r="F8727" s="64">
        <v>8724</v>
      </c>
      <c r="G8727" s="64">
        <f t="shared" ca="1" si="175"/>
        <v>2.9606242366847793E-2</v>
      </c>
    </row>
    <row r="8728" spans="6:7" x14ac:dyDescent="0.3">
      <c r="F8728" s="64">
        <v>8725</v>
      </c>
      <c r="G8728" s="64">
        <f t="shared" ca="1" si="175"/>
        <v>4.4227816581870569E-2</v>
      </c>
    </row>
    <row r="8729" spans="6:7" x14ac:dyDescent="0.3">
      <c r="F8729" s="64">
        <v>8726</v>
      </c>
      <c r="G8729" s="64">
        <f t="shared" ca="1" si="175"/>
        <v>1.7114000249321172E-2</v>
      </c>
    </row>
    <row r="8730" spans="6:7" x14ac:dyDescent="0.3">
      <c r="F8730" s="64">
        <v>8727</v>
      </c>
      <c r="G8730" s="64">
        <f t="shared" ca="1" si="175"/>
        <v>-1.0111501682417187E-2</v>
      </c>
    </row>
    <row r="8731" spans="6:7" x14ac:dyDescent="0.3">
      <c r="F8731" s="64">
        <v>8728</v>
      </c>
      <c r="G8731" s="64">
        <f t="shared" ca="1" si="175"/>
        <v>1.5695137880167402E-2</v>
      </c>
    </row>
    <row r="8732" spans="6:7" x14ac:dyDescent="0.3">
      <c r="F8732" s="64">
        <v>8729</v>
      </c>
      <c r="G8732" s="64">
        <f t="shared" ca="1" si="175"/>
        <v>8.2850166100076773E-3</v>
      </c>
    </row>
    <row r="8733" spans="6:7" x14ac:dyDescent="0.3">
      <c r="F8733" s="64">
        <v>8730</v>
      </c>
      <c r="G8733" s="64">
        <f t="shared" ca="1" si="175"/>
        <v>-1.0711807544553576E-2</v>
      </c>
    </row>
    <row r="8734" spans="6:7" x14ac:dyDescent="0.3">
      <c r="F8734" s="64">
        <v>8731</v>
      </c>
      <c r="G8734" s="64">
        <f t="shared" ca="1" si="175"/>
        <v>7.3729782803080013E-3</v>
      </c>
    </row>
    <row r="8735" spans="6:7" x14ac:dyDescent="0.3">
      <c r="F8735" s="64">
        <v>8732</v>
      </c>
      <c r="G8735" s="64">
        <f t="shared" ca="1" si="175"/>
        <v>-7.9956728404127243E-3</v>
      </c>
    </row>
    <row r="8736" spans="6:7" x14ac:dyDescent="0.3">
      <c r="F8736" s="64">
        <v>8733</v>
      </c>
      <c r="G8736" s="64">
        <f t="shared" ca="1" si="175"/>
        <v>1.7494910680044246E-2</v>
      </c>
    </row>
    <row r="8737" spans="6:7" x14ac:dyDescent="0.3">
      <c r="F8737" s="64">
        <v>8734</v>
      </c>
      <c r="G8737" s="64">
        <f t="shared" ca="1" si="175"/>
        <v>1.9091177546412263E-2</v>
      </c>
    </row>
    <row r="8738" spans="6:7" x14ac:dyDescent="0.3">
      <c r="F8738" s="64">
        <v>8735</v>
      </c>
      <c r="G8738" s="64">
        <f t="shared" ca="1" si="175"/>
        <v>1.9805235988606409E-2</v>
      </c>
    </row>
    <row r="8739" spans="6:7" x14ac:dyDescent="0.3">
      <c r="F8739" s="64">
        <v>8736</v>
      </c>
      <c r="G8739" s="64">
        <f t="shared" ca="1" si="175"/>
        <v>-6.5727576064632245E-3</v>
      </c>
    </row>
    <row r="8740" spans="6:7" x14ac:dyDescent="0.3">
      <c r="F8740" s="64">
        <v>8737</v>
      </c>
      <c r="G8740" s="64">
        <f t="shared" ca="1" si="175"/>
        <v>1.9544524142354219E-2</v>
      </c>
    </row>
    <row r="8741" spans="6:7" x14ac:dyDescent="0.3">
      <c r="F8741" s="64">
        <v>8738</v>
      </c>
      <c r="G8741" s="64">
        <f t="shared" ca="1" si="175"/>
        <v>1.6597091992727894E-2</v>
      </c>
    </row>
    <row r="8742" spans="6:7" x14ac:dyDescent="0.3">
      <c r="F8742" s="64">
        <v>8739</v>
      </c>
      <c r="G8742" s="64">
        <f t="shared" ca="1" si="175"/>
        <v>2.656965894033856E-2</v>
      </c>
    </row>
    <row r="8743" spans="6:7" x14ac:dyDescent="0.3">
      <c r="F8743" s="64">
        <v>8740</v>
      </c>
      <c r="G8743" s="64">
        <f t="shared" ca="1" si="175"/>
        <v>-7.1976780976046369E-3</v>
      </c>
    </row>
    <row r="8744" spans="6:7" x14ac:dyDescent="0.3">
      <c r="F8744" s="64">
        <v>8741</v>
      </c>
      <c r="G8744" s="64">
        <f t="shared" ca="1" si="175"/>
        <v>3.190600421591186E-2</v>
      </c>
    </row>
    <row r="8745" spans="6:7" x14ac:dyDescent="0.3">
      <c r="F8745" s="64">
        <v>8742</v>
      </c>
      <c r="G8745" s="64">
        <f t="shared" ca="1" si="175"/>
        <v>1.1425196604126029E-2</v>
      </c>
    </row>
    <row r="8746" spans="6:7" x14ac:dyDescent="0.3">
      <c r="F8746" s="64">
        <v>8743</v>
      </c>
      <c r="G8746" s="64">
        <f t="shared" ca="1" si="175"/>
        <v>2.3959156361623123E-2</v>
      </c>
    </row>
    <row r="8747" spans="6:7" x14ac:dyDescent="0.3">
      <c r="F8747" s="64">
        <v>8744</v>
      </c>
      <c r="G8747" s="64">
        <f t="shared" ca="1" si="175"/>
        <v>1.1754338434966105E-4</v>
      </c>
    </row>
    <row r="8748" spans="6:7" x14ac:dyDescent="0.3">
      <c r="F8748" s="64">
        <v>8745</v>
      </c>
      <c r="G8748" s="64">
        <f t="shared" ca="1" si="175"/>
        <v>-1.8231444081293818E-2</v>
      </c>
    </row>
    <row r="8749" spans="6:7" x14ac:dyDescent="0.3">
      <c r="F8749" s="64">
        <v>8746</v>
      </c>
      <c r="G8749" s="64">
        <f t="shared" ca="1" si="175"/>
        <v>-3.2509310073066556E-3</v>
      </c>
    </row>
    <row r="8750" spans="6:7" x14ac:dyDescent="0.3">
      <c r="F8750" s="64">
        <v>8747</v>
      </c>
      <c r="G8750" s="64">
        <f t="shared" ca="1" si="175"/>
        <v>-1.6360948148414406E-2</v>
      </c>
    </row>
    <row r="8751" spans="6:7" x14ac:dyDescent="0.3">
      <c r="F8751" s="64">
        <v>8748</v>
      </c>
      <c r="G8751" s="64">
        <f t="shared" ca="1" si="175"/>
        <v>7.4325101084459846E-3</v>
      </c>
    </row>
    <row r="8752" spans="6:7" x14ac:dyDescent="0.3">
      <c r="F8752" s="64">
        <v>8749</v>
      </c>
      <c r="G8752" s="64">
        <f t="shared" ca="1" si="175"/>
        <v>-2.6261824560855958E-3</v>
      </c>
    </row>
    <row r="8753" spans="6:7" x14ac:dyDescent="0.3">
      <c r="F8753" s="64">
        <v>8750</v>
      </c>
      <c r="G8753" s="64">
        <f t="shared" ca="1" si="175"/>
        <v>5.9751379432368325E-3</v>
      </c>
    </row>
    <row r="8754" spans="6:7" x14ac:dyDescent="0.3">
      <c r="F8754" s="64">
        <v>8751</v>
      </c>
      <c r="G8754" s="64">
        <f t="shared" ca="1" si="175"/>
        <v>3.0105765215958924E-2</v>
      </c>
    </row>
    <row r="8755" spans="6:7" x14ac:dyDescent="0.3">
      <c r="F8755" s="64">
        <v>8752</v>
      </c>
      <c r="G8755" s="64">
        <f t="shared" ca="1" si="175"/>
        <v>1.1436234163578101E-2</v>
      </c>
    </row>
    <row r="8756" spans="6:7" x14ac:dyDescent="0.3">
      <c r="F8756" s="64">
        <v>8753</v>
      </c>
      <c r="G8756" s="64">
        <f t="shared" ca="1" si="175"/>
        <v>2.9444105637546007E-2</v>
      </c>
    </row>
    <row r="8757" spans="6:7" x14ac:dyDescent="0.3">
      <c r="F8757" s="64">
        <v>8754</v>
      </c>
      <c r="G8757" s="64">
        <f t="shared" ca="1" si="175"/>
        <v>-1.0569781220848727E-2</v>
      </c>
    </row>
    <row r="8758" spans="6:7" x14ac:dyDescent="0.3">
      <c r="F8758" s="64">
        <v>8755</v>
      </c>
      <c r="G8758" s="64">
        <f t="shared" ca="1" si="175"/>
        <v>-1.7986693938042572E-2</v>
      </c>
    </row>
    <row r="8759" spans="6:7" x14ac:dyDescent="0.3">
      <c r="F8759" s="64">
        <v>8756</v>
      </c>
      <c r="G8759" s="64">
        <f t="shared" ca="1" si="175"/>
        <v>1.65526939631707E-2</v>
      </c>
    </row>
    <row r="8760" spans="6:7" x14ac:dyDescent="0.3">
      <c r="F8760" s="64">
        <v>8757</v>
      </c>
      <c r="G8760" s="64">
        <f t="shared" ca="1" si="175"/>
        <v>1.7313112852916562E-2</v>
      </c>
    </row>
    <row r="8761" spans="6:7" x14ac:dyDescent="0.3">
      <c r="F8761" s="64">
        <v>8758</v>
      </c>
      <c r="G8761" s="64">
        <f t="shared" ca="1" si="175"/>
        <v>2.1425284154351694E-2</v>
      </c>
    </row>
    <row r="8762" spans="6:7" x14ac:dyDescent="0.3">
      <c r="F8762" s="64">
        <v>8759</v>
      </c>
      <c r="G8762" s="64">
        <f t="shared" ca="1" si="175"/>
        <v>-1.8722375355776026E-2</v>
      </c>
    </row>
    <row r="8763" spans="6:7" x14ac:dyDescent="0.3">
      <c r="F8763" s="64">
        <v>8760</v>
      </c>
      <c r="G8763" s="64">
        <f t="shared" ca="1" si="175"/>
        <v>5.9437000318583711E-4</v>
      </c>
    </row>
    <row r="8764" spans="6:7" x14ac:dyDescent="0.3">
      <c r="F8764" s="64">
        <v>8761</v>
      </c>
      <c r="G8764" s="64">
        <f t="shared" ca="1" si="175"/>
        <v>-1.514084475219943E-2</v>
      </c>
    </row>
    <row r="8765" spans="6:7" x14ac:dyDescent="0.3">
      <c r="F8765" s="64">
        <v>8762</v>
      </c>
      <c r="G8765" s="64">
        <f t="shared" ca="1" si="175"/>
        <v>4.1861933274480546E-2</v>
      </c>
    </row>
    <row r="8766" spans="6:7" x14ac:dyDescent="0.3">
      <c r="F8766" s="64">
        <v>8763</v>
      </c>
      <c r="G8766" s="64">
        <f t="shared" ca="1" si="175"/>
        <v>-9.8064806641535475E-3</v>
      </c>
    </row>
    <row r="8767" spans="6:7" x14ac:dyDescent="0.3">
      <c r="F8767" s="64">
        <v>8764</v>
      </c>
      <c r="G8767" s="64">
        <f t="shared" ca="1" si="175"/>
        <v>-2.2578834120769539E-2</v>
      </c>
    </row>
    <row r="8768" spans="6:7" x14ac:dyDescent="0.3">
      <c r="F8768" s="64">
        <v>8765</v>
      </c>
      <c r="G8768" s="64">
        <f t="shared" ca="1" si="175"/>
        <v>2.0637723926147739E-2</v>
      </c>
    </row>
    <row r="8769" spans="6:7" x14ac:dyDescent="0.3">
      <c r="F8769" s="64">
        <v>8766</v>
      </c>
      <c r="G8769" s="64">
        <f t="shared" ca="1" si="175"/>
        <v>3.4026277263174347E-3</v>
      </c>
    </row>
    <row r="8770" spans="6:7" x14ac:dyDescent="0.3">
      <c r="F8770" s="64">
        <v>8767</v>
      </c>
      <c r="G8770" s="64">
        <f t="shared" ca="1" si="175"/>
        <v>7.8058186355976396E-3</v>
      </c>
    </row>
    <row r="8771" spans="6:7" x14ac:dyDescent="0.3">
      <c r="F8771" s="64">
        <v>8768</v>
      </c>
      <c r="G8771" s="64">
        <f t="shared" ca="1" si="175"/>
        <v>1.2103583112894008E-2</v>
      </c>
    </row>
    <row r="8772" spans="6:7" x14ac:dyDescent="0.3">
      <c r="F8772" s="64">
        <v>8769</v>
      </c>
      <c r="G8772" s="64">
        <f t="shared" ca="1" si="175"/>
        <v>1.1518467469177975E-2</v>
      </c>
    </row>
    <row r="8773" spans="6:7" x14ac:dyDescent="0.3">
      <c r="F8773" s="64">
        <v>8770</v>
      </c>
      <c r="G8773" s="64">
        <f t="shared" ref="G8773:G8836" ca="1" si="176">_xlfn.NORM.INV(RAND(),K$6,K$7)</f>
        <v>8.6572197226433868E-3</v>
      </c>
    </row>
    <row r="8774" spans="6:7" x14ac:dyDescent="0.3">
      <c r="F8774" s="64">
        <v>8771</v>
      </c>
      <c r="G8774" s="64">
        <f t="shared" ca="1" si="176"/>
        <v>-2.1491257289375336E-2</v>
      </c>
    </row>
    <row r="8775" spans="6:7" x14ac:dyDescent="0.3">
      <c r="F8775" s="64">
        <v>8772</v>
      </c>
      <c r="G8775" s="64">
        <f t="shared" ca="1" si="176"/>
        <v>2.6939562866377473E-3</v>
      </c>
    </row>
    <row r="8776" spans="6:7" x14ac:dyDescent="0.3">
      <c r="F8776" s="64">
        <v>8773</v>
      </c>
      <c r="G8776" s="64">
        <f t="shared" ca="1" si="176"/>
        <v>-2.337426285660113E-2</v>
      </c>
    </row>
    <row r="8777" spans="6:7" x14ac:dyDescent="0.3">
      <c r="F8777" s="64">
        <v>8774</v>
      </c>
      <c r="G8777" s="64">
        <f t="shared" ca="1" si="176"/>
        <v>2.4776353869597346E-2</v>
      </c>
    </row>
    <row r="8778" spans="6:7" x14ac:dyDescent="0.3">
      <c r="F8778" s="64">
        <v>8775</v>
      </c>
      <c r="G8778" s="64">
        <f t="shared" ca="1" si="176"/>
        <v>1.6769090183696787E-2</v>
      </c>
    </row>
    <row r="8779" spans="6:7" x14ac:dyDescent="0.3">
      <c r="F8779" s="64">
        <v>8776</v>
      </c>
      <c r="G8779" s="64">
        <f t="shared" ca="1" si="176"/>
        <v>-1.8632502975634143E-3</v>
      </c>
    </row>
    <row r="8780" spans="6:7" x14ac:dyDescent="0.3">
      <c r="F8780" s="64">
        <v>8777</v>
      </c>
      <c r="G8780" s="64">
        <f t="shared" ca="1" si="176"/>
        <v>4.2842811525690083E-2</v>
      </c>
    </row>
    <row r="8781" spans="6:7" x14ac:dyDescent="0.3">
      <c r="F8781" s="64">
        <v>8778</v>
      </c>
      <c r="G8781" s="64">
        <f t="shared" ca="1" si="176"/>
        <v>-2.5832333260950549E-3</v>
      </c>
    </row>
    <row r="8782" spans="6:7" x14ac:dyDescent="0.3">
      <c r="F8782" s="64">
        <v>8779</v>
      </c>
      <c r="G8782" s="64">
        <f t="shared" ca="1" si="176"/>
        <v>-1.0990015784001222E-2</v>
      </c>
    </row>
    <row r="8783" spans="6:7" x14ac:dyDescent="0.3">
      <c r="F8783" s="64">
        <v>8780</v>
      </c>
      <c r="G8783" s="64">
        <f t="shared" ca="1" si="176"/>
        <v>3.2649031871683769E-2</v>
      </c>
    </row>
    <row r="8784" spans="6:7" x14ac:dyDescent="0.3">
      <c r="F8784" s="64">
        <v>8781</v>
      </c>
      <c r="G8784" s="64">
        <f t="shared" ca="1" si="176"/>
        <v>-8.2007694005573808E-3</v>
      </c>
    </row>
    <row r="8785" spans="6:7" x14ac:dyDescent="0.3">
      <c r="F8785" s="64">
        <v>8782</v>
      </c>
      <c r="G8785" s="64">
        <f t="shared" ca="1" si="176"/>
        <v>9.7391799849373545E-3</v>
      </c>
    </row>
    <row r="8786" spans="6:7" x14ac:dyDescent="0.3">
      <c r="F8786" s="64">
        <v>8783</v>
      </c>
      <c r="G8786" s="64">
        <f t="shared" ca="1" si="176"/>
        <v>-8.0252541054144054E-3</v>
      </c>
    </row>
    <row r="8787" spans="6:7" x14ac:dyDescent="0.3">
      <c r="F8787" s="64">
        <v>8784</v>
      </c>
      <c r="G8787" s="64">
        <f t="shared" ca="1" si="176"/>
        <v>-1.5460409379779867E-2</v>
      </c>
    </row>
    <row r="8788" spans="6:7" x14ac:dyDescent="0.3">
      <c r="F8788" s="64">
        <v>8785</v>
      </c>
      <c r="G8788" s="64">
        <f t="shared" ca="1" si="176"/>
        <v>-1.5600839441655919E-3</v>
      </c>
    </row>
    <row r="8789" spans="6:7" x14ac:dyDescent="0.3">
      <c r="F8789" s="64">
        <v>8786</v>
      </c>
      <c r="G8789" s="64">
        <f t="shared" ca="1" si="176"/>
        <v>-1.8329501871165894E-2</v>
      </c>
    </row>
    <row r="8790" spans="6:7" x14ac:dyDescent="0.3">
      <c r="F8790" s="64">
        <v>8787</v>
      </c>
      <c r="G8790" s="64">
        <f t="shared" ca="1" si="176"/>
        <v>-9.2105741054469186E-4</v>
      </c>
    </row>
    <row r="8791" spans="6:7" x14ac:dyDescent="0.3">
      <c r="F8791" s="64">
        <v>8788</v>
      </c>
      <c r="G8791" s="64">
        <f t="shared" ca="1" si="176"/>
        <v>-1.4449202255429264E-2</v>
      </c>
    </row>
    <row r="8792" spans="6:7" x14ac:dyDescent="0.3">
      <c r="F8792" s="64">
        <v>8789</v>
      </c>
      <c r="G8792" s="64">
        <f t="shared" ca="1" si="176"/>
        <v>-1.6331459417916708E-2</v>
      </c>
    </row>
    <row r="8793" spans="6:7" x14ac:dyDescent="0.3">
      <c r="F8793" s="64">
        <v>8790</v>
      </c>
      <c r="G8793" s="64">
        <f t="shared" ca="1" si="176"/>
        <v>4.8742401958335024E-3</v>
      </c>
    </row>
    <row r="8794" spans="6:7" x14ac:dyDescent="0.3">
      <c r="F8794" s="64">
        <v>8791</v>
      </c>
      <c r="G8794" s="64">
        <f t="shared" ca="1" si="176"/>
        <v>-2.102415917173197E-2</v>
      </c>
    </row>
    <row r="8795" spans="6:7" x14ac:dyDescent="0.3">
      <c r="F8795" s="64">
        <v>8792</v>
      </c>
      <c r="G8795" s="64">
        <f t="shared" ca="1" si="176"/>
        <v>-7.5507438649357987E-3</v>
      </c>
    </row>
    <row r="8796" spans="6:7" x14ac:dyDescent="0.3">
      <c r="F8796" s="64">
        <v>8793</v>
      </c>
      <c r="G8796" s="64">
        <f t="shared" ca="1" si="176"/>
        <v>1.0147793992322355E-2</v>
      </c>
    </row>
    <row r="8797" spans="6:7" x14ac:dyDescent="0.3">
      <c r="F8797" s="64">
        <v>8794</v>
      </c>
      <c r="G8797" s="64">
        <f t="shared" ca="1" si="176"/>
        <v>4.897303620561874E-3</v>
      </c>
    </row>
    <row r="8798" spans="6:7" x14ac:dyDescent="0.3">
      <c r="F8798" s="64">
        <v>8795</v>
      </c>
      <c r="G8798" s="64">
        <f t="shared" ca="1" si="176"/>
        <v>-1.3287810385175056E-2</v>
      </c>
    </row>
    <row r="8799" spans="6:7" x14ac:dyDescent="0.3">
      <c r="F8799" s="64">
        <v>8796</v>
      </c>
      <c r="G8799" s="64">
        <f t="shared" ca="1" si="176"/>
        <v>1.514129184128833E-2</v>
      </c>
    </row>
    <row r="8800" spans="6:7" x14ac:dyDescent="0.3">
      <c r="F8800" s="64">
        <v>8797</v>
      </c>
      <c r="G8800" s="64">
        <f t="shared" ca="1" si="176"/>
        <v>-6.0622262899225768E-3</v>
      </c>
    </row>
    <row r="8801" spans="6:7" x14ac:dyDescent="0.3">
      <c r="F8801" s="64">
        <v>8798</v>
      </c>
      <c r="G8801" s="64">
        <f t="shared" ca="1" si="176"/>
        <v>1.901663739668153E-3</v>
      </c>
    </row>
    <row r="8802" spans="6:7" x14ac:dyDescent="0.3">
      <c r="F8802" s="64">
        <v>8799</v>
      </c>
      <c r="G8802" s="64">
        <f t="shared" ca="1" si="176"/>
        <v>-2.9183965485666943E-2</v>
      </c>
    </row>
    <row r="8803" spans="6:7" x14ac:dyDescent="0.3">
      <c r="F8803" s="64">
        <v>8800</v>
      </c>
      <c r="G8803" s="64">
        <f t="shared" ca="1" si="176"/>
        <v>-1.6023040152400414E-2</v>
      </c>
    </row>
    <row r="8804" spans="6:7" x14ac:dyDescent="0.3">
      <c r="F8804" s="64">
        <v>8801</v>
      </c>
      <c r="G8804" s="64">
        <f t="shared" ca="1" si="176"/>
        <v>2.7754267417409682E-2</v>
      </c>
    </row>
    <row r="8805" spans="6:7" x14ac:dyDescent="0.3">
      <c r="F8805" s="64">
        <v>8802</v>
      </c>
      <c r="G8805" s="64">
        <f t="shared" ca="1" si="176"/>
        <v>-3.8218706330167523E-2</v>
      </c>
    </row>
    <row r="8806" spans="6:7" x14ac:dyDescent="0.3">
      <c r="F8806" s="64">
        <v>8803</v>
      </c>
      <c r="G8806" s="64">
        <f t="shared" ca="1" si="176"/>
        <v>-2.0531584775576781E-3</v>
      </c>
    </row>
    <row r="8807" spans="6:7" x14ac:dyDescent="0.3">
      <c r="F8807" s="64">
        <v>8804</v>
      </c>
      <c r="G8807" s="64">
        <f t="shared" ca="1" si="176"/>
        <v>1.0220015215683215E-2</v>
      </c>
    </row>
    <row r="8808" spans="6:7" x14ac:dyDescent="0.3">
      <c r="F8808" s="64">
        <v>8805</v>
      </c>
      <c r="G8808" s="64">
        <f t="shared" ca="1" si="176"/>
        <v>-1.531487172354659E-2</v>
      </c>
    </row>
    <row r="8809" spans="6:7" x14ac:dyDescent="0.3">
      <c r="F8809" s="64">
        <v>8806</v>
      </c>
      <c r="G8809" s="64">
        <f t="shared" ca="1" si="176"/>
        <v>-2.7173048494311958E-2</v>
      </c>
    </row>
    <row r="8810" spans="6:7" x14ac:dyDescent="0.3">
      <c r="F8810" s="64">
        <v>8807</v>
      </c>
      <c r="G8810" s="64">
        <f t="shared" ca="1" si="176"/>
        <v>-5.0447853240206475E-5</v>
      </c>
    </row>
    <row r="8811" spans="6:7" x14ac:dyDescent="0.3">
      <c r="F8811" s="64">
        <v>8808</v>
      </c>
      <c r="G8811" s="64">
        <f t="shared" ca="1" si="176"/>
        <v>-1.3338209880841804E-2</v>
      </c>
    </row>
    <row r="8812" spans="6:7" x14ac:dyDescent="0.3">
      <c r="F8812" s="64">
        <v>8809</v>
      </c>
      <c r="G8812" s="64">
        <f t="shared" ca="1" si="176"/>
        <v>2.7722515941582419E-2</v>
      </c>
    </row>
    <row r="8813" spans="6:7" x14ac:dyDescent="0.3">
      <c r="F8813" s="64">
        <v>8810</v>
      </c>
      <c r="G8813" s="64">
        <f t="shared" ca="1" si="176"/>
        <v>-5.4997566788638876E-3</v>
      </c>
    </row>
    <row r="8814" spans="6:7" x14ac:dyDescent="0.3">
      <c r="F8814" s="64">
        <v>8811</v>
      </c>
      <c r="G8814" s="64">
        <f t="shared" ca="1" si="176"/>
        <v>-1.2803094245612438E-2</v>
      </c>
    </row>
    <row r="8815" spans="6:7" x14ac:dyDescent="0.3">
      <c r="F8815" s="64">
        <v>8812</v>
      </c>
      <c r="G8815" s="64">
        <f t="shared" ca="1" si="176"/>
        <v>-1.1003254400620272E-2</v>
      </c>
    </row>
    <row r="8816" spans="6:7" x14ac:dyDescent="0.3">
      <c r="F8816" s="64">
        <v>8813</v>
      </c>
      <c r="G8816" s="64">
        <f t="shared" ca="1" si="176"/>
        <v>-1.0989819413263768E-2</v>
      </c>
    </row>
    <row r="8817" spans="6:7" x14ac:dyDescent="0.3">
      <c r="F8817" s="64">
        <v>8814</v>
      </c>
      <c r="G8817" s="64">
        <f t="shared" ca="1" si="176"/>
        <v>4.514729751346108E-3</v>
      </c>
    </row>
    <row r="8818" spans="6:7" x14ac:dyDescent="0.3">
      <c r="F8818" s="64">
        <v>8815</v>
      </c>
      <c r="G8818" s="64">
        <f t="shared" ca="1" si="176"/>
        <v>-2.6774857507109479E-2</v>
      </c>
    </row>
    <row r="8819" spans="6:7" x14ac:dyDescent="0.3">
      <c r="F8819" s="64">
        <v>8816</v>
      </c>
      <c r="G8819" s="64">
        <f t="shared" ca="1" si="176"/>
        <v>-1.5799415471019133E-3</v>
      </c>
    </row>
    <row r="8820" spans="6:7" x14ac:dyDescent="0.3">
      <c r="F8820" s="64">
        <v>8817</v>
      </c>
      <c r="G8820" s="64">
        <f t="shared" ca="1" si="176"/>
        <v>-1.5499669869163809E-2</v>
      </c>
    </row>
    <row r="8821" spans="6:7" x14ac:dyDescent="0.3">
      <c r="F8821" s="64">
        <v>8818</v>
      </c>
      <c r="G8821" s="64">
        <f t="shared" ca="1" si="176"/>
        <v>6.8223328022412382E-3</v>
      </c>
    </row>
    <row r="8822" spans="6:7" x14ac:dyDescent="0.3">
      <c r="F8822" s="64">
        <v>8819</v>
      </c>
      <c r="G8822" s="64">
        <f t="shared" ca="1" si="176"/>
        <v>4.223420247978011E-2</v>
      </c>
    </row>
    <row r="8823" spans="6:7" x14ac:dyDescent="0.3">
      <c r="F8823" s="64">
        <v>8820</v>
      </c>
      <c r="G8823" s="64">
        <f t="shared" ca="1" si="176"/>
        <v>1.7431054358849575E-3</v>
      </c>
    </row>
    <row r="8824" spans="6:7" x14ac:dyDescent="0.3">
      <c r="F8824" s="64">
        <v>8821</v>
      </c>
      <c r="G8824" s="64">
        <f t="shared" ca="1" si="176"/>
        <v>-2.2964303153867459E-2</v>
      </c>
    </row>
    <row r="8825" spans="6:7" x14ac:dyDescent="0.3">
      <c r="F8825" s="64">
        <v>8822</v>
      </c>
      <c r="G8825" s="64">
        <f t="shared" ca="1" si="176"/>
        <v>4.136693830152962E-2</v>
      </c>
    </row>
    <row r="8826" spans="6:7" x14ac:dyDescent="0.3">
      <c r="F8826" s="64">
        <v>8823</v>
      </c>
      <c r="G8826" s="64">
        <f t="shared" ca="1" si="176"/>
        <v>2.0725643243250817E-2</v>
      </c>
    </row>
    <row r="8827" spans="6:7" x14ac:dyDescent="0.3">
      <c r="F8827" s="64">
        <v>8824</v>
      </c>
      <c r="G8827" s="64">
        <f t="shared" ca="1" si="176"/>
        <v>2.2186320312493173E-3</v>
      </c>
    </row>
    <row r="8828" spans="6:7" x14ac:dyDescent="0.3">
      <c r="F8828" s="64">
        <v>8825</v>
      </c>
      <c r="G8828" s="64">
        <f t="shared" ca="1" si="176"/>
        <v>-6.8635285155827473E-3</v>
      </c>
    </row>
    <row r="8829" spans="6:7" x14ac:dyDescent="0.3">
      <c r="F8829" s="64">
        <v>8826</v>
      </c>
      <c r="G8829" s="64">
        <f t="shared" ca="1" si="176"/>
        <v>-3.1344693296016064E-3</v>
      </c>
    </row>
    <row r="8830" spans="6:7" x14ac:dyDescent="0.3">
      <c r="F8830" s="64">
        <v>8827</v>
      </c>
      <c r="G8830" s="64">
        <f t="shared" ca="1" si="176"/>
        <v>6.8286018647223416E-3</v>
      </c>
    </row>
    <row r="8831" spans="6:7" x14ac:dyDescent="0.3">
      <c r="F8831" s="64">
        <v>8828</v>
      </c>
      <c r="G8831" s="64">
        <f t="shared" ca="1" si="176"/>
        <v>9.0094475263450893E-3</v>
      </c>
    </row>
    <row r="8832" spans="6:7" x14ac:dyDescent="0.3">
      <c r="F8832" s="64">
        <v>8829</v>
      </c>
      <c r="G8832" s="64">
        <f t="shared" ca="1" si="176"/>
        <v>9.5039606577656793E-3</v>
      </c>
    </row>
    <row r="8833" spans="6:7" x14ac:dyDescent="0.3">
      <c r="F8833" s="64">
        <v>8830</v>
      </c>
      <c r="G8833" s="64">
        <f t="shared" ca="1" si="176"/>
        <v>4.9636490369260131E-3</v>
      </c>
    </row>
    <row r="8834" spans="6:7" x14ac:dyDescent="0.3">
      <c r="F8834" s="64">
        <v>8831</v>
      </c>
      <c r="G8834" s="64">
        <f t="shared" ca="1" si="176"/>
        <v>6.4346718306444138E-3</v>
      </c>
    </row>
    <row r="8835" spans="6:7" x14ac:dyDescent="0.3">
      <c r="F8835" s="64">
        <v>8832</v>
      </c>
      <c r="G8835" s="64">
        <f t="shared" ca="1" si="176"/>
        <v>1.6884689277701682E-2</v>
      </c>
    </row>
    <row r="8836" spans="6:7" x14ac:dyDescent="0.3">
      <c r="F8836" s="64">
        <v>8833</v>
      </c>
      <c r="G8836" s="64">
        <f t="shared" ca="1" si="176"/>
        <v>8.76558593746821E-3</v>
      </c>
    </row>
    <row r="8837" spans="6:7" x14ac:dyDescent="0.3">
      <c r="F8837" s="64">
        <v>8834</v>
      </c>
      <c r="G8837" s="64">
        <f t="shared" ref="G8837:G8900" ca="1" si="177">_xlfn.NORM.INV(RAND(),K$6,K$7)</f>
        <v>-9.1481027748747477E-3</v>
      </c>
    </row>
    <row r="8838" spans="6:7" x14ac:dyDescent="0.3">
      <c r="F8838" s="64">
        <v>8835</v>
      </c>
      <c r="G8838" s="64">
        <f t="shared" ca="1" si="177"/>
        <v>-6.151025218172612E-3</v>
      </c>
    </row>
    <row r="8839" spans="6:7" x14ac:dyDescent="0.3">
      <c r="F8839" s="64">
        <v>8836</v>
      </c>
      <c r="G8839" s="64">
        <f t="shared" ca="1" si="177"/>
        <v>1.3006713777028544E-3</v>
      </c>
    </row>
    <row r="8840" spans="6:7" x14ac:dyDescent="0.3">
      <c r="F8840" s="64">
        <v>8837</v>
      </c>
      <c r="G8840" s="64">
        <f t="shared" ca="1" si="177"/>
        <v>1.7308164949631853E-2</v>
      </c>
    </row>
    <row r="8841" spans="6:7" x14ac:dyDescent="0.3">
      <c r="F8841" s="64">
        <v>8838</v>
      </c>
      <c r="G8841" s="64">
        <f t="shared" ca="1" si="177"/>
        <v>1.4887948794489759E-2</v>
      </c>
    </row>
    <row r="8842" spans="6:7" x14ac:dyDescent="0.3">
      <c r="F8842" s="64">
        <v>8839</v>
      </c>
      <c r="G8842" s="64">
        <f t="shared" ca="1" si="177"/>
        <v>-2.1063438210023745E-2</v>
      </c>
    </row>
    <row r="8843" spans="6:7" x14ac:dyDescent="0.3">
      <c r="F8843" s="64">
        <v>8840</v>
      </c>
      <c r="G8843" s="64">
        <f t="shared" ca="1" si="177"/>
        <v>3.0972011061178306E-2</v>
      </c>
    </row>
    <row r="8844" spans="6:7" x14ac:dyDescent="0.3">
      <c r="F8844" s="64">
        <v>8841</v>
      </c>
      <c r="G8844" s="64">
        <f t="shared" ca="1" si="177"/>
        <v>2.5093953674931585E-2</v>
      </c>
    </row>
    <row r="8845" spans="6:7" x14ac:dyDescent="0.3">
      <c r="F8845" s="64">
        <v>8842</v>
      </c>
      <c r="G8845" s="64">
        <f t="shared" ca="1" si="177"/>
        <v>1.5907917562439915E-2</v>
      </c>
    </row>
    <row r="8846" spans="6:7" x14ac:dyDescent="0.3">
      <c r="F8846" s="64">
        <v>8843</v>
      </c>
      <c r="G8846" s="64">
        <f t="shared" ca="1" si="177"/>
        <v>-1.0997280670776077E-3</v>
      </c>
    </row>
    <row r="8847" spans="6:7" x14ac:dyDescent="0.3">
      <c r="F8847" s="64">
        <v>8844</v>
      </c>
      <c r="G8847" s="64">
        <f t="shared" ca="1" si="177"/>
        <v>1.24947761095596E-2</v>
      </c>
    </row>
    <row r="8848" spans="6:7" x14ac:dyDescent="0.3">
      <c r="F8848" s="64">
        <v>8845</v>
      </c>
      <c r="G8848" s="64">
        <f t="shared" ca="1" si="177"/>
        <v>-5.2709114270718446E-3</v>
      </c>
    </row>
    <row r="8849" spans="6:7" x14ac:dyDescent="0.3">
      <c r="F8849" s="64">
        <v>8846</v>
      </c>
      <c r="G8849" s="64">
        <f t="shared" ca="1" si="177"/>
        <v>-9.4767724871351478E-3</v>
      </c>
    </row>
    <row r="8850" spans="6:7" x14ac:dyDescent="0.3">
      <c r="F8850" s="64">
        <v>8847</v>
      </c>
      <c r="G8850" s="64">
        <f t="shared" ca="1" si="177"/>
        <v>4.4317603503752565E-2</v>
      </c>
    </row>
    <row r="8851" spans="6:7" x14ac:dyDescent="0.3">
      <c r="F8851" s="64">
        <v>8848</v>
      </c>
      <c r="G8851" s="64">
        <f t="shared" ca="1" si="177"/>
        <v>4.5573598591356779E-3</v>
      </c>
    </row>
    <row r="8852" spans="6:7" x14ac:dyDescent="0.3">
      <c r="F8852" s="64">
        <v>8849</v>
      </c>
      <c r="G8852" s="64">
        <f t="shared" ca="1" si="177"/>
        <v>-1.2740520785424586E-2</v>
      </c>
    </row>
    <row r="8853" spans="6:7" x14ac:dyDescent="0.3">
      <c r="F8853" s="64">
        <v>8850</v>
      </c>
      <c r="G8853" s="64">
        <f t="shared" ca="1" si="177"/>
        <v>1.3912815576403843E-2</v>
      </c>
    </row>
    <row r="8854" spans="6:7" x14ac:dyDescent="0.3">
      <c r="F8854" s="64">
        <v>8851</v>
      </c>
      <c r="G8854" s="64">
        <f t="shared" ca="1" si="177"/>
        <v>2.2063549188526994E-2</v>
      </c>
    </row>
    <row r="8855" spans="6:7" x14ac:dyDescent="0.3">
      <c r="F8855" s="64">
        <v>8852</v>
      </c>
      <c r="G8855" s="64">
        <f t="shared" ca="1" si="177"/>
        <v>2.8915854033826821E-2</v>
      </c>
    </row>
    <row r="8856" spans="6:7" x14ac:dyDescent="0.3">
      <c r="F8856" s="64">
        <v>8853</v>
      </c>
      <c r="G8856" s="64">
        <f t="shared" ca="1" si="177"/>
        <v>9.4631159667181476E-3</v>
      </c>
    </row>
    <row r="8857" spans="6:7" x14ac:dyDescent="0.3">
      <c r="F8857" s="64">
        <v>8854</v>
      </c>
      <c r="G8857" s="64">
        <f t="shared" ca="1" si="177"/>
        <v>2.3342823657986234E-2</v>
      </c>
    </row>
    <row r="8858" spans="6:7" x14ac:dyDescent="0.3">
      <c r="F8858" s="64">
        <v>8855</v>
      </c>
      <c r="G8858" s="64">
        <f t="shared" ca="1" si="177"/>
        <v>1.4529687656786092E-2</v>
      </c>
    </row>
    <row r="8859" spans="6:7" x14ac:dyDescent="0.3">
      <c r="F8859" s="64">
        <v>8856</v>
      </c>
      <c r="G8859" s="64">
        <f t="shared" ca="1" si="177"/>
        <v>-1.0428024482997169E-2</v>
      </c>
    </row>
    <row r="8860" spans="6:7" x14ac:dyDescent="0.3">
      <c r="F8860" s="64">
        <v>8857</v>
      </c>
      <c r="G8860" s="64">
        <f t="shared" ca="1" si="177"/>
        <v>8.017290252156058E-3</v>
      </c>
    </row>
    <row r="8861" spans="6:7" x14ac:dyDescent="0.3">
      <c r="F8861" s="64">
        <v>8858</v>
      </c>
      <c r="G8861" s="64">
        <f t="shared" ca="1" si="177"/>
        <v>-2.4130936011757621E-2</v>
      </c>
    </row>
    <row r="8862" spans="6:7" x14ac:dyDescent="0.3">
      <c r="F8862" s="64">
        <v>8859</v>
      </c>
      <c r="G8862" s="64">
        <f t="shared" ca="1" si="177"/>
        <v>4.4327380342064092E-2</v>
      </c>
    </row>
    <row r="8863" spans="6:7" x14ac:dyDescent="0.3">
      <c r="F8863" s="64">
        <v>8860</v>
      </c>
      <c r="G8863" s="64">
        <f t="shared" ca="1" si="177"/>
        <v>4.9929901815934687E-3</v>
      </c>
    </row>
    <row r="8864" spans="6:7" x14ac:dyDescent="0.3">
      <c r="F8864" s="64">
        <v>8861</v>
      </c>
      <c r="G8864" s="64">
        <f t="shared" ca="1" si="177"/>
        <v>-7.0798994159821382E-3</v>
      </c>
    </row>
    <row r="8865" spans="6:7" x14ac:dyDescent="0.3">
      <c r="F8865" s="64">
        <v>8862</v>
      </c>
      <c r="G8865" s="64">
        <f t="shared" ca="1" si="177"/>
        <v>-3.1139355813378067E-2</v>
      </c>
    </row>
    <row r="8866" spans="6:7" x14ac:dyDescent="0.3">
      <c r="F8866" s="64">
        <v>8863</v>
      </c>
      <c r="G8866" s="64">
        <f t="shared" ca="1" si="177"/>
        <v>-1.7522942467529169E-3</v>
      </c>
    </row>
    <row r="8867" spans="6:7" x14ac:dyDescent="0.3">
      <c r="F8867" s="64">
        <v>8864</v>
      </c>
      <c r="G8867" s="64">
        <f t="shared" ca="1" si="177"/>
        <v>-4.4419203936183378E-3</v>
      </c>
    </row>
    <row r="8868" spans="6:7" x14ac:dyDescent="0.3">
      <c r="F8868" s="64">
        <v>8865</v>
      </c>
      <c r="G8868" s="64">
        <f t="shared" ca="1" si="177"/>
        <v>-4.6706584720222185E-3</v>
      </c>
    </row>
    <row r="8869" spans="6:7" x14ac:dyDescent="0.3">
      <c r="F8869" s="64">
        <v>8866</v>
      </c>
      <c r="G8869" s="64">
        <f t="shared" ca="1" si="177"/>
        <v>1.2681080438927237E-2</v>
      </c>
    </row>
    <row r="8870" spans="6:7" x14ac:dyDescent="0.3">
      <c r="F8870" s="64">
        <v>8867</v>
      </c>
      <c r="G8870" s="64">
        <f t="shared" ca="1" si="177"/>
        <v>1.0032302689078678E-2</v>
      </c>
    </row>
    <row r="8871" spans="6:7" x14ac:dyDescent="0.3">
      <c r="F8871" s="64">
        <v>8868</v>
      </c>
      <c r="G8871" s="64">
        <f t="shared" ca="1" si="177"/>
        <v>-2.3537799744821328E-2</v>
      </c>
    </row>
    <row r="8872" spans="6:7" x14ac:dyDescent="0.3">
      <c r="F8872" s="64">
        <v>8869</v>
      </c>
      <c r="G8872" s="64">
        <f t="shared" ca="1" si="177"/>
        <v>4.8845022157916515E-2</v>
      </c>
    </row>
    <row r="8873" spans="6:7" x14ac:dyDescent="0.3">
      <c r="F8873" s="64">
        <v>8870</v>
      </c>
      <c r="G8873" s="64">
        <f t="shared" ca="1" si="177"/>
        <v>-2.7110087852816565E-2</v>
      </c>
    </row>
    <row r="8874" spans="6:7" x14ac:dyDescent="0.3">
      <c r="F8874" s="64">
        <v>8871</v>
      </c>
      <c r="G8874" s="64">
        <f t="shared" ca="1" si="177"/>
        <v>-5.0256155880084872E-3</v>
      </c>
    </row>
    <row r="8875" spans="6:7" x14ac:dyDescent="0.3">
      <c r="F8875" s="64">
        <v>8872</v>
      </c>
      <c r="G8875" s="64">
        <f t="shared" ca="1" si="177"/>
        <v>-4.9527762198227224E-3</v>
      </c>
    </row>
    <row r="8876" spans="6:7" x14ac:dyDescent="0.3">
      <c r="F8876" s="64">
        <v>8873</v>
      </c>
      <c r="G8876" s="64">
        <f t="shared" ca="1" si="177"/>
        <v>2.1966113212020253E-3</v>
      </c>
    </row>
    <row r="8877" spans="6:7" x14ac:dyDescent="0.3">
      <c r="F8877" s="64">
        <v>8874</v>
      </c>
      <c r="G8877" s="64">
        <f t="shared" ca="1" si="177"/>
        <v>-4.0219115309639883E-2</v>
      </c>
    </row>
    <row r="8878" spans="6:7" x14ac:dyDescent="0.3">
      <c r="F8878" s="64">
        <v>8875</v>
      </c>
      <c r="G8878" s="64">
        <f t="shared" ca="1" si="177"/>
        <v>-2.8777135069376916E-2</v>
      </c>
    </row>
    <row r="8879" spans="6:7" x14ac:dyDescent="0.3">
      <c r="F8879" s="64">
        <v>8876</v>
      </c>
      <c r="G8879" s="64">
        <f t="shared" ca="1" si="177"/>
        <v>1.4516305705651114E-2</v>
      </c>
    </row>
    <row r="8880" spans="6:7" x14ac:dyDescent="0.3">
      <c r="F8880" s="64">
        <v>8877</v>
      </c>
      <c r="G8880" s="64">
        <f t="shared" ca="1" si="177"/>
        <v>3.5455790773638508E-2</v>
      </c>
    </row>
    <row r="8881" spans="6:7" x14ac:dyDescent="0.3">
      <c r="F8881" s="64">
        <v>8878</v>
      </c>
      <c r="G8881" s="64">
        <f t="shared" ca="1" si="177"/>
        <v>1.1036603702389123E-2</v>
      </c>
    </row>
    <row r="8882" spans="6:7" x14ac:dyDescent="0.3">
      <c r="F8882" s="64">
        <v>8879</v>
      </c>
      <c r="G8882" s="64">
        <f t="shared" ca="1" si="177"/>
        <v>5.3053580772569997E-2</v>
      </c>
    </row>
    <row r="8883" spans="6:7" x14ac:dyDescent="0.3">
      <c r="F8883" s="64">
        <v>8880</v>
      </c>
      <c r="G8883" s="64">
        <f t="shared" ca="1" si="177"/>
        <v>1.8481790903484986E-2</v>
      </c>
    </row>
    <row r="8884" spans="6:7" x14ac:dyDescent="0.3">
      <c r="F8884" s="64">
        <v>8881</v>
      </c>
      <c r="G8884" s="64">
        <f t="shared" ca="1" si="177"/>
        <v>8.1859221711623811E-3</v>
      </c>
    </row>
    <row r="8885" spans="6:7" x14ac:dyDescent="0.3">
      <c r="F8885" s="64">
        <v>8882</v>
      </c>
      <c r="G8885" s="64">
        <f t="shared" ca="1" si="177"/>
        <v>1.117408980982967E-2</v>
      </c>
    </row>
    <row r="8886" spans="6:7" x14ac:dyDescent="0.3">
      <c r="F8886" s="64">
        <v>8883</v>
      </c>
      <c r="G8886" s="64">
        <f t="shared" ca="1" si="177"/>
        <v>2.4135682801189731E-2</v>
      </c>
    </row>
    <row r="8887" spans="6:7" x14ac:dyDescent="0.3">
      <c r="F8887" s="64">
        <v>8884</v>
      </c>
      <c r="G8887" s="64">
        <f t="shared" ca="1" si="177"/>
        <v>-3.7134744446897787E-2</v>
      </c>
    </row>
    <row r="8888" spans="6:7" x14ac:dyDescent="0.3">
      <c r="F8888" s="64">
        <v>8885</v>
      </c>
      <c r="G8888" s="64">
        <f t="shared" ca="1" si="177"/>
        <v>2.0561709800067168E-3</v>
      </c>
    </row>
    <row r="8889" spans="6:7" x14ac:dyDescent="0.3">
      <c r="F8889" s="64">
        <v>8886</v>
      </c>
      <c r="G8889" s="64">
        <f t="shared" ca="1" si="177"/>
        <v>2.1651837083177763E-2</v>
      </c>
    </row>
    <row r="8890" spans="6:7" x14ac:dyDescent="0.3">
      <c r="F8890" s="64">
        <v>8887</v>
      </c>
      <c r="G8890" s="64">
        <f t="shared" ca="1" si="177"/>
        <v>-3.1032578799410696E-3</v>
      </c>
    </row>
    <row r="8891" spans="6:7" x14ac:dyDescent="0.3">
      <c r="F8891" s="64">
        <v>8888</v>
      </c>
      <c r="G8891" s="64">
        <f t="shared" ca="1" si="177"/>
        <v>-1.2810049390240646E-2</v>
      </c>
    </row>
    <row r="8892" spans="6:7" x14ac:dyDescent="0.3">
      <c r="F8892" s="64">
        <v>8889</v>
      </c>
      <c r="G8892" s="64">
        <f t="shared" ca="1" si="177"/>
        <v>2.9631317464649232E-3</v>
      </c>
    </row>
    <row r="8893" spans="6:7" x14ac:dyDescent="0.3">
      <c r="F8893" s="64">
        <v>8890</v>
      </c>
      <c r="G8893" s="64">
        <f t="shared" ca="1" si="177"/>
        <v>1.6823409375368421E-2</v>
      </c>
    </row>
    <row r="8894" spans="6:7" x14ac:dyDescent="0.3">
      <c r="F8894" s="64">
        <v>8891</v>
      </c>
      <c r="G8894" s="64">
        <f t="shared" ca="1" si="177"/>
        <v>2.6635246396822125E-2</v>
      </c>
    </row>
    <row r="8895" spans="6:7" x14ac:dyDescent="0.3">
      <c r="F8895" s="64">
        <v>8892</v>
      </c>
      <c r="G8895" s="64">
        <f t="shared" ca="1" si="177"/>
        <v>1.3114032794347408E-2</v>
      </c>
    </row>
    <row r="8896" spans="6:7" x14ac:dyDescent="0.3">
      <c r="F8896" s="64">
        <v>8893</v>
      </c>
      <c r="G8896" s="64">
        <f t="shared" ca="1" si="177"/>
        <v>4.1260839464523712E-2</v>
      </c>
    </row>
    <row r="8897" spans="6:7" x14ac:dyDescent="0.3">
      <c r="F8897" s="64">
        <v>8894</v>
      </c>
      <c r="G8897" s="64">
        <f t="shared" ca="1" si="177"/>
        <v>-3.1368474891316743E-3</v>
      </c>
    </row>
    <row r="8898" spans="6:7" x14ac:dyDescent="0.3">
      <c r="F8898" s="64">
        <v>8895</v>
      </c>
      <c r="G8898" s="64">
        <f t="shared" ca="1" si="177"/>
        <v>-7.0523787109744943E-3</v>
      </c>
    </row>
    <row r="8899" spans="6:7" x14ac:dyDescent="0.3">
      <c r="F8899" s="64">
        <v>8896</v>
      </c>
      <c r="G8899" s="64">
        <f t="shared" ca="1" si="177"/>
        <v>3.2053133523407801E-2</v>
      </c>
    </row>
    <row r="8900" spans="6:7" x14ac:dyDescent="0.3">
      <c r="F8900" s="64">
        <v>8897</v>
      </c>
      <c r="G8900" s="64">
        <f t="shared" ca="1" si="177"/>
        <v>-3.4779993792838611E-3</v>
      </c>
    </row>
    <row r="8901" spans="6:7" x14ac:dyDescent="0.3">
      <c r="F8901" s="64">
        <v>8898</v>
      </c>
      <c r="G8901" s="64">
        <f t="shared" ref="G8901:G8964" ca="1" si="178">_xlfn.NORM.INV(RAND(),K$6,K$7)</f>
        <v>2.1716937983045588E-2</v>
      </c>
    </row>
    <row r="8902" spans="6:7" x14ac:dyDescent="0.3">
      <c r="F8902" s="64">
        <v>8899</v>
      </c>
      <c r="G8902" s="64">
        <f t="shared" ca="1" si="178"/>
        <v>-9.1388674631783674E-3</v>
      </c>
    </row>
    <row r="8903" spans="6:7" x14ac:dyDescent="0.3">
      <c r="F8903" s="64">
        <v>8900</v>
      </c>
      <c r="G8903" s="64">
        <f t="shared" ca="1" si="178"/>
        <v>1.7327367083467167E-3</v>
      </c>
    </row>
    <row r="8904" spans="6:7" x14ac:dyDescent="0.3">
      <c r="F8904" s="64">
        <v>8901</v>
      </c>
      <c r="G8904" s="64">
        <f t="shared" ca="1" si="178"/>
        <v>2.0000238367235815E-2</v>
      </c>
    </row>
    <row r="8905" spans="6:7" x14ac:dyDescent="0.3">
      <c r="F8905" s="64">
        <v>8902</v>
      </c>
      <c r="G8905" s="64">
        <f t="shared" ca="1" si="178"/>
        <v>-7.8139262155548679E-3</v>
      </c>
    </row>
    <row r="8906" spans="6:7" x14ac:dyDescent="0.3">
      <c r="F8906" s="64">
        <v>8903</v>
      </c>
      <c r="G8906" s="64">
        <f t="shared" ca="1" si="178"/>
        <v>-4.4960482069815221E-3</v>
      </c>
    </row>
    <row r="8907" spans="6:7" x14ac:dyDescent="0.3">
      <c r="F8907" s="64">
        <v>8904</v>
      </c>
      <c r="G8907" s="64">
        <f t="shared" ca="1" si="178"/>
        <v>2.8311508690862748E-2</v>
      </c>
    </row>
    <row r="8908" spans="6:7" x14ac:dyDescent="0.3">
      <c r="F8908" s="64">
        <v>8905</v>
      </c>
      <c r="G8908" s="64">
        <f t="shared" ca="1" si="178"/>
        <v>4.0167540065187395E-3</v>
      </c>
    </row>
    <row r="8909" spans="6:7" x14ac:dyDescent="0.3">
      <c r="F8909" s="64">
        <v>8906</v>
      </c>
      <c r="G8909" s="64">
        <f t="shared" ca="1" si="178"/>
        <v>2.7445148263153564E-2</v>
      </c>
    </row>
    <row r="8910" spans="6:7" x14ac:dyDescent="0.3">
      <c r="F8910" s="64">
        <v>8907</v>
      </c>
      <c r="G8910" s="64">
        <f t="shared" ca="1" si="178"/>
        <v>-6.3552673192952547E-3</v>
      </c>
    </row>
    <row r="8911" spans="6:7" x14ac:dyDescent="0.3">
      <c r="F8911" s="64">
        <v>8908</v>
      </c>
      <c r="G8911" s="64">
        <f t="shared" ca="1" si="178"/>
        <v>-9.2248276107290555E-3</v>
      </c>
    </row>
    <row r="8912" spans="6:7" x14ac:dyDescent="0.3">
      <c r="F8912" s="64">
        <v>8909</v>
      </c>
      <c r="G8912" s="64">
        <f t="shared" ca="1" si="178"/>
        <v>-2.6006117039177934E-2</v>
      </c>
    </row>
    <row r="8913" spans="6:7" x14ac:dyDescent="0.3">
      <c r="F8913" s="64">
        <v>8910</v>
      </c>
      <c r="G8913" s="64">
        <f t="shared" ca="1" si="178"/>
        <v>-6.47064010475789E-4</v>
      </c>
    </row>
    <row r="8914" spans="6:7" x14ac:dyDescent="0.3">
      <c r="F8914" s="64">
        <v>8911</v>
      </c>
      <c r="G8914" s="64">
        <f t="shared" ca="1" si="178"/>
        <v>3.0496398658908644E-2</v>
      </c>
    </row>
    <row r="8915" spans="6:7" x14ac:dyDescent="0.3">
      <c r="F8915" s="64">
        <v>8912</v>
      </c>
      <c r="G8915" s="64">
        <f t="shared" ca="1" si="178"/>
        <v>-4.4087031481234744E-3</v>
      </c>
    </row>
    <row r="8916" spans="6:7" x14ac:dyDescent="0.3">
      <c r="F8916" s="64">
        <v>8913</v>
      </c>
      <c r="G8916" s="64">
        <f t="shared" ca="1" si="178"/>
        <v>-2.9951523517814334E-2</v>
      </c>
    </row>
    <row r="8917" spans="6:7" x14ac:dyDescent="0.3">
      <c r="F8917" s="64">
        <v>8914</v>
      </c>
      <c r="G8917" s="64">
        <f t="shared" ca="1" si="178"/>
        <v>-1.0352369515174608E-2</v>
      </c>
    </row>
    <row r="8918" spans="6:7" x14ac:dyDescent="0.3">
      <c r="F8918" s="64">
        <v>8915</v>
      </c>
      <c r="G8918" s="64">
        <f t="shared" ca="1" si="178"/>
        <v>2.2073193953132252E-2</v>
      </c>
    </row>
    <row r="8919" spans="6:7" x14ac:dyDescent="0.3">
      <c r="F8919" s="64">
        <v>8916</v>
      </c>
      <c r="G8919" s="64">
        <f t="shared" ca="1" si="178"/>
        <v>-1.8110439585896476E-2</v>
      </c>
    </row>
    <row r="8920" spans="6:7" x14ac:dyDescent="0.3">
      <c r="F8920" s="64">
        <v>8917</v>
      </c>
      <c r="G8920" s="64">
        <f t="shared" ca="1" si="178"/>
        <v>-6.5206117466995537E-3</v>
      </c>
    </row>
    <row r="8921" spans="6:7" x14ac:dyDescent="0.3">
      <c r="F8921" s="64">
        <v>8918</v>
      </c>
      <c r="G8921" s="64">
        <f t="shared" ca="1" si="178"/>
        <v>-8.813838941304972E-4</v>
      </c>
    </row>
    <row r="8922" spans="6:7" x14ac:dyDescent="0.3">
      <c r="F8922" s="64">
        <v>8919</v>
      </c>
      <c r="G8922" s="64">
        <f t="shared" ca="1" si="178"/>
        <v>-1.5068033608653078E-3</v>
      </c>
    </row>
    <row r="8923" spans="6:7" x14ac:dyDescent="0.3">
      <c r="F8923" s="64">
        <v>8920</v>
      </c>
      <c r="G8923" s="64">
        <f t="shared" ca="1" si="178"/>
        <v>2.3974692702971936E-2</v>
      </c>
    </row>
    <row r="8924" spans="6:7" x14ac:dyDescent="0.3">
      <c r="F8924" s="64">
        <v>8921</v>
      </c>
      <c r="G8924" s="64">
        <f t="shared" ca="1" si="178"/>
        <v>-1.8086013942200677E-2</v>
      </c>
    </row>
    <row r="8925" spans="6:7" x14ac:dyDescent="0.3">
      <c r="F8925" s="64">
        <v>8922</v>
      </c>
      <c r="G8925" s="64">
        <f t="shared" ca="1" si="178"/>
        <v>-6.389618728304943E-3</v>
      </c>
    </row>
    <row r="8926" spans="6:7" x14ac:dyDescent="0.3">
      <c r="F8926" s="64">
        <v>8923</v>
      </c>
      <c r="G8926" s="64">
        <f t="shared" ca="1" si="178"/>
        <v>3.1809298678752954E-3</v>
      </c>
    </row>
    <row r="8927" spans="6:7" x14ac:dyDescent="0.3">
      <c r="F8927" s="64">
        <v>8924</v>
      </c>
      <c r="G8927" s="64">
        <f t="shared" ca="1" si="178"/>
        <v>3.1300529205578589E-2</v>
      </c>
    </row>
    <row r="8928" spans="6:7" x14ac:dyDescent="0.3">
      <c r="F8928" s="64">
        <v>8925</v>
      </c>
      <c r="G8928" s="64">
        <f t="shared" ca="1" si="178"/>
        <v>5.3731546276347492E-2</v>
      </c>
    </row>
    <row r="8929" spans="6:7" x14ac:dyDescent="0.3">
      <c r="F8929" s="64">
        <v>8926</v>
      </c>
      <c r="G8929" s="64">
        <f t="shared" ca="1" si="178"/>
        <v>2.0718239031222281E-2</v>
      </c>
    </row>
    <row r="8930" spans="6:7" x14ac:dyDescent="0.3">
      <c r="F8930" s="64">
        <v>8927</v>
      </c>
      <c r="G8930" s="64">
        <f t="shared" ca="1" si="178"/>
        <v>-1.0107805246991747E-2</v>
      </c>
    </row>
    <row r="8931" spans="6:7" x14ac:dyDescent="0.3">
      <c r="F8931" s="64">
        <v>8928</v>
      </c>
      <c r="G8931" s="64">
        <f t="shared" ca="1" si="178"/>
        <v>5.9581198921591413E-3</v>
      </c>
    </row>
    <row r="8932" spans="6:7" x14ac:dyDescent="0.3">
      <c r="F8932" s="64">
        <v>8929</v>
      </c>
      <c r="G8932" s="64">
        <f t="shared" ca="1" si="178"/>
        <v>-2.6099349947088908E-2</v>
      </c>
    </row>
    <row r="8933" spans="6:7" x14ac:dyDescent="0.3">
      <c r="F8933" s="64">
        <v>8930</v>
      </c>
      <c r="G8933" s="64">
        <f t="shared" ca="1" si="178"/>
        <v>-2.1897521162262353E-2</v>
      </c>
    </row>
    <row r="8934" spans="6:7" x14ac:dyDescent="0.3">
      <c r="F8934" s="64">
        <v>8931</v>
      </c>
      <c r="G8934" s="64">
        <f t="shared" ca="1" si="178"/>
        <v>-1.0111749633450934E-2</v>
      </c>
    </row>
    <row r="8935" spans="6:7" x14ac:dyDescent="0.3">
      <c r="F8935" s="64">
        <v>8932</v>
      </c>
      <c r="G8935" s="64">
        <f t="shared" ca="1" si="178"/>
        <v>3.3120686373433795E-3</v>
      </c>
    </row>
    <row r="8936" spans="6:7" x14ac:dyDescent="0.3">
      <c r="F8936" s="64">
        <v>8933</v>
      </c>
      <c r="G8936" s="64">
        <f t="shared" ca="1" si="178"/>
        <v>2.1166883712759793E-2</v>
      </c>
    </row>
    <row r="8937" spans="6:7" x14ac:dyDescent="0.3">
      <c r="F8937" s="64">
        <v>8934</v>
      </c>
      <c r="G8937" s="64">
        <f t="shared" ca="1" si="178"/>
        <v>7.6123231848070324E-3</v>
      </c>
    </row>
    <row r="8938" spans="6:7" x14ac:dyDescent="0.3">
      <c r="F8938" s="64">
        <v>8935</v>
      </c>
      <c r="G8938" s="64">
        <f t="shared" ca="1" si="178"/>
        <v>1.766070568048235E-2</v>
      </c>
    </row>
    <row r="8939" spans="6:7" x14ac:dyDescent="0.3">
      <c r="F8939" s="64">
        <v>8936</v>
      </c>
      <c r="G8939" s="64">
        <f t="shared" ca="1" si="178"/>
        <v>1.4096523854038853E-2</v>
      </c>
    </row>
    <row r="8940" spans="6:7" x14ac:dyDescent="0.3">
      <c r="F8940" s="64">
        <v>8937</v>
      </c>
      <c r="G8940" s="64">
        <f t="shared" ca="1" si="178"/>
        <v>-1.0554059564507121E-2</v>
      </c>
    </row>
    <row r="8941" spans="6:7" x14ac:dyDescent="0.3">
      <c r="F8941" s="64">
        <v>8938</v>
      </c>
      <c r="G8941" s="64">
        <f t="shared" ca="1" si="178"/>
        <v>-5.4173477606692831E-3</v>
      </c>
    </row>
    <row r="8942" spans="6:7" x14ac:dyDescent="0.3">
      <c r="F8942" s="64">
        <v>8939</v>
      </c>
      <c r="G8942" s="64">
        <f t="shared" ca="1" si="178"/>
        <v>1.0907699625962568E-2</v>
      </c>
    </row>
    <row r="8943" spans="6:7" x14ac:dyDescent="0.3">
      <c r="F8943" s="64">
        <v>8940</v>
      </c>
      <c r="G8943" s="64">
        <f t="shared" ca="1" si="178"/>
        <v>-3.2803604191371814E-2</v>
      </c>
    </row>
    <row r="8944" spans="6:7" x14ac:dyDescent="0.3">
      <c r="F8944" s="64">
        <v>8941</v>
      </c>
      <c r="G8944" s="64">
        <f t="shared" ca="1" si="178"/>
        <v>4.0509902247963352E-3</v>
      </c>
    </row>
    <row r="8945" spans="6:7" x14ac:dyDescent="0.3">
      <c r="F8945" s="64">
        <v>8942</v>
      </c>
      <c r="G8945" s="64">
        <f t="shared" ca="1" si="178"/>
        <v>-1.9521831603454588E-2</v>
      </c>
    </row>
    <row r="8946" spans="6:7" x14ac:dyDescent="0.3">
      <c r="F8946" s="64">
        <v>8943</v>
      </c>
      <c r="G8946" s="64">
        <f t="shared" ca="1" si="178"/>
        <v>4.3748773699781307E-2</v>
      </c>
    </row>
    <row r="8947" spans="6:7" x14ac:dyDescent="0.3">
      <c r="F8947" s="64">
        <v>8944</v>
      </c>
      <c r="G8947" s="64">
        <f t="shared" ca="1" si="178"/>
        <v>2.5935335787701528E-3</v>
      </c>
    </row>
    <row r="8948" spans="6:7" x14ac:dyDescent="0.3">
      <c r="F8948" s="64">
        <v>8945</v>
      </c>
      <c r="G8948" s="64">
        <f t="shared" ca="1" si="178"/>
        <v>-3.7331453774819716E-2</v>
      </c>
    </row>
    <row r="8949" spans="6:7" x14ac:dyDescent="0.3">
      <c r="F8949" s="64">
        <v>8946</v>
      </c>
      <c r="G8949" s="64">
        <f t="shared" ca="1" si="178"/>
        <v>-2.3400324430336329E-2</v>
      </c>
    </row>
    <row r="8950" spans="6:7" x14ac:dyDescent="0.3">
      <c r="F8950" s="64">
        <v>8947</v>
      </c>
      <c r="G8950" s="64">
        <f t="shared" ca="1" si="178"/>
        <v>-3.2235560440395253E-3</v>
      </c>
    </row>
    <row r="8951" spans="6:7" x14ac:dyDescent="0.3">
      <c r="F8951" s="64">
        <v>8948</v>
      </c>
      <c r="G8951" s="64">
        <f t="shared" ca="1" si="178"/>
        <v>-6.6467088973175131E-3</v>
      </c>
    </row>
    <row r="8952" spans="6:7" x14ac:dyDescent="0.3">
      <c r="F8952" s="64">
        <v>8949</v>
      </c>
      <c r="G8952" s="64">
        <f t="shared" ca="1" si="178"/>
        <v>1.6906654613517411E-2</v>
      </c>
    </row>
    <row r="8953" spans="6:7" x14ac:dyDescent="0.3">
      <c r="F8953" s="64">
        <v>8950</v>
      </c>
      <c r="G8953" s="64">
        <f t="shared" ca="1" si="178"/>
        <v>1.9590186863851992E-2</v>
      </c>
    </row>
    <row r="8954" spans="6:7" x14ac:dyDescent="0.3">
      <c r="F8954" s="64">
        <v>8951</v>
      </c>
      <c r="G8954" s="64">
        <f t="shared" ca="1" si="178"/>
        <v>6.8417734784541511E-3</v>
      </c>
    </row>
    <row r="8955" spans="6:7" x14ac:dyDescent="0.3">
      <c r="F8955" s="64">
        <v>8952</v>
      </c>
      <c r="G8955" s="64">
        <f t="shared" ca="1" si="178"/>
        <v>1.7303500009060821E-2</v>
      </c>
    </row>
    <row r="8956" spans="6:7" x14ac:dyDescent="0.3">
      <c r="F8956" s="64">
        <v>8953</v>
      </c>
      <c r="G8956" s="64">
        <f t="shared" ca="1" si="178"/>
        <v>-1.9578945573978908E-3</v>
      </c>
    </row>
    <row r="8957" spans="6:7" x14ac:dyDescent="0.3">
      <c r="F8957" s="64">
        <v>8954</v>
      </c>
      <c r="G8957" s="64">
        <f t="shared" ca="1" si="178"/>
        <v>-6.2129227001344088E-3</v>
      </c>
    </row>
    <row r="8958" spans="6:7" x14ac:dyDescent="0.3">
      <c r="F8958" s="64">
        <v>8955</v>
      </c>
      <c r="G8958" s="64">
        <f t="shared" ca="1" si="178"/>
        <v>3.3284367194477758E-3</v>
      </c>
    </row>
    <row r="8959" spans="6:7" x14ac:dyDescent="0.3">
      <c r="F8959" s="64">
        <v>8956</v>
      </c>
      <c r="G8959" s="64">
        <f t="shared" ca="1" si="178"/>
        <v>-5.3871786951995938E-2</v>
      </c>
    </row>
    <row r="8960" spans="6:7" x14ac:dyDescent="0.3">
      <c r="F8960" s="64">
        <v>8957</v>
      </c>
      <c r="G8960" s="64">
        <f t="shared" ca="1" si="178"/>
        <v>-2.3806061822275439E-2</v>
      </c>
    </row>
    <row r="8961" spans="6:7" x14ac:dyDescent="0.3">
      <c r="F8961" s="64">
        <v>8958</v>
      </c>
      <c r="G8961" s="64">
        <f t="shared" ca="1" si="178"/>
        <v>1.3900852451335995E-2</v>
      </c>
    </row>
    <row r="8962" spans="6:7" x14ac:dyDescent="0.3">
      <c r="F8962" s="64">
        <v>8959</v>
      </c>
      <c r="G8962" s="64">
        <f t="shared" ca="1" si="178"/>
        <v>2.2582610195166024E-3</v>
      </c>
    </row>
    <row r="8963" spans="6:7" x14ac:dyDescent="0.3">
      <c r="F8963" s="64">
        <v>8960</v>
      </c>
      <c r="G8963" s="64">
        <f t="shared" ca="1" si="178"/>
        <v>2.0840083431930861E-2</v>
      </c>
    </row>
    <row r="8964" spans="6:7" x14ac:dyDescent="0.3">
      <c r="F8964" s="64">
        <v>8961</v>
      </c>
      <c r="G8964" s="64">
        <f t="shared" ca="1" si="178"/>
        <v>-2.5291298260990303E-2</v>
      </c>
    </row>
    <row r="8965" spans="6:7" x14ac:dyDescent="0.3">
      <c r="F8965" s="64">
        <v>8962</v>
      </c>
      <c r="G8965" s="64">
        <f t="shared" ref="G8965:G9028" ca="1" si="179">_xlfn.NORM.INV(RAND(),K$6,K$7)</f>
        <v>-2.8244027469859039E-3</v>
      </c>
    </row>
    <row r="8966" spans="6:7" x14ac:dyDescent="0.3">
      <c r="F8966" s="64">
        <v>8963</v>
      </c>
      <c r="G8966" s="64">
        <f t="shared" ca="1" si="179"/>
        <v>-5.8789492815046239E-3</v>
      </c>
    </row>
    <row r="8967" spans="6:7" x14ac:dyDescent="0.3">
      <c r="F8967" s="64">
        <v>8964</v>
      </c>
      <c r="G8967" s="64">
        <f t="shared" ca="1" si="179"/>
        <v>-1.7220600984336636E-3</v>
      </c>
    </row>
    <row r="8968" spans="6:7" x14ac:dyDescent="0.3">
      <c r="F8968" s="64">
        <v>8965</v>
      </c>
      <c r="G8968" s="64">
        <f t="shared" ca="1" si="179"/>
        <v>-7.8350181227639318E-3</v>
      </c>
    </row>
    <row r="8969" spans="6:7" x14ac:dyDescent="0.3">
      <c r="F8969" s="64">
        <v>8966</v>
      </c>
      <c r="G8969" s="64">
        <f t="shared" ca="1" si="179"/>
        <v>-1.3500144269549321E-2</v>
      </c>
    </row>
    <row r="8970" spans="6:7" x14ac:dyDescent="0.3">
      <c r="F8970" s="64">
        <v>8967</v>
      </c>
      <c r="G8970" s="64">
        <f t="shared" ca="1" si="179"/>
        <v>-2.5225270279763054E-2</v>
      </c>
    </row>
    <row r="8971" spans="6:7" x14ac:dyDescent="0.3">
      <c r="F8971" s="64">
        <v>8968</v>
      </c>
      <c r="G8971" s="64">
        <f t="shared" ca="1" si="179"/>
        <v>-2.3778738796919351E-2</v>
      </c>
    </row>
    <row r="8972" spans="6:7" x14ac:dyDescent="0.3">
      <c r="F8972" s="64">
        <v>8969</v>
      </c>
      <c r="G8972" s="64">
        <f t="shared" ca="1" si="179"/>
        <v>3.4649863959786094E-2</v>
      </c>
    </row>
    <row r="8973" spans="6:7" x14ac:dyDescent="0.3">
      <c r="F8973" s="64">
        <v>8970</v>
      </c>
      <c r="G8973" s="64">
        <f t="shared" ca="1" si="179"/>
        <v>1.1812690443126998E-2</v>
      </c>
    </row>
    <row r="8974" spans="6:7" x14ac:dyDescent="0.3">
      <c r="F8974" s="64">
        <v>8971</v>
      </c>
      <c r="G8974" s="64">
        <f t="shared" ca="1" si="179"/>
        <v>1.618101598126722E-2</v>
      </c>
    </row>
    <row r="8975" spans="6:7" x14ac:dyDescent="0.3">
      <c r="F8975" s="64">
        <v>8972</v>
      </c>
      <c r="G8975" s="64">
        <f t="shared" ca="1" si="179"/>
        <v>7.8559173909214797E-3</v>
      </c>
    </row>
    <row r="8976" spans="6:7" x14ac:dyDescent="0.3">
      <c r="F8976" s="64">
        <v>8973</v>
      </c>
      <c r="G8976" s="64">
        <f t="shared" ca="1" si="179"/>
        <v>9.7007123689856218E-3</v>
      </c>
    </row>
    <row r="8977" spans="6:7" x14ac:dyDescent="0.3">
      <c r="F8977" s="64">
        <v>8974</v>
      </c>
      <c r="G8977" s="64">
        <f t="shared" ca="1" si="179"/>
        <v>-3.6141516504651139E-2</v>
      </c>
    </row>
    <row r="8978" spans="6:7" x14ac:dyDescent="0.3">
      <c r="F8978" s="64">
        <v>8975</v>
      </c>
      <c r="G8978" s="64">
        <f t="shared" ca="1" si="179"/>
        <v>3.9934243399196625E-3</v>
      </c>
    </row>
    <row r="8979" spans="6:7" x14ac:dyDescent="0.3">
      <c r="F8979" s="64">
        <v>8976</v>
      </c>
      <c r="G8979" s="64">
        <f t="shared" ca="1" si="179"/>
        <v>-1.6974744229807402E-2</v>
      </c>
    </row>
    <row r="8980" spans="6:7" x14ac:dyDescent="0.3">
      <c r="F8980" s="64">
        <v>8977</v>
      </c>
      <c r="G8980" s="64">
        <f t="shared" ca="1" si="179"/>
        <v>-2.3955808316889891E-2</v>
      </c>
    </row>
    <row r="8981" spans="6:7" x14ac:dyDescent="0.3">
      <c r="F8981" s="64">
        <v>8978</v>
      </c>
      <c r="G8981" s="64">
        <f t="shared" ca="1" si="179"/>
        <v>-3.7427844048626624E-3</v>
      </c>
    </row>
    <row r="8982" spans="6:7" x14ac:dyDescent="0.3">
      <c r="F8982" s="64">
        <v>8979</v>
      </c>
      <c r="G8982" s="64">
        <f t="shared" ca="1" si="179"/>
        <v>-4.1767343751734777E-2</v>
      </c>
    </row>
    <row r="8983" spans="6:7" x14ac:dyDescent="0.3">
      <c r="F8983" s="64">
        <v>8980</v>
      </c>
      <c r="G8983" s="64">
        <f t="shared" ca="1" si="179"/>
        <v>-5.7462541596920106E-3</v>
      </c>
    </row>
    <row r="8984" spans="6:7" x14ac:dyDescent="0.3">
      <c r="F8984" s="64">
        <v>8981</v>
      </c>
      <c r="G8984" s="64">
        <f t="shared" ca="1" si="179"/>
        <v>1.375910286430785E-2</v>
      </c>
    </row>
    <row r="8985" spans="6:7" x14ac:dyDescent="0.3">
      <c r="F8985" s="64">
        <v>8982</v>
      </c>
      <c r="G8985" s="64">
        <f t="shared" ca="1" si="179"/>
        <v>1.052097627101862E-2</v>
      </c>
    </row>
    <row r="8986" spans="6:7" x14ac:dyDescent="0.3">
      <c r="F8986" s="64">
        <v>8983</v>
      </c>
      <c r="G8986" s="64">
        <f t="shared" ca="1" si="179"/>
        <v>-3.1287458318466259E-3</v>
      </c>
    </row>
    <row r="8987" spans="6:7" x14ac:dyDescent="0.3">
      <c r="F8987" s="64">
        <v>8984</v>
      </c>
      <c r="G8987" s="64">
        <f t="shared" ca="1" si="179"/>
        <v>1.2502030735599214E-2</v>
      </c>
    </row>
    <row r="8988" spans="6:7" x14ac:dyDescent="0.3">
      <c r="F8988" s="64">
        <v>8985</v>
      </c>
      <c r="G8988" s="64">
        <f t="shared" ca="1" si="179"/>
        <v>1.4469798940289368E-2</v>
      </c>
    </row>
    <row r="8989" spans="6:7" x14ac:dyDescent="0.3">
      <c r="F8989" s="64">
        <v>8986</v>
      </c>
      <c r="G8989" s="64">
        <f t="shared" ca="1" si="179"/>
        <v>9.5837150299020908E-3</v>
      </c>
    </row>
    <row r="8990" spans="6:7" x14ac:dyDescent="0.3">
      <c r="F8990" s="64">
        <v>8987</v>
      </c>
      <c r="G8990" s="64">
        <f t="shared" ca="1" si="179"/>
        <v>-1.2567312678867829E-2</v>
      </c>
    </row>
    <row r="8991" spans="6:7" x14ac:dyDescent="0.3">
      <c r="F8991" s="64">
        <v>8988</v>
      </c>
      <c r="G8991" s="64">
        <f t="shared" ca="1" si="179"/>
        <v>2.9098666307481667E-2</v>
      </c>
    </row>
    <row r="8992" spans="6:7" x14ac:dyDescent="0.3">
      <c r="F8992" s="64">
        <v>8989</v>
      </c>
      <c r="G8992" s="64">
        <f t="shared" ca="1" si="179"/>
        <v>6.0379038085585819E-3</v>
      </c>
    </row>
    <row r="8993" spans="6:7" x14ac:dyDescent="0.3">
      <c r="F8993" s="64">
        <v>8990</v>
      </c>
      <c r="G8993" s="64">
        <f t="shared" ca="1" si="179"/>
        <v>1.8369576585095949E-2</v>
      </c>
    </row>
    <row r="8994" spans="6:7" x14ac:dyDescent="0.3">
      <c r="F8994" s="64">
        <v>8991</v>
      </c>
      <c r="G8994" s="64">
        <f t="shared" ca="1" si="179"/>
        <v>-2.1944039695884612E-2</v>
      </c>
    </row>
    <row r="8995" spans="6:7" x14ac:dyDescent="0.3">
      <c r="F8995" s="64">
        <v>8992</v>
      </c>
      <c r="G8995" s="64">
        <f t="shared" ca="1" si="179"/>
        <v>-1.1905206812179939E-2</v>
      </c>
    </row>
    <row r="8996" spans="6:7" x14ac:dyDescent="0.3">
      <c r="F8996" s="64">
        <v>8993</v>
      </c>
      <c r="G8996" s="64">
        <f t="shared" ca="1" si="179"/>
        <v>-2.3956466049713042E-2</v>
      </c>
    </row>
    <row r="8997" spans="6:7" x14ac:dyDescent="0.3">
      <c r="F8997" s="64">
        <v>8994</v>
      </c>
      <c r="G8997" s="64">
        <f t="shared" ca="1" si="179"/>
        <v>-1.8081586646974158E-2</v>
      </c>
    </row>
    <row r="8998" spans="6:7" x14ac:dyDescent="0.3">
      <c r="F8998" s="64">
        <v>8995</v>
      </c>
      <c r="G8998" s="64">
        <f t="shared" ca="1" si="179"/>
        <v>1.0432630184461151E-2</v>
      </c>
    </row>
    <row r="8999" spans="6:7" x14ac:dyDescent="0.3">
      <c r="F8999" s="64">
        <v>8996</v>
      </c>
      <c r="G8999" s="64">
        <f t="shared" ca="1" si="179"/>
        <v>-9.6246707716555538E-3</v>
      </c>
    </row>
    <row r="9000" spans="6:7" x14ac:dyDescent="0.3">
      <c r="F9000" s="64">
        <v>8997</v>
      </c>
      <c r="G9000" s="64">
        <f t="shared" ca="1" si="179"/>
        <v>-1.7874067761842569E-2</v>
      </c>
    </row>
    <row r="9001" spans="6:7" x14ac:dyDescent="0.3">
      <c r="F9001" s="64">
        <v>8998</v>
      </c>
      <c r="G9001" s="64">
        <f t="shared" ca="1" si="179"/>
        <v>2.0206686853584009E-3</v>
      </c>
    </row>
    <row r="9002" spans="6:7" x14ac:dyDescent="0.3">
      <c r="F9002" s="64">
        <v>8999</v>
      </c>
      <c r="G9002" s="64">
        <f t="shared" ca="1" si="179"/>
        <v>1.8657925011610225E-2</v>
      </c>
    </row>
    <row r="9003" spans="6:7" x14ac:dyDescent="0.3">
      <c r="F9003" s="64">
        <v>9000</v>
      </c>
      <c r="G9003" s="64">
        <f t="shared" ca="1" si="179"/>
        <v>-1.0122543437506844E-2</v>
      </c>
    </row>
    <row r="9004" spans="6:7" x14ac:dyDescent="0.3">
      <c r="F9004" s="64">
        <v>9001</v>
      </c>
      <c r="G9004" s="64">
        <f t="shared" ca="1" si="179"/>
        <v>8.2027210372100368E-3</v>
      </c>
    </row>
    <row r="9005" spans="6:7" x14ac:dyDescent="0.3">
      <c r="F9005" s="64">
        <v>9002</v>
      </c>
      <c r="G9005" s="64">
        <f t="shared" ca="1" si="179"/>
        <v>-7.8262423243301363E-3</v>
      </c>
    </row>
    <row r="9006" spans="6:7" x14ac:dyDescent="0.3">
      <c r="F9006" s="64">
        <v>9003</v>
      </c>
      <c r="G9006" s="64">
        <f t="shared" ca="1" si="179"/>
        <v>5.5163643590149065E-3</v>
      </c>
    </row>
    <row r="9007" spans="6:7" x14ac:dyDescent="0.3">
      <c r="F9007" s="64">
        <v>9004</v>
      </c>
      <c r="G9007" s="64">
        <f t="shared" ca="1" si="179"/>
        <v>5.7145822307566691E-3</v>
      </c>
    </row>
    <row r="9008" spans="6:7" x14ac:dyDescent="0.3">
      <c r="F9008" s="64">
        <v>9005</v>
      </c>
      <c r="G9008" s="64">
        <f t="shared" ca="1" si="179"/>
        <v>-2.3723229401316909E-2</v>
      </c>
    </row>
    <row r="9009" spans="6:7" x14ac:dyDescent="0.3">
      <c r="F9009" s="64">
        <v>9006</v>
      </c>
      <c r="G9009" s="64">
        <f t="shared" ca="1" si="179"/>
        <v>1.6194394794109779E-2</v>
      </c>
    </row>
    <row r="9010" spans="6:7" x14ac:dyDescent="0.3">
      <c r="F9010" s="64">
        <v>9007</v>
      </c>
      <c r="G9010" s="64">
        <f t="shared" ca="1" si="179"/>
        <v>1.9304202055539066E-2</v>
      </c>
    </row>
    <row r="9011" spans="6:7" x14ac:dyDescent="0.3">
      <c r="F9011" s="64">
        <v>9008</v>
      </c>
      <c r="G9011" s="64">
        <f t="shared" ca="1" si="179"/>
        <v>-4.5243755612454604E-3</v>
      </c>
    </row>
    <row r="9012" spans="6:7" x14ac:dyDescent="0.3">
      <c r="F9012" s="64">
        <v>9009</v>
      </c>
      <c r="G9012" s="64">
        <f t="shared" ca="1" si="179"/>
        <v>-5.2674343496484175E-3</v>
      </c>
    </row>
    <row r="9013" spans="6:7" x14ac:dyDescent="0.3">
      <c r="F9013" s="64">
        <v>9010</v>
      </c>
      <c r="G9013" s="64">
        <f t="shared" ca="1" si="179"/>
        <v>-1.2034932441190728E-2</v>
      </c>
    </row>
    <row r="9014" spans="6:7" x14ac:dyDescent="0.3">
      <c r="F9014" s="64">
        <v>9011</v>
      </c>
      <c r="G9014" s="64">
        <f t="shared" ca="1" si="179"/>
        <v>3.9563099987947326E-3</v>
      </c>
    </row>
    <row r="9015" spans="6:7" x14ac:dyDescent="0.3">
      <c r="F9015" s="64">
        <v>9012</v>
      </c>
      <c r="G9015" s="64">
        <f t="shared" ca="1" si="179"/>
        <v>-8.1201981155472574E-4</v>
      </c>
    </row>
    <row r="9016" spans="6:7" x14ac:dyDescent="0.3">
      <c r="F9016" s="64">
        <v>9013</v>
      </c>
      <c r="G9016" s="64">
        <f t="shared" ca="1" si="179"/>
        <v>-4.3105596526256031E-3</v>
      </c>
    </row>
    <row r="9017" spans="6:7" x14ac:dyDescent="0.3">
      <c r="F9017" s="64">
        <v>9014</v>
      </c>
      <c r="G9017" s="64">
        <f t="shared" ca="1" si="179"/>
        <v>2.0876709872527269E-3</v>
      </c>
    </row>
    <row r="9018" spans="6:7" x14ac:dyDescent="0.3">
      <c r="F9018" s="64">
        <v>9015</v>
      </c>
      <c r="G9018" s="64">
        <f t="shared" ca="1" si="179"/>
        <v>-4.427750487708923E-3</v>
      </c>
    </row>
    <row r="9019" spans="6:7" x14ac:dyDescent="0.3">
      <c r="F9019" s="64">
        <v>9016</v>
      </c>
      <c r="G9019" s="64">
        <f t="shared" ca="1" si="179"/>
        <v>-6.2659372807291214E-3</v>
      </c>
    </row>
    <row r="9020" spans="6:7" x14ac:dyDescent="0.3">
      <c r="F9020" s="64">
        <v>9017</v>
      </c>
      <c r="G9020" s="64">
        <f t="shared" ca="1" si="179"/>
        <v>1.025138220444448E-2</v>
      </c>
    </row>
    <row r="9021" spans="6:7" x14ac:dyDescent="0.3">
      <c r="F9021" s="64">
        <v>9018</v>
      </c>
      <c r="G9021" s="64">
        <f t="shared" ca="1" si="179"/>
        <v>2.234402801454588E-2</v>
      </c>
    </row>
    <row r="9022" spans="6:7" x14ac:dyDescent="0.3">
      <c r="F9022" s="64">
        <v>9019</v>
      </c>
      <c r="G9022" s="64">
        <f t="shared" ca="1" si="179"/>
        <v>-9.1103713245834581E-3</v>
      </c>
    </row>
    <row r="9023" spans="6:7" x14ac:dyDescent="0.3">
      <c r="F9023" s="64">
        <v>9020</v>
      </c>
      <c r="G9023" s="64">
        <f t="shared" ca="1" si="179"/>
        <v>1.4338923857634999E-2</v>
      </c>
    </row>
    <row r="9024" spans="6:7" x14ac:dyDescent="0.3">
      <c r="F9024" s="64">
        <v>9021</v>
      </c>
      <c r="G9024" s="64">
        <f t="shared" ca="1" si="179"/>
        <v>1.0468041055059725E-2</v>
      </c>
    </row>
    <row r="9025" spans="6:7" x14ac:dyDescent="0.3">
      <c r="F9025" s="64">
        <v>9022</v>
      </c>
      <c r="G9025" s="64">
        <f t="shared" ca="1" si="179"/>
        <v>-2.6406226495427051E-2</v>
      </c>
    </row>
    <row r="9026" spans="6:7" x14ac:dyDescent="0.3">
      <c r="F9026" s="64">
        <v>9023</v>
      </c>
      <c r="G9026" s="64">
        <f t="shared" ca="1" si="179"/>
        <v>2.5039945181925587E-2</v>
      </c>
    </row>
    <row r="9027" spans="6:7" x14ac:dyDescent="0.3">
      <c r="F9027" s="64">
        <v>9024</v>
      </c>
      <c r="G9027" s="64">
        <f t="shared" ca="1" si="179"/>
        <v>2.0005517929384285E-2</v>
      </c>
    </row>
    <row r="9028" spans="6:7" x14ac:dyDescent="0.3">
      <c r="F9028" s="64">
        <v>9025</v>
      </c>
      <c r="G9028" s="64">
        <f t="shared" ca="1" si="179"/>
        <v>-2.1543380963328279E-2</v>
      </c>
    </row>
    <row r="9029" spans="6:7" x14ac:dyDescent="0.3">
      <c r="F9029" s="64">
        <v>9026</v>
      </c>
      <c r="G9029" s="64">
        <f t="shared" ref="G9029:G9092" ca="1" si="180">_xlfn.NORM.INV(RAND(),K$6,K$7)</f>
        <v>-1.9547661572196576E-2</v>
      </c>
    </row>
    <row r="9030" spans="6:7" x14ac:dyDescent="0.3">
      <c r="F9030" s="64">
        <v>9027</v>
      </c>
      <c r="G9030" s="64">
        <f t="shared" ca="1" si="180"/>
        <v>-2.7276890509737128E-3</v>
      </c>
    </row>
    <row r="9031" spans="6:7" x14ac:dyDescent="0.3">
      <c r="F9031" s="64">
        <v>9028</v>
      </c>
      <c r="G9031" s="64">
        <f t="shared" ca="1" si="180"/>
        <v>-3.6283831569049099E-3</v>
      </c>
    </row>
    <row r="9032" spans="6:7" x14ac:dyDescent="0.3">
      <c r="F9032" s="64">
        <v>9029</v>
      </c>
      <c r="G9032" s="64">
        <f t="shared" ca="1" si="180"/>
        <v>1.0768193041174188E-2</v>
      </c>
    </row>
    <row r="9033" spans="6:7" x14ac:dyDescent="0.3">
      <c r="F9033" s="64">
        <v>9030</v>
      </c>
      <c r="G9033" s="64">
        <f t="shared" ca="1" si="180"/>
        <v>-1.1002986901960516E-2</v>
      </c>
    </row>
    <row r="9034" spans="6:7" x14ac:dyDescent="0.3">
      <c r="F9034" s="64">
        <v>9031</v>
      </c>
      <c r="G9034" s="64">
        <f t="shared" ca="1" si="180"/>
        <v>2.2729213360724497E-2</v>
      </c>
    </row>
    <row r="9035" spans="6:7" x14ac:dyDescent="0.3">
      <c r="F9035" s="64">
        <v>9032</v>
      </c>
      <c r="G9035" s="64">
        <f t="shared" ca="1" si="180"/>
        <v>1.7733071139640138E-4</v>
      </c>
    </row>
    <row r="9036" spans="6:7" x14ac:dyDescent="0.3">
      <c r="F9036" s="64">
        <v>9033</v>
      </c>
      <c r="G9036" s="64">
        <f t="shared" ca="1" si="180"/>
        <v>2.5528147721162087E-3</v>
      </c>
    </row>
    <row r="9037" spans="6:7" x14ac:dyDescent="0.3">
      <c r="F9037" s="64">
        <v>9034</v>
      </c>
      <c r="G9037" s="64">
        <f t="shared" ca="1" si="180"/>
        <v>-1.7440609746338667E-2</v>
      </c>
    </row>
    <row r="9038" spans="6:7" x14ac:dyDescent="0.3">
      <c r="F9038" s="64">
        <v>9035</v>
      </c>
      <c r="G9038" s="64">
        <f t="shared" ca="1" si="180"/>
        <v>-3.0244241083175801E-3</v>
      </c>
    </row>
    <row r="9039" spans="6:7" x14ac:dyDescent="0.3">
      <c r="F9039" s="64">
        <v>9036</v>
      </c>
      <c r="G9039" s="64">
        <f t="shared" ca="1" si="180"/>
        <v>3.3284795251185037E-2</v>
      </c>
    </row>
    <row r="9040" spans="6:7" x14ac:dyDescent="0.3">
      <c r="F9040" s="64">
        <v>9037</v>
      </c>
      <c r="G9040" s="64">
        <f t="shared" ca="1" si="180"/>
        <v>3.2171096778606578E-2</v>
      </c>
    </row>
    <row r="9041" spans="6:7" x14ac:dyDescent="0.3">
      <c r="F9041" s="64">
        <v>9038</v>
      </c>
      <c r="G9041" s="64">
        <f t="shared" ca="1" si="180"/>
        <v>-4.1964436593654847E-4</v>
      </c>
    </row>
    <row r="9042" spans="6:7" x14ac:dyDescent="0.3">
      <c r="F9042" s="64">
        <v>9039</v>
      </c>
      <c r="G9042" s="64">
        <f t="shared" ca="1" si="180"/>
        <v>1.596084455519077E-2</v>
      </c>
    </row>
    <row r="9043" spans="6:7" x14ac:dyDescent="0.3">
      <c r="F9043" s="64">
        <v>9040</v>
      </c>
      <c r="G9043" s="64">
        <f t="shared" ca="1" si="180"/>
        <v>2.047108908815394E-2</v>
      </c>
    </row>
    <row r="9044" spans="6:7" x14ac:dyDescent="0.3">
      <c r="F9044" s="64">
        <v>9041</v>
      </c>
      <c r="G9044" s="64">
        <f t="shared" ca="1" si="180"/>
        <v>-5.5285777778714212E-4</v>
      </c>
    </row>
    <row r="9045" spans="6:7" x14ac:dyDescent="0.3">
      <c r="F9045" s="64">
        <v>9042</v>
      </c>
      <c r="G9045" s="64">
        <f t="shared" ca="1" si="180"/>
        <v>-8.4326593337625648E-3</v>
      </c>
    </row>
    <row r="9046" spans="6:7" x14ac:dyDescent="0.3">
      <c r="F9046" s="64">
        <v>9043</v>
      </c>
      <c r="G9046" s="64">
        <f t="shared" ca="1" si="180"/>
        <v>-7.2805233047011399E-3</v>
      </c>
    </row>
    <row r="9047" spans="6:7" x14ac:dyDescent="0.3">
      <c r="F9047" s="64">
        <v>9044</v>
      </c>
      <c r="G9047" s="64">
        <f t="shared" ca="1" si="180"/>
        <v>1.8351680854982039E-2</v>
      </c>
    </row>
    <row r="9048" spans="6:7" x14ac:dyDescent="0.3">
      <c r="F9048" s="64">
        <v>9045</v>
      </c>
      <c r="G9048" s="64">
        <f t="shared" ca="1" si="180"/>
        <v>-1.8769070353980587E-2</v>
      </c>
    </row>
    <row r="9049" spans="6:7" x14ac:dyDescent="0.3">
      <c r="F9049" s="64">
        <v>9046</v>
      </c>
      <c r="G9049" s="64">
        <f t="shared" ca="1" si="180"/>
        <v>9.0827699181423287E-3</v>
      </c>
    </row>
    <row r="9050" spans="6:7" x14ac:dyDescent="0.3">
      <c r="F9050" s="64">
        <v>9047</v>
      </c>
      <c r="G9050" s="64">
        <f t="shared" ca="1" si="180"/>
        <v>-2.8564170018966456E-3</v>
      </c>
    </row>
    <row r="9051" spans="6:7" x14ac:dyDescent="0.3">
      <c r="F9051" s="64">
        <v>9048</v>
      </c>
      <c r="G9051" s="64">
        <f t="shared" ca="1" si="180"/>
        <v>1.6413750840619093E-2</v>
      </c>
    </row>
    <row r="9052" spans="6:7" x14ac:dyDescent="0.3">
      <c r="F9052" s="64">
        <v>9049</v>
      </c>
      <c r="G9052" s="64">
        <f t="shared" ca="1" si="180"/>
        <v>-8.7304005781104789E-3</v>
      </c>
    </row>
    <row r="9053" spans="6:7" x14ac:dyDescent="0.3">
      <c r="F9053" s="64">
        <v>9050</v>
      </c>
      <c r="G9053" s="64">
        <f t="shared" ca="1" si="180"/>
        <v>-8.238893427644901E-3</v>
      </c>
    </row>
    <row r="9054" spans="6:7" x14ac:dyDescent="0.3">
      <c r="F9054" s="64">
        <v>9051</v>
      </c>
      <c r="G9054" s="64">
        <f t="shared" ca="1" si="180"/>
        <v>-6.8987144789235694E-3</v>
      </c>
    </row>
    <row r="9055" spans="6:7" x14ac:dyDescent="0.3">
      <c r="F9055" s="64">
        <v>9052</v>
      </c>
      <c r="G9055" s="64">
        <f t="shared" ca="1" si="180"/>
        <v>5.8934482836246194E-3</v>
      </c>
    </row>
    <row r="9056" spans="6:7" x14ac:dyDescent="0.3">
      <c r="F9056" s="64">
        <v>9053</v>
      </c>
      <c r="G9056" s="64">
        <f t="shared" ca="1" si="180"/>
        <v>4.5698598532621943E-3</v>
      </c>
    </row>
    <row r="9057" spans="6:7" x14ac:dyDescent="0.3">
      <c r="F9057" s="64">
        <v>9054</v>
      </c>
      <c r="G9057" s="64">
        <f t="shared" ca="1" si="180"/>
        <v>-1.4464041867547987E-2</v>
      </c>
    </row>
    <row r="9058" spans="6:7" x14ac:dyDescent="0.3">
      <c r="F9058" s="64">
        <v>9055</v>
      </c>
      <c r="G9058" s="64">
        <f t="shared" ca="1" si="180"/>
        <v>-5.7894956271141683E-3</v>
      </c>
    </row>
    <row r="9059" spans="6:7" x14ac:dyDescent="0.3">
      <c r="F9059" s="64">
        <v>9056</v>
      </c>
      <c r="G9059" s="64">
        <f t="shared" ca="1" si="180"/>
        <v>-9.9079815741586925E-3</v>
      </c>
    </row>
    <row r="9060" spans="6:7" x14ac:dyDescent="0.3">
      <c r="F9060" s="64">
        <v>9057</v>
      </c>
      <c r="G9060" s="64">
        <f t="shared" ca="1" si="180"/>
        <v>3.1575437691818954E-2</v>
      </c>
    </row>
    <row r="9061" spans="6:7" x14ac:dyDescent="0.3">
      <c r="F9061" s="64">
        <v>9058</v>
      </c>
      <c r="G9061" s="64">
        <f t="shared" ca="1" si="180"/>
        <v>-1.9579706268694225E-3</v>
      </c>
    </row>
    <row r="9062" spans="6:7" x14ac:dyDescent="0.3">
      <c r="F9062" s="64">
        <v>9059</v>
      </c>
      <c r="G9062" s="64">
        <f t="shared" ca="1" si="180"/>
        <v>-1.3170671245319428E-3</v>
      </c>
    </row>
    <row r="9063" spans="6:7" x14ac:dyDescent="0.3">
      <c r="F9063" s="64">
        <v>9060</v>
      </c>
      <c r="G9063" s="64">
        <f t="shared" ca="1" si="180"/>
        <v>1.7323432389970854E-2</v>
      </c>
    </row>
    <row r="9064" spans="6:7" x14ac:dyDescent="0.3">
      <c r="F9064" s="64">
        <v>9061</v>
      </c>
      <c r="G9064" s="64">
        <f t="shared" ca="1" si="180"/>
        <v>-2.1492363901368404E-2</v>
      </c>
    </row>
    <row r="9065" spans="6:7" x14ac:dyDescent="0.3">
      <c r="F9065" s="64">
        <v>9062</v>
      </c>
      <c r="G9065" s="64">
        <f t="shared" ca="1" si="180"/>
        <v>-8.9375957539469947E-3</v>
      </c>
    </row>
    <row r="9066" spans="6:7" x14ac:dyDescent="0.3">
      <c r="F9066" s="64">
        <v>9063</v>
      </c>
      <c r="G9066" s="64">
        <f t="shared" ca="1" si="180"/>
        <v>1.6147622706361497E-2</v>
      </c>
    </row>
    <row r="9067" spans="6:7" x14ac:dyDescent="0.3">
      <c r="F9067" s="64">
        <v>9064</v>
      </c>
      <c r="G9067" s="64">
        <f t="shared" ca="1" si="180"/>
        <v>-2.2734097429176786E-2</v>
      </c>
    </row>
    <row r="9068" spans="6:7" x14ac:dyDescent="0.3">
      <c r="F9068" s="64">
        <v>9065</v>
      </c>
      <c r="G9068" s="64">
        <f t="shared" ca="1" si="180"/>
        <v>1.188776860049346E-2</v>
      </c>
    </row>
    <row r="9069" spans="6:7" x14ac:dyDescent="0.3">
      <c r="F9069" s="64">
        <v>9066</v>
      </c>
      <c r="G9069" s="64">
        <f t="shared" ca="1" si="180"/>
        <v>-1.1774277454094668E-4</v>
      </c>
    </row>
    <row r="9070" spans="6:7" x14ac:dyDescent="0.3">
      <c r="F9070" s="64">
        <v>9067</v>
      </c>
      <c r="G9070" s="64">
        <f t="shared" ca="1" si="180"/>
        <v>-7.5588962462006838E-3</v>
      </c>
    </row>
    <row r="9071" spans="6:7" x14ac:dyDescent="0.3">
      <c r="F9071" s="64">
        <v>9068</v>
      </c>
      <c r="G9071" s="64">
        <f t="shared" ca="1" si="180"/>
        <v>3.8309216989972162E-3</v>
      </c>
    </row>
    <row r="9072" spans="6:7" x14ac:dyDescent="0.3">
      <c r="F9072" s="64">
        <v>9069</v>
      </c>
      <c r="G9072" s="64">
        <f t="shared" ca="1" si="180"/>
        <v>6.0355907653258656E-3</v>
      </c>
    </row>
    <row r="9073" spans="6:7" x14ac:dyDescent="0.3">
      <c r="F9073" s="64">
        <v>9070</v>
      </c>
      <c r="G9073" s="64">
        <f t="shared" ca="1" si="180"/>
        <v>3.1432590610638591E-3</v>
      </c>
    </row>
    <row r="9074" spans="6:7" x14ac:dyDescent="0.3">
      <c r="F9074" s="64">
        <v>9071</v>
      </c>
      <c r="G9074" s="64">
        <f t="shared" ca="1" si="180"/>
        <v>1.8388719888625851E-2</v>
      </c>
    </row>
    <row r="9075" spans="6:7" x14ac:dyDescent="0.3">
      <c r="F9075" s="64">
        <v>9072</v>
      </c>
      <c r="G9075" s="64">
        <f t="shared" ca="1" si="180"/>
        <v>-1.8440517602892045E-2</v>
      </c>
    </row>
    <row r="9076" spans="6:7" x14ac:dyDescent="0.3">
      <c r="F9076" s="64">
        <v>9073</v>
      </c>
      <c r="G9076" s="64">
        <f t="shared" ca="1" si="180"/>
        <v>9.1355792269611734E-3</v>
      </c>
    </row>
    <row r="9077" spans="6:7" x14ac:dyDescent="0.3">
      <c r="F9077" s="64">
        <v>9074</v>
      </c>
      <c r="G9077" s="64">
        <f t="shared" ca="1" si="180"/>
        <v>-4.3764076513083297E-2</v>
      </c>
    </row>
    <row r="9078" spans="6:7" x14ac:dyDescent="0.3">
      <c r="F9078" s="64">
        <v>9075</v>
      </c>
      <c r="G9078" s="64">
        <f t="shared" ca="1" si="180"/>
        <v>-3.7691230396297667E-2</v>
      </c>
    </row>
    <row r="9079" spans="6:7" x14ac:dyDescent="0.3">
      <c r="F9079" s="64">
        <v>9076</v>
      </c>
      <c r="G9079" s="64">
        <f t="shared" ca="1" si="180"/>
        <v>-3.1021388997679776E-2</v>
      </c>
    </row>
    <row r="9080" spans="6:7" x14ac:dyDescent="0.3">
      <c r="F9080" s="64">
        <v>9077</v>
      </c>
      <c r="G9080" s="64">
        <f t="shared" ca="1" si="180"/>
        <v>-6.5736599138484023E-3</v>
      </c>
    </row>
    <row r="9081" spans="6:7" x14ac:dyDescent="0.3">
      <c r="F9081" s="64">
        <v>9078</v>
      </c>
      <c r="G9081" s="64">
        <f t="shared" ca="1" si="180"/>
        <v>-3.0604005085697996E-3</v>
      </c>
    </row>
    <row r="9082" spans="6:7" x14ac:dyDescent="0.3">
      <c r="F9082" s="64">
        <v>9079</v>
      </c>
      <c r="G9082" s="64">
        <f t="shared" ca="1" si="180"/>
        <v>2.5824855508532934E-3</v>
      </c>
    </row>
    <row r="9083" spans="6:7" x14ac:dyDescent="0.3">
      <c r="F9083" s="64">
        <v>9080</v>
      </c>
      <c r="G9083" s="64">
        <f t="shared" ca="1" si="180"/>
        <v>-3.1339261382079688E-2</v>
      </c>
    </row>
    <row r="9084" spans="6:7" x14ac:dyDescent="0.3">
      <c r="F9084" s="64">
        <v>9081</v>
      </c>
      <c r="G9084" s="64">
        <f t="shared" ca="1" si="180"/>
        <v>2.7237012271511325E-2</v>
      </c>
    </row>
    <row r="9085" spans="6:7" x14ac:dyDescent="0.3">
      <c r="F9085" s="64">
        <v>9082</v>
      </c>
      <c r="G9085" s="64">
        <f t="shared" ca="1" si="180"/>
        <v>1.3126763218393107E-2</v>
      </c>
    </row>
    <row r="9086" spans="6:7" x14ac:dyDescent="0.3">
      <c r="F9086" s="64">
        <v>9083</v>
      </c>
      <c r="G9086" s="64">
        <f t="shared" ca="1" si="180"/>
        <v>3.1794913817949758E-2</v>
      </c>
    </row>
    <row r="9087" spans="6:7" x14ac:dyDescent="0.3">
      <c r="F9087" s="64">
        <v>9084</v>
      </c>
      <c r="G9087" s="64">
        <f t="shared" ca="1" si="180"/>
        <v>-1.5677329134655547E-2</v>
      </c>
    </row>
    <row r="9088" spans="6:7" x14ac:dyDescent="0.3">
      <c r="F9088" s="64">
        <v>9085</v>
      </c>
      <c r="G9088" s="64">
        <f t="shared" ca="1" si="180"/>
        <v>-2.1058400036315254E-2</v>
      </c>
    </row>
    <row r="9089" spans="6:7" x14ac:dyDescent="0.3">
      <c r="F9089" s="64">
        <v>9086</v>
      </c>
      <c r="G9089" s="64">
        <f t="shared" ca="1" si="180"/>
        <v>9.9994345429821746E-3</v>
      </c>
    </row>
    <row r="9090" spans="6:7" x14ac:dyDescent="0.3">
      <c r="F9090" s="64">
        <v>9087</v>
      </c>
      <c r="G9090" s="64">
        <f t="shared" ca="1" si="180"/>
        <v>-5.34271874135991E-2</v>
      </c>
    </row>
    <row r="9091" spans="6:7" x14ac:dyDescent="0.3">
      <c r="F9091" s="64">
        <v>9088</v>
      </c>
      <c r="G9091" s="64">
        <f t="shared" ca="1" si="180"/>
        <v>-1.102957525856932E-2</v>
      </c>
    </row>
    <row r="9092" spans="6:7" x14ac:dyDescent="0.3">
      <c r="F9092" s="64">
        <v>9089</v>
      </c>
      <c r="G9092" s="64">
        <f t="shared" ca="1" si="180"/>
        <v>-7.1505165769705208E-3</v>
      </c>
    </row>
    <row r="9093" spans="6:7" x14ac:dyDescent="0.3">
      <c r="F9093" s="64">
        <v>9090</v>
      </c>
      <c r="G9093" s="64">
        <f t="shared" ref="G9093:G9156" ca="1" si="181">_xlfn.NORM.INV(RAND(),K$6,K$7)</f>
        <v>-2.8648789617197072E-2</v>
      </c>
    </row>
    <row r="9094" spans="6:7" x14ac:dyDescent="0.3">
      <c r="F9094" s="64">
        <v>9091</v>
      </c>
      <c r="G9094" s="64">
        <f t="shared" ca="1" si="181"/>
        <v>1.197465933856719E-2</v>
      </c>
    </row>
    <row r="9095" spans="6:7" x14ac:dyDescent="0.3">
      <c r="F9095" s="64">
        <v>9092</v>
      </c>
      <c r="G9095" s="64">
        <f t="shared" ca="1" si="181"/>
        <v>1.3374090088779645E-2</v>
      </c>
    </row>
    <row r="9096" spans="6:7" x14ac:dyDescent="0.3">
      <c r="F9096" s="64">
        <v>9093</v>
      </c>
      <c r="G9096" s="64">
        <f t="shared" ca="1" si="181"/>
        <v>4.8074039177225004E-3</v>
      </c>
    </row>
    <row r="9097" spans="6:7" x14ac:dyDescent="0.3">
      <c r="F9097" s="64">
        <v>9094</v>
      </c>
      <c r="G9097" s="64">
        <f t="shared" ca="1" si="181"/>
        <v>-1.0715453741098207E-2</v>
      </c>
    </row>
    <row r="9098" spans="6:7" x14ac:dyDescent="0.3">
      <c r="F9098" s="64">
        <v>9095</v>
      </c>
      <c r="G9098" s="64">
        <f t="shared" ca="1" si="181"/>
        <v>6.6507504179424803E-2</v>
      </c>
    </row>
    <row r="9099" spans="6:7" x14ac:dyDescent="0.3">
      <c r="F9099" s="64">
        <v>9096</v>
      </c>
      <c r="G9099" s="64">
        <f t="shared" ca="1" si="181"/>
        <v>1.3049204476277838E-2</v>
      </c>
    </row>
    <row r="9100" spans="6:7" x14ac:dyDescent="0.3">
      <c r="F9100" s="64">
        <v>9097</v>
      </c>
      <c r="G9100" s="64">
        <f t="shared" ca="1" si="181"/>
        <v>-2.4211085333978158E-2</v>
      </c>
    </row>
    <row r="9101" spans="6:7" x14ac:dyDescent="0.3">
      <c r="F9101" s="64">
        <v>9098</v>
      </c>
      <c r="G9101" s="64">
        <f t="shared" ca="1" si="181"/>
        <v>2.0737875631585911E-2</v>
      </c>
    </row>
    <row r="9102" spans="6:7" x14ac:dyDescent="0.3">
      <c r="F9102" s="64">
        <v>9099</v>
      </c>
      <c r="G9102" s="64">
        <f t="shared" ca="1" si="181"/>
        <v>-3.8959413141372002E-4</v>
      </c>
    </row>
    <row r="9103" spans="6:7" x14ac:dyDescent="0.3">
      <c r="F9103" s="64">
        <v>9100</v>
      </c>
      <c r="G9103" s="64">
        <f t="shared" ca="1" si="181"/>
        <v>8.5332445882685647E-3</v>
      </c>
    </row>
    <row r="9104" spans="6:7" x14ac:dyDescent="0.3">
      <c r="F9104" s="64">
        <v>9101</v>
      </c>
      <c r="G9104" s="64">
        <f t="shared" ca="1" si="181"/>
        <v>2.1160028287980456E-2</v>
      </c>
    </row>
    <row r="9105" spans="6:7" x14ac:dyDescent="0.3">
      <c r="F9105" s="64">
        <v>9102</v>
      </c>
      <c r="G9105" s="64">
        <f t="shared" ca="1" si="181"/>
        <v>4.2877190418197306E-3</v>
      </c>
    </row>
    <row r="9106" spans="6:7" x14ac:dyDescent="0.3">
      <c r="F9106" s="64">
        <v>9103</v>
      </c>
      <c r="G9106" s="64">
        <f t="shared" ca="1" si="181"/>
        <v>-2.2464284100459184E-2</v>
      </c>
    </row>
    <row r="9107" spans="6:7" x14ac:dyDescent="0.3">
      <c r="F9107" s="64">
        <v>9104</v>
      </c>
      <c r="G9107" s="64">
        <f t="shared" ca="1" si="181"/>
        <v>-3.5155852618631869E-2</v>
      </c>
    </row>
    <row r="9108" spans="6:7" x14ac:dyDescent="0.3">
      <c r="F9108" s="64">
        <v>9105</v>
      </c>
      <c r="G9108" s="64">
        <f t="shared" ca="1" si="181"/>
        <v>-1.7841145826927939E-2</v>
      </c>
    </row>
    <row r="9109" spans="6:7" x14ac:dyDescent="0.3">
      <c r="F9109" s="64">
        <v>9106</v>
      </c>
      <c r="G9109" s="64">
        <f t="shared" ca="1" si="181"/>
        <v>-2.1083178436515949E-2</v>
      </c>
    </row>
    <row r="9110" spans="6:7" x14ac:dyDescent="0.3">
      <c r="F9110" s="64">
        <v>9107</v>
      </c>
      <c r="G9110" s="64">
        <f t="shared" ca="1" si="181"/>
        <v>1.387676594682952E-2</v>
      </c>
    </row>
    <row r="9111" spans="6:7" x14ac:dyDescent="0.3">
      <c r="F9111" s="64">
        <v>9108</v>
      </c>
      <c r="G9111" s="64">
        <f t="shared" ca="1" si="181"/>
        <v>6.4712101572061741E-3</v>
      </c>
    </row>
    <row r="9112" spans="6:7" x14ac:dyDescent="0.3">
      <c r="F9112" s="64">
        <v>9109</v>
      </c>
      <c r="G9112" s="64">
        <f t="shared" ca="1" si="181"/>
        <v>-9.874243143222038E-3</v>
      </c>
    </row>
    <row r="9113" spans="6:7" x14ac:dyDescent="0.3">
      <c r="F9113" s="64">
        <v>9110</v>
      </c>
      <c r="G9113" s="64">
        <f t="shared" ca="1" si="181"/>
        <v>-5.5756922751295122E-3</v>
      </c>
    </row>
    <row r="9114" spans="6:7" x14ac:dyDescent="0.3">
      <c r="F9114" s="64">
        <v>9111</v>
      </c>
      <c r="G9114" s="64">
        <f t="shared" ca="1" si="181"/>
        <v>-1.6293991762294222E-2</v>
      </c>
    </row>
    <row r="9115" spans="6:7" x14ac:dyDescent="0.3">
      <c r="F9115" s="64">
        <v>9112</v>
      </c>
      <c r="G9115" s="64">
        <f t="shared" ca="1" si="181"/>
        <v>1.6757664003480957E-2</v>
      </c>
    </row>
    <row r="9116" spans="6:7" x14ac:dyDescent="0.3">
      <c r="F9116" s="64">
        <v>9113</v>
      </c>
      <c r="G9116" s="64">
        <f t="shared" ca="1" si="181"/>
        <v>-2.5118182996756139E-2</v>
      </c>
    </row>
    <row r="9117" spans="6:7" x14ac:dyDescent="0.3">
      <c r="F9117" s="64">
        <v>9114</v>
      </c>
      <c r="G9117" s="64">
        <f t="shared" ca="1" si="181"/>
        <v>1.4204388042515603E-3</v>
      </c>
    </row>
    <row r="9118" spans="6:7" x14ac:dyDescent="0.3">
      <c r="F9118" s="64">
        <v>9115</v>
      </c>
      <c r="G9118" s="64">
        <f t="shared" ca="1" si="181"/>
        <v>-1.0311532927138206E-2</v>
      </c>
    </row>
    <row r="9119" spans="6:7" x14ac:dyDescent="0.3">
      <c r="F9119" s="64">
        <v>9116</v>
      </c>
      <c r="G9119" s="64">
        <f t="shared" ca="1" si="181"/>
        <v>5.5275414696385559E-3</v>
      </c>
    </row>
    <row r="9120" spans="6:7" x14ac:dyDescent="0.3">
      <c r="F9120" s="64">
        <v>9117</v>
      </c>
      <c r="G9120" s="64">
        <f t="shared" ca="1" si="181"/>
        <v>1.3873236852265495E-2</v>
      </c>
    </row>
    <row r="9121" spans="6:7" x14ac:dyDescent="0.3">
      <c r="F9121" s="64">
        <v>9118</v>
      </c>
      <c r="G9121" s="64">
        <f t="shared" ca="1" si="181"/>
        <v>1.4120654025302923E-2</v>
      </c>
    </row>
    <row r="9122" spans="6:7" x14ac:dyDescent="0.3">
      <c r="F9122" s="64">
        <v>9119</v>
      </c>
      <c r="G9122" s="64">
        <f t="shared" ca="1" si="181"/>
        <v>3.413531916345369E-3</v>
      </c>
    </row>
    <row r="9123" spans="6:7" x14ac:dyDescent="0.3">
      <c r="F9123" s="64">
        <v>9120</v>
      </c>
      <c r="G9123" s="64">
        <f t="shared" ca="1" si="181"/>
        <v>-3.5538177610727799E-2</v>
      </c>
    </row>
    <row r="9124" spans="6:7" x14ac:dyDescent="0.3">
      <c r="F9124" s="64">
        <v>9121</v>
      </c>
      <c r="G9124" s="64">
        <f t="shared" ca="1" si="181"/>
        <v>4.0658276993143366E-4</v>
      </c>
    </row>
    <row r="9125" spans="6:7" x14ac:dyDescent="0.3">
      <c r="F9125" s="64">
        <v>9122</v>
      </c>
      <c r="G9125" s="64">
        <f t="shared" ca="1" si="181"/>
        <v>2.3163380548660441E-2</v>
      </c>
    </row>
    <row r="9126" spans="6:7" x14ac:dyDescent="0.3">
      <c r="F9126" s="64">
        <v>9123</v>
      </c>
      <c r="G9126" s="64">
        <f t="shared" ca="1" si="181"/>
        <v>1.8688971614903467E-2</v>
      </c>
    </row>
    <row r="9127" spans="6:7" x14ac:dyDescent="0.3">
      <c r="F9127" s="64">
        <v>9124</v>
      </c>
      <c r="G9127" s="64">
        <f t="shared" ca="1" si="181"/>
        <v>1.6652455192079099E-2</v>
      </c>
    </row>
    <row r="9128" spans="6:7" x14ac:dyDescent="0.3">
      <c r="F9128" s="64">
        <v>9125</v>
      </c>
      <c r="G9128" s="64">
        <f t="shared" ca="1" si="181"/>
        <v>-4.5578793847364848E-3</v>
      </c>
    </row>
    <row r="9129" spans="6:7" x14ac:dyDescent="0.3">
      <c r="F9129" s="64">
        <v>9126</v>
      </c>
      <c r="G9129" s="64">
        <f t="shared" ca="1" si="181"/>
        <v>-1.3234999176081079E-2</v>
      </c>
    </row>
    <row r="9130" spans="6:7" x14ac:dyDescent="0.3">
      <c r="F9130" s="64">
        <v>9127</v>
      </c>
      <c r="G9130" s="64">
        <f t="shared" ca="1" si="181"/>
        <v>9.62451949565565E-3</v>
      </c>
    </row>
    <row r="9131" spans="6:7" x14ac:dyDescent="0.3">
      <c r="F9131" s="64">
        <v>9128</v>
      </c>
      <c r="G9131" s="64">
        <f t="shared" ca="1" si="181"/>
        <v>-7.8744468028837111E-3</v>
      </c>
    </row>
    <row r="9132" spans="6:7" x14ac:dyDescent="0.3">
      <c r="F9132" s="64">
        <v>9129</v>
      </c>
      <c r="G9132" s="64">
        <f t="shared" ca="1" si="181"/>
        <v>5.1010514899498975E-2</v>
      </c>
    </row>
    <row r="9133" spans="6:7" x14ac:dyDescent="0.3">
      <c r="F9133" s="64">
        <v>9130</v>
      </c>
      <c r="G9133" s="64">
        <f t="shared" ca="1" si="181"/>
        <v>-9.0346606615235585E-4</v>
      </c>
    </row>
    <row r="9134" spans="6:7" x14ac:dyDescent="0.3">
      <c r="F9134" s="64">
        <v>9131</v>
      </c>
      <c r="G9134" s="64">
        <f t="shared" ca="1" si="181"/>
        <v>4.1916002536124319E-2</v>
      </c>
    </row>
    <row r="9135" spans="6:7" x14ac:dyDescent="0.3">
      <c r="F9135" s="64">
        <v>9132</v>
      </c>
      <c r="G9135" s="64">
        <f t="shared" ca="1" si="181"/>
        <v>-3.8155124262355504E-2</v>
      </c>
    </row>
    <row r="9136" spans="6:7" x14ac:dyDescent="0.3">
      <c r="F9136" s="64">
        <v>9133</v>
      </c>
      <c r="G9136" s="64">
        <f t="shared" ca="1" si="181"/>
        <v>1.6619922522677182E-2</v>
      </c>
    </row>
    <row r="9137" spans="6:7" x14ac:dyDescent="0.3">
      <c r="F9137" s="64">
        <v>9134</v>
      </c>
      <c r="G9137" s="64">
        <f t="shared" ca="1" si="181"/>
        <v>-2.9180238077228096E-2</v>
      </c>
    </row>
    <row r="9138" spans="6:7" x14ac:dyDescent="0.3">
      <c r="F9138" s="64">
        <v>9135</v>
      </c>
      <c r="G9138" s="64">
        <f t="shared" ca="1" si="181"/>
        <v>-2.0110416666303824E-2</v>
      </c>
    </row>
    <row r="9139" spans="6:7" x14ac:dyDescent="0.3">
      <c r="F9139" s="64">
        <v>9136</v>
      </c>
      <c r="G9139" s="64">
        <f t="shared" ca="1" si="181"/>
        <v>-1.1802129792487535E-2</v>
      </c>
    </row>
    <row r="9140" spans="6:7" x14ac:dyDescent="0.3">
      <c r="F9140" s="64">
        <v>9137</v>
      </c>
      <c r="G9140" s="64">
        <f t="shared" ca="1" si="181"/>
        <v>3.5341786346431515E-2</v>
      </c>
    </row>
    <row r="9141" spans="6:7" x14ac:dyDescent="0.3">
      <c r="F9141" s="64">
        <v>9138</v>
      </c>
      <c r="G9141" s="64">
        <f t="shared" ca="1" si="181"/>
        <v>1.1224795472711917E-2</v>
      </c>
    </row>
    <row r="9142" spans="6:7" x14ac:dyDescent="0.3">
      <c r="F9142" s="64">
        <v>9139</v>
      </c>
      <c r="G9142" s="64">
        <f t="shared" ca="1" si="181"/>
        <v>2.3832960816685636E-2</v>
      </c>
    </row>
    <row r="9143" spans="6:7" x14ac:dyDescent="0.3">
      <c r="F9143" s="64">
        <v>9140</v>
      </c>
      <c r="G9143" s="64">
        <f t="shared" ca="1" si="181"/>
        <v>4.43294870198713E-2</v>
      </c>
    </row>
    <row r="9144" spans="6:7" x14ac:dyDescent="0.3">
      <c r="F9144" s="64">
        <v>9141</v>
      </c>
      <c r="G9144" s="64">
        <f t="shared" ca="1" si="181"/>
        <v>1.5322738590711207E-4</v>
      </c>
    </row>
    <row r="9145" spans="6:7" x14ac:dyDescent="0.3">
      <c r="F9145" s="64">
        <v>9142</v>
      </c>
      <c r="G9145" s="64">
        <f t="shared" ca="1" si="181"/>
        <v>-3.7739463946962057E-3</v>
      </c>
    </row>
    <row r="9146" spans="6:7" x14ac:dyDescent="0.3">
      <c r="F9146" s="64">
        <v>9143</v>
      </c>
      <c r="G9146" s="64">
        <f t="shared" ca="1" si="181"/>
        <v>-3.8142969886154642E-2</v>
      </c>
    </row>
    <row r="9147" spans="6:7" x14ac:dyDescent="0.3">
      <c r="F9147" s="64">
        <v>9144</v>
      </c>
      <c r="G9147" s="64">
        <f t="shared" ca="1" si="181"/>
        <v>-7.3284850986887421E-3</v>
      </c>
    </row>
    <row r="9148" spans="6:7" x14ac:dyDescent="0.3">
      <c r="F9148" s="64">
        <v>9145</v>
      </c>
      <c r="G9148" s="64">
        <f t="shared" ca="1" si="181"/>
        <v>-3.0988166165202384E-2</v>
      </c>
    </row>
    <row r="9149" spans="6:7" x14ac:dyDescent="0.3">
      <c r="F9149" s="64">
        <v>9146</v>
      </c>
      <c r="G9149" s="64">
        <f t="shared" ca="1" si="181"/>
        <v>3.6321143978134273E-3</v>
      </c>
    </row>
    <row r="9150" spans="6:7" x14ac:dyDescent="0.3">
      <c r="F9150" s="64">
        <v>9147</v>
      </c>
      <c r="G9150" s="64">
        <f t="shared" ca="1" si="181"/>
        <v>-2.3403546275061141E-3</v>
      </c>
    </row>
    <row r="9151" spans="6:7" x14ac:dyDescent="0.3">
      <c r="F9151" s="64">
        <v>9148</v>
      </c>
      <c r="G9151" s="64">
        <f t="shared" ca="1" si="181"/>
        <v>1.4017207495633351E-2</v>
      </c>
    </row>
    <row r="9152" spans="6:7" x14ac:dyDescent="0.3">
      <c r="F9152" s="64">
        <v>9149</v>
      </c>
      <c r="G9152" s="64">
        <f t="shared" ca="1" si="181"/>
        <v>2.6272942446796163E-2</v>
      </c>
    </row>
    <row r="9153" spans="6:7" x14ac:dyDescent="0.3">
      <c r="F9153" s="64">
        <v>9150</v>
      </c>
      <c r="G9153" s="64">
        <f t="shared" ca="1" si="181"/>
        <v>-5.2325032891920829E-2</v>
      </c>
    </row>
    <row r="9154" spans="6:7" x14ac:dyDescent="0.3">
      <c r="F9154" s="64">
        <v>9151</v>
      </c>
      <c r="G9154" s="64">
        <f t="shared" ca="1" si="181"/>
        <v>3.218473400688323E-2</v>
      </c>
    </row>
    <row r="9155" spans="6:7" x14ac:dyDescent="0.3">
      <c r="F9155" s="64">
        <v>9152</v>
      </c>
      <c r="G9155" s="64">
        <f t="shared" ca="1" si="181"/>
        <v>1.8036352915070081E-2</v>
      </c>
    </row>
    <row r="9156" spans="6:7" x14ac:dyDescent="0.3">
      <c r="F9156" s="64">
        <v>9153</v>
      </c>
      <c r="G9156" s="64">
        <f t="shared" ca="1" si="181"/>
        <v>4.2504504261789776E-2</v>
      </c>
    </row>
    <row r="9157" spans="6:7" x14ac:dyDescent="0.3">
      <c r="F9157" s="64">
        <v>9154</v>
      </c>
      <c r="G9157" s="64">
        <f t="shared" ref="G9157:G9220" ca="1" si="182">_xlfn.NORM.INV(RAND(),K$6,K$7)</f>
        <v>4.5410113698185475E-3</v>
      </c>
    </row>
    <row r="9158" spans="6:7" x14ac:dyDescent="0.3">
      <c r="F9158" s="64">
        <v>9155</v>
      </c>
      <c r="G9158" s="64">
        <f t="shared" ca="1" si="182"/>
        <v>2.8025874122823962E-3</v>
      </c>
    </row>
    <row r="9159" spans="6:7" x14ac:dyDescent="0.3">
      <c r="F9159" s="64">
        <v>9156</v>
      </c>
      <c r="G9159" s="64">
        <f t="shared" ca="1" si="182"/>
        <v>3.2277856734165215E-2</v>
      </c>
    </row>
    <row r="9160" spans="6:7" x14ac:dyDescent="0.3">
      <c r="F9160" s="64">
        <v>9157</v>
      </c>
      <c r="G9160" s="64">
        <f t="shared" ca="1" si="182"/>
        <v>-2.2492837972621867E-2</v>
      </c>
    </row>
    <row r="9161" spans="6:7" x14ac:dyDescent="0.3">
      <c r="F9161" s="64">
        <v>9158</v>
      </c>
      <c r="G9161" s="64">
        <f t="shared" ca="1" si="182"/>
        <v>-1.0785194088013478E-2</v>
      </c>
    </row>
    <row r="9162" spans="6:7" x14ac:dyDescent="0.3">
      <c r="F9162" s="64">
        <v>9159</v>
      </c>
      <c r="G9162" s="64">
        <f t="shared" ca="1" si="182"/>
        <v>-3.3309061848277324E-2</v>
      </c>
    </row>
    <row r="9163" spans="6:7" x14ac:dyDescent="0.3">
      <c r="F9163" s="64">
        <v>9160</v>
      </c>
      <c r="G9163" s="64">
        <f t="shared" ca="1" si="182"/>
        <v>4.7639733524911E-3</v>
      </c>
    </row>
    <row r="9164" spans="6:7" x14ac:dyDescent="0.3">
      <c r="F9164" s="64">
        <v>9161</v>
      </c>
      <c r="G9164" s="64">
        <f t="shared" ca="1" si="182"/>
        <v>-1.2403016183679975E-2</v>
      </c>
    </row>
    <row r="9165" spans="6:7" x14ac:dyDescent="0.3">
      <c r="F9165" s="64">
        <v>9162</v>
      </c>
      <c r="G9165" s="64">
        <f t="shared" ca="1" si="182"/>
        <v>5.1687397521085086E-3</v>
      </c>
    </row>
    <row r="9166" spans="6:7" x14ac:dyDescent="0.3">
      <c r="F9166" s="64">
        <v>9163</v>
      </c>
      <c r="G9166" s="64">
        <f t="shared" ca="1" si="182"/>
        <v>1.941871467731008E-3</v>
      </c>
    </row>
    <row r="9167" spans="6:7" x14ac:dyDescent="0.3">
      <c r="F9167" s="64">
        <v>9164</v>
      </c>
      <c r="G9167" s="64">
        <f t="shared" ca="1" si="182"/>
        <v>-1.5272010720434737E-2</v>
      </c>
    </row>
    <row r="9168" spans="6:7" x14ac:dyDescent="0.3">
      <c r="F9168" s="64">
        <v>9165</v>
      </c>
      <c r="G9168" s="64">
        <f t="shared" ca="1" si="182"/>
        <v>1.9144037345084741E-2</v>
      </c>
    </row>
    <row r="9169" spans="6:7" x14ac:dyDescent="0.3">
      <c r="F9169" s="64">
        <v>9166</v>
      </c>
      <c r="G9169" s="64">
        <f t="shared" ca="1" si="182"/>
        <v>-1.3605186515451884E-2</v>
      </c>
    </row>
    <row r="9170" spans="6:7" x14ac:dyDescent="0.3">
      <c r="F9170" s="64">
        <v>9167</v>
      </c>
      <c r="G9170" s="64">
        <f t="shared" ca="1" si="182"/>
        <v>-1.5389941318432821E-4</v>
      </c>
    </row>
    <row r="9171" spans="6:7" x14ac:dyDescent="0.3">
      <c r="F9171" s="64">
        <v>9168</v>
      </c>
      <c r="G9171" s="64">
        <f t="shared" ca="1" si="182"/>
        <v>1.6408621937563767E-3</v>
      </c>
    </row>
    <row r="9172" spans="6:7" x14ac:dyDescent="0.3">
      <c r="F9172" s="64">
        <v>9169</v>
      </c>
      <c r="G9172" s="64">
        <f t="shared" ca="1" si="182"/>
        <v>-1.6648157044021616E-2</v>
      </c>
    </row>
    <row r="9173" spans="6:7" x14ac:dyDescent="0.3">
      <c r="F9173" s="64">
        <v>9170</v>
      </c>
      <c r="G9173" s="64">
        <f t="shared" ca="1" si="182"/>
        <v>-9.9345224790373804E-3</v>
      </c>
    </row>
    <row r="9174" spans="6:7" x14ac:dyDescent="0.3">
      <c r="F9174" s="64">
        <v>9171</v>
      </c>
      <c r="G9174" s="64">
        <f t="shared" ca="1" si="182"/>
        <v>-1.157534558868864E-2</v>
      </c>
    </row>
    <row r="9175" spans="6:7" x14ac:dyDescent="0.3">
      <c r="F9175" s="64">
        <v>9172</v>
      </c>
      <c r="G9175" s="64">
        <f t="shared" ca="1" si="182"/>
        <v>2.265384495888665E-2</v>
      </c>
    </row>
    <row r="9176" spans="6:7" x14ac:dyDescent="0.3">
      <c r="F9176" s="64">
        <v>9173</v>
      </c>
      <c r="G9176" s="64">
        <f t="shared" ca="1" si="182"/>
        <v>3.6659726596482312E-2</v>
      </c>
    </row>
    <row r="9177" spans="6:7" x14ac:dyDescent="0.3">
      <c r="F9177" s="64">
        <v>9174</v>
      </c>
      <c r="G9177" s="64">
        <f t="shared" ca="1" si="182"/>
        <v>8.1332836995096532E-3</v>
      </c>
    </row>
    <row r="9178" spans="6:7" x14ac:dyDescent="0.3">
      <c r="F9178" s="64">
        <v>9175</v>
      </c>
      <c r="G9178" s="64">
        <f t="shared" ca="1" si="182"/>
        <v>-2.0745773472787693E-3</v>
      </c>
    </row>
    <row r="9179" spans="6:7" x14ac:dyDescent="0.3">
      <c r="F9179" s="64">
        <v>9176</v>
      </c>
      <c r="G9179" s="64">
        <f t="shared" ca="1" si="182"/>
        <v>-1.2918374090348848E-2</v>
      </c>
    </row>
    <row r="9180" spans="6:7" x14ac:dyDescent="0.3">
      <c r="F9180" s="64">
        <v>9177</v>
      </c>
      <c r="G9180" s="64">
        <f t="shared" ca="1" si="182"/>
        <v>2.2611812354161404E-2</v>
      </c>
    </row>
    <row r="9181" spans="6:7" x14ac:dyDescent="0.3">
      <c r="F9181" s="64">
        <v>9178</v>
      </c>
      <c r="G9181" s="64">
        <f t="shared" ca="1" si="182"/>
        <v>1.5995398943311426E-2</v>
      </c>
    </row>
    <row r="9182" spans="6:7" x14ac:dyDescent="0.3">
      <c r="F9182" s="64">
        <v>9179</v>
      </c>
      <c r="G9182" s="64">
        <f t="shared" ca="1" si="182"/>
        <v>2.8618169235814089E-2</v>
      </c>
    </row>
    <row r="9183" spans="6:7" x14ac:dyDescent="0.3">
      <c r="F9183" s="64">
        <v>9180</v>
      </c>
      <c r="G9183" s="64">
        <f t="shared" ca="1" si="182"/>
        <v>-1.6764231489829563E-2</v>
      </c>
    </row>
    <row r="9184" spans="6:7" x14ac:dyDescent="0.3">
      <c r="F9184" s="64">
        <v>9181</v>
      </c>
      <c r="G9184" s="64">
        <f t="shared" ca="1" si="182"/>
        <v>1.4939400289980692E-3</v>
      </c>
    </row>
    <row r="9185" spans="6:7" x14ac:dyDescent="0.3">
      <c r="F9185" s="64">
        <v>9182</v>
      </c>
      <c r="G9185" s="64">
        <f t="shared" ca="1" si="182"/>
        <v>2.7039736056058285E-2</v>
      </c>
    </row>
    <row r="9186" spans="6:7" x14ac:dyDescent="0.3">
      <c r="F9186" s="64">
        <v>9183</v>
      </c>
      <c r="G9186" s="64">
        <f t="shared" ca="1" si="182"/>
        <v>-2.1075429841866507E-2</v>
      </c>
    </row>
    <row r="9187" spans="6:7" x14ac:dyDescent="0.3">
      <c r="F9187" s="64">
        <v>9184</v>
      </c>
      <c r="G9187" s="64">
        <f t="shared" ca="1" si="182"/>
        <v>6.6072731312726493E-3</v>
      </c>
    </row>
    <row r="9188" spans="6:7" x14ac:dyDescent="0.3">
      <c r="F9188" s="64">
        <v>9185</v>
      </c>
      <c r="G9188" s="64">
        <f t="shared" ca="1" si="182"/>
        <v>-3.2522810794233172E-2</v>
      </c>
    </row>
    <row r="9189" spans="6:7" x14ac:dyDescent="0.3">
      <c r="F9189" s="64">
        <v>9186</v>
      </c>
      <c r="G9189" s="64">
        <f t="shared" ca="1" si="182"/>
        <v>-2.1242056995542088E-2</v>
      </c>
    </row>
    <row r="9190" spans="6:7" x14ac:dyDescent="0.3">
      <c r="F9190" s="64">
        <v>9187</v>
      </c>
      <c r="G9190" s="64">
        <f t="shared" ca="1" si="182"/>
        <v>-3.8492690496798231E-2</v>
      </c>
    </row>
    <row r="9191" spans="6:7" x14ac:dyDescent="0.3">
      <c r="F9191" s="64">
        <v>9188</v>
      </c>
      <c r="G9191" s="64">
        <f t="shared" ca="1" si="182"/>
        <v>1.3467948875610114E-2</v>
      </c>
    </row>
    <row r="9192" spans="6:7" x14ac:dyDescent="0.3">
      <c r="F9192" s="64">
        <v>9189</v>
      </c>
      <c r="G9192" s="64">
        <f t="shared" ca="1" si="182"/>
        <v>6.4290230459583247E-3</v>
      </c>
    </row>
    <row r="9193" spans="6:7" x14ac:dyDescent="0.3">
      <c r="F9193" s="64">
        <v>9190</v>
      </c>
      <c r="G9193" s="64">
        <f t="shared" ca="1" si="182"/>
        <v>-6.7108955899591385E-3</v>
      </c>
    </row>
    <row r="9194" spans="6:7" x14ac:dyDescent="0.3">
      <c r="F9194" s="64">
        <v>9191</v>
      </c>
      <c r="G9194" s="64">
        <f t="shared" ca="1" si="182"/>
        <v>-3.7901443001903254E-3</v>
      </c>
    </row>
    <row r="9195" spans="6:7" x14ac:dyDescent="0.3">
      <c r="F9195" s="64">
        <v>9192</v>
      </c>
      <c r="G9195" s="64">
        <f t="shared" ca="1" si="182"/>
        <v>8.0588482442695425E-3</v>
      </c>
    </row>
    <row r="9196" spans="6:7" x14ac:dyDescent="0.3">
      <c r="F9196" s="64">
        <v>9193</v>
      </c>
      <c r="G9196" s="64">
        <f t="shared" ca="1" si="182"/>
        <v>-3.6737983040789526E-2</v>
      </c>
    </row>
    <row r="9197" spans="6:7" x14ac:dyDescent="0.3">
      <c r="F9197" s="64">
        <v>9194</v>
      </c>
      <c r="G9197" s="64">
        <f t="shared" ca="1" si="182"/>
        <v>8.0606854122735935E-3</v>
      </c>
    </row>
    <row r="9198" spans="6:7" x14ac:dyDescent="0.3">
      <c r="F9198" s="64">
        <v>9195</v>
      </c>
      <c r="G9198" s="64">
        <f t="shared" ca="1" si="182"/>
        <v>3.9451542954005367E-2</v>
      </c>
    </row>
    <row r="9199" spans="6:7" x14ac:dyDescent="0.3">
      <c r="F9199" s="64">
        <v>9196</v>
      </c>
      <c r="G9199" s="64">
        <f t="shared" ca="1" si="182"/>
        <v>-1.6516009354405739E-2</v>
      </c>
    </row>
    <row r="9200" spans="6:7" x14ac:dyDescent="0.3">
      <c r="F9200" s="64">
        <v>9197</v>
      </c>
      <c r="G9200" s="64">
        <f t="shared" ca="1" si="182"/>
        <v>2.3239162627387525E-2</v>
      </c>
    </row>
    <row r="9201" spans="6:7" x14ac:dyDescent="0.3">
      <c r="F9201" s="64">
        <v>9198</v>
      </c>
      <c r="G9201" s="64">
        <f t="shared" ca="1" si="182"/>
        <v>5.1411216983902878E-2</v>
      </c>
    </row>
    <row r="9202" spans="6:7" x14ac:dyDescent="0.3">
      <c r="F9202" s="64">
        <v>9199</v>
      </c>
      <c r="G9202" s="64">
        <f t="shared" ca="1" si="182"/>
        <v>4.0308605556639961E-2</v>
      </c>
    </row>
    <row r="9203" spans="6:7" x14ac:dyDescent="0.3">
      <c r="F9203" s="64">
        <v>9200</v>
      </c>
      <c r="G9203" s="64">
        <f t="shared" ca="1" si="182"/>
        <v>-1.2232431882283883E-3</v>
      </c>
    </row>
    <row r="9204" spans="6:7" x14ac:dyDescent="0.3">
      <c r="F9204" s="64">
        <v>9201</v>
      </c>
      <c r="G9204" s="64">
        <f t="shared" ca="1" si="182"/>
        <v>-8.0874465358214617E-3</v>
      </c>
    </row>
    <row r="9205" spans="6:7" x14ac:dyDescent="0.3">
      <c r="F9205" s="64">
        <v>9202</v>
      </c>
      <c r="G9205" s="64">
        <f t="shared" ca="1" si="182"/>
        <v>-1.4770625065444251E-2</v>
      </c>
    </row>
    <row r="9206" spans="6:7" x14ac:dyDescent="0.3">
      <c r="F9206" s="64">
        <v>9203</v>
      </c>
      <c r="G9206" s="64">
        <f t="shared" ca="1" si="182"/>
        <v>2.3661741819331187E-3</v>
      </c>
    </row>
    <row r="9207" spans="6:7" x14ac:dyDescent="0.3">
      <c r="F9207" s="64">
        <v>9204</v>
      </c>
      <c r="G9207" s="64">
        <f t="shared" ca="1" si="182"/>
        <v>9.6772531355929347E-3</v>
      </c>
    </row>
    <row r="9208" spans="6:7" x14ac:dyDescent="0.3">
      <c r="F9208" s="64">
        <v>9205</v>
      </c>
      <c r="G9208" s="64">
        <f t="shared" ca="1" si="182"/>
        <v>2.5769093396438993E-2</v>
      </c>
    </row>
    <row r="9209" spans="6:7" x14ac:dyDescent="0.3">
      <c r="F9209" s="64">
        <v>9206</v>
      </c>
      <c r="G9209" s="64">
        <f t="shared" ca="1" si="182"/>
        <v>4.3095146427129059E-3</v>
      </c>
    </row>
    <row r="9210" spans="6:7" x14ac:dyDescent="0.3">
      <c r="F9210" s="64">
        <v>9207</v>
      </c>
      <c r="G9210" s="64">
        <f t="shared" ca="1" si="182"/>
        <v>-7.5521287356201533E-3</v>
      </c>
    </row>
    <row r="9211" spans="6:7" x14ac:dyDescent="0.3">
      <c r="F9211" s="64">
        <v>9208</v>
      </c>
      <c r="G9211" s="64">
        <f t="shared" ca="1" si="182"/>
        <v>-2.910375090029406E-3</v>
      </c>
    </row>
    <row r="9212" spans="6:7" x14ac:dyDescent="0.3">
      <c r="F9212" s="64">
        <v>9209</v>
      </c>
      <c r="G9212" s="64">
        <f t="shared" ca="1" si="182"/>
        <v>-1.4830366504167776E-2</v>
      </c>
    </row>
    <row r="9213" spans="6:7" x14ac:dyDescent="0.3">
      <c r="F9213" s="64">
        <v>9210</v>
      </c>
      <c r="G9213" s="64">
        <f t="shared" ca="1" si="182"/>
        <v>5.3783170306672939E-3</v>
      </c>
    </row>
    <row r="9214" spans="6:7" x14ac:dyDescent="0.3">
      <c r="F9214" s="64">
        <v>9211</v>
      </c>
      <c r="G9214" s="64">
        <f t="shared" ca="1" si="182"/>
        <v>-2.6791321574334864E-2</v>
      </c>
    </row>
    <row r="9215" spans="6:7" x14ac:dyDescent="0.3">
      <c r="F9215" s="64">
        <v>9212</v>
      </c>
      <c r="G9215" s="64">
        <f t="shared" ca="1" si="182"/>
        <v>-4.6576188853540909E-3</v>
      </c>
    </row>
    <row r="9216" spans="6:7" x14ac:dyDescent="0.3">
      <c r="F9216" s="64">
        <v>9213</v>
      </c>
      <c r="G9216" s="64">
        <f t="shared" ca="1" si="182"/>
        <v>1.4148719301064891E-3</v>
      </c>
    </row>
    <row r="9217" spans="6:7" x14ac:dyDescent="0.3">
      <c r="F9217" s="64">
        <v>9214</v>
      </c>
      <c r="G9217" s="64">
        <f t="shared" ca="1" si="182"/>
        <v>-1.2203053573892906E-2</v>
      </c>
    </row>
    <row r="9218" spans="6:7" x14ac:dyDescent="0.3">
      <c r="F9218" s="64">
        <v>9215</v>
      </c>
      <c r="G9218" s="64">
        <f t="shared" ca="1" si="182"/>
        <v>1.2938527504007468E-2</v>
      </c>
    </row>
    <row r="9219" spans="6:7" x14ac:dyDescent="0.3">
      <c r="F9219" s="64">
        <v>9216</v>
      </c>
      <c r="G9219" s="64">
        <f t="shared" ca="1" si="182"/>
        <v>-1.3609008706762814E-2</v>
      </c>
    </row>
    <row r="9220" spans="6:7" x14ac:dyDescent="0.3">
      <c r="F9220" s="64">
        <v>9217</v>
      </c>
      <c r="G9220" s="64">
        <f t="shared" ca="1" si="182"/>
        <v>3.1995831186844952E-2</v>
      </c>
    </row>
    <row r="9221" spans="6:7" x14ac:dyDescent="0.3">
      <c r="F9221" s="64">
        <v>9218</v>
      </c>
      <c r="G9221" s="64">
        <f t="shared" ref="G9221:G9284" ca="1" si="183">_xlfn.NORM.INV(RAND(),K$6,K$7)</f>
        <v>4.0412442913743206E-2</v>
      </c>
    </row>
    <row r="9222" spans="6:7" x14ac:dyDescent="0.3">
      <c r="F9222" s="64">
        <v>9219</v>
      </c>
      <c r="G9222" s="64">
        <f t="shared" ca="1" si="183"/>
        <v>-7.3160725849406947E-3</v>
      </c>
    </row>
    <row r="9223" spans="6:7" x14ac:dyDescent="0.3">
      <c r="F9223" s="64">
        <v>9220</v>
      </c>
      <c r="G9223" s="64">
        <f t="shared" ca="1" si="183"/>
        <v>8.5548270406100909E-3</v>
      </c>
    </row>
    <row r="9224" spans="6:7" x14ac:dyDescent="0.3">
      <c r="F9224" s="64">
        <v>9221</v>
      </c>
      <c r="G9224" s="64">
        <f t="shared" ca="1" si="183"/>
        <v>1.8898812968440328E-3</v>
      </c>
    </row>
    <row r="9225" spans="6:7" x14ac:dyDescent="0.3">
      <c r="F9225" s="64">
        <v>9222</v>
      </c>
      <c r="G9225" s="64">
        <f t="shared" ca="1" si="183"/>
        <v>-2.1142047049289715E-2</v>
      </c>
    </row>
    <row r="9226" spans="6:7" x14ac:dyDescent="0.3">
      <c r="F9226" s="64">
        <v>9223</v>
      </c>
      <c r="G9226" s="64">
        <f t="shared" ca="1" si="183"/>
        <v>2.2546491784325294E-2</v>
      </c>
    </row>
    <row r="9227" spans="6:7" x14ac:dyDescent="0.3">
      <c r="F9227" s="64">
        <v>9224</v>
      </c>
      <c r="G9227" s="64">
        <f t="shared" ca="1" si="183"/>
        <v>7.7846537055756846E-4</v>
      </c>
    </row>
    <row r="9228" spans="6:7" x14ac:dyDescent="0.3">
      <c r="F9228" s="64">
        <v>9225</v>
      </c>
      <c r="G9228" s="64">
        <f t="shared" ca="1" si="183"/>
        <v>3.058674806652148E-2</v>
      </c>
    </row>
    <row r="9229" spans="6:7" x14ac:dyDescent="0.3">
      <c r="F9229" s="64">
        <v>9226</v>
      </c>
      <c r="G9229" s="64">
        <f t="shared" ca="1" si="183"/>
        <v>2.4951741954680688E-2</v>
      </c>
    </row>
    <row r="9230" spans="6:7" x14ac:dyDescent="0.3">
      <c r="F9230" s="64">
        <v>9227</v>
      </c>
      <c r="G9230" s="64">
        <f t="shared" ca="1" si="183"/>
        <v>-2.1278873109309621E-2</v>
      </c>
    </row>
    <row r="9231" spans="6:7" x14ac:dyDescent="0.3">
      <c r="F9231" s="64">
        <v>9228</v>
      </c>
      <c r="G9231" s="64">
        <f t="shared" ca="1" si="183"/>
        <v>4.682096940252619E-3</v>
      </c>
    </row>
    <row r="9232" spans="6:7" x14ac:dyDescent="0.3">
      <c r="F9232" s="64">
        <v>9229</v>
      </c>
      <c r="G9232" s="64">
        <f t="shared" ca="1" si="183"/>
        <v>-1.1941868973651126E-2</v>
      </c>
    </row>
    <row r="9233" spans="6:7" x14ac:dyDescent="0.3">
      <c r="F9233" s="64">
        <v>9230</v>
      </c>
      <c r="G9233" s="64">
        <f t="shared" ca="1" si="183"/>
        <v>3.9588591034411553E-3</v>
      </c>
    </row>
    <row r="9234" spans="6:7" x14ac:dyDescent="0.3">
      <c r="F9234" s="64">
        <v>9231</v>
      </c>
      <c r="G9234" s="64">
        <f t="shared" ca="1" si="183"/>
        <v>3.3478872825868075E-2</v>
      </c>
    </row>
    <row r="9235" spans="6:7" x14ac:dyDescent="0.3">
      <c r="F9235" s="64">
        <v>9232</v>
      </c>
      <c r="G9235" s="64">
        <f t="shared" ca="1" si="183"/>
        <v>1.508411610041154E-2</v>
      </c>
    </row>
    <row r="9236" spans="6:7" x14ac:dyDescent="0.3">
      <c r="F9236" s="64">
        <v>9233</v>
      </c>
      <c r="G9236" s="64">
        <f t="shared" ca="1" si="183"/>
        <v>-4.3158920980322819E-2</v>
      </c>
    </row>
    <row r="9237" spans="6:7" x14ac:dyDescent="0.3">
      <c r="F9237" s="64">
        <v>9234</v>
      </c>
      <c r="G9237" s="64">
        <f t="shared" ca="1" si="183"/>
        <v>-2.1759666127105115E-2</v>
      </c>
    </row>
    <row r="9238" spans="6:7" x14ac:dyDescent="0.3">
      <c r="F9238" s="64">
        <v>9235</v>
      </c>
      <c r="G9238" s="64">
        <f t="shared" ca="1" si="183"/>
        <v>8.8545155077131756E-3</v>
      </c>
    </row>
    <row r="9239" spans="6:7" x14ac:dyDescent="0.3">
      <c r="F9239" s="64">
        <v>9236</v>
      </c>
      <c r="G9239" s="64">
        <f t="shared" ca="1" si="183"/>
        <v>1.1952116202554602E-2</v>
      </c>
    </row>
    <row r="9240" spans="6:7" x14ac:dyDescent="0.3">
      <c r="F9240" s="64">
        <v>9237</v>
      </c>
      <c r="G9240" s="64">
        <f t="shared" ca="1" si="183"/>
        <v>1.66206846577302E-2</v>
      </c>
    </row>
    <row r="9241" spans="6:7" x14ac:dyDescent="0.3">
      <c r="F9241" s="64">
        <v>9238</v>
      </c>
      <c r="G9241" s="64">
        <f t="shared" ca="1" si="183"/>
        <v>2.1696265319791033E-2</v>
      </c>
    </row>
    <row r="9242" spans="6:7" x14ac:dyDescent="0.3">
      <c r="F9242" s="64">
        <v>9239</v>
      </c>
      <c r="G9242" s="64">
        <f t="shared" ca="1" si="183"/>
        <v>-3.6571068486634391E-2</v>
      </c>
    </row>
    <row r="9243" spans="6:7" x14ac:dyDescent="0.3">
      <c r="F9243" s="64">
        <v>9240</v>
      </c>
      <c r="G9243" s="64">
        <f t="shared" ca="1" si="183"/>
        <v>4.3755321409967105E-3</v>
      </c>
    </row>
    <row r="9244" spans="6:7" x14ac:dyDescent="0.3">
      <c r="F9244" s="64">
        <v>9241</v>
      </c>
      <c r="G9244" s="64">
        <f t="shared" ca="1" si="183"/>
        <v>-1.9686411102859264E-2</v>
      </c>
    </row>
    <row r="9245" spans="6:7" x14ac:dyDescent="0.3">
      <c r="F9245" s="64">
        <v>9242</v>
      </c>
      <c r="G9245" s="64">
        <f t="shared" ca="1" si="183"/>
        <v>6.095626780296487E-3</v>
      </c>
    </row>
    <row r="9246" spans="6:7" x14ac:dyDescent="0.3">
      <c r="F9246" s="64">
        <v>9243</v>
      </c>
      <c r="G9246" s="64">
        <f t="shared" ca="1" si="183"/>
        <v>1.5209788177310572E-4</v>
      </c>
    </row>
    <row r="9247" spans="6:7" x14ac:dyDescent="0.3">
      <c r="F9247" s="64">
        <v>9244</v>
      </c>
      <c r="G9247" s="64">
        <f t="shared" ca="1" si="183"/>
        <v>-1.7471565936041412E-3</v>
      </c>
    </row>
    <row r="9248" spans="6:7" x14ac:dyDescent="0.3">
      <c r="F9248" s="64">
        <v>9245</v>
      </c>
      <c r="G9248" s="64">
        <f t="shared" ca="1" si="183"/>
        <v>-2.1763416483168922E-2</v>
      </c>
    </row>
    <row r="9249" spans="6:7" x14ac:dyDescent="0.3">
      <c r="F9249" s="64">
        <v>9246</v>
      </c>
      <c r="G9249" s="64">
        <f t="shared" ca="1" si="183"/>
        <v>-3.8577008718956009E-2</v>
      </c>
    </row>
    <row r="9250" spans="6:7" x14ac:dyDescent="0.3">
      <c r="F9250" s="64">
        <v>9247</v>
      </c>
      <c r="G9250" s="64">
        <f t="shared" ca="1" si="183"/>
        <v>8.9756816150942127E-3</v>
      </c>
    </row>
    <row r="9251" spans="6:7" x14ac:dyDescent="0.3">
      <c r="F9251" s="64">
        <v>9248</v>
      </c>
      <c r="G9251" s="64">
        <f t="shared" ca="1" si="183"/>
        <v>3.1880230534992289E-2</v>
      </c>
    </row>
    <row r="9252" spans="6:7" x14ac:dyDescent="0.3">
      <c r="F9252" s="64">
        <v>9249</v>
      </c>
      <c r="G9252" s="64">
        <f t="shared" ca="1" si="183"/>
        <v>-2.2579030660253581E-2</v>
      </c>
    </row>
    <row r="9253" spans="6:7" x14ac:dyDescent="0.3">
      <c r="F9253" s="64">
        <v>9250</v>
      </c>
      <c r="G9253" s="64">
        <f t="shared" ca="1" si="183"/>
        <v>-7.455790851046501E-3</v>
      </c>
    </row>
    <row r="9254" spans="6:7" x14ac:dyDescent="0.3">
      <c r="F9254" s="64">
        <v>9251</v>
      </c>
      <c r="G9254" s="64">
        <f t="shared" ca="1" si="183"/>
        <v>-2.44506740937592E-2</v>
      </c>
    </row>
    <row r="9255" spans="6:7" x14ac:dyDescent="0.3">
      <c r="F9255" s="64">
        <v>9252</v>
      </c>
      <c r="G9255" s="64">
        <f t="shared" ca="1" si="183"/>
        <v>8.8445033854490738E-3</v>
      </c>
    </row>
    <row r="9256" spans="6:7" x14ac:dyDescent="0.3">
      <c r="F9256" s="64">
        <v>9253</v>
      </c>
      <c r="G9256" s="64">
        <f t="shared" ca="1" si="183"/>
        <v>-1.7589881197575957E-2</v>
      </c>
    </row>
    <row r="9257" spans="6:7" x14ac:dyDescent="0.3">
      <c r="F9257" s="64">
        <v>9254</v>
      </c>
      <c r="G9257" s="64">
        <f t="shared" ca="1" si="183"/>
        <v>-1.6561673086893589E-2</v>
      </c>
    </row>
    <row r="9258" spans="6:7" x14ac:dyDescent="0.3">
      <c r="F9258" s="64">
        <v>9255</v>
      </c>
      <c r="G9258" s="64">
        <f t="shared" ca="1" si="183"/>
        <v>-1.2594305078045402E-2</v>
      </c>
    </row>
    <row r="9259" spans="6:7" x14ac:dyDescent="0.3">
      <c r="F9259" s="64">
        <v>9256</v>
      </c>
      <c r="G9259" s="64">
        <f t="shared" ca="1" si="183"/>
        <v>-3.149845760171281E-3</v>
      </c>
    </row>
    <row r="9260" spans="6:7" x14ac:dyDescent="0.3">
      <c r="F9260" s="64">
        <v>9257</v>
      </c>
      <c r="G9260" s="64">
        <f t="shared" ca="1" si="183"/>
        <v>-1.2790335284726085E-2</v>
      </c>
    </row>
    <row r="9261" spans="6:7" x14ac:dyDescent="0.3">
      <c r="F9261" s="64">
        <v>9258</v>
      </c>
      <c r="G9261" s="64">
        <f t="shared" ca="1" si="183"/>
        <v>2.0914373615825053E-4</v>
      </c>
    </row>
    <row r="9262" spans="6:7" x14ac:dyDescent="0.3">
      <c r="F9262" s="64">
        <v>9259</v>
      </c>
      <c r="G9262" s="64">
        <f t="shared" ca="1" si="183"/>
        <v>-1.8730085927580929E-2</v>
      </c>
    </row>
    <row r="9263" spans="6:7" x14ac:dyDescent="0.3">
      <c r="F9263" s="64">
        <v>9260</v>
      </c>
      <c r="G9263" s="64">
        <f t="shared" ca="1" si="183"/>
        <v>-3.4058226201616804E-2</v>
      </c>
    </row>
    <row r="9264" spans="6:7" x14ac:dyDescent="0.3">
      <c r="F9264" s="64">
        <v>9261</v>
      </c>
      <c r="G9264" s="64">
        <f t="shared" ca="1" si="183"/>
        <v>1.5593522082662219E-3</v>
      </c>
    </row>
    <row r="9265" spans="6:7" x14ac:dyDescent="0.3">
      <c r="F9265" s="64">
        <v>9262</v>
      </c>
      <c r="G9265" s="64">
        <f t="shared" ca="1" si="183"/>
        <v>1.6263669310796049E-3</v>
      </c>
    </row>
    <row r="9266" spans="6:7" x14ac:dyDescent="0.3">
      <c r="F9266" s="64">
        <v>9263</v>
      </c>
      <c r="G9266" s="64">
        <f t="shared" ca="1" si="183"/>
        <v>8.8807084689074712E-3</v>
      </c>
    </row>
    <row r="9267" spans="6:7" x14ac:dyDescent="0.3">
      <c r="F9267" s="64">
        <v>9264</v>
      </c>
      <c r="G9267" s="64">
        <f t="shared" ca="1" si="183"/>
        <v>8.7003722361961352E-3</v>
      </c>
    </row>
    <row r="9268" spans="6:7" x14ac:dyDescent="0.3">
      <c r="F9268" s="64">
        <v>9265</v>
      </c>
      <c r="G9268" s="64">
        <f t="shared" ca="1" si="183"/>
        <v>-5.2060223010424846E-3</v>
      </c>
    </row>
    <row r="9269" spans="6:7" x14ac:dyDescent="0.3">
      <c r="F9269" s="64">
        <v>9266</v>
      </c>
      <c r="G9269" s="64">
        <f t="shared" ca="1" si="183"/>
        <v>-1.8060919904556924E-2</v>
      </c>
    </row>
    <row r="9270" spans="6:7" x14ac:dyDescent="0.3">
      <c r="F9270" s="64">
        <v>9267</v>
      </c>
      <c r="G9270" s="64">
        <f t="shared" ca="1" si="183"/>
        <v>-1.5303458181674017E-2</v>
      </c>
    </row>
    <row r="9271" spans="6:7" x14ac:dyDescent="0.3">
      <c r="F9271" s="64">
        <v>9268</v>
      </c>
      <c r="G9271" s="64">
        <f t="shared" ca="1" si="183"/>
        <v>-1.135184090970358E-2</v>
      </c>
    </row>
    <row r="9272" spans="6:7" x14ac:dyDescent="0.3">
      <c r="F9272" s="64">
        <v>9269</v>
      </c>
      <c r="G9272" s="64">
        <f t="shared" ca="1" si="183"/>
        <v>1.6655838169118843E-2</v>
      </c>
    </row>
    <row r="9273" spans="6:7" x14ac:dyDescent="0.3">
      <c r="F9273" s="64">
        <v>9270</v>
      </c>
      <c r="G9273" s="64">
        <f t="shared" ca="1" si="183"/>
        <v>1.7480980159927273E-2</v>
      </c>
    </row>
    <row r="9274" spans="6:7" x14ac:dyDescent="0.3">
      <c r="F9274" s="64">
        <v>9271</v>
      </c>
      <c r="G9274" s="64">
        <f t="shared" ca="1" si="183"/>
        <v>-4.8857746722041624E-4</v>
      </c>
    </row>
    <row r="9275" spans="6:7" x14ac:dyDescent="0.3">
      <c r="F9275" s="64">
        <v>9272</v>
      </c>
      <c r="G9275" s="64">
        <f t="shared" ca="1" si="183"/>
        <v>1.443990105381181E-3</v>
      </c>
    </row>
    <row r="9276" spans="6:7" x14ac:dyDescent="0.3">
      <c r="F9276" s="64">
        <v>9273</v>
      </c>
      <c r="G9276" s="64">
        <f t="shared" ca="1" si="183"/>
        <v>1.9871693942077023E-2</v>
      </c>
    </row>
    <row r="9277" spans="6:7" x14ac:dyDescent="0.3">
      <c r="F9277" s="64">
        <v>9274</v>
      </c>
      <c r="G9277" s="64">
        <f t="shared" ca="1" si="183"/>
        <v>-1.7891262111369197E-2</v>
      </c>
    </row>
    <row r="9278" spans="6:7" x14ac:dyDescent="0.3">
      <c r="F9278" s="64">
        <v>9275</v>
      </c>
      <c r="G9278" s="64">
        <f t="shared" ca="1" si="183"/>
        <v>-6.5773894867449754E-3</v>
      </c>
    </row>
    <row r="9279" spans="6:7" x14ac:dyDescent="0.3">
      <c r="F9279" s="64">
        <v>9276</v>
      </c>
      <c r="G9279" s="64">
        <f t="shared" ca="1" si="183"/>
        <v>-2.9607395249592276E-3</v>
      </c>
    </row>
    <row r="9280" spans="6:7" x14ac:dyDescent="0.3">
      <c r="F9280" s="64">
        <v>9277</v>
      </c>
      <c r="G9280" s="64">
        <f t="shared" ca="1" si="183"/>
        <v>-3.7796607641872558E-3</v>
      </c>
    </row>
    <row r="9281" spans="6:7" x14ac:dyDescent="0.3">
      <c r="F9281" s="64">
        <v>9278</v>
      </c>
      <c r="G9281" s="64">
        <f t="shared" ca="1" si="183"/>
        <v>-3.3720955657285591E-2</v>
      </c>
    </row>
    <row r="9282" spans="6:7" x14ac:dyDescent="0.3">
      <c r="F9282" s="64">
        <v>9279</v>
      </c>
      <c r="G9282" s="64">
        <f t="shared" ca="1" si="183"/>
        <v>-7.3917013067591967E-3</v>
      </c>
    </row>
    <row r="9283" spans="6:7" x14ac:dyDescent="0.3">
      <c r="F9283" s="64">
        <v>9280</v>
      </c>
      <c r="G9283" s="64">
        <f t="shared" ca="1" si="183"/>
        <v>-9.9283551065184224E-3</v>
      </c>
    </row>
    <row r="9284" spans="6:7" x14ac:dyDescent="0.3">
      <c r="F9284" s="64">
        <v>9281</v>
      </c>
      <c r="G9284" s="64">
        <f t="shared" ca="1" si="183"/>
        <v>-2.866368056351236E-3</v>
      </c>
    </row>
    <row r="9285" spans="6:7" x14ac:dyDescent="0.3">
      <c r="F9285" s="64">
        <v>9282</v>
      </c>
      <c r="G9285" s="64">
        <f t="shared" ref="G9285:G9348" ca="1" si="184">_xlfn.NORM.INV(RAND(),K$6,K$7)</f>
        <v>-3.0655784409629365E-3</v>
      </c>
    </row>
    <row r="9286" spans="6:7" x14ac:dyDescent="0.3">
      <c r="F9286" s="64">
        <v>9283</v>
      </c>
      <c r="G9286" s="64">
        <f t="shared" ca="1" si="184"/>
        <v>5.0617974376985864E-3</v>
      </c>
    </row>
    <row r="9287" spans="6:7" x14ac:dyDescent="0.3">
      <c r="F9287" s="64">
        <v>9284</v>
      </c>
      <c r="G9287" s="64">
        <f t="shared" ca="1" si="184"/>
        <v>2.2440688292005066E-2</v>
      </c>
    </row>
    <row r="9288" spans="6:7" x14ac:dyDescent="0.3">
      <c r="F9288" s="64">
        <v>9285</v>
      </c>
      <c r="G9288" s="64">
        <f t="shared" ca="1" si="184"/>
        <v>1.6550557274495673E-2</v>
      </c>
    </row>
    <row r="9289" spans="6:7" x14ac:dyDescent="0.3">
      <c r="F9289" s="64">
        <v>9286</v>
      </c>
      <c r="G9289" s="64">
        <f t="shared" ca="1" si="184"/>
        <v>-4.4570550780003047E-3</v>
      </c>
    </row>
    <row r="9290" spans="6:7" x14ac:dyDescent="0.3">
      <c r="F9290" s="64">
        <v>9287</v>
      </c>
      <c r="G9290" s="64">
        <f t="shared" ca="1" si="184"/>
        <v>1.2981137818154562E-2</v>
      </c>
    </row>
    <row r="9291" spans="6:7" x14ac:dyDescent="0.3">
      <c r="F9291" s="64">
        <v>9288</v>
      </c>
      <c r="G9291" s="64">
        <f t="shared" ca="1" si="184"/>
        <v>1.0481507882535884E-2</v>
      </c>
    </row>
    <row r="9292" spans="6:7" x14ac:dyDescent="0.3">
      <c r="F9292" s="64">
        <v>9289</v>
      </c>
      <c r="G9292" s="64">
        <f t="shared" ca="1" si="184"/>
        <v>9.057689618236579E-3</v>
      </c>
    </row>
    <row r="9293" spans="6:7" x14ac:dyDescent="0.3">
      <c r="F9293" s="64">
        <v>9290</v>
      </c>
      <c r="G9293" s="64">
        <f t="shared" ca="1" si="184"/>
        <v>1.9427251878696414E-2</v>
      </c>
    </row>
    <row r="9294" spans="6:7" x14ac:dyDescent="0.3">
      <c r="F9294" s="64">
        <v>9291</v>
      </c>
      <c r="G9294" s="64">
        <f t="shared" ca="1" si="184"/>
        <v>8.2431674888308396E-3</v>
      </c>
    </row>
    <row r="9295" spans="6:7" x14ac:dyDescent="0.3">
      <c r="F9295" s="64">
        <v>9292</v>
      </c>
      <c r="G9295" s="64">
        <f t="shared" ca="1" si="184"/>
        <v>6.1626112851170941E-3</v>
      </c>
    </row>
    <row r="9296" spans="6:7" x14ac:dyDescent="0.3">
      <c r="F9296" s="64">
        <v>9293</v>
      </c>
      <c r="G9296" s="64">
        <f t="shared" ca="1" si="184"/>
        <v>4.3414363509251042E-2</v>
      </c>
    </row>
    <row r="9297" spans="6:7" x14ac:dyDescent="0.3">
      <c r="F9297" s="64">
        <v>9294</v>
      </c>
      <c r="G9297" s="64">
        <f t="shared" ca="1" si="184"/>
        <v>1.5288127628215768E-2</v>
      </c>
    </row>
    <row r="9298" spans="6:7" x14ac:dyDescent="0.3">
      <c r="F9298" s="64">
        <v>9295</v>
      </c>
      <c r="G9298" s="64">
        <f t="shared" ca="1" si="184"/>
        <v>-1.1215749264180078E-2</v>
      </c>
    </row>
    <row r="9299" spans="6:7" x14ac:dyDescent="0.3">
      <c r="F9299" s="64">
        <v>9296</v>
      </c>
      <c r="G9299" s="64">
        <f t="shared" ca="1" si="184"/>
        <v>5.4663072117277292E-3</v>
      </c>
    </row>
    <row r="9300" spans="6:7" x14ac:dyDescent="0.3">
      <c r="F9300" s="64">
        <v>9297</v>
      </c>
      <c r="G9300" s="64">
        <f t="shared" ca="1" si="184"/>
        <v>2.4471388585945365E-2</v>
      </c>
    </row>
    <row r="9301" spans="6:7" x14ac:dyDescent="0.3">
      <c r="F9301" s="64">
        <v>9298</v>
      </c>
      <c r="G9301" s="64">
        <f t="shared" ca="1" si="184"/>
        <v>7.5218991975558574E-3</v>
      </c>
    </row>
    <row r="9302" spans="6:7" x14ac:dyDescent="0.3">
      <c r="F9302" s="64">
        <v>9299</v>
      </c>
      <c r="G9302" s="64">
        <f t="shared" ca="1" si="184"/>
        <v>-4.5807842941056623E-2</v>
      </c>
    </row>
    <row r="9303" spans="6:7" x14ac:dyDescent="0.3">
      <c r="F9303" s="64">
        <v>9300</v>
      </c>
      <c r="G9303" s="64">
        <f t="shared" ca="1" si="184"/>
        <v>1.4192188487595982E-2</v>
      </c>
    </row>
    <row r="9304" spans="6:7" x14ac:dyDescent="0.3">
      <c r="F9304" s="64">
        <v>9301</v>
      </c>
      <c r="G9304" s="64">
        <f t="shared" ca="1" si="184"/>
        <v>4.1815498697565529E-3</v>
      </c>
    </row>
    <row r="9305" spans="6:7" x14ac:dyDescent="0.3">
      <c r="F9305" s="64">
        <v>9302</v>
      </c>
      <c r="G9305" s="64">
        <f t="shared" ca="1" si="184"/>
        <v>-6.0264037302334272E-3</v>
      </c>
    </row>
    <row r="9306" spans="6:7" x14ac:dyDescent="0.3">
      <c r="F9306" s="64">
        <v>9303</v>
      </c>
      <c r="G9306" s="64">
        <f t="shared" ca="1" si="184"/>
        <v>1.2896538902297623E-2</v>
      </c>
    </row>
    <row r="9307" spans="6:7" x14ac:dyDescent="0.3">
      <c r="F9307" s="64">
        <v>9304</v>
      </c>
      <c r="G9307" s="64">
        <f t="shared" ca="1" si="184"/>
        <v>-1.227753836757077E-2</v>
      </c>
    </row>
    <row r="9308" spans="6:7" x14ac:dyDescent="0.3">
      <c r="F9308" s="64">
        <v>9305</v>
      </c>
      <c r="G9308" s="64">
        <f t="shared" ca="1" si="184"/>
        <v>1.3500466247500198E-2</v>
      </c>
    </row>
    <row r="9309" spans="6:7" x14ac:dyDescent="0.3">
      <c r="F9309" s="64">
        <v>9306</v>
      </c>
      <c r="G9309" s="64">
        <f t="shared" ca="1" si="184"/>
        <v>-4.6143941457334282E-2</v>
      </c>
    </row>
    <row r="9310" spans="6:7" x14ac:dyDescent="0.3">
      <c r="F9310" s="64">
        <v>9307</v>
      </c>
      <c r="G9310" s="64">
        <f t="shared" ca="1" si="184"/>
        <v>-1.3010422651486466E-2</v>
      </c>
    </row>
    <row r="9311" spans="6:7" x14ac:dyDescent="0.3">
      <c r="F9311" s="64">
        <v>9308</v>
      </c>
      <c r="G9311" s="64">
        <f t="shared" ca="1" si="184"/>
        <v>-5.0390888111697639E-3</v>
      </c>
    </row>
    <row r="9312" spans="6:7" x14ac:dyDescent="0.3">
      <c r="F9312" s="64">
        <v>9309</v>
      </c>
      <c r="G9312" s="64">
        <f t="shared" ca="1" si="184"/>
        <v>2.2755084538804274E-2</v>
      </c>
    </row>
    <row r="9313" spans="6:7" x14ac:dyDescent="0.3">
      <c r="F9313" s="64">
        <v>9310</v>
      </c>
      <c r="G9313" s="64">
        <f t="shared" ca="1" si="184"/>
        <v>2.3892238948379919E-2</v>
      </c>
    </row>
    <row r="9314" spans="6:7" x14ac:dyDescent="0.3">
      <c r="F9314" s="64">
        <v>9311</v>
      </c>
      <c r="G9314" s="64">
        <f t="shared" ca="1" si="184"/>
        <v>9.2011520842583943E-3</v>
      </c>
    </row>
    <row r="9315" spans="6:7" x14ac:dyDescent="0.3">
      <c r="F9315" s="64">
        <v>9312</v>
      </c>
      <c r="G9315" s="64">
        <f t="shared" ca="1" si="184"/>
        <v>-2.8830706673213968E-2</v>
      </c>
    </row>
    <row r="9316" spans="6:7" x14ac:dyDescent="0.3">
      <c r="F9316" s="64">
        <v>9313</v>
      </c>
      <c r="G9316" s="64">
        <f t="shared" ca="1" si="184"/>
        <v>-2.7056671935643407E-2</v>
      </c>
    </row>
    <row r="9317" spans="6:7" x14ac:dyDescent="0.3">
      <c r="F9317" s="64">
        <v>9314</v>
      </c>
      <c r="G9317" s="64">
        <f t="shared" ca="1" si="184"/>
        <v>-1.9296786550393193E-2</v>
      </c>
    </row>
    <row r="9318" spans="6:7" x14ac:dyDescent="0.3">
      <c r="F9318" s="64">
        <v>9315</v>
      </c>
      <c r="G9318" s="64">
        <f t="shared" ca="1" si="184"/>
        <v>-1.1799915548161798E-2</v>
      </c>
    </row>
    <row r="9319" spans="6:7" x14ac:dyDescent="0.3">
      <c r="F9319" s="64">
        <v>9316</v>
      </c>
      <c r="G9319" s="64">
        <f t="shared" ca="1" si="184"/>
        <v>-4.031391856122446E-2</v>
      </c>
    </row>
    <row r="9320" spans="6:7" x14ac:dyDescent="0.3">
      <c r="F9320" s="64">
        <v>9317</v>
      </c>
      <c r="G9320" s="64">
        <f t="shared" ca="1" si="184"/>
        <v>-1.6244957933563682E-2</v>
      </c>
    </row>
    <row r="9321" spans="6:7" x14ac:dyDescent="0.3">
      <c r="F9321" s="64">
        <v>9318</v>
      </c>
      <c r="G9321" s="64">
        <f t="shared" ca="1" si="184"/>
        <v>-1.7183636231295945E-4</v>
      </c>
    </row>
    <row r="9322" spans="6:7" x14ac:dyDescent="0.3">
      <c r="F9322" s="64">
        <v>9319</v>
      </c>
      <c r="G9322" s="64">
        <f t="shared" ca="1" si="184"/>
        <v>-2.403464279547686E-2</v>
      </c>
    </row>
    <row r="9323" spans="6:7" x14ac:dyDescent="0.3">
      <c r="F9323" s="64">
        <v>9320</v>
      </c>
      <c r="G9323" s="64">
        <f t="shared" ca="1" si="184"/>
        <v>-2.5063558214266E-3</v>
      </c>
    </row>
    <row r="9324" spans="6:7" x14ac:dyDescent="0.3">
      <c r="F9324" s="64">
        <v>9321</v>
      </c>
      <c r="G9324" s="64">
        <f t="shared" ca="1" si="184"/>
        <v>6.01861366447778E-3</v>
      </c>
    </row>
    <row r="9325" spans="6:7" x14ac:dyDescent="0.3">
      <c r="F9325" s="64">
        <v>9322</v>
      </c>
      <c r="G9325" s="64">
        <f t="shared" ca="1" si="184"/>
        <v>-7.6775493659212851E-3</v>
      </c>
    </row>
    <row r="9326" spans="6:7" x14ac:dyDescent="0.3">
      <c r="F9326" s="64">
        <v>9323</v>
      </c>
      <c r="G9326" s="64">
        <f t="shared" ca="1" si="184"/>
        <v>2.5860340554006529E-3</v>
      </c>
    </row>
    <row r="9327" spans="6:7" x14ac:dyDescent="0.3">
      <c r="F9327" s="64">
        <v>9324</v>
      </c>
      <c r="G9327" s="64">
        <f t="shared" ca="1" si="184"/>
        <v>4.2766330393020052E-2</v>
      </c>
    </row>
    <row r="9328" spans="6:7" x14ac:dyDescent="0.3">
      <c r="F9328" s="64">
        <v>9325</v>
      </c>
      <c r="G9328" s="64">
        <f t="shared" ca="1" si="184"/>
        <v>-8.8449884000533722E-3</v>
      </c>
    </row>
    <row r="9329" spans="6:7" x14ac:dyDescent="0.3">
      <c r="F9329" s="64">
        <v>9326</v>
      </c>
      <c r="G9329" s="64">
        <f t="shared" ca="1" si="184"/>
        <v>2.3066874689578597E-2</v>
      </c>
    </row>
    <row r="9330" spans="6:7" x14ac:dyDescent="0.3">
      <c r="F9330" s="64">
        <v>9327</v>
      </c>
      <c r="G9330" s="64">
        <f t="shared" ca="1" si="184"/>
        <v>1.0105937051534701E-2</v>
      </c>
    </row>
    <row r="9331" spans="6:7" x14ac:dyDescent="0.3">
      <c r="F9331" s="64">
        <v>9328</v>
      </c>
      <c r="G9331" s="64">
        <f t="shared" ca="1" si="184"/>
        <v>1.0761449173406344E-2</v>
      </c>
    </row>
    <row r="9332" spans="6:7" x14ac:dyDescent="0.3">
      <c r="F9332" s="64">
        <v>9329</v>
      </c>
      <c r="G9332" s="64">
        <f t="shared" ca="1" si="184"/>
        <v>1.1506753449494162E-2</v>
      </c>
    </row>
    <row r="9333" spans="6:7" x14ac:dyDescent="0.3">
      <c r="F9333" s="64">
        <v>9330</v>
      </c>
      <c r="G9333" s="64">
        <f t="shared" ca="1" si="184"/>
        <v>-2.9506701207245564E-2</v>
      </c>
    </row>
    <row r="9334" spans="6:7" x14ac:dyDescent="0.3">
      <c r="F9334" s="64">
        <v>9331</v>
      </c>
      <c r="G9334" s="64">
        <f t="shared" ca="1" si="184"/>
        <v>-1.8812123873698565E-2</v>
      </c>
    </row>
    <row r="9335" spans="6:7" x14ac:dyDescent="0.3">
      <c r="F9335" s="64">
        <v>9332</v>
      </c>
      <c r="G9335" s="64">
        <f t="shared" ca="1" si="184"/>
        <v>-2.1927392732693876E-3</v>
      </c>
    </row>
    <row r="9336" spans="6:7" x14ac:dyDescent="0.3">
      <c r="F9336" s="64">
        <v>9333</v>
      </c>
      <c r="G9336" s="64">
        <f t="shared" ca="1" si="184"/>
        <v>2.1780481705285896E-2</v>
      </c>
    </row>
    <row r="9337" spans="6:7" x14ac:dyDescent="0.3">
      <c r="F9337" s="64">
        <v>9334</v>
      </c>
      <c r="G9337" s="64">
        <f t="shared" ca="1" si="184"/>
        <v>8.819841886132369E-3</v>
      </c>
    </row>
    <row r="9338" spans="6:7" x14ac:dyDescent="0.3">
      <c r="F9338" s="64">
        <v>9335</v>
      </c>
      <c r="G9338" s="64">
        <f t="shared" ca="1" si="184"/>
        <v>-2.1715742376519583E-3</v>
      </c>
    </row>
    <row r="9339" spans="6:7" x14ac:dyDescent="0.3">
      <c r="F9339" s="64">
        <v>9336</v>
      </c>
      <c r="G9339" s="64">
        <f t="shared" ca="1" si="184"/>
        <v>-1.0165391430367219E-2</v>
      </c>
    </row>
    <row r="9340" spans="6:7" x14ac:dyDescent="0.3">
      <c r="F9340" s="64">
        <v>9337</v>
      </c>
      <c r="G9340" s="64">
        <f t="shared" ca="1" si="184"/>
        <v>1.6844947073343032E-2</v>
      </c>
    </row>
    <row r="9341" spans="6:7" x14ac:dyDescent="0.3">
      <c r="F9341" s="64">
        <v>9338</v>
      </c>
      <c r="G9341" s="64">
        <f t="shared" ca="1" si="184"/>
        <v>2.4190799182202495E-2</v>
      </c>
    </row>
    <row r="9342" spans="6:7" x14ac:dyDescent="0.3">
      <c r="F9342" s="64">
        <v>9339</v>
      </c>
      <c r="G9342" s="64">
        <f t="shared" ca="1" si="184"/>
        <v>3.4888230101879796E-2</v>
      </c>
    </row>
    <row r="9343" spans="6:7" x14ac:dyDescent="0.3">
      <c r="F9343" s="64">
        <v>9340</v>
      </c>
      <c r="G9343" s="64">
        <f t="shared" ca="1" si="184"/>
        <v>1.254391181295767E-2</v>
      </c>
    </row>
    <row r="9344" spans="6:7" x14ac:dyDescent="0.3">
      <c r="F9344" s="64">
        <v>9341</v>
      </c>
      <c r="G9344" s="64">
        <f t="shared" ca="1" si="184"/>
        <v>2.1092444792151374E-2</v>
      </c>
    </row>
    <row r="9345" spans="6:7" x14ac:dyDescent="0.3">
      <c r="F9345" s="64">
        <v>9342</v>
      </c>
      <c r="G9345" s="64">
        <f t="shared" ca="1" si="184"/>
        <v>-3.3132941232616514E-3</v>
      </c>
    </row>
    <row r="9346" spans="6:7" x14ac:dyDescent="0.3">
      <c r="F9346" s="64">
        <v>9343</v>
      </c>
      <c r="G9346" s="64">
        <f t="shared" ca="1" si="184"/>
        <v>-2.6632798487468165E-3</v>
      </c>
    </row>
    <row r="9347" spans="6:7" x14ac:dyDescent="0.3">
      <c r="F9347" s="64">
        <v>9344</v>
      </c>
      <c r="G9347" s="64">
        <f t="shared" ca="1" si="184"/>
        <v>-2.3061580044490049E-2</v>
      </c>
    </row>
    <row r="9348" spans="6:7" x14ac:dyDescent="0.3">
      <c r="F9348" s="64">
        <v>9345</v>
      </c>
      <c r="G9348" s="64">
        <f t="shared" ca="1" si="184"/>
        <v>6.1602530181923782E-3</v>
      </c>
    </row>
    <row r="9349" spans="6:7" x14ac:dyDescent="0.3">
      <c r="F9349" s="64">
        <v>9346</v>
      </c>
      <c r="G9349" s="64">
        <f t="shared" ref="G9349:G9412" ca="1" si="185">_xlfn.NORM.INV(RAND(),K$6,K$7)</f>
        <v>-1.6271298137405903E-2</v>
      </c>
    </row>
    <row r="9350" spans="6:7" x14ac:dyDescent="0.3">
      <c r="F9350" s="64">
        <v>9347</v>
      </c>
      <c r="G9350" s="64">
        <f t="shared" ca="1" si="185"/>
        <v>-9.2565662076621695E-3</v>
      </c>
    </row>
    <row r="9351" spans="6:7" x14ac:dyDescent="0.3">
      <c r="F9351" s="64">
        <v>9348</v>
      </c>
      <c r="G9351" s="64">
        <f t="shared" ca="1" si="185"/>
        <v>-1.7512618215408136E-2</v>
      </c>
    </row>
    <row r="9352" spans="6:7" x14ac:dyDescent="0.3">
      <c r="F9352" s="64">
        <v>9349</v>
      </c>
      <c r="G9352" s="64">
        <f t="shared" ca="1" si="185"/>
        <v>2.397967076369166E-2</v>
      </c>
    </row>
    <row r="9353" spans="6:7" x14ac:dyDescent="0.3">
      <c r="F9353" s="64">
        <v>9350</v>
      </c>
      <c r="G9353" s="64">
        <f t="shared" ca="1" si="185"/>
        <v>2.9991602108493901E-2</v>
      </c>
    </row>
    <row r="9354" spans="6:7" x14ac:dyDescent="0.3">
      <c r="F9354" s="64">
        <v>9351</v>
      </c>
      <c r="G9354" s="64">
        <f t="shared" ca="1" si="185"/>
        <v>3.6811964653840144E-2</v>
      </c>
    </row>
    <row r="9355" spans="6:7" x14ac:dyDescent="0.3">
      <c r="F9355" s="64">
        <v>9352</v>
      </c>
      <c r="G9355" s="64">
        <f t="shared" ca="1" si="185"/>
        <v>3.8170871087686437E-2</v>
      </c>
    </row>
    <row r="9356" spans="6:7" x14ac:dyDescent="0.3">
      <c r="F9356" s="64">
        <v>9353</v>
      </c>
      <c r="G9356" s="64">
        <f t="shared" ca="1" si="185"/>
        <v>1.1701123554334341E-2</v>
      </c>
    </row>
    <row r="9357" spans="6:7" x14ac:dyDescent="0.3">
      <c r="F9357" s="64">
        <v>9354</v>
      </c>
      <c r="G9357" s="64">
        <f t="shared" ca="1" si="185"/>
        <v>1.8573840052064569E-2</v>
      </c>
    </row>
    <row r="9358" spans="6:7" x14ac:dyDescent="0.3">
      <c r="F9358" s="64">
        <v>9355</v>
      </c>
      <c r="G9358" s="64">
        <f t="shared" ca="1" si="185"/>
        <v>-1.4273825496726475E-2</v>
      </c>
    </row>
    <row r="9359" spans="6:7" x14ac:dyDescent="0.3">
      <c r="F9359" s="64">
        <v>9356</v>
      </c>
      <c r="G9359" s="64">
        <f t="shared" ca="1" si="185"/>
        <v>1.5517598638982222E-2</v>
      </c>
    </row>
    <row r="9360" spans="6:7" x14ac:dyDescent="0.3">
      <c r="F9360" s="64">
        <v>9357</v>
      </c>
      <c r="G9360" s="64">
        <f t="shared" ca="1" si="185"/>
        <v>-1.2742273919117716E-2</v>
      </c>
    </row>
    <row r="9361" spans="6:7" x14ac:dyDescent="0.3">
      <c r="F9361" s="64">
        <v>9358</v>
      </c>
      <c r="G9361" s="64">
        <f t="shared" ca="1" si="185"/>
        <v>3.7253279576074258E-2</v>
      </c>
    </row>
    <row r="9362" spans="6:7" x14ac:dyDescent="0.3">
      <c r="F9362" s="64">
        <v>9359</v>
      </c>
      <c r="G9362" s="64">
        <f t="shared" ca="1" si="185"/>
        <v>-8.9846269066454448E-4</v>
      </c>
    </row>
    <row r="9363" spans="6:7" x14ac:dyDescent="0.3">
      <c r="F9363" s="64">
        <v>9360</v>
      </c>
      <c r="G9363" s="64">
        <f t="shared" ca="1" si="185"/>
        <v>3.0314738728250197E-2</v>
      </c>
    </row>
    <row r="9364" spans="6:7" x14ac:dyDescent="0.3">
      <c r="F9364" s="64">
        <v>9361</v>
      </c>
      <c r="G9364" s="64">
        <f t="shared" ca="1" si="185"/>
        <v>-7.6126010038712836E-3</v>
      </c>
    </row>
    <row r="9365" spans="6:7" x14ac:dyDescent="0.3">
      <c r="F9365" s="64">
        <v>9362</v>
      </c>
      <c r="G9365" s="64">
        <f t="shared" ca="1" si="185"/>
        <v>-2.4545137796914474E-2</v>
      </c>
    </row>
    <row r="9366" spans="6:7" x14ac:dyDescent="0.3">
      <c r="F9366" s="64">
        <v>9363</v>
      </c>
      <c r="G9366" s="64">
        <f t="shared" ca="1" si="185"/>
        <v>1.1834671077154659E-2</v>
      </c>
    </row>
    <row r="9367" spans="6:7" x14ac:dyDescent="0.3">
      <c r="F9367" s="64">
        <v>9364</v>
      </c>
      <c r="G9367" s="64">
        <f t="shared" ca="1" si="185"/>
        <v>-6.2706995947921056E-3</v>
      </c>
    </row>
    <row r="9368" spans="6:7" x14ac:dyDescent="0.3">
      <c r="F9368" s="64">
        <v>9365</v>
      </c>
      <c r="G9368" s="64">
        <f t="shared" ca="1" si="185"/>
        <v>1.1784668225679825E-2</v>
      </c>
    </row>
    <row r="9369" spans="6:7" x14ac:dyDescent="0.3">
      <c r="F9369" s="64">
        <v>9366</v>
      </c>
      <c r="G9369" s="64">
        <f t="shared" ca="1" si="185"/>
        <v>1.0564665135516502E-2</v>
      </c>
    </row>
    <row r="9370" spans="6:7" x14ac:dyDescent="0.3">
      <c r="F9370" s="64">
        <v>9367</v>
      </c>
      <c r="G9370" s="64">
        <f t="shared" ca="1" si="185"/>
        <v>4.4178560328691479E-3</v>
      </c>
    </row>
    <row r="9371" spans="6:7" x14ac:dyDescent="0.3">
      <c r="F9371" s="64">
        <v>9368</v>
      </c>
      <c r="G9371" s="64">
        <f t="shared" ca="1" si="185"/>
        <v>-2.1560424476887259E-3</v>
      </c>
    </row>
    <row r="9372" spans="6:7" x14ac:dyDescent="0.3">
      <c r="F9372" s="64">
        <v>9369</v>
      </c>
      <c r="G9372" s="64">
        <f t="shared" ca="1" si="185"/>
        <v>8.7038360086263145E-3</v>
      </c>
    </row>
    <row r="9373" spans="6:7" x14ac:dyDescent="0.3">
      <c r="F9373" s="64">
        <v>9370</v>
      </c>
      <c r="G9373" s="64">
        <f t="shared" ca="1" si="185"/>
        <v>3.4630497770658381E-2</v>
      </c>
    </row>
    <row r="9374" spans="6:7" x14ac:dyDescent="0.3">
      <c r="F9374" s="64">
        <v>9371</v>
      </c>
      <c r="G9374" s="64">
        <f t="shared" ca="1" si="185"/>
        <v>-2.2045807894678499E-2</v>
      </c>
    </row>
    <row r="9375" spans="6:7" x14ac:dyDescent="0.3">
      <c r="F9375" s="64">
        <v>9372</v>
      </c>
      <c r="G9375" s="64">
        <f t="shared" ca="1" si="185"/>
        <v>1.5411020823213748E-2</v>
      </c>
    </row>
    <row r="9376" spans="6:7" x14ac:dyDescent="0.3">
      <c r="F9376" s="64">
        <v>9373</v>
      </c>
      <c r="G9376" s="64">
        <f t="shared" ca="1" si="185"/>
        <v>5.6308332862379795E-3</v>
      </c>
    </row>
    <row r="9377" spans="6:7" x14ac:dyDescent="0.3">
      <c r="F9377" s="64">
        <v>9374</v>
      </c>
      <c r="G9377" s="64">
        <f t="shared" ca="1" si="185"/>
        <v>-1.1774012985901163E-2</v>
      </c>
    </row>
    <row r="9378" spans="6:7" x14ac:dyDescent="0.3">
      <c r="F9378" s="64">
        <v>9375</v>
      </c>
      <c r="G9378" s="64">
        <f t="shared" ca="1" si="185"/>
        <v>8.0868445374301136E-3</v>
      </c>
    </row>
    <row r="9379" spans="6:7" x14ac:dyDescent="0.3">
      <c r="F9379" s="64">
        <v>9376</v>
      </c>
      <c r="G9379" s="64">
        <f t="shared" ca="1" si="185"/>
        <v>-1.3670899441320262E-3</v>
      </c>
    </row>
    <row r="9380" spans="6:7" x14ac:dyDescent="0.3">
      <c r="F9380" s="64">
        <v>9377</v>
      </c>
      <c r="G9380" s="64">
        <f t="shared" ca="1" si="185"/>
        <v>-1.9520850449284026E-2</v>
      </c>
    </row>
    <row r="9381" spans="6:7" x14ac:dyDescent="0.3">
      <c r="F9381" s="64">
        <v>9378</v>
      </c>
      <c r="G9381" s="64">
        <f t="shared" ca="1" si="185"/>
        <v>-2.5043958779023427E-2</v>
      </c>
    </row>
    <row r="9382" spans="6:7" x14ac:dyDescent="0.3">
      <c r="F9382" s="64">
        <v>9379</v>
      </c>
      <c r="G9382" s="64">
        <f t="shared" ca="1" si="185"/>
        <v>-2.2042598402854517E-2</v>
      </c>
    </row>
    <row r="9383" spans="6:7" x14ac:dyDescent="0.3">
      <c r="F9383" s="64">
        <v>9380</v>
      </c>
      <c r="G9383" s="64">
        <f t="shared" ca="1" si="185"/>
        <v>2.3915755329300362E-2</v>
      </c>
    </row>
    <row r="9384" spans="6:7" x14ac:dyDescent="0.3">
      <c r="F9384" s="64">
        <v>9381</v>
      </c>
      <c r="G9384" s="64">
        <f t="shared" ca="1" si="185"/>
        <v>-1.2755559199880391E-2</v>
      </c>
    </row>
    <row r="9385" spans="6:7" x14ac:dyDescent="0.3">
      <c r="F9385" s="64">
        <v>9382</v>
      </c>
      <c r="G9385" s="64">
        <f t="shared" ca="1" si="185"/>
        <v>2.5401532545850945E-2</v>
      </c>
    </row>
    <row r="9386" spans="6:7" x14ac:dyDescent="0.3">
      <c r="F9386" s="64">
        <v>9383</v>
      </c>
      <c r="G9386" s="64">
        <f t="shared" ca="1" si="185"/>
        <v>1.3311636592576125E-2</v>
      </c>
    </row>
    <row r="9387" spans="6:7" x14ac:dyDescent="0.3">
      <c r="F9387" s="64">
        <v>9384</v>
      </c>
      <c r="G9387" s="64">
        <f t="shared" ca="1" si="185"/>
        <v>-2.321645957751995E-2</v>
      </c>
    </row>
    <row r="9388" spans="6:7" x14ac:dyDescent="0.3">
      <c r="F9388" s="64">
        <v>9385</v>
      </c>
      <c r="G9388" s="64">
        <f t="shared" ca="1" si="185"/>
        <v>6.743516239084279E-3</v>
      </c>
    </row>
    <row r="9389" spans="6:7" x14ac:dyDescent="0.3">
      <c r="F9389" s="64">
        <v>9386</v>
      </c>
      <c r="G9389" s="64">
        <f t="shared" ca="1" si="185"/>
        <v>4.7007545111388375E-3</v>
      </c>
    </row>
    <row r="9390" spans="6:7" x14ac:dyDescent="0.3">
      <c r="F9390" s="64">
        <v>9387</v>
      </c>
      <c r="G9390" s="64">
        <f t="shared" ca="1" si="185"/>
        <v>3.3314250267134739E-4</v>
      </c>
    </row>
    <row r="9391" spans="6:7" x14ac:dyDescent="0.3">
      <c r="F9391" s="64">
        <v>9388</v>
      </c>
      <c r="G9391" s="64">
        <f t="shared" ca="1" si="185"/>
        <v>1.0884197854342418E-2</v>
      </c>
    </row>
    <row r="9392" spans="6:7" x14ac:dyDescent="0.3">
      <c r="F9392" s="64">
        <v>9389</v>
      </c>
      <c r="G9392" s="64">
        <f t="shared" ca="1" si="185"/>
        <v>1.8597475814074733E-2</v>
      </c>
    </row>
    <row r="9393" spans="6:7" x14ac:dyDescent="0.3">
      <c r="F9393" s="64">
        <v>9390</v>
      </c>
      <c r="G9393" s="64">
        <f t="shared" ca="1" si="185"/>
        <v>2.1722733478796295E-2</v>
      </c>
    </row>
    <row r="9394" spans="6:7" x14ac:dyDescent="0.3">
      <c r="F9394" s="64">
        <v>9391</v>
      </c>
      <c r="G9394" s="64">
        <f t="shared" ca="1" si="185"/>
        <v>2.7582551618537455E-4</v>
      </c>
    </row>
    <row r="9395" spans="6:7" x14ac:dyDescent="0.3">
      <c r="F9395" s="64">
        <v>9392</v>
      </c>
      <c r="G9395" s="64">
        <f t="shared" ca="1" si="185"/>
        <v>1.007183160547177E-2</v>
      </c>
    </row>
    <row r="9396" spans="6:7" x14ac:dyDescent="0.3">
      <c r="F9396" s="64">
        <v>9393</v>
      </c>
      <c r="G9396" s="64">
        <f t="shared" ca="1" si="185"/>
        <v>1.0258000703568628E-3</v>
      </c>
    </row>
    <row r="9397" spans="6:7" x14ac:dyDescent="0.3">
      <c r="F9397" s="64">
        <v>9394</v>
      </c>
      <c r="G9397" s="64">
        <f t="shared" ca="1" si="185"/>
        <v>1.9459580080386021E-2</v>
      </c>
    </row>
    <row r="9398" spans="6:7" x14ac:dyDescent="0.3">
      <c r="F9398" s="64">
        <v>9395</v>
      </c>
      <c r="G9398" s="64">
        <f t="shared" ca="1" si="185"/>
        <v>8.7935074965241455E-3</v>
      </c>
    </row>
    <row r="9399" spans="6:7" x14ac:dyDescent="0.3">
      <c r="F9399" s="64">
        <v>9396</v>
      </c>
      <c r="G9399" s="64">
        <f t="shared" ca="1" si="185"/>
        <v>2.4846131591327869E-2</v>
      </c>
    </row>
    <row r="9400" spans="6:7" x14ac:dyDescent="0.3">
      <c r="F9400" s="64">
        <v>9397</v>
      </c>
      <c r="G9400" s="64">
        <f t="shared" ca="1" si="185"/>
        <v>-2.0881896369591431E-2</v>
      </c>
    </row>
    <row r="9401" spans="6:7" x14ac:dyDescent="0.3">
      <c r="F9401" s="64">
        <v>9398</v>
      </c>
      <c r="G9401" s="64">
        <f t="shared" ca="1" si="185"/>
        <v>-5.9017261437812859E-3</v>
      </c>
    </row>
    <row r="9402" spans="6:7" x14ac:dyDescent="0.3">
      <c r="F9402" s="64">
        <v>9399</v>
      </c>
      <c r="G9402" s="64">
        <f t="shared" ca="1" si="185"/>
        <v>8.6403492086048472E-3</v>
      </c>
    </row>
    <row r="9403" spans="6:7" x14ac:dyDescent="0.3">
      <c r="F9403" s="64">
        <v>9400</v>
      </c>
      <c r="G9403" s="64">
        <f t="shared" ca="1" si="185"/>
        <v>-1.540039812603494E-2</v>
      </c>
    </row>
    <row r="9404" spans="6:7" x14ac:dyDescent="0.3">
      <c r="F9404" s="64">
        <v>9401</v>
      </c>
      <c r="G9404" s="64">
        <f t="shared" ca="1" si="185"/>
        <v>-3.7196591672811067E-3</v>
      </c>
    </row>
    <row r="9405" spans="6:7" x14ac:dyDescent="0.3">
      <c r="F9405" s="64">
        <v>9402</v>
      </c>
      <c r="G9405" s="64">
        <f t="shared" ca="1" si="185"/>
        <v>1.0740052335329948E-2</v>
      </c>
    </row>
    <row r="9406" spans="6:7" x14ac:dyDescent="0.3">
      <c r="F9406" s="64">
        <v>9403</v>
      </c>
      <c r="G9406" s="64">
        <f t="shared" ca="1" si="185"/>
        <v>1.7799350875233675E-3</v>
      </c>
    </row>
    <row r="9407" spans="6:7" x14ac:dyDescent="0.3">
      <c r="F9407" s="64">
        <v>9404</v>
      </c>
      <c r="G9407" s="64">
        <f t="shared" ca="1" si="185"/>
        <v>4.9994469171687018E-2</v>
      </c>
    </row>
    <row r="9408" spans="6:7" x14ac:dyDescent="0.3">
      <c r="F9408" s="64">
        <v>9405</v>
      </c>
      <c r="G9408" s="64">
        <f t="shared" ca="1" si="185"/>
        <v>-1.3120663266318167E-2</v>
      </c>
    </row>
    <row r="9409" spans="6:7" x14ac:dyDescent="0.3">
      <c r="F9409" s="64">
        <v>9406</v>
      </c>
      <c r="G9409" s="64">
        <f t="shared" ca="1" si="185"/>
        <v>-1.6268637106728462E-2</v>
      </c>
    </row>
    <row r="9410" spans="6:7" x14ac:dyDescent="0.3">
      <c r="F9410" s="64">
        <v>9407</v>
      </c>
      <c r="G9410" s="64">
        <f t="shared" ca="1" si="185"/>
        <v>-1.3071131669665356E-3</v>
      </c>
    </row>
    <row r="9411" spans="6:7" x14ac:dyDescent="0.3">
      <c r="F9411" s="64">
        <v>9408</v>
      </c>
      <c r="G9411" s="64">
        <f t="shared" ca="1" si="185"/>
        <v>-6.5493245180751909E-3</v>
      </c>
    </row>
    <row r="9412" spans="6:7" x14ac:dyDescent="0.3">
      <c r="F9412" s="64">
        <v>9409</v>
      </c>
      <c r="G9412" s="64">
        <f t="shared" ca="1" si="185"/>
        <v>1.9881087839065284E-3</v>
      </c>
    </row>
    <row r="9413" spans="6:7" x14ac:dyDescent="0.3">
      <c r="F9413" s="64">
        <v>9410</v>
      </c>
      <c r="G9413" s="64">
        <f t="shared" ref="G9413:G9476" ca="1" si="186">_xlfn.NORM.INV(RAND(),K$6,K$7)</f>
        <v>4.2376841989267616E-3</v>
      </c>
    </row>
    <row r="9414" spans="6:7" x14ac:dyDescent="0.3">
      <c r="F9414" s="64">
        <v>9411</v>
      </c>
      <c r="G9414" s="64">
        <f t="shared" ca="1" si="186"/>
        <v>1.3854851471096517E-2</v>
      </c>
    </row>
    <row r="9415" spans="6:7" x14ac:dyDescent="0.3">
      <c r="F9415" s="64">
        <v>9412</v>
      </c>
      <c r="G9415" s="64">
        <f t="shared" ca="1" si="186"/>
        <v>2.0624889471889778E-2</v>
      </c>
    </row>
    <row r="9416" spans="6:7" x14ac:dyDescent="0.3">
      <c r="F9416" s="64">
        <v>9413</v>
      </c>
      <c r="G9416" s="64">
        <f t="shared" ca="1" si="186"/>
        <v>4.0852854406590641E-3</v>
      </c>
    </row>
    <row r="9417" spans="6:7" x14ac:dyDescent="0.3">
      <c r="F9417" s="64">
        <v>9414</v>
      </c>
      <c r="G9417" s="64">
        <f t="shared" ca="1" si="186"/>
        <v>-1.9568391629234225E-2</v>
      </c>
    </row>
    <row r="9418" spans="6:7" x14ac:dyDescent="0.3">
      <c r="F9418" s="64">
        <v>9415</v>
      </c>
      <c r="G9418" s="64">
        <f t="shared" ca="1" si="186"/>
        <v>-1.0927186412454387E-2</v>
      </c>
    </row>
    <row r="9419" spans="6:7" x14ac:dyDescent="0.3">
      <c r="F9419" s="64">
        <v>9416</v>
      </c>
      <c r="G9419" s="64">
        <f t="shared" ca="1" si="186"/>
        <v>-2.6262881756185137E-2</v>
      </c>
    </row>
    <row r="9420" spans="6:7" x14ac:dyDescent="0.3">
      <c r="F9420" s="64">
        <v>9417</v>
      </c>
      <c r="G9420" s="64">
        <f t="shared" ca="1" si="186"/>
        <v>8.2955087410694107E-3</v>
      </c>
    </row>
    <row r="9421" spans="6:7" x14ac:dyDescent="0.3">
      <c r="F9421" s="64">
        <v>9418</v>
      </c>
      <c r="G9421" s="64">
        <f t="shared" ca="1" si="186"/>
        <v>1.1293382094757843E-2</v>
      </c>
    </row>
    <row r="9422" spans="6:7" x14ac:dyDescent="0.3">
      <c r="F9422" s="64">
        <v>9419</v>
      </c>
      <c r="G9422" s="64">
        <f t="shared" ca="1" si="186"/>
        <v>-2.7337041637442695E-2</v>
      </c>
    </row>
    <row r="9423" spans="6:7" x14ac:dyDescent="0.3">
      <c r="F9423" s="64">
        <v>9420</v>
      </c>
      <c r="G9423" s="64">
        <f t="shared" ca="1" si="186"/>
        <v>8.0973886996442007E-3</v>
      </c>
    </row>
    <row r="9424" spans="6:7" x14ac:dyDescent="0.3">
      <c r="F9424" s="64">
        <v>9421</v>
      </c>
      <c r="G9424" s="64">
        <f t="shared" ca="1" si="186"/>
        <v>1.2122021447378175E-2</v>
      </c>
    </row>
    <row r="9425" spans="6:7" x14ac:dyDescent="0.3">
      <c r="F9425" s="64">
        <v>9422</v>
      </c>
      <c r="G9425" s="64">
        <f t="shared" ca="1" si="186"/>
        <v>3.1101545921147548E-3</v>
      </c>
    </row>
    <row r="9426" spans="6:7" x14ac:dyDescent="0.3">
      <c r="F9426" s="64">
        <v>9423</v>
      </c>
      <c r="G9426" s="64">
        <f t="shared" ca="1" si="186"/>
        <v>-2.0683891063667404E-3</v>
      </c>
    </row>
    <row r="9427" spans="6:7" x14ac:dyDescent="0.3">
      <c r="F9427" s="64">
        <v>9424</v>
      </c>
      <c r="G9427" s="64">
        <f t="shared" ca="1" si="186"/>
        <v>-1.799441528713136E-2</v>
      </c>
    </row>
    <row r="9428" spans="6:7" x14ac:dyDescent="0.3">
      <c r="F9428" s="64">
        <v>9425</v>
      </c>
      <c r="G9428" s="64">
        <f t="shared" ca="1" si="186"/>
        <v>1.4730243813970605E-2</v>
      </c>
    </row>
    <row r="9429" spans="6:7" x14ac:dyDescent="0.3">
      <c r="F9429" s="64">
        <v>9426</v>
      </c>
      <c r="G9429" s="64">
        <f t="shared" ca="1" si="186"/>
        <v>-1.6578686552632338E-2</v>
      </c>
    </row>
    <row r="9430" spans="6:7" x14ac:dyDescent="0.3">
      <c r="F9430" s="64">
        <v>9427</v>
      </c>
      <c r="G9430" s="64">
        <f t="shared" ca="1" si="186"/>
        <v>2.1894251396382562E-2</v>
      </c>
    </row>
    <row r="9431" spans="6:7" x14ac:dyDescent="0.3">
      <c r="F9431" s="64">
        <v>9428</v>
      </c>
      <c r="G9431" s="64">
        <f t="shared" ca="1" si="186"/>
        <v>-8.7114386498971085E-3</v>
      </c>
    </row>
    <row r="9432" spans="6:7" x14ac:dyDescent="0.3">
      <c r="F9432" s="64">
        <v>9429</v>
      </c>
      <c r="G9432" s="64">
        <f t="shared" ca="1" si="186"/>
        <v>4.6107635059891312E-3</v>
      </c>
    </row>
    <row r="9433" spans="6:7" x14ac:dyDescent="0.3">
      <c r="F9433" s="64">
        <v>9430</v>
      </c>
      <c r="G9433" s="64">
        <f t="shared" ca="1" si="186"/>
        <v>-5.2959643627448717E-3</v>
      </c>
    </row>
    <row r="9434" spans="6:7" x14ac:dyDescent="0.3">
      <c r="F9434" s="64">
        <v>9431</v>
      </c>
      <c r="G9434" s="64">
        <f t="shared" ca="1" si="186"/>
        <v>-2.4292358113955602E-3</v>
      </c>
    </row>
    <row r="9435" spans="6:7" x14ac:dyDescent="0.3">
      <c r="F9435" s="64">
        <v>9432</v>
      </c>
      <c r="G9435" s="64">
        <f t="shared" ca="1" si="186"/>
        <v>-1.220320751136033E-2</v>
      </c>
    </row>
    <row r="9436" spans="6:7" x14ac:dyDescent="0.3">
      <c r="F9436" s="64">
        <v>9433</v>
      </c>
      <c r="G9436" s="64">
        <f t="shared" ca="1" si="186"/>
        <v>2.1307570078926445E-3</v>
      </c>
    </row>
    <row r="9437" spans="6:7" x14ac:dyDescent="0.3">
      <c r="F9437" s="64">
        <v>9434</v>
      </c>
      <c r="G9437" s="64">
        <f t="shared" ca="1" si="186"/>
        <v>1.0738744464802751E-4</v>
      </c>
    </row>
    <row r="9438" spans="6:7" x14ac:dyDescent="0.3">
      <c r="F9438" s="64">
        <v>9435</v>
      </c>
      <c r="G9438" s="64">
        <f t="shared" ca="1" si="186"/>
        <v>-2.5865892799565612E-3</v>
      </c>
    </row>
    <row r="9439" spans="6:7" x14ac:dyDescent="0.3">
      <c r="F9439" s="64">
        <v>9436</v>
      </c>
      <c r="G9439" s="64">
        <f t="shared" ca="1" si="186"/>
        <v>-1.7519934047287643E-3</v>
      </c>
    </row>
    <row r="9440" spans="6:7" x14ac:dyDescent="0.3">
      <c r="F9440" s="64">
        <v>9437</v>
      </c>
      <c r="G9440" s="64">
        <f t="shared" ca="1" si="186"/>
        <v>-3.8259822615513148E-3</v>
      </c>
    </row>
    <row r="9441" spans="6:7" x14ac:dyDescent="0.3">
      <c r="F9441" s="64">
        <v>9438</v>
      </c>
      <c r="G9441" s="64">
        <f t="shared" ca="1" si="186"/>
        <v>-1.4673650942793914E-2</v>
      </c>
    </row>
    <row r="9442" spans="6:7" x14ac:dyDescent="0.3">
      <c r="F9442" s="64">
        <v>9439</v>
      </c>
      <c r="G9442" s="64">
        <f t="shared" ca="1" si="186"/>
        <v>1.7394574599150892E-2</v>
      </c>
    </row>
    <row r="9443" spans="6:7" x14ac:dyDescent="0.3">
      <c r="F9443" s="64">
        <v>9440</v>
      </c>
      <c r="G9443" s="64">
        <f t="shared" ca="1" si="186"/>
        <v>7.0059369124515726E-3</v>
      </c>
    </row>
    <row r="9444" spans="6:7" x14ac:dyDescent="0.3">
      <c r="F9444" s="64">
        <v>9441</v>
      </c>
      <c r="G9444" s="64">
        <f t="shared" ca="1" si="186"/>
        <v>-2.5426530349090856E-2</v>
      </c>
    </row>
    <row r="9445" spans="6:7" x14ac:dyDescent="0.3">
      <c r="F9445" s="64">
        <v>9442</v>
      </c>
      <c r="G9445" s="64">
        <f t="shared" ca="1" si="186"/>
        <v>1.0425355927228801E-2</v>
      </c>
    </row>
    <row r="9446" spans="6:7" x14ac:dyDescent="0.3">
      <c r="F9446" s="64">
        <v>9443</v>
      </c>
      <c r="G9446" s="64">
        <f t="shared" ca="1" si="186"/>
        <v>-9.410651223131011E-4</v>
      </c>
    </row>
    <row r="9447" spans="6:7" x14ac:dyDescent="0.3">
      <c r="F9447" s="64">
        <v>9444</v>
      </c>
      <c r="G9447" s="64">
        <f t="shared" ca="1" si="186"/>
        <v>1.4783703338921031E-2</v>
      </c>
    </row>
    <row r="9448" spans="6:7" x14ac:dyDescent="0.3">
      <c r="F9448" s="64">
        <v>9445</v>
      </c>
      <c r="G9448" s="64">
        <f t="shared" ca="1" si="186"/>
        <v>-4.2847241385506538E-2</v>
      </c>
    </row>
    <row r="9449" spans="6:7" x14ac:dyDescent="0.3">
      <c r="F9449" s="64">
        <v>9446</v>
      </c>
      <c r="G9449" s="64">
        <f t="shared" ca="1" si="186"/>
        <v>2.375970468219752E-2</v>
      </c>
    </row>
    <row r="9450" spans="6:7" x14ac:dyDescent="0.3">
      <c r="F9450" s="64">
        <v>9447</v>
      </c>
      <c r="G9450" s="64">
        <f t="shared" ca="1" si="186"/>
        <v>-6.9205992592230696E-3</v>
      </c>
    </row>
    <row r="9451" spans="6:7" x14ac:dyDescent="0.3">
      <c r="F9451" s="64">
        <v>9448</v>
      </c>
      <c r="G9451" s="64">
        <f t="shared" ca="1" si="186"/>
        <v>-5.8471874161394825E-3</v>
      </c>
    </row>
    <row r="9452" spans="6:7" x14ac:dyDescent="0.3">
      <c r="F9452" s="64">
        <v>9449</v>
      </c>
      <c r="G9452" s="64">
        <f t="shared" ca="1" si="186"/>
        <v>-2.4613535429425762E-3</v>
      </c>
    </row>
    <row r="9453" spans="6:7" x14ac:dyDescent="0.3">
      <c r="F9453" s="64">
        <v>9450</v>
      </c>
      <c r="G9453" s="64">
        <f t="shared" ca="1" si="186"/>
        <v>-2.9498365760811773E-2</v>
      </c>
    </row>
    <row r="9454" spans="6:7" x14ac:dyDescent="0.3">
      <c r="F9454" s="64">
        <v>9451</v>
      </c>
      <c r="G9454" s="64">
        <f t="shared" ca="1" si="186"/>
        <v>-1.9145756596724718E-2</v>
      </c>
    </row>
    <row r="9455" spans="6:7" x14ac:dyDescent="0.3">
      <c r="F9455" s="64">
        <v>9452</v>
      </c>
      <c r="G9455" s="64">
        <f t="shared" ca="1" si="186"/>
        <v>2.6800544786216553E-2</v>
      </c>
    </row>
    <row r="9456" spans="6:7" x14ac:dyDescent="0.3">
      <c r="F9456" s="64">
        <v>9453</v>
      </c>
      <c r="G9456" s="64">
        <f t="shared" ca="1" si="186"/>
        <v>-3.7545426801241698E-2</v>
      </c>
    </row>
    <row r="9457" spans="6:7" x14ac:dyDescent="0.3">
      <c r="F9457" s="64">
        <v>9454</v>
      </c>
      <c r="G9457" s="64">
        <f t="shared" ca="1" si="186"/>
        <v>-2.4646950462719482E-2</v>
      </c>
    </row>
    <row r="9458" spans="6:7" x14ac:dyDescent="0.3">
      <c r="F9458" s="64">
        <v>9455</v>
      </c>
      <c r="G9458" s="64">
        <f t="shared" ca="1" si="186"/>
        <v>-1.2640438544687617E-2</v>
      </c>
    </row>
    <row r="9459" spans="6:7" x14ac:dyDescent="0.3">
      <c r="F9459" s="64">
        <v>9456</v>
      </c>
      <c r="G9459" s="64">
        <f t="shared" ca="1" si="186"/>
        <v>4.3085609652346299E-2</v>
      </c>
    </row>
    <row r="9460" spans="6:7" x14ac:dyDescent="0.3">
      <c r="F9460" s="64">
        <v>9457</v>
      </c>
      <c r="G9460" s="64">
        <f t="shared" ca="1" si="186"/>
        <v>9.5421511791965955E-3</v>
      </c>
    </row>
    <row r="9461" spans="6:7" x14ac:dyDescent="0.3">
      <c r="F9461" s="64">
        <v>9458</v>
      </c>
      <c r="G9461" s="64">
        <f t="shared" ca="1" si="186"/>
        <v>5.4316441680866918E-2</v>
      </c>
    </row>
    <row r="9462" spans="6:7" x14ac:dyDescent="0.3">
      <c r="F9462" s="64">
        <v>9459</v>
      </c>
      <c r="G9462" s="64">
        <f t="shared" ca="1" si="186"/>
        <v>-6.1856339227557861E-3</v>
      </c>
    </row>
    <row r="9463" spans="6:7" x14ac:dyDescent="0.3">
      <c r="F9463" s="64">
        <v>9460</v>
      </c>
      <c r="G9463" s="64">
        <f t="shared" ca="1" si="186"/>
        <v>-1.5349786497525927E-3</v>
      </c>
    </row>
    <row r="9464" spans="6:7" x14ac:dyDescent="0.3">
      <c r="F9464" s="64">
        <v>9461</v>
      </c>
      <c r="G9464" s="64">
        <f t="shared" ca="1" si="186"/>
        <v>-1.658956148045386E-2</v>
      </c>
    </row>
    <row r="9465" spans="6:7" x14ac:dyDescent="0.3">
      <c r="F9465" s="64">
        <v>9462</v>
      </c>
      <c r="G9465" s="64">
        <f t="shared" ca="1" si="186"/>
        <v>-3.5793924198355784E-3</v>
      </c>
    </row>
    <row r="9466" spans="6:7" x14ac:dyDescent="0.3">
      <c r="F9466" s="64">
        <v>9463</v>
      </c>
      <c r="G9466" s="64">
        <f t="shared" ca="1" si="186"/>
        <v>3.8393762654616893E-2</v>
      </c>
    </row>
    <row r="9467" spans="6:7" x14ac:dyDescent="0.3">
      <c r="F9467" s="64">
        <v>9464</v>
      </c>
      <c r="G9467" s="64">
        <f t="shared" ca="1" si="186"/>
        <v>1.6084073287673101E-2</v>
      </c>
    </row>
    <row r="9468" spans="6:7" x14ac:dyDescent="0.3">
      <c r="F9468" s="64">
        <v>9465</v>
      </c>
      <c r="G9468" s="64">
        <f t="shared" ca="1" si="186"/>
        <v>-1.0105031735303631E-2</v>
      </c>
    </row>
    <row r="9469" spans="6:7" x14ac:dyDescent="0.3">
      <c r="F9469" s="64">
        <v>9466</v>
      </c>
      <c r="G9469" s="64">
        <f t="shared" ca="1" si="186"/>
        <v>-6.1960873167736172E-3</v>
      </c>
    </row>
    <row r="9470" spans="6:7" x14ac:dyDescent="0.3">
      <c r="F9470" s="64">
        <v>9467</v>
      </c>
      <c r="G9470" s="64">
        <f t="shared" ca="1" si="186"/>
        <v>-2.2568666122918732E-3</v>
      </c>
    </row>
    <row r="9471" spans="6:7" x14ac:dyDescent="0.3">
      <c r="F9471" s="64">
        <v>9468</v>
      </c>
      <c r="G9471" s="64">
        <f t="shared" ca="1" si="186"/>
        <v>8.0347840139244203E-3</v>
      </c>
    </row>
    <row r="9472" spans="6:7" x14ac:dyDescent="0.3">
      <c r="F9472" s="64">
        <v>9469</v>
      </c>
      <c r="G9472" s="64">
        <f t="shared" ca="1" si="186"/>
        <v>-2.535392109008916E-2</v>
      </c>
    </row>
    <row r="9473" spans="6:7" x14ac:dyDescent="0.3">
      <c r="F9473" s="64">
        <v>9470</v>
      </c>
      <c r="G9473" s="64">
        <f t="shared" ca="1" si="186"/>
        <v>1.1267666374827949E-2</v>
      </c>
    </row>
    <row r="9474" spans="6:7" x14ac:dyDescent="0.3">
      <c r="F9474" s="64">
        <v>9471</v>
      </c>
      <c r="G9474" s="64">
        <f t="shared" ca="1" si="186"/>
        <v>-6.5074546910377663E-3</v>
      </c>
    </row>
    <row r="9475" spans="6:7" x14ac:dyDescent="0.3">
      <c r="F9475" s="64">
        <v>9472</v>
      </c>
      <c r="G9475" s="64">
        <f t="shared" ca="1" si="186"/>
        <v>1.4211680749755308E-3</v>
      </c>
    </row>
    <row r="9476" spans="6:7" x14ac:dyDescent="0.3">
      <c r="F9476" s="64">
        <v>9473</v>
      </c>
      <c r="G9476" s="64">
        <f t="shared" ca="1" si="186"/>
        <v>-9.3396016497426029E-3</v>
      </c>
    </row>
    <row r="9477" spans="6:7" x14ac:dyDescent="0.3">
      <c r="F9477" s="64">
        <v>9474</v>
      </c>
      <c r="G9477" s="64">
        <f t="shared" ref="G9477:G9540" ca="1" si="187">_xlfn.NORM.INV(RAND(),K$6,K$7)</f>
        <v>-2.1078118730589693E-2</v>
      </c>
    </row>
    <row r="9478" spans="6:7" x14ac:dyDescent="0.3">
      <c r="F9478" s="64">
        <v>9475</v>
      </c>
      <c r="G9478" s="64">
        <f t="shared" ca="1" si="187"/>
        <v>2.7414973888635688E-2</v>
      </c>
    </row>
    <row r="9479" spans="6:7" x14ac:dyDescent="0.3">
      <c r="F9479" s="64">
        <v>9476</v>
      </c>
      <c r="G9479" s="64">
        <f t="shared" ca="1" si="187"/>
        <v>-1.6295065132030384E-2</v>
      </c>
    </row>
    <row r="9480" spans="6:7" x14ac:dyDescent="0.3">
      <c r="F9480" s="64">
        <v>9477</v>
      </c>
      <c r="G9480" s="64">
        <f t="shared" ca="1" si="187"/>
        <v>3.3243659160848073E-2</v>
      </c>
    </row>
    <row r="9481" spans="6:7" x14ac:dyDescent="0.3">
      <c r="F9481" s="64">
        <v>9478</v>
      </c>
      <c r="G9481" s="64">
        <f t="shared" ca="1" si="187"/>
        <v>8.7129183523881985E-3</v>
      </c>
    </row>
    <row r="9482" spans="6:7" x14ac:dyDescent="0.3">
      <c r="F9482" s="64">
        <v>9479</v>
      </c>
      <c r="G9482" s="64">
        <f t="shared" ca="1" si="187"/>
        <v>6.1838593318604253E-3</v>
      </c>
    </row>
    <row r="9483" spans="6:7" x14ac:dyDescent="0.3">
      <c r="F9483" s="64">
        <v>9480</v>
      </c>
      <c r="G9483" s="64">
        <f t="shared" ca="1" si="187"/>
        <v>2.6661647128008647E-3</v>
      </c>
    </row>
    <row r="9484" spans="6:7" x14ac:dyDescent="0.3">
      <c r="F9484" s="64">
        <v>9481</v>
      </c>
      <c r="G9484" s="64">
        <f t="shared" ca="1" si="187"/>
        <v>-1.1046198813954088E-2</v>
      </c>
    </row>
    <row r="9485" spans="6:7" x14ac:dyDescent="0.3">
      <c r="F9485" s="64">
        <v>9482</v>
      </c>
      <c r="G9485" s="64">
        <f t="shared" ca="1" si="187"/>
        <v>-1.5738789754905391E-2</v>
      </c>
    </row>
    <row r="9486" spans="6:7" x14ac:dyDescent="0.3">
      <c r="F9486" s="64">
        <v>9483</v>
      </c>
      <c r="G9486" s="64">
        <f t="shared" ca="1" si="187"/>
        <v>-2.1884505764049052E-2</v>
      </c>
    </row>
    <row r="9487" spans="6:7" x14ac:dyDescent="0.3">
      <c r="F9487" s="64">
        <v>9484</v>
      </c>
      <c r="G9487" s="64">
        <f t="shared" ca="1" si="187"/>
        <v>3.3408204676718435E-2</v>
      </c>
    </row>
    <row r="9488" spans="6:7" x14ac:dyDescent="0.3">
      <c r="F9488" s="64">
        <v>9485</v>
      </c>
      <c r="G9488" s="64">
        <f t="shared" ca="1" si="187"/>
        <v>2.7363516967876741E-2</v>
      </c>
    </row>
    <row r="9489" spans="6:7" x14ac:dyDescent="0.3">
      <c r="F9489" s="64">
        <v>9486</v>
      </c>
      <c r="G9489" s="64">
        <f t="shared" ca="1" si="187"/>
        <v>-1.2463690233517328E-2</v>
      </c>
    </row>
    <row r="9490" spans="6:7" x14ac:dyDescent="0.3">
      <c r="F9490" s="64">
        <v>9487</v>
      </c>
      <c r="G9490" s="64">
        <f t="shared" ca="1" si="187"/>
        <v>-2.1055482629629995E-3</v>
      </c>
    </row>
    <row r="9491" spans="6:7" x14ac:dyDescent="0.3">
      <c r="F9491" s="64">
        <v>9488</v>
      </c>
      <c r="G9491" s="64">
        <f t="shared" ca="1" si="187"/>
        <v>1.7744507538935722E-2</v>
      </c>
    </row>
    <row r="9492" spans="6:7" x14ac:dyDescent="0.3">
      <c r="F9492" s="64">
        <v>9489</v>
      </c>
      <c r="G9492" s="64">
        <f t="shared" ca="1" si="187"/>
        <v>-3.5196560967619202E-2</v>
      </c>
    </row>
    <row r="9493" spans="6:7" x14ac:dyDescent="0.3">
      <c r="F9493" s="64">
        <v>9490</v>
      </c>
      <c r="G9493" s="64">
        <f t="shared" ca="1" si="187"/>
        <v>-1.2292655653814408E-2</v>
      </c>
    </row>
    <row r="9494" spans="6:7" x14ac:dyDescent="0.3">
      <c r="F9494" s="64">
        <v>9491</v>
      </c>
      <c r="G9494" s="64">
        <f t="shared" ca="1" si="187"/>
        <v>2.8210269434692709E-2</v>
      </c>
    </row>
    <row r="9495" spans="6:7" x14ac:dyDescent="0.3">
      <c r="F9495" s="64">
        <v>9492</v>
      </c>
      <c r="G9495" s="64">
        <f t="shared" ca="1" si="187"/>
        <v>-3.6333135688750282E-2</v>
      </c>
    </row>
    <row r="9496" spans="6:7" x14ac:dyDescent="0.3">
      <c r="F9496" s="64">
        <v>9493</v>
      </c>
      <c r="G9496" s="64">
        <f t="shared" ca="1" si="187"/>
        <v>6.1255509274732695E-2</v>
      </c>
    </row>
    <row r="9497" spans="6:7" x14ac:dyDescent="0.3">
      <c r="F9497" s="64">
        <v>9494</v>
      </c>
      <c r="G9497" s="64">
        <f t="shared" ca="1" si="187"/>
        <v>1.1615814430074662E-2</v>
      </c>
    </row>
    <row r="9498" spans="6:7" x14ac:dyDescent="0.3">
      <c r="F9498" s="64">
        <v>9495</v>
      </c>
      <c r="G9498" s="64">
        <f t="shared" ca="1" si="187"/>
        <v>3.6769668619938349E-2</v>
      </c>
    </row>
    <row r="9499" spans="6:7" x14ac:dyDescent="0.3">
      <c r="F9499" s="64">
        <v>9496</v>
      </c>
      <c r="G9499" s="64">
        <f t="shared" ca="1" si="187"/>
        <v>-4.9275705362803292E-3</v>
      </c>
    </row>
    <row r="9500" spans="6:7" x14ac:dyDescent="0.3">
      <c r="F9500" s="64">
        <v>9497</v>
      </c>
      <c r="G9500" s="64">
        <f t="shared" ca="1" si="187"/>
        <v>-3.404047535506468E-2</v>
      </c>
    </row>
    <row r="9501" spans="6:7" x14ac:dyDescent="0.3">
      <c r="F9501" s="64">
        <v>9498</v>
      </c>
      <c r="G9501" s="64">
        <f t="shared" ca="1" si="187"/>
        <v>4.725873870854546E-2</v>
      </c>
    </row>
    <row r="9502" spans="6:7" x14ac:dyDescent="0.3">
      <c r="F9502" s="64">
        <v>9499</v>
      </c>
      <c r="G9502" s="64">
        <f t="shared" ca="1" si="187"/>
        <v>2.5789690210894514E-2</v>
      </c>
    </row>
    <row r="9503" spans="6:7" x14ac:dyDescent="0.3">
      <c r="F9503" s="64">
        <v>9500</v>
      </c>
      <c r="G9503" s="64">
        <f t="shared" ca="1" si="187"/>
        <v>-4.9917100961986986E-4</v>
      </c>
    </row>
    <row r="9504" spans="6:7" x14ac:dyDescent="0.3">
      <c r="F9504" s="64">
        <v>9501</v>
      </c>
      <c r="G9504" s="64">
        <f t="shared" ca="1" si="187"/>
        <v>-3.8586929484122234E-2</v>
      </c>
    </row>
    <row r="9505" spans="6:7" x14ac:dyDescent="0.3">
      <c r="F9505" s="64">
        <v>9502</v>
      </c>
      <c r="G9505" s="64">
        <f t="shared" ca="1" si="187"/>
        <v>1.9847188674555795E-2</v>
      </c>
    </row>
    <row r="9506" spans="6:7" x14ac:dyDescent="0.3">
      <c r="F9506" s="64">
        <v>9503</v>
      </c>
      <c r="G9506" s="64">
        <f t="shared" ca="1" si="187"/>
        <v>-3.0669055873305602E-2</v>
      </c>
    </row>
    <row r="9507" spans="6:7" x14ac:dyDescent="0.3">
      <c r="F9507" s="64">
        <v>9504</v>
      </c>
      <c r="G9507" s="64">
        <f t="shared" ca="1" si="187"/>
        <v>-8.660640146469431E-3</v>
      </c>
    </row>
    <row r="9508" spans="6:7" x14ac:dyDescent="0.3">
      <c r="F9508" s="64">
        <v>9505</v>
      </c>
      <c r="G9508" s="64">
        <f t="shared" ca="1" si="187"/>
        <v>1.1839522617032382E-2</v>
      </c>
    </row>
    <row r="9509" spans="6:7" x14ac:dyDescent="0.3">
      <c r="F9509" s="64">
        <v>9506</v>
      </c>
      <c r="G9509" s="64">
        <f t="shared" ca="1" si="187"/>
        <v>-6.8285723327563452E-4</v>
      </c>
    </row>
    <row r="9510" spans="6:7" x14ac:dyDescent="0.3">
      <c r="F9510" s="64">
        <v>9507</v>
      </c>
      <c r="G9510" s="64">
        <f t="shared" ca="1" si="187"/>
        <v>-1.1057660842104376E-2</v>
      </c>
    </row>
    <row r="9511" spans="6:7" x14ac:dyDescent="0.3">
      <c r="F9511" s="64">
        <v>9508</v>
      </c>
      <c r="G9511" s="64">
        <f t="shared" ca="1" si="187"/>
        <v>1.734689758263757E-2</v>
      </c>
    </row>
    <row r="9512" spans="6:7" x14ac:dyDescent="0.3">
      <c r="F9512" s="64">
        <v>9509</v>
      </c>
      <c r="G9512" s="64">
        <f t="shared" ca="1" si="187"/>
        <v>-4.1989808946500994E-3</v>
      </c>
    </row>
    <row r="9513" spans="6:7" x14ac:dyDescent="0.3">
      <c r="F9513" s="64">
        <v>9510</v>
      </c>
      <c r="G9513" s="64">
        <f t="shared" ca="1" si="187"/>
        <v>2.2553820150811088E-2</v>
      </c>
    </row>
    <row r="9514" spans="6:7" x14ac:dyDescent="0.3">
      <c r="F9514" s="64">
        <v>9511</v>
      </c>
      <c r="G9514" s="64">
        <f t="shared" ca="1" si="187"/>
        <v>1.19846825212854E-2</v>
      </c>
    </row>
    <row r="9515" spans="6:7" x14ac:dyDescent="0.3">
      <c r="F9515" s="64">
        <v>9512</v>
      </c>
      <c r="G9515" s="64">
        <f t="shared" ca="1" si="187"/>
        <v>-1.4287114534351162E-2</v>
      </c>
    </row>
    <row r="9516" spans="6:7" x14ac:dyDescent="0.3">
      <c r="F9516" s="64">
        <v>9513</v>
      </c>
      <c r="G9516" s="64">
        <f t="shared" ca="1" si="187"/>
        <v>-7.1928354694033719E-3</v>
      </c>
    </row>
    <row r="9517" spans="6:7" x14ac:dyDescent="0.3">
      <c r="F9517" s="64">
        <v>9514</v>
      </c>
      <c r="G9517" s="64">
        <f t="shared" ca="1" si="187"/>
        <v>-1.8538191244288856E-2</v>
      </c>
    </row>
    <row r="9518" spans="6:7" x14ac:dyDescent="0.3">
      <c r="F9518" s="64">
        <v>9515</v>
      </c>
      <c r="G9518" s="64">
        <f t="shared" ca="1" si="187"/>
        <v>8.4439664879431414E-5</v>
      </c>
    </row>
    <row r="9519" spans="6:7" x14ac:dyDescent="0.3">
      <c r="F9519" s="64">
        <v>9516</v>
      </c>
      <c r="G9519" s="64">
        <f t="shared" ca="1" si="187"/>
        <v>2.6184532839145166E-3</v>
      </c>
    </row>
    <row r="9520" spans="6:7" x14ac:dyDescent="0.3">
      <c r="F9520" s="64">
        <v>9517</v>
      </c>
      <c r="G9520" s="64">
        <f t="shared" ca="1" si="187"/>
        <v>1.4637478149346583E-2</v>
      </c>
    </row>
    <row r="9521" spans="6:7" x14ac:dyDescent="0.3">
      <c r="F9521" s="64">
        <v>9518</v>
      </c>
      <c r="G9521" s="64">
        <f t="shared" ca="1" si="187"/>
        <v>8.6632945810590535E-3</v>
      </c>
    </row>
    <row r="9522" spans="6:7" x14ac:dyDescent="0.3">
      <c r="F9522" s="64">
        <v>9519</v>
      </c>
      <c r="G9522" s="64">
        <f t="shared" ca="1" si="187"/>
        <v>2.9478768001855163E-3</v>
      </c>
    </row>
    <row r="9523" spans="6:7" x14ac:dyDescent="0.3">
      <c r="F9523" s="64">
        <v>9520</v>
      </c>
      <c r="G9523" s="64">
        <f t="shared" ca="1" si="187"/>
        <v>-2.9202880496584656E-2</v>
      </c>
    </row>
    <row r="9524" spans="6:7" x14ac:dyDescent="0.3">
      <c r="F9524" s="64">
        <v>9521</v>
      </c>
      <c r="G9524" s="64">
        <f t="shared" ca="1" si="187"/>
        <v>-3.0206267244807499E-3</v>
      </c>
    </row>
    <row r="9525" spans="6:7" x14ac:dyDescent="0.3">
      <c r="F9525" s="64">
        <v>9522</v>
      </c>
      <c r="G9525" s="64">
        <f t="shared" ca="1" si="187"/>
        <v>-2.7879706192405619E-3</v>
      </c>
    </row>
    <row r="9526" spans="6:7" x14ac:dyDescent="0.3">
      <c r="F9526" s="64">
        <v>9523</v>
      </c>
      <c r="G9526" s="64">
        <f t="shared" ca="1" si="187"/>
        <v>3.7272421764143249E-2</v>
      </c>
    </row>
    <row r="9527" spans="6:7" x14ac:dyDescent="0.3">
      <c r="F9527" s="64">
        <v>9524</v>
      </c>
      <c r="G9527" s="64">
        <f t="shared" ca="1" si="187"/>
        <v>-2.8513721677909201E-3</v>
      </c>
    </row>
    <row r="9528" spans="6:7" x14ac:dyDescent="0.3">
      <c r="F9528" s="64">
        <v>9525</v>
      </c>
      <c r="G9528" s="64">
        <f t="shared" ca="1" si="187"/>
        <v>-1.9182480374078076E-2</v>
      </c>
    </row>
    <row r="9529" spans="6:7" x14ac:dyDescent="0.3">
      <c r="F9529" s="64">
        <v>9526</v>
      </c>
      <c r="G9529" s="64">
        <f t="shared" ca="1" si="187"/>
        <v>2.9568785730761382E-2</v>
      </c>
    </row>
    <row r="9530" spans="6:7" x14ac:dyDescent="0.3">
      <c r="F9530" s="64">
        <v>9527</v>
      </c>
      <c r="G9530" s="64">
        <f t="shared" ca="1" si="187"/>
        <v>-2.7972192376161449E-2</v>
      </c>
    </row>
    <row r="9531" spans="6:7" x14ac:dyDescent="0.3">
      <c r="F9531" s="64">
        <v>9528</v>
      </c>
      <c r="G9531" s="64">
        <f t="shared" ca="1" si="187"/>
        <v>-6.168918888484426E-4</v>
      </c>
    </row>
    <row r="9532" spans="6:7" x14ac:dyDescent="0.3">
      <c r="F9532" s="64">
        <v>9529</v>
      </c>
      <c r="G9532" s="64">
        <f t="shared" ca="1" si="187"/>
        <v>-9.423378451715923E-3</v>
      </c>
    </row>
    <row r="9533" spans="6:7" x14ac:dyDescent="0.3">
      <c r="F9533" s="64">
        <v>9530</v>
      </c>
      <c r="G9533" s="64">
        <f t="shared" ca="1" si="187"/>
        <v>-2.2714361977800284E-3</v>
      </c>
    </row>
    <row r="9534" spans="6:7" x14ac:dyDescent="0.3">
      <c r="F9534" s="64">
        <v>9531</v>
      </c>
      <c r="G9534" s="64">
        <f t="shared" ca="1" si="187"/>
        <v>-2.5297060233571175E-3</v>
      </c>
    </row>
    <row r="9535" spans="6:7" x14ac:dyDescent="0.3">
      <c r="F9535" s="64">
        <v>9532</v>
      </c>
      <c r="G9535" s="64">
        <f t="shared" ca="1" si="187"/>
        <v>-6.3596744311028843E-3</v>
      </c>
    </row>
    <row r="9536" spans="6:7" x14ac:dyDescent="0.3">
      <c r="F9536" s="64">
        <v>9533</v>
      </c>
      <c r="G9536" s="64">
        <f t="shared" ca="1" si="187"/>
        <v>-2.0237040155357343E-2</v>
      </c>
    </row>
    <row r="9537" spans="6:7" x14ac:dyDescent="0.3">
      <c r="F9537" s="64">
        <v>9534</v>
      </c>
      <c r="G9537" s="64">
        <f t="shared" ca="1" si="187"/>
        <v>2.0807742867169139E-2</v>
      </c>
    </row>
    <row r="9538" spans="6:7" x14ac:dyDescent="0.3">
      <c r="F9538" s="64">
        <v>9535</v>
      </c>
      <c r="G9538" s="64">
        <f t="shared" ca="1" si="187"/>
        <v>-3.7034869509167484E-2</v>
      </c>
    </row>
    <row r="9539" spans="6:7" x14ac:dyDescent="0.3">
      <c r="F9539" s="64">
        <v>9536</v>
      </c>
      <c r="G9539" s="64">
        <f t="shared" ca="1" si="187"/>
        <v>-6.9112242632711658E-3</v>
      </c>
    </row>
    <row r="9540" spans="6:7" x14ac:dyDescent="0.3">
      <c r="F9540" s="64">
        <v>9537</v>
      </c>
      <c r="G9540" s="64">
        <f t="shared" ca="1" si="187"/>
        <v>-5.7648043371794034E-3</v>
      </c>
    </row>
    <row r="9541" spans="6:7" x14ac:dyDescent="0.3">
      <c r="F9541" s="64">
        <v>9538</v>
      </c>
      <c r="G9541" s="64">
        <f t="shared" ref="G9541:G9604" ca="1" si="188">_xlfn.NORM.INV(RAND(),K$6,K$7)</f>
        <v>-1.9686373416997791E-2</v>
      </c>
    </row>
    <row r="9542" spans="6:7" x14ac:dyDescent="0.3">
      <c r="F9542" s="64">
        <v>9539</v>
      </c>
      <c r="G9542" s="64">
        <f t="shared" ca="1" si="188"/>
        <v>-2.3867193776097679E-3</v>
      </c>
    </row>
    <row r="9543" spans="6:7" x14ac:dyDescent="0.3">
      <c r="F9543" s="64">
        <v>9540</v>
      </c>
      <c r="G9543" s="64">
        <f t="shared" ca="1" si="188"/>
        <v>-2.9108912210391934E-2</v>
      </c>
    </row>
    <row r="9544" spans="6:7" x14ac:dyDescent="0.3">
      <c r="F9544" s="64">
        <v>9541</v>
      </c>
      <c r="G9544" s="64">
        <f t="shared" ca="1" si="188"/>
        <v>5.8798222470304667E-4</v>
      </c>
    </row>
    <row r="9545" spans="6:7" x14ac:dyDescent="0.3">
      <c r="F9545" s="64">
        <v>9542</v>
      </c>
      <c r="G9545" s="64">
        <f t="shared" ca="1" si="188"/>
        <v>-2.0334725324431362E-2</v>
      </c>
    </row>
    <row r="9546" spans="6:7" x14ac:dyDescent="0.3">
      <c r="F9546" s="64">
        <v>9543</v>
      </c>
      <c r="G9546" s="64">
        <f t="shared" ca="1" si="188"/>
        <v>3.953649366212051E-2</v>
      </c>
    </row>
    <row r="9547" spans="6:7" x14ac:dyDescent="0.3">
      <c r="F9547" s="64">
        <v>9544</v>
      </c>
      <c r="G9547" s="64">
        <f t="shared" ca="1" si="188"/>
        <v>-6.7921468084358311E-3</v>
      </c>
    </row>
    <row r="9548" spans="6:7" x14ac:dyDescent="0.3">
      <c r="F9548" s="64">
        <v>9545</v>
      </c>
      <c r="G9548" s="64">
        <f t="shared" ca="1" si="188"/>
        <v>4.7342157753897428E-3</v>
      </c>
    </row>
    <row r="9549" spans="6:7" x14ac:dyDescent="0.3">
      <c r="F9549" s="64">
        <v>9546</v>
      </c>
      <c r="G9549" s="64">
        <f t="shared" ca="1" si="188"/>
        <v>-4.1347040821724225E-2</v>
      </c>
    </row>
    <row r="9550" spans="6:7" x14ac:dyDescent="0.3">
      <c r="F9550" s="64">
        <v>9547</v>
      </c>
      <c r="G9550" s="64">
        <f t="shared" ca="1" si="188"/>
        <v>3.3492039356344587E-2</v>
      </c>
    </row>
    <row r="9551" spans="6:7" x14ac:dyDescent="0.3">
      <c r="F9551" s="64">
        <v>9548</v>
      </c>
      <c r="G9551" s="64">
        <f t="shared" ca="1" si="188"/>
        <v>2.1741680586172749E-2</v>
      </c>
    </row>
    <row r="9552" spans="6:7" x14ac:dyDescent="0.3">
      <c r="F9552" s="64">
        <v>9549</v>
      </c>
      <c r="G9552" s="64">
        <f t="shared" ca="1" si="188"/>
        <v>-1.4387729182297583E-3</v>
      </c>
    </row>
    <row r="9553" spans="6:7" x14ac:dyDescent="0.3">
      <c r="F9553" s="64">
        <v>9550</v>
      </c>
      <c r="G9553" s="64">
        <f t="shared" ca="1" si="188"/>
        <v>-7.2956309888268754E-3</v>
      </c>
    </row>
    <row r="9554" spans="6:7" x14ac:dyDescent="0.3">
      <c r="F9554" s="64">
        <v>9551</v>
      </c>
      <c r="G9554" s="64">
        <f t="shared" ca="1" si="188"/>
        <v>7.7189818302020742E-4</v>
      </c>
    </row>
    <row r="9555" spans="6:7" x14ac:dyDescent="0.3">
      <c r="F9555" s="64">
        <v>9552</v>
      </c>
      <c r="G9555" s="64">
        <f t="shared" ca="1" si="188"/>
        <v>-2.1482937376624961E-2</v>
      </c>
    </row>
    <row r="9556" spans="6:7" x14ac:dyDescent="0.3">
      <c r="F9556" s="64">
        <v>9553</v>
      </c>
      <c r="G9556" s="64">
        <f t="shared" ca="1" si="188"/>
        <v>3.3032251594973844E-3</v>
      </c>
    </row>
    <row r="9557" spans="6:7" x14ac:dyDescent="0.3">
      <c r="F9557" s="64">
        <v>9554</v>
      </c>
      <c r="G9557" s="64">
        <f t="shared" ca="1" si="188"/>
        <v>1.5975291938746961E-3</v>
      </c>
    </row>
    <row r="9558" spans="6:7" x14ac:dyDescent="0.3">
      <c r="F9558" s="64">
        <v>9555</v>
      </c>
      <c r="G9558" s="64">
        <f t="shared" ca="1" si="188"/>
        <v>3.3547850158121917E-3</v>
      </c>
    </row>
    <row r="9559" spans="6:7" x14ac:dyDescent="0.3">
      <c r="F9559" s="64">
        <v>9556</v>
      </c>
      <c r="G9559" s="64">
        <f t="shared" ca="1" si="188"/>
        <v>3.8679822123460071E-2</v>
      </c>
    </row>
    <row r="9560" spans="6:7" x14ac:dyDescent="0.3">
      <c r="F9560" s="64">
        <v>9557</v>
      </c>
      <c r="G9560" s="64">
        <f t="shared" ca="1" si="188"/>
        <v>-1.4707353100893631E-2</v>
      </c>
    </row>
    <row r="9561" spans="6:7" x14ac:dyDescent="0.3">
      <c r="F9561" s="64">
        <v>9558</v>
      </c>
      <c r="G9561" s="64">
        <f t="shared" ca="1" si="188"/>
        <v>-1.4368760039770617E-2</v>
      </c>
    </row>
    <row r="9562" spans="6:7" x14ac:dyDescent="0.3">
      <c r="F9562" s="64">
        <v>9559</v>
      </c>
      <c r="G9562" s="64">
        <f t="shared" ca="1" si="188"/>
        <v>-2.1101594667910263E-2</v>
      </c>
    </row>
    <row r="9563" spans="6:7" x14ac:dyDescent="0.3">
      <c r="F9563" s="64">
        <v>9560</v>
      </c>
      <c r="G9563" s="64">
        <f t="shared" ca="1" si="188"/>
        <v>-1.451622651868742E-2</v>
      </c>
    </row>
    <row r="9564" spans="6:7" x14ac:dyDescent="0.3">
      <c r="F9564" s="64">
        <v>9561</v>
      </c>
      <c r="G9564" s="64">
        <f t="shared" ca="1" si="188"/>
        <v>-1.361825981951471E-2</v>
      </c>
    </row>
    <row r="9565" spans="6:7" x14ac:dyDescent="0.3">
      <c r="F9565" s="64">
        <v>9562</v>
      </c>
      <c r="G9565" s="64">
        <f t="shared" ca="1" si="188"/>
        <v>4.005945313650678E-2</v>
      </c>
    </row>
    <row r="9566" spans="6:7" x14ac:dyDescent="0.3">
      <c r="F9566" s="64">
        <v>9563</v>
      </c>
      <c r="G9566" s="64">
        <f t="shared" ca="1" si="188"/>
        <v>1.2644023277996325E-2</v>
      </c>
    </row>
    <row r="9567" spans="6:7" x14ac:dyDescent="0.3">
      <c r="F9567" s="64">
        <v>9564</v>
      </c>
      <c r="G9567" s="64">
        <f t="shared" ca="1" si="188"/>
        <v>-3.5701541938502881E-3</v>
      </c>
    </row>
    <row r="9568" spans="6:7" x14ac:dyDescent="0.3">
      <c r="F9568" s="64">
        <v>9565</v>
      </c>
      <c r="G9568" s="64">
        <f t="shared" ca="1" si="188"/>
        <v>3.448201343865482E-2</v>
      </c>
    </row>
    <row r="9569" spans="6:7" x14ac:dyDescent="0.3">
      <c r="F9569" s="64">
        <v>9566</v>
      </c>
      <c r="G9569" s="64">
        <f t="shared" ca="1" si="188"/>
        <v>3.4430022022287288E-2</v>
      </c>
    </row>
    <row r="9570" spans="6:7" x14ac:dyDescent="0.3">
      <c r="F9570" s="64">
        <v>9567</v>
      </c>
      <c r="G9570" s="64">
        <f t="shared" ca="1" si="188"/>
        <v>-1.2010863592934221E-2</v>
      </c>
    </row>
    <row r="9571" spans="6:7" x14ac:dyDescent="0.3">
      <c r="F9571" s="64">
        <v>9568</v>
      </c>
      <c r="G9571" s="64">
        <f t="shared" ca="1" si="188"/>
        <v>-2.9351474066119709E-2</v>
      </c>
    </row>
    <row r="9572" spans="6:7" x14ac:dyDescent="0.3">
      <c r="F9572" s="64">
        <v>9569</v>
      </c>
      <c r="G9572" s="64">
        <f t="shared" ca="1" si="188"/>
        <v>-1.907542752528265E-2</v>
      </c>
    </row>
    <row r="9573" spans="6:7" x14ac:dyDescent="0.3">
      <c r="F9573" s="64">
        <v>9570</v>
      </c>
      <c r="G9573" s="64">
        <f t="shared" ca="1" si="188"/>
        <v>1.6597476889652379E-2</v>
      </c>
    </row>
    <row r="9574" spans="6:7" x14ac:dyDescent="0.3">
      <c r="F9574" s="64">
        <v>9571</v>
      </c>
      <c r="G9574" s="64">
        <f t="shared" ca="1" si="188"/>
        <v>-2.0140761313701301E-2</v>
      </c>
    </row>
    <row r="9575" spans="6:7" x14ac:dyDescent="0.3">
      <c r="F9575" s="64">
        <v>9572</v>
      </c>
      <c r="G9575" s="64">
        <f t="shared" ca="1" si="188"/>
        <v>7.8996984078331077E-3</v>
      </c>
    </row>
    <row r="9576" spans="6:7" x14ac:dyDescent="0.3">
      <c r="F9576" s="64">
        <v>9573</v>
      </c>
      <c r="G9576" s="64">
        <f t="shared" ca="1" si="188"/>
        <v>-3.6749712595638435E-3</v>
      </c>
    </row>
    <row r="9577" spans="6:7" x14ac:dyDescent="0.3">
      <c r="F9577" s="64">
        <v>9574</v>
      </c>
      <c r="G9577" s="64">
        <f t="shared" ca="1" si="188"/>
        <v>-1.0091960563388328E-2</v>
      </c>
    </row>
    <row r="9578" spans="6:7" x14ac:dyDescent="0.3">
      <c r="F9578" s="64">
        <v>9575</v>
      </c>
      <c r="G9578" s="64">
        <f t="shared" ca="1" si="188"/>
        <v>4.8799378590888469E-3</v>
      </c>
    </row>
    <row r="9579" spans="6:7" x14ac:dyDescent="0.3">
      <c r="F9579" s="64">
        <v>9576</v>
      </c>
      <c r="G9579" s="64">
        <f t="shared" ca="1" si="188"/>
        <v>3.4152179932085372E-2</v>
      </c>
    </row>
    <row r="9580" spans="6:7" x14ac:dyDescent="0.3">
      <c r="F9580" s="64">
        <v>9577</v>
      </c>
      <c r="G9580" s="64">
        <f t="shared" ca="1" si="188"/>
        <v>2.1996852475581197E-2</v>
      </c>
    </row>
    <row r="9581" spans="6:7" x14ac:dyDescent="0.3">
      <c r="F9581" s="64">
        <v>9578</v>
      </c>
      <c r="G9581" s="64">
        <f t="shared" ca="1" si="188"/>
        <v>-1.4811536883399959E-2</v>
      </c>
    </row>
    <row r="9582" spans="6:7" x14ac:dyDescent="0.3">
      <c r="F9582" s="64">
        <v>9579</v>
      </c>
      <c r="G9582" s="64">
        <f t="shared" ca="1" si="188"/>
        <v>-3.0521473831341309E-2</v>
      </c>
    </row>
    <row r="9583" spans="6:7" x14ac:dyDescent="0.3">
      <c r="F9583" s="64">
        <v>9580</v>
      </c>
      <c r="G9583" s="64">
        <f t="shared" ca="1" si="188"/>
        <v>1.8297961467843835E-5</v>
      </c>
    </row>
    <row r="9584" spans="6:7" x14ac:dyDescent="0.3">
      <c r="F9584" s="64">
        <v>9581</v>
      </c>
      <c r="G9584" s="64">
        <f t="shared" ca="1" si="188"/>
        <v>-1.1865011216339857E-2</v>
      </c>
    </row>
    <row r="9585" spans="6:7" x14ac:dyDescent="0.3">
      <c r="F9585" s="64">
        <v>9582</v>
      </c>
      <c r="G9585" s="64">
        <f t="shared" ca="1" si="188"/>
        <v>1.8479767923234143E-2</v>
      </c>
    </row>
    <row r="9586" spans="6:7" x14ac:dyDescent="0.3">
      <c r="F9586" s="64">
        <v>9583</v>
      </c>
      <c r="G9586" s="64">
        <f t="shared" ca="1" si="188"/>
        <v>-3.7042583527474783E-2</v>
      </c>
    </row>
    <row r="9587" spans="6:7" x14ac:dyDescent="0.3">
      <c r="F9587" s="64">
        <v>9584</v>
      </c>
      <c r="G9587" s="64">
        <f t="shared" ca="1" si="188"/>
        <v>-5.2043119784130801E-2</v>
      </c>
    </row>
    <row r="9588" spans="6:7" x14ac:dyDescent="0.3">
      <c r="F9588" s="64">
        <v>9585</v>
      </c>
      <c r="G9588" s="64">
        <f t="shared" ca="1" si="188"/>
        <v>-1.1408583029287071E-3</v>
      </c>
    </row>
    <row r="9589" spans="6:7" x14ac:dyDescent="0.3">
      <c r="F9589" s="64">
        <v>9586</v>
      </c>
      <c r="G9589" s="64">
        <f t="shared" ca="1" si="188"/>
        <v>-1.7117531780482684E-2</v>
      </c>
    </row>
    <row r="9590" spans="6:7" x14ac:dyDescent="0.3">
      <c r="F9590" s="64">
        <v>9587</v>
      </c>
      <c r="G9590" s="64">
        <f t="shared" ca="1" si="188"/>
        <v>1.8393261336936771E-2</v>
      </c>
    </row>
    <row r="9591" spans="6:7" x14ac:dyDescent="0.3">
      <c r="F9591" s="64">
        <v>9588</v>
      </c>
      <c r="G9591" s="64">
        <f t="shared" ca="1" si="188"/>
        <v>-8.9879844792726885E-3</v>
      </c>
    </row>
    <row r="9592" spans="6:7" x14ac:dyDescent="0.3">
      <c r="F9592" s="64">
        <v>9589</v>
      </c>
      <c r="G9592" s="64">
        <f t="shared" ca="1" si="188"/>
        <v>-1.9142993835342265E-2</v>
      </c>
    </row>
    <row r="9593" spans="6:7" x14ac:dyDescent="0.3">
      <c r="F9593" s="64">
        <v>9590</v>
      </c>
      <c r="G9593" s="64">
        <f t="shared" ca="1" si="188"/>
        <v>-8.0353667078780448E-3</v>
      </c>
    </row>
    <row r="9594" spans="6:7" x14ac:dyDescent="0.3">
      <c r="F9594" s="64">
        <v>9591</v>
      </c>
      <c r="G9594" s="64">
        <f t="shared" ca="1" si="188"/>
        <v>-3.642991343845832E-3</v>
      </c>
    </row>
    <row r="9595" spans="6:7" x14ac:dyDescent="0.3">
      <c r="F9595" s="64">
        <v>9592</v>
      </c>
      <c r="G9595" s="64">
        <f t="shared" ca="1" si="188"/>
        <v>9.827269142293571E-4</v>
      </c>
    </row>
    <row r="9596" spans="6:7" x14ac:dyDescent="0.3">
      <c r="F9596" s="64">
        <v>9593</v>
      </c>
      <c r="G9596" s="64">
        <f t="shared" ca="1" si="188"/>
        <v>1.0474922472240184E-2</v>
      </c>
    </row>
    <row r="9597" spans="6:7" x14ac:dyDescent="0.3">
      <c r="F9597" s="64">
        <v>9594</v>
      </c>
      <c r="G9597" s="64">
        <f t="shared" ca="1" si="188"/>
        <v>-2.2900222924306719E-2</v>
      </c>
    </row>
    <row r="9598" spans="6:7" x14ac:dyDescent="0.3">
      <c r="F9598" s="64">
        <v>9595</v>
      </c>
      <c r="G9598" s="64">
        <f t="shared" ca="1" si="188"/>
        <v>3.8703737162695463E-2</v>
      </c>
    </row>
    <row r="9599" spans="6:7" x14ac:dyDescent="0.3">
      <c r="F9599" s="64">
        <v>9596</v>
      </c>
      <c r="G9599" s="64">
        <f t="shared" ca="1" si="188"/>
        <v>7.2248798854349138E-3</v>
      </c>
    </row>
    <row r="9600" spans="6:7" x14ac:dyDescent="0.3">
      <c r="F9600" s="64">
        <v>9597</v>
      </c>
      <c r="G9600" s="64">
        <f t="shared" ca="1" si="188"/>
        <v>1.7276956595199872E-3</v>
      </c>
    </row>
    <row r="9601" spans="6:7" x14ac:dyDescent="0.3">
      <c r="F9601" s="64">
        <v>9598</v>
      </c>
      <c r="G9601" s="64">
        <f t="shared" ca="1" si="188"/>
        <v>1.0415450243267841E-2</v>
      </c>
    </row>
    <row r="9602" spans="6:7" x14ac:dyDescent="0.3">
      <c r="F9602" s="64">
        <v>9599</v>
      </c>
      <c r="G9602" s="64">
        <f t="shared" ca="1" si="188"/>
        <v>3.3875760531616977E-2</v>
      </c>
    </row>
    <row r="9603" spans="6:7" x14ac:dyDescent="0.3">
      <c r="F9603" s="64">
        <v>9600</v>
      </c>
      <c r="G9603" s="64">
        <f t="shared" ca="1" si="188"/>
        <v>1.9329283238563671E-2</v>
      </c>
    </row>
    <row r="9604" spans="6:7" x14ac:dyDescent="0.3">
      <c r="F9604" s="64">
        <v>9601</v>
      </c>
      <c r="G9604" s="64">
        <f t="shared" ca="1" si="188"/>
        <v>1.3010602687141534E-2</v>
      </c>
    </row>
    <row r="9605" spans="6:7" x14ac:dyDescent="0.3">
      <c r="F9605" s="64">
        <v>9602</v>
      </c>
      <c r="G9605" s="64">
        <f t="shared" ref="G9605:G9668" ca="1" si="189">_xlfn.NORM.INV(RAND(),K$6,K$7)</f>
        <v>-2.4584393011193792E-2</v>
      </c>
    </row>
    <row r="9606" spans="6:7" x14ac:dyDescent="0.3">
      <c r="F9606" s="64">
        <v>9603</v>
      </c>
      <c r="G9606" s="64">
        <f t="shared" ca="1" si="189"/>
        <v>-1.9616491748686883E-2</v>
      </c>
    </row>
    <row r="9607" spans="6:7" x14ac:dyDescent="0.3">
      <c r="F9607" s="64">
        <v>9604</v>
      </c>
      <c r="G9607" s="64">
        <f t="shared" ca="1" si="189"/>
        <v>1.3275739306975138E-2</v>
      </c>
    </row>
    <row r="9608" spans="6:7" x14ac:dyDescent="0.3">
      <c r="F9608" s="64">
        <v>9605</v>
      </c>
      <c r="G9608" s="64">
        <f t="shared" ca="1" si="189"/>
        <v>2.87145455268367E-2</v>
      </c>
    </row>
    <row r="9609" spans="6:7" x14ac:dyDescent="0.3">
      <c r="F9609" s="64">
        <v>9606</v>
      </c>
      <c r="G9609" s="64">
        <f t="shared" ca="1" si="189"/>
        <v>2.6598567074807365E-2</v>
      </c>
    </row>
    <row r="9610" spans="6:7" x14ac:dyDescent="0.3">
      <c r="F9610" s="64">
        <v>9607</v>
      </c>
      <c r="G9610" s="64">
        <f t="shared" ca="1" si="189"/>
        <v>-4.3104643713643264E-3</v>
      </c>
    </row>
    <row r="9611" spans="6:7" x14ac:dyDescent="0.3">
      <c r="F9611" s="64">
        <v>9608</v>
      </c>
      <c r="G9611" s="64">
        <f t="shared" ca="1" si="189"/>
        <v>2.2914461050594907E-2</v>
      </c>
    </row>
    <row r="9612" spans="6:7" x14ac:dyDescent="0.3">
      <c r="F9612" s="64">
        <v>9609</v>
      </c>
      <c r="G9612" s="64">
        <f t="shared" ca="1" si="189"/>
        <v>-2.5683193546493003E-4</v>
      </c>
    </row>
    <row r="9613" spans="6:7" x14ac:dyDescent="0.3">
      <c r="F9613" s="64">
        <v>9610</v>
      </c>
      <c r="G9613" s="64">
        <f t="shared" ca="1" si="189"/>
        <v>2.5066265323330753E-3</v>
      </c>
    </row>
    <row r="9614" spans="6:7" x14ac:dyDescent="0.3">
      <c r="F9614" s="64">
        <v>9611</v>
      </c>
      <c r="G9614" s="64">
        <f t="shared" ca="1" si="189"/>
        <v>-3.0440577040213676E-2</v>
      </c>
    </row>
    <row r="9615" spans="6:7" x14ac:dyDescent="0.3">
      <c r="F9615" s="64">
        <v>9612</v>
      </c>
      <c r="G9615" s="64">
        <f t="shared" ca="1" si="189"/>
        <v>7.4254268109224539E-3</v>
      </c>
    </row>
    <row r="9616" spans="6:7" x14ac:dyDescent="0.3">
      <c r="F9616" s="64">
        <v>9613</v>
      </c>
      <c r="G9616" s="64">
        <f t="shared" ca="1" si="189"/>
        <v>1.3991323435050636E-2</v>
      </c>
    </row>
    <row r="9617" spans="6:7" x14ac:dyDescent="0.3">
      <c r="F9617" s="64">
        <v>9614</v>
      </c>
      <c r="G9617" s="64">
        <f t="shared" ca="1" si="189"/>
        <v>2.5510973912905417E-2</v>
      </c>
    </row>
    <row r="9618" spans="6:7" x14ac:dyDescent="0.3">
      <c r="F9618" s="64">
        <v>9615</v>
      </c>
      <c r="G9618" s="64">
        <f t="shared" ca="1" si="189"/>
        <v>1.7154168815929668E-2</v>
      </c>
    </row>
    <row r="9619" spans="6:7" x14ac:dyDescent="0.3">
      <c r="F9619" s="64">
        <v>9616</v>
      </c>
      <c r="G9619" s="64">
        <f t="shared" ca="1" si="189"/>
        <v>-7.2923067138436805E-3</v>
      </c>
    </row>
    <row r="9620" spans="6:7" x14ac:dyDescent="0.3">
      <c r="F9620" s="64">
        <v>9617</v>
      </c>
      <c r="G9620" s="64">
        <f t="shared" ca="1" si="189"/>
        <v>2.1988528818866558E-2</v>
      </c>
    </row>
    <row r="9621" spans="6:7" x14ac:dyDescent="0.3">
      <c r="F9621" s="64">
        <v>9618</v>
      </c>
      <c r="G9621" s="64">
        <f t="shared" ca="1" si="189"/>
        <v>2.0757923401455894E-2</v>
      </c>
    </row>
    <row r="9622" spans="6:7" x14ac:dyDescent="0.3">
      <c r="F9622" s="64">
        <v>9619</v>
      </c>
      <c r="G9622" s="64">
        <f t="shared" ca="1" si="189"/>
        <v>1.7107507614024096E-2</v>
      </c>
    </row>
    <row r="9623" spans="6:7" x14ac:dyDescent="0.3">
      <c r="F9623" s="64">
        <v>9620</v>
      </c>
      <c r="G9623" s="64">
        <f t="shared" ca="1" si="189"/>
        <v>-3.2070437260302703E-3</v>
      </c>
    </row>
    <row r="9624" spans="6:7" x14ac:dyDescent="0.3">
      <c r="F9624" s="64">
        <v>9621</v>
      </c>
      <c r="G9624" s="64">
        <f t="shared" ca="1" si="189"/>
        <v>5.2768048047833168E-3</v>
      </c>
    </row>
    <row r="9625" spans="6:7" x14ac:dyDescent="0.3">
      <c r="F9625" s="64">
        <v>9622</v>
      </c>
      <c r="G9625" s="64">
        <f t="shared" ca="1" si="189"/>
        <v>-5.423005279607809E-3</v>
      </c>
    </row>
    <row r="9626" spans="6:7" x14ac:dyDescent="0.3">
      <c r="F9626" s="64">
        <v>9623</v>
      </c>
      <c r="G9626" s="64">
        <f t="shared" ca="1" si="189"/>
        <v>-1.6349849865718982E-2</v>
      </c>
    </row>
    <row r="9627" spans="6:7" x14ac:dyDescent="0.3">
      <c r="F9627" s="64">
        <v>9624</v>
      </c>
      <c r="G9627" s="64">
        <f t="shared" ca="1" si="189"/>
        <v>4.0272686192141291E-2</v>
      </c>
    </row>
    <row r="9628" spans="6:7" x14ac:dyDescent="0.3">
      <c r="F9628" s="64">
        <v>9625</v>
      </c>
      <c r="G9628" s="64">
        <f t="shared" ca="1" si="189"/>
        <v>-2.6597245068892626E-2</v>
      </c>
    </row>
    <row r="9629" spans="6:7" x14ac:dyDescent="0.3">
      <c r="F9629" s="64">
        <v>9626</v>
      </c>
      <c r="G9629" s="64">
        <f t="shared" ca="1" si="189"/>
        <v>-9.2106941726541169E-3</v>
      </c>
    </row>
    <row r="9630" spans="6:7" x14ac:dyDescent="0.3">
      <c r="F9630" s="64">
        <v>9627</v>
      </c>
      <c r="G9630" s="64">
        <f t="shared" ca="1" si="189"/>
        <v>9.0352009901785175E-3</v>
      </c>
    </row>
    <row r="9631" spans="6:7" x14ac:dyDescent="0.3">
      <c r="F9631" s="64">
        <v>9628</v>
      </c>
      <c r="G9631" s="64">
        <f t="shared" ca="1" si="189"/>
        <v>2.3140290966226565E-2</v>
      </c>
    </row>
    <row r="9632" spans="6:7" x14ac:dyDescent="0.3">
      <c r="F9632" s="64">
        <v>9629</v>
      </c>
      <c r="G9632" s="64">
        <f t="shared" ca="1" si="189"/>
        <v>-3.1114541077609213E-2</v>
      </c>
    </row>
    <row r="9633" spans="6:7" x14ac:dyDescent="0.3">
      <c r="F9633" s="64">
        <v>9630</v>
      </c>
      <c r="G9633" s="64">
        <f t="shared" ca="1" si="189"/>
        <v>-1.3876106996873376E-2</v>
      </c>
    </row>
    <row r="9634" spans="6:7" x14ac:dyDescent="0.3">
      <c r="F9634" s="64">
        <v>9631</v>
      </c>
      <c r="G9634" s="64">
        <f t="shared" ca="1" si="189"/>
        <v>-3.570606119470332E-2</v>
      </c>
    </row>
    <row r="9635" spans="6:7" x14ac:dyDescent="0.3">
      <c r="F9635" s="64">
        <v>9632</v>
      </c>
      <c r="G9635" s="64">
        <f t="shared" ca="1" si="189"/>
        <v>-3.6567075093550264E-3</v>
      </c>
    </row>
    <row r="9636" spans="6:7" x14ac:dyDescent="0.3">
      <c r="F9636" s="64">
        <v>9633</v>
      </c>
      <c r="G9636" s="64">
        <f t="shared" ca="1" si="189"/>
        <v>-1.2178744598484104E-2</v>
      </c>
    </row>
    <row r="9637" spans="6:7" x14ac:dyDescent="0.3">
      <c r="F9637" s="64">
        <v>9634</v>
      </c>
      <c r="G9637" s="64">
        <f t="shared" ca="1" si="189"/>
        <v>-6.1786361234506953E-3</v>
      </c>
    </row>
    <row r="9638" spans="6:7" x14ac:dyDescent="0.3">
      <c r="F9638" s="64">
        <v>9635</v>
      </c>
      <c r="G9638" s="64">
        <f t="shared" ca="1" si="189"/>
        <v>-3.003027436477515E-2</v>
      </c>
    </row>
    <row r="9639" spans="6:7" x14ac:dyDescent="0.3">
      <c r="F9639" s="64">
        <v>9636</v>
      </c>
      <c r="G9639" s="64">
        <f t="shared" ca="1" si="189"/>
        <v>4.8605888930102481E-3</v>
      </c>
    </row>
    <row r="9640" spans="6:7" x14ac:dyDescent="0.3">
      <c r="F9640" s="64">
        <v>9637</v>
      </c>
      <c r="G9640" s="64">
        <f t="shared" ca="1" si="189"/>
        <v>2.4200386553778978E-2</v>
      </c>
    </row>
    <row r="9641" spans="6:7" x14ac:dyDescent="0.3">
      <c r="F9641" s="64">
        <v>9638</v>
      </c>
      <c r="G9641" s="64">
        <f t="shared" ca="1" si="189"/>
        <v>-1.2304261462550804E-2</v>
      </c>
    </row>
    <row r="9642" spans="6:7" x14ac:dyDescent="0.3">
      <c r="F9642" s="64">
        <v>9639</v>
      </c>
      <c r="G9642" s="64">
        <f t="shared" ca="1" si="189"/>
        <v>-3.8113952227176978E-2</v>
      </c>
    </row>
    <row r="9643" spans="6:7" x14ac:dyDescent="0.3">
      <c r="F9643" s="64">
        <v>9640</v>
      </c>
      <c r="G9643" s="64">
        <f t="shared" ca="1" si="189"/>
        <v>2.8682582637166464E-2</v>
      </c>
    </row>
    <row r="9644" spans="6:7" x14ac:dyDescent="0.3">
      <c r="F9644" s="64">
        <v>9641</v>
      </c>
      <c r="G9644" s="64">
        <f t="shared" ca="1" si="189"/>
        <v>1.9879464157431623E-2</v>
      </c>
    </row>
    <row r="9645" spans="6:7" x14ac:dyDescent="0.3">
      <c r="F9645" s="64">
        <v>9642</v>
      </c>
      <c r="G9645" s="64">
        <f t="shared" ca="1" si="189"/>
        <v>-1.2926951527781901E-2</v>
      </c>
    </row>
    <row r="9646" spans="6:7" x14ac:dyDescent="0.3">
      <c r="F9646" s="64">
        <v>9643</v>
      </c>
      <c r="G9646" s="64">
        <f t="shared" ca="1" si="189"/>
        <v>-2.0949915065188403E-2</v>
      </c>
    </row>
    <row r="9647" spans="6:7" x14ac:dyDescent="0.3">
      <c r="F9647" s="64">
        <v>9644</v>
      </c>
      <c r="G9647" s="64">
        <f t="shared" ca="1" si="189"/>
        <v>9.216175373458267E-5</v>
      </c>
    </row>
    <row r="9648" spans="6:7" x14ac:dyDescent="0.3">
      <c r="F9648" s="64">
        <v>9645</v>
      </c>
      <c r="G9648" s="64">
        <f t="shared" ca="1" si="189"/>
        <v>1.5882893659095849E-2</v>
      </c>
    </row>
    <row r="9649" spans="6:7" x14ac:dyDescent="0.3">
      <c r="F9649" s="64">
        <v>9646</v>
      </c>
      <c r="G9649" s="64">
        <f t="shared" ca="1" si="189"/>
        <v>3.6654512882835465E-2</v>
      </c>
    </row>
    <row r="9650" spans="6:7" x14ac:dyDescent="0.3">
      <c r="F9650" s="64">
        <v>9647</v>
      </c>
      <c r="G9650" s="64">
        <f t="shared" ca="1" si="189"/>
        <v>1.2306047110657855E-2</v>
      </c>
    </row>
    <row r="9651" spans="6:7" x14ac:dyDescent="0.3">
      <c r="F9651" s="64">
        <v>9648</v>
      </c>
      <c r="G9651" s="64">
        <f t="shared" ca="1" si="189"/>
        <v>1.9871001922984556E-2</v>
      </c>
    </row>
    <row r="9652" spans="6:7" x14ac:dyDescent="0.3">
      <c r="F9652" s="64">
        <v>9649</v>
      </c>
      <c r="G9652" s="64">
        <f t="shared" ca="1" si="189"/>
        <v>2.9385652664275529E-2</v>
      </c>
    </row>
    <row r="9653" spans="6:7" x14ac:dyDescent="0.3">
      <c r="F9653" s="64">
        <v>9650</v>
      </c>
      <c r="G9653" s="64">
        <f t="shared" ca="1" si="189"/>
        <v>-2.1603247475689105E-2</v>
      </c>
    </row>
    <row r="9654" spans="6:7" x14ac:dyDescent="0.3">
      <c r="F9654" s="64">
        <v>9651</v>
      </c>
      <c r="G9654" s="64">
        <f t="shared" ca="1" si="189"/>
        <v>-7.1255270365053851E-3</v>
      </c>
    </row>
    <row r="9655" spans="6:7" x14ac:dyDescent="0.3">
      <c r="F9655" s="64">
        <v>9652</v>
      </c>
      <c r="G9655" s="64">
        <f t="shared" ca="1" si="189"/>
        <v>4.5296228906098294E-2</v>
      </c>
    </row>
    <row r="9656" spans="6:7" x14ac:dyDescent="0.3">
      <c r="F9656" s="64">
        <v>9653</v>
      </c>
      <c r="G9656" s="64">
        <f t="shared" ca="1" si="189"/>
        <v>1.1145981609916617E-3</v>
      </c>
    </row>
    <row r="9657" spans="6:7" x14ac:dyDescent="0.3">
      <c r="F9657" s="64">
        <v>9654</v>
      </c>
      <c r="G9657" s="64">
        <f t="shared" ca="1" si="189"/>
        <v>-1.1698673242155094E-2</v>
      </c>
    </row>
    <row r="9658" spans="6:7" x14ac:dyDescent="0.3">
      <c r="F9658" s="64">
        <v>9655</v>
      </c>
      <c r="G9658" s="64">
        <f t="shared" ca="1" si="189"/>
        <v>1.8019462517907904E-2</v>
      </c>
    </row>
    <row r="9659" spans="6:7" x14ac:dyDescent="0.3">
      <c r="F9659" s="64">
        <v>9656</v>
      </c>
      <c r="G9659" s="64">
        <f t="shared" ca="1" si="189"/>
        <v>-2.609690309115955E-2</v>
      </c>
    </row>
    <row r="9660" spans="6:7" x14ac:dyDescent="0.3">
      <c r="F9660" s="64">
        <v>9657</v>
      </c>
      <c r="G9660" s="64">
        <f t="shared" ca="1" si="189"/>
        <v>3.6825856789049698E-2</v>
      </c>
    </row>
    <row r="9661" spans="6:7" x14ac:dyDescent="0.3">
      <c r="F9661" s="64">
        <v>9658</v>
      </c>
      <c r="G9661" s="64">
        <f t="shared" ca="1" si="189"/>
        <v>3.2470128007848417E-2</v>
      </c>
    </row>
    <row r="9662" spans="6:7" x14ac:dyDescent="0.3">
      <c r="F9662" s="64">
        <v>9659</v>
      </c>
      <c r="G9662" s="64">
        <f t="shared" ca="1" si="189"/>
        <v>7.303916987706713E-3</v>
      </c>
    </row>
    <row r="9663" spans="6:7" x14ac:dyDescent="0.3">
      <c r="F9663" s="64">
        <v>9660</v>
      </c>
      <c r="G9663" s="64">
        <f t="shared" ca="1" si="189"/>
        <v>-5.7717239400355306E-3</v>
      </c>
    </row>
    <row r="9664" spans="6:7" x14ac:dyDescent="0.3">
      <c r="F9664" s="64">
        <v>9661</v>
      </c>
      <c r="G9664" s="64">
        <f t="shared" ca="1" si="189"/>
        <v>-8.7250784847426079E-3</v>
      </c>
    </row>
    <row r="9665" spans="6:7" x14ac:dyDescent="0.3">
      <c r="F9665" s="64">
        <v>9662</v>
      </c>
      <c r="G9665" s="64">
        <f t="shared" ca="1" si="189"/>
        <v>4.7604707345926174E-4</v>
      </c>
    </row>
    <row r="9666" spans="6:7" x14ac:dyDescent="0.3">
      <c r="F9666" s="64">
        <v>9663</v>
      </c>
      <c r="G9666" s="64">
        <f t="shared" ca="1" si="189"/>
        <v>1.7885894134243685E-2</v>
      </c>
    </row>
    <row r="9667" spans="6:7" x14ac:dyDescent="0.3">
      <c r="F9667" s="64">
        <v>9664</v>
      </c>
      <c r="G9667" s="64">
        <f t="shared" ca="1" si="189"/>
        <v>-1.7008112557245145E-2</v>
      </c>
    </row>
    <row r="9668" spans="6:7" x14ac:dyDescent="0.3">
      <c r="F9668" s="64">
        <v>9665</v>
      </c>
      <c r="G9668" s="64">
        <f t="shared" ca="1" si="189"/>
        <v>1.5791554902427306E-3</v>
      </c>
    </row>
    <row r="9669" spans="6:7" x14ac:dyDescent="0.3">
      <c r="F9669" s="64">
        <v>9666</v>
      </c>
      <c r="G9669" s="64">
        <f t="shared" ref="G9669:G9732" ca="1" si="190">_xlfn.NORM.INV(RAND(),K$6,K$7)</f>
        <v>2.5536083733629339E-2</v>
      </c>
    </row>
    <row r="9670" spans="6:7" x14ac:dyDescent="0.3">
      <c r="F9670" s="64">
        <v>9667</v>
      </c>
      <c r="G9670" s="64">
        <f t="shared" ca="1" si="190"/>
        <v>3.441524499383015E-3</v>
      </c>
    </row>
    <row r="9671" spans="6:7" x14ac:dyDescent="0.3">
      <c r="F9671" s="64">
        <v>9668</v>
      </c>
      <c r="G9671" s="64">
        <f t="shared" ca="1" si="190"/>
        <v>6.3053558512081807E-3</v>
      </c>
    </row>
    <row r="9672" spans="6:7" x14ac:dyDescent="0.3">
      <c r="F9672" s="64">
        <v>9669</v>
      </c>
      <c r="G9672" s="64">
        <f t="shared" ca="1" si="190"/>
        <v>1.1726130035394282E-3</v>
      </c>
    </row>
    <row r="9673" spans="6:7" x14ac:dyDescent="0.3">
      <c r="F9673" s="64">
        <v>9670</v>
      </c>
      <c r="G9673" s="64">
        <f t="shared" ca="1" si="190"/>
        <v>-4.4361119160015186E-2</v>
      </c>
    </row>
    <row r="9674" spans="6:7" x14ac:dyDescent="0.3">
      <c r="F9674" s="64">
        <v>9671</v>
      </c>
      <c r="G9674" s="64">
        <f t="shared" ca="1" si="190"/>
        <v>-3.4610029817885527E-3</v>
      </c>
    </row>
    <row r="9675" spans="6:7" x14ac:dyDescent="0.3">
      <c r="F9675" s="64">
        <v>9672</v>
      </c>
      <c r="G9675" s="64">
        <f t="shared" ca="1" si="190"/>
        <v>-5.3566476256488131E-3</v>
      </c>
    </row>
    <row r="9676" spans="6:7" x14ac:dyDescent="0.3">
      <c r="F9676" s="64">
        <v>9673</v>
      </c>
      <c r="G9676" s="64">
        <f t="shared" ca="1" si="190"/>
        <v>-1.2056802047786362E-2</v>
      </c>
    </row>
    <row r="9677" spans="6:7" x14ac:dyDescent="0.3">
      <c r="F9677" s="64">
        <v>9674</v>
      </c>
      <c r="G9677" s="64">
        <f t="shared" ca="1" si="190"/>
        <v>-2.4272109336220503E-2</v>
      </c>
    </row>
    <row r="9678" spans="6:7" x14ac:dyDescent="0.3">
      <c r="F9678" s="64">
        <v>9675</v>
      </c>
      <c r="G9678" s="64">
        <f t="shared" ca="1" si="190"/>
        <v>-4.16140780372943E-3</v>
      </c>
    </row>
    <row r="9679" spans="6:7" x14ac:dyDescent="0.3">
      <c r="F9679" s="64">
        <v>9676</v>
      </c>
      <c r="G9679" s="64">
        <f t="shared" ca="1" si="190"/>
        <v>-2.246909701566394E-3</v>
      </c>
    </row>
    <row r="9680" spans="6:7" x14ac:dyDescent="0.3">
      <c r="F9680" s="64">
        <v>9677</v>
      </c>
      <c r="G9680" s="64">
        <f t="shared" ca="1" si="190"/>
        <v>1.5519560394318583E-2</v>
      </c>
    </row>
    <row r="9681" spans="6:7" x14ac:dyDescent="0.3">
      <c r="F9681" s="64">
        <v>9678</v>
      </c>
      <c r="G9681" s="64">
        <f t="shared" ca="1" si="190"/>
        <v>-3.1189536676109374E-2</v>
      </c>
    </row>
    <row r="9682" spans="6:7" x14ac:dyDescent="0.3">
      <c r="F9682" s="64">
        <v>9679</v>
      </c>
      <c r="G9682" s="64">
        <f t="shared" ca="1" si="190"/>
        <v>2.429699022054789E-2</v>
      </c>
    </row>
    <row r="9683" spans="6:7" x14ac:dyDescent="0.3">
      <c r="F9683" s="64">
        <v>9680</v>
      </c>
      <c r="G9683" s="64">
        <f t="shared" ca="1" si="190"/>
        <v>2.6022567936540009E-2</v>
      </c>
    </row>
    <row r="9684" spans="6:7" x14ac:dyDescent="0.3">
      <c r="F9684" s="64">
        <v>9681</v>
      </c>
      <c r="G9684" s="64">
        <f t="shared" ca="1" si="190"/>
        <v>-1.0933112222466415E-2</v>
      </c>
    </row>
    <row r="9685" spans="6:7" x14ac:dyDescent="0.3">
      <c r="F9685" s="64">
        <v>9682</v>
      </c>
      <c r="G9685" s="64">
        <f t="shared" ca="1" si="190"/>
        <v>-2.001696750507212E-2</v>
      </c>
    </row>
    <row r="9686" spans="6:7" x14ac:dyDescent="0.3">
      <c r="F9686" s="64">
        <v>9683</v>
      </c>
      <c r="G9686" s="64">
        <f t="shared" ca="1" si="190"/>
        <v>2.486658166881859E-2</v>
      </c>
    </row>
    <row r="9687" spans="6:7" x14ac:dyDescent="0.3">
      <c r="F9687" s="64">
        <v>9684</v>
      </c>
      <c r="G9687" s="64">
        <f t="shared" ca="1" si="190"/>
        <v>-1.2266840894979642E-2</v>
      </c>
    </row>
    <row r="9688" spans="6:7" x14ac:dyDescent="0.3">
      <c r="F9688" s="64">
        <v>9685</v>
      </c>
      <c r="G9688" s="64">
        <f t="shared" ca="1" si="190"/>
        <v>1.0996284182771529E-2</v>
      </c>
    </row>
    <row r="9689" spans="6:7" x14ac:dyDescent="0.3">
      <c r="F9689" s="64">
        <v>9686</v>
      </c>
      <c r="G9689" s="64">
        <f t="shared" ca="1" si="190"/>
        <v>-1.275210612629795E-2</v>
      </c>
    </row>
    <row r="9690" spans="6:7" x14ac:dyDescent="0.3">
      <c r="F9690" s="64">
        <v>9687</v>
      </c>
      <c r="G9690" s="64">
        <f t="shared" ca="1" si="190"/>
        <v>2.1612558857377069E-2</v>
      </c>
    </row>
    <row r="9691" spans="6:7" x14ac:dyDescent="0.3">
      <c r="F9691" s="64">
        <v>9688</v>
      </c>
      <c r="G9691" s="64">
        <f t="shared" ca="1" si="190"/>
        <v>4.002427287164427E-3</v>
      </c>
    </row>
    <row r="9692" spans="6:7" x14ac:dyDescent="0.3">
      <c r="F9692" s="64">
        <v>9689</v>
      </c>
      <c r="G9692" s="64">
        <f t="shared" ca="1" si="190"/>
        <v>1.995820616066344E-2</v>
      </c>
    </row>
    <row r="9693" spans="6:7" x14ac:dyDescent="0.3">
      <c r="F9693" s="64">
        <v>9690</v>
      </c>
      <c r="G9693" s="64">
        <f t="shared" ca="1" si="190"/>
        <v>-6.1707400663184534E-3</v>
      </c>
    </row>
    <row r="9694" spans="6:7" x14ac:dyDescent="0.3">
      <c r="F9694" s="64">
        <v>9691</v>
      </c>
      <c r="G9694" s="64">
        <f t="shared" ca="1" si="190"/>
        <v>-5.6864646386624541E-3</v>
      </c>
    </row>
    <row r="9695" spans="6:7" x14ac:dyDescent="0.3">
      <c r="F9695" s="64">
        <v>9692</v>
      </c>
      <c r="G9695" s="64">
        <f t="shared" ca="1" si="190"/>
        <v>1.5563445160846089E-2</v>
      </c>
    </row>
    <row r="9696" spans="6:7" x14ac:dyDescent="0.3">
      <c r="F9696" s="64">
        <v>9693</v>
      </c>
      <c r="G9696" s="64">
        <f t="shared" ca="1" si="190"/>
        <v>-2.4199670173934137E-2</v>
      </c>
    </row>
    <row r="9697" spans="6:7" x14ac:dyDescent="0.3">
      <c r="F9697" s="64">
        <v>9694</v>
      </c>
      <c r="G9697" s="64">
        <f t="shared" ca="1" si="190"/>
        <v>-1.2700606998096015E-2</v>
      </c>
    </row>
    <row r="9698" spans="6:7" x14ac:dyDescent="0.3">
      <c r="F9698" s="64">
        <v>9695</v>
      </c>
      <c r="G9698" s="64">
        <f t="shared" ca="1" si="190"/>
        <v>1.5923681773809532E-2</v>
      </c>
    </row>
    <row r="9699" spans="6:7" x14ac:dyDescent="0.3">
      <c r="F9699" s="64">
        <v>9696</v>
      </c>
      <c r="G9699" s="64">
        <f t="shared" ca="1" si="190"/>
        <v>1.2007441377830387E-2</v>
      </c>
    </row>
    <row r="9700" spans="6:7" x14ac:dyDescent="0.3">
      <c r="F9700" s="64">
        <v>9697</v>
      </c>
      <c r="G9700" s="64">
        <f t="shared" ca="1" si="190"/>
        <v>5.8832661505029884E-3</v>
      </c>
    </row>
    <row r="9701" spans="6:7" x14ac:dyDescent="0.3">
      <c r="F9701" s="64">
        <v>9698</v>
      </c>
      <c r="G9701" s="64">
        <f t="shared" ca="1" si="190"/>
        <v>4.0138646944564947E-3</v>
      </c>
    </row>
    <row r="9702" spans="6:7" x14ac:dyDescent="0.3">
      <c r="F9702" s="64">
        <v>9699</v>
      </c>
      <c r="G9702" s="64">
        <f t="shared" ca="1" si="190"/>
        <v>6.4031358784212801E-3</v>
      </c>
    </row>
    <row r="9703" spans="6:7" x14ac:dyDescent="0.3">
      <c r="F9703" s="64">
        <v>9700</v>
      </c>
      <c r="G9703" s="64">
        <f t="shared" ca="1" si="190"/>
        <v>-3.0280103243546977E-2</v>
      </c>
    </row>
    <row r="9704" spans="6:7" x14ac:dyDescent="0.3">
      <c r="F9704" s="64">
        <v>9701</v>
      </c>
      <c r="G9704" s="64">
        <f t="shared" ca="1" si="190"/>
        <v>-8.7140589562941882E-3</v>
      </c>
    </row>
    <row r="9705" spans="6:7" x14ac:dyDescent="0.3">
      <c r="F9705" s="64">
        <v>9702</v>
      </c>
      <c r="G9705" s="64">
        <f t="shared" ca="1" si="190"/>
        <v>6.2558576661208808E-3</v>
      </c>
    </row>
    <row r="9706" spans="6:7" x14ac:dyDescent="0.3">
      <c r="F9706" s="64">
        <v>9703</v>
      </c>
      <c r="G9706" s="64">
        <f t="shared" ca="1" si="190"/>
        <v>1.0518967952497035E-2</v>
      </c>
    </row>
    <row r="9707" spans="6:7" x14ac:dyDescent="0.3">
      <c r="F9707" s="64">
        <v>9704</v>
      </c>
      <c r="G9707" s="64">
        <f t="shared" ca="1" si="190"/>
        <v>1.7061362262003339E-2</v>
      </c>
    </row>
    <row r="9708" spans="6:7" x14ac:dyDescent="0.3">
      <c r="F9708" s="64">
        <v>9705</v>
      </c>
      <c r="G9708" s="64">
        <f t="shared" ca="1" si="190"/>
        <v>-7.7728779247229264E-4</v>
      </c>
    </row>
    <row r="9709" spans="6:7" x14ac:dyDescent="0.3">
      <c r="F9709" s="64">
        <v>9706</v>
      </c>
      <c r="G9709" s="64">
        <f t="shared" ca="1" si="190"/>
        <v>-8.7594408605110637E-3</v>
      </c>
    </row>
    <row r="9710" spans="6:7" x14ac:dyDescent="0.3">
      <c r="F9710" s="64">
        <v>9707</v>
      </c>
      <c r="G9710" s="64">
        <f t="shared" ca="1" si="190"/>
        <v>1.3148264189156095E-2</v>
      </c>
    </row>
    <row r="9711" spans="6:7" x14ac:dyDescent="0.3">
      <c r="F9711" s="64">
        <v>9708</v>
      </c>
      <c r="G9711" s="64">
        <f t="shared" ca="1" si="190"/>
        <v>-6.2450484412946688E-3</v>
      </c>
    </row>
    <row r="9712" spans="6:7" x14ac:dyDescent="0.3">
      <c r="F9712" s="64">
        <v>9709</v>
      </c>
      <c r="G9712" s="64">
        <f t="shared" ca="1" si="190"/>
        <v>2.4132649259092274E-2</v>
      </c>
    </row>
    <row r="9713" spans="6:7" x14ac:dyDescent="0.3">
      <c r="F9713" s="64">
        <v>9710</v>
      </c>
      <c r="G9713" s="64">
        <f t="shared" ca="1" si="190"/>
        <v>2.7071143718342522E-3</v>
      </c>
    </row>
    <row r="9714" spans="6:7" x14ac:dyDescent="0.3">
      <c r="F9714" s="64">
        <v>9711</v>
      </c>
      <c r="G9714" s="64">
        <f t="shared" ca="1" si="190"/>
        <v>-3.6711558003520595E-5</v>
      </c>
    </row>
    <row r="9715" spans="6:7" x14ac:dyDescent="0.3">
      <c r="F9715" s="64">
        <v>9712</v>
      </c>
      <c r="G9715" s="64">
        <f t="shared" ca="1" si="190"/>
        <v>8.5034298612632273E-3</v>
      </c>
    </row>
    <row r="9716" spans="6:7" x14ac:dyDescent="0.3">
      <c r="F9716" s="64">
        <v>9713</v>
      </c>
      <c r="G9716" s="64">
        <f t="shared" ca="1" si="190"/>
        <v>2.0829470685767566E-3</v>
      </c>
    </row>
    <row r="9717" spans="6:7" x14ac:dyDescent="0.3">
      <c r="F9717" s="64">
        <v>9714</v>
      </c>
      <c r="G9717" s="64">
        <f t="shared" ca="1" si="190"/>
        <v>4.1730652372557299E-3</v>
      </c>
    </row>
    <row r="9718" spans="6:7" x14ac:dyDescent="0.3">
      <c r="F9718" s="64">
        <v>9715</v>
      </c>
      <c r="G9718" s="64">
        <f t="shared" ca="1" si="190"/>
        <v>1.9219434669911217E-2</v>
      </c>
    </row>
    <row r="9719" spans="6:7" x14ac:dyDescent="0.3">
      <c r="F9719" s="64">
        <v>9716</v>
      </c>
      <c r="G9719" s="64">
        <f t="shared" ca="1" si="190"/>
        <v>-3.7130841724837696E-3</v>
      </c>
    </row>
    <row r="9720" spans="6:7" x14ac:dyDescent="0.3">
      <c r="F9720" s="64">
        <v>9717</v>
      </c>
      <c r="G9720" s="64">
        <f t="shared" ca="1" si="190"/>
        <v>1.8802920214999699E-2</v>
      </c>
    </row>
    <row r="9721" spans="6:7" x14ac:dyDescent="0.3">
      <c r="F9721" s="64">
        <v>9718</v>
      </c>
      <c r="G9721" s="64">
        <f t="shared" ca="1" si="190"/>
        <v>1.6161209368959373E-2</v>
      </c>
    </row>
    <row r="9722" spans="6:7" x14ac:dyDescent="0.3">
      <c r="F9722" s="64">
        <v>9719</v>
      </c>
      <c r="G9722" s="64">
        <f t="shared" ca="1" si="190"/>
        <v>3.2037501168009477E-2</v>
      </c>
    </row>
    <row r="9723" spans="6:7" x14ac:dyDescent="0.3">
      <c r="F9723" s="64">
        <v>9720</v>
      </c>
      <c r="G9723" s="64">
        <f t="shared" ca="1" si="190"/>
        <v>3.6508872988194781E-2</v>
      </c>
    </row>
    <row r="9724" spans="6:7" x14ac:dyDescent="0.3">
      <c r="F9724" s="64">
        <v>9721</v>
      </c>
      <c r="G9724" s="64">
        <f t="shared" ca="1" si="190"/>
        <v>1.2676447015456676E-2</v>
      </c>
    </row>
    <row r="9725" spans="6:7" x14ac:dyDescent="0.3">
      <c r="F9725" s="64">
        <v>9722</v>
      </c>
      <c r="G9725" s="64">
        <f t="shared" ca="1" si="190"/>
        <v>-3.014435180627343E-2</v>
      </c>
    </row>
    <row r="9726" spans="6:7" x14ac:dyDescent="0.3">
      <c r="F9726" s="64">
        <v>9723</v>
      </c>
      <c r="G9726" s="64">
        <f t="shared" ca="1" si="190"/>
        <v>-2.3476583212040179E-2</v>
      </c>
    </row>
    <row r="9727" spans="6:7" x14ac:dyDescent="0.3">
      <c r="F9727" s="64">
        <v>9724</v>
      </c>
      <c r="G9727" s="64">
        <f t="shared" ca="1" si="190"/>
        <v>-2.0918683778679135E-2</v>
      </c>
    </row>
    <row r="9728" spans="6:7" x14ac:dyDescent="0.3">
      <c r="F9728" s="64">
        <v>9725</v>
      </c>
      <c r="G9728" s="64">
        <f t="shared" ca="1" si="190"/>
        <v>8.4411244823873579E-5</v>
      </c>
    </row>
    <row r="9729" spans="6:7" x14ac:dyDescent="0.3">
      <c r="F9729" s="64">
        <v>9726</v>
      </c>
      <c r="G9729" s="64">
        <f t="shared" ca="1" si="190"/>
        <v>-2.5267253426635834E-2</v>
      </c>
    </row>
    <row r="9730" spans="6:7" x14ac:dyDescent="0.3">
      <c r="F9730" s="64">
        <v>9727</v>
      </c>
      <c r="G9730" s="64">
        <f t="shared" ca="1" si="190"/>
        <v>-3.5974747377466739E-4</v>
      </c>
    </row>
    <row r="9731" spans="6:7" x14ac:dyDescent="0.3">
      <c r="F9731" s="64">
        <v>9728</v>
      </c>
      <c r="G9731" s="64">
        <f t="shared" ca="1" si="190"/>
        <v>-5.7065627780348217E-2</v>
      </c>
    </row>
    <row r="9732" spans="6:7" x14ac:dyDescent="0.3">
      <c r="F9732" s="64">
        <v>9729</v>
      </c>
      <c r="G9732" s="64">
        <f t="shared" ca="1" si="190"/>
        <v>1.7837970927202199E-2</v>
      </c>
    </row>
    <row r="9733" spans="6:7" x14ac:dyDescent="0.3">
      <c r="F9733" s="64">
        <v>9730</v>
      </c>
      <c r="G9733" s="64">
        <f t="shared" ref="G9733:G9796" ca="1" si="191">_xlfn.NORM.INV(RAND(),K$6,K$7)</f>
        <v>-1.0364687146143777E-2</v>
      </c>
    </row>
    <row r="9734" spans="6:7" x14ac:dyDescent="0.3">
      <c r="F9734" s="64">
        <v>9731</v>
      </c>
      <c r="G9734" s="64">
        <f t="shared" ca="1" si="191"/>
        <v>-1.3020636040853227E-2</v>
      </c>
    </row>
    <row r="9735" spans="6:7" x14ac:dyDescent="0.3">
      <c r="F9735" s="64">
        <v>9732</v>
      </c>
      <c r="G9735" s="64">
        <f t="shared" ca="1" si="191"/>
        <v>4.8473719797077139E-3</v>
      </c>
    </row>
    <row r="9736" spans="6:7" x14ac:dyDescent="0.3">
      <c r="F9736" s="64">
        <v>9733</v>
      </c>
      <c r="G9736" s="64">
        <f t="shared" ca="1" si="191"/>
        <v>-2.4292083787096116E-2</v>
      </c>
    </row>
    <row r="9737" spans="6:7" x14ac:dyDescent="0.3">
      <c r="F9737" s="64">
        <v>9734</v>
      </c>
      <c r="G9737" s="64">
        <f t="shared" ca="1" si="191"/>
        <v>2.7342485845708017E-2</v>
      </c>
    </row>
    <row r="9738" spans="6:7" x14ac:dyDescent="0.3">
      <c r="F9738" s="64">
        <v>9735</v>
      </c>
      <c r="G9738" s="64">
        <f t="shared" ca="1" si="191"/>
        <v>1.0114788534554881E-2</v>
      </c>
    </row>
    <row r="9739" spans="6:7" x14ac:dyDescent="0.3">
      <c r="F9739" s="64">
        <v>9736</v>
      </c>
      <c r="G9739" s="64">
        <f t="shared" ca="1" si="191"/>
        <v>-9.3552946752589079E-3</v>
      </c>
    </row>
    <row r="9740" spans="6:7" x14ac:dyDescent="0.3">
      <c r="F9740" s="64">
        <v>9737</v>
      </c>
      <c r="G9740" s="64">
        <f t="shared" ca="1" si="191"/>
        <v>-2.4264552141743174E-2</v>
      </c>
    </row>
    <row r="9741" spans="6:7" x14ac:dyDescent="0.3">
      <c r="F9741" s="64">
        <v>9738</v>
      </c>
      <c r="G9741" s="64">
        <f t="shared" ca="1" si="191"/>
        <v>-1.3386679988213777E-2</v>
      </c>
    </row>
    <row r="9742" spans="6:7" x14ac:dyDescent="0.3">
      <c r="F9742" s="64">
        <v>9739</v>
      </c>
      <c r="G9742" s="64">
        <f t="shared" ca="1" si="191"/>
        <v>-1.0048189295334997E-2</v>
      </c>
    </row>
    <row r="9743" spans="6:7" x14ac:dyDescent="0.3">
      <c r="F9743" s="64">
        <v>9740</v>
      </c>
      <c r="G9743" s="64">
        <f t="shared" ca="1" si="191"/>
        <v>1.0824304063751986E-2</v>
      </c>
    </row>
    <row r="9744" spans="6:7" x14ac:dyDescent="0.3">
      <c r="F9744" s="64">
        <v>9741</v>
      </c>
      <c r="G9744" s="64">
        <f t="shared" ca="1" si="191"/>
        <v>1.4027209013634271E-2</v>
      </c>
    </row>
    <row r="9745" spans="6:7" x14ac:dyDescent="0.3">
      <c r="F9745" s="64">
        <v>9742</v>
      </c>
      <c r="G9745" s="64">
        <f t="shared" ca="1" si="191"/>
        <v>-2.7271076563923171E-3</v>
      </c>
    </row>
    <row r="9746" spans="6:7" x14ac:dyDescent="0.3">
      <c r="F9746" s="64">
        <v>9743</v>
      </c>
      <c r="G9746" s="64">
        <f t="shared" ca="1" si="191"/>
        <v>-1.9215083049069895E-2</v>
      </c>
    </row>
    <row r="9747" spans="6:7" x14ac:dyDescent="0.3">
      <c r="F9747" s="64">
        <v>9744</v>
      </c>
      <c r="G9747" s="64">
        <f t="shared" ca="1" si="191"/>
        <v>-7.316490613159957E-3</v>
      </c>
    </row>
    <row r="9748" spans="6:7" x14ac:dyDescent="0.3">
      <c r="F9748" s="64">
        <v>9745</v>
      </c>
      <c r="G9748" s="64">
        <f t="shared" ca="1" si="191"/>
        <v>-4.4637768825252014E-2</v>
      </c>
    </row>
    <row r="9749" spans="6:7" x14ac:dyDescent="0.3">
      <c r="F9749" s="64">
        <v>9746</v>
      </c>
      <c r="G9749" s="64">
        <f t="shared" ca="1" si="191"/>
        <v>1.8520510698211631E-2</v>
      </c>
    </row>
    <row r="9750" spans="6:7" x14ac:dyDescent="0.3">
      <c r="F9750" s="64">
        <v>9747</v>
      </c>
      <c r="G9750" s="64">
        <f t="shared" ca="1" si="191"/>
        <v>-2.4990597424607232E-3</v>
      </c>
    </row>
    <row r="9751" spans="6:7" x14ac:dyDescent="0.3">
      <c r="F9751" s="64">
        <v>9748</v>
      </c>
      <c r="G9751" s="64">
        <f t="shared" ca="1" si="191"/>
        <v>3.5197347078898863E-2</v>
      </c>
    </row>
    <row r="9752" spans="6:7" x14ac:dyDescent="0.3">
      <c r="F9752" s="64">
        <v>9749</v>
      </c>
      <c r="G9752" s="64">
        <f t="shared" ca="1" si="191"/>
        <v>1.291589946195819E-2</v>
      </c>
    </row>
    <row r="9753" spans="6:7" x14ac:dyDescent="0.3">
      <c r="F9753" s="64">
        <v>9750</v>
      </c>
      <c r="G9753" s="64">
        <f t="shared" ca="1" si="191"/>
        <v>4.2961268334827211E-3</v>
      </c>
    </row>
    <row r="9754" spans="6:7" x14ac:dyDescent="0.3">
      <c r="F9754" s="64">
        <v>9751</v>
      </c>
      <c r="G9754" s="64">
        <f t="shared" ca="1" si="191"/>
        <v>3.3249401134252303E-3</v>
      </c>
    </row>
    <row r="9755" spans="6:7" x14ac:dyDescent="0.3">
      <c r="F9755" s="64">
        <v>9752</v>
      </c>
      <c r="G9755" s="64">
        <f t="shared" ca="1" si="191"/>
        <v>-3.6851302965578573E-3</v>
      </c>
    </row>
    <row r="9756" spans="6:7" x14ac:dyDescent="0.3">
      <c r="F9756" s="64">
        <v>9753</v>
      </c>
      <c r="G9756" s="64">
        <f t="shared" ca="1" si="191"/>
        <v>-1.0661859565734568E-2</v>
      </c>
    </row>
    <row r="9757" spans="6:7" x14ac:dyDescent="0.3">
      <c r="F9757" s="64">
        <v>9754</v>
      </c>
      <c r="G9757" s="64">
        <f t="shared" ca="1" si="191"/>
        <v>1.98516636197998E-2</v>
      </c>
    </row>
    <row r="9758" spans="6:7" x14ac:dyDescent="0.3">
      <c r="F9758" s="64">
        <v>9755</v>
      </c>
      <c r="G9758" s="64">
        <f t="shared" ca="1" si="191"/>
        <v>2.191109853251743E-2</v>
      </c>
    </row>
    <row r="9759" spans="6:7" x14ac:dyDescent="0.3">
      <c r="F9759" s="64">
        <v>9756</v>
      </c>
      <c r="G9759" s="64">
        <f t="shared" ca="1" si="191"/>
        <v>4.8512079080172967E-4</v>
      </c>
    </row>
    <row r="9760" spans="6:7" x14ac:dyDescent="0.3">
      <c r="F9760" s="64">
        <v>9757</v>
      </c>
      <c r="G9760" s="64">
        <f t="shared" ca="1" si="191"/>
        <v>-1.1892508514200985E-2</v>
      </c>
    </row>
    <row r="9761" spans="6:7" x14ac:dyDescent="0.3">
      <c r="F9761" s="64">
        <v>9758</v>
      </c>
      <c r="G9761" s="64">
        <f t="shared" ca="1" si="191"/>
        <v>-1.5807551234605006E-4</v>
      </c>
    </row>
    <row r="9762" spans="6:7" x14ac:dyDescent="0.3">
      <c r="F9762" s="64">
        <v>9759</v>
      </c>
      <c r="G9762" s="64">
        <f t="shared" ca="1" si="191"/>
        <v>-1.78978771823061E-2</v>
      </c>
    </row>
    <row r="9763" spans="6:7" x14ac:dyDescent="0.3">
      <c r="F9763" s="64">
        <v>9760</v>
      </c>
      <c r="G9763" s="64">
        <f t="shared" ca="1" si="191"/>
        <v>8.6774869313466715E-3</v>
      </c>
    </row>
    <row r="9764" spans="6:7" x14ac:dyDescent="0.3">
      <c r="F9764" s="64">
        <v>9761</v>
      </c>
      <c r="G9764" s="64">
        <f t="shared" ca="1" si="191"/>
        <v>-4.1164910711155209E-4</v>
      </c>
    </row>
    <row r="9765" spans="6:7" x14ac:dyDescent="0.3">
      <c r="F9765" s="64">
        <v>9762</v>
      </c>
      <c r="G9765" s="64">
        <f t="shared" ca="1" si="191"/>
        <v>4.0775566412696147E-2</v>
      </c>
    </row>
    <row r="9766" spans="6:7" x14ac:dyDescent="0.3">
      <c r="F9766" s="64">
        <v>9763</v>
      </c>
      <c r="G9766" s="64">
        <f t="shared" ca="1" si="191"/>
        <v>-8.6865409108242142E-3</v>
      </c>
    </row>
    <row r="9767" spans="6:7" x14ac:dyDescent="0.3">
      <c r="F9767" s="64">
        <v>9764</v>
      </c>
      <c r="G9767" s="64">
        <f t="shared" ca="1" si="191"/>
        <v>-1.8438354782140412E-2</v>
      </c>
    </row>
    <row r="9768" spans="6:7" x14ac:dyDescent="0.3">
      <c r="F9768" s="64">
        <v>9765</v>
      </c>
      <c r="G9768" s="64">
        <f t="shared" ca="1" si="191"/>
        <v>-6.3921952702836963E-4</v>
      </c>
    </row>
    <row r="9769" spans="6:7" x14ac:dyDescent="0.3">
      <c r="F9769" s="64">
        <v>9766</v>
      </c>
      <c r="G9769" s="64">
        <f t="shared" ca="1" si="191"/>
        <v>-7.9858918943857965E-3</v>
      </c>
    </row>
    <row r="9770" spans="6:7" x14ac:dyDescent="0.3">
      <c r="F9770" s="64">
        <v>9767</v>
      </c>
      <c r="G9770" s="64">
        <f t="shared" ca="1" si="191"/>
        <v>1.1024095240706109E-2</v>
      </c>
    </row>
    <row r="9771" spans="6:7" x14ac:dyDescent="0.3">
      <c r="F9771" s="64">
        <v>9768</v>
      </c>
      <c r="G9771" s="64">
        <f t="shared" ca="1" si="191"/>
        <v>1.2534076364514226E-2</v>
      </c>
    </row>
    <row r="9772" spans="6:7" x14ac:dyDescent="0.3">
      <c r="F9772" s="64">
        <v>9769</v>
      </c>
      <c r="G9772" s="64">
        <f t="shared" ca="1" si="191"/>
        <v>-9.0919193464704569E-4</v>
      </c>
    </row>
    <row r="9773" spans="6:7" x14ac:dyDescent="0.3">
      <c r="F9773" s="64">
        <v>9770</v>
      </c>
      <c r="G9773" s="64">
        <f t="shared" ca="1" si="191"/>
        <v>5.0763146362355878E-3</v>
      </c>
    </row>
    <row r="9774" spans="6:7" x14ac:dyDescent="0.3">
      <c r="F9774" s="64">
        <v>9771</v>
      </c>
      <c r="G9774" s="64">
        <f t="shared" ca="1" si="191"/>
        <v>-7.2925666743353153E-3</v>
      </c>
    </row>
    <row r="9775" spans="6:7" x14ac:dyDescent="0.3">
      <c r="F9775" s="64">
        <v>9772</v>
      </c>
      <c r="G9775" s="64">
        <f t="shared" ca="1" si="191"/>
        <v>-1.5500769985408688E-2</v>
      </c>
    </row>
    <row r="9776" spans="6:7" x14ac:dyDescent="0.3">
      <c r="F9776" s="64">
        <v>9773</v>
      </c>
      <c r="G9776" s="64">
        <f t="shared" ca="1" si="191"/>
        <v>9.9012653426443168E-3</v>
      </c>
    </row>
    <row r="9777" spans="6:7" x14ac:dyDescent="0.3">
      <c r="F9777" s="64">
        <v>9774</v>
      </c>
      <c r="G9777" s="64">
        <f t="shared" ca="1" si="191"/>
        <v>3.7124401894379211E-2</v>
      </c>
    </row>
    <row r="9778" spans="6:7" x14ac:dyDescent="0.3">
      <c r="F9778" s="64">
        <v>9775</v>
      </c>
      <c r="G9778" s="64">
        <f t="shared" ca="1" si="191"/>
        <v>-1.2919653709365755E-2</v>
      </c>
    </row>
    <row r="9779" spans="6:7" x14ac:dyDescent="0.3">
      <c r="F9779" s="64">
        <v>9776</v>
      </c>
      <c r="G9779" s="64">
        <f t="shared" ca="1" si="191"/>
        <v>2.7072027759832695E-2</v>
      </c>
    </row>
    <row r="9780" spans="6:7" x14ac:dyDescent="0.3">
      <c r="F9780" s="64">
        <v>9777</v>
      </c>
      <c r="G9780" s="64">
        <f t="shared" ca="1" si="191"/>
        <v>1.5572473062827177E-2</v>
      </c>
    </row>
    <row r="9781" spans="6:7" x14ac:dyDescent="0.3">
      <c r="F9781" s="64">
        <v>9778</v>
      </c>
      <c r="G9781" s="64">
        <f t="shared" ca="1" si="191"/>
        <v>-4.467943431982753E-2</v>
      </c>
    </row>
    <row r="9782" spans="6:7" x14ac:dyDescent="0.3">
      <c r="F9782" s="64">
        <v>9779</v>
      </c>
      <c r="G9782" s="64">
        <f t="shared" ca="1" si="191"/>
        <v>-2.1903134294895224E-2</v>
      </c>
    </row>
    <row r="9783" spans="6:7" x14ac:dyDescent="0.3">
      <c r="F9783" s="64">
        <v>9780</v>
      </c>
      <c r="G9783" s="64">
        <f t="shared" ca="1" si="191"/>
        <v>1.2711789140692927E-2</v>
      </c>
    </row>
    <row r="9784" spans="6:7" x14ac:dyDescent="0.3">
      <c r="F9784" s="64">
        <v>9781</v>
      </c>
      <c r="G9784" s="64">
        <f t="shared" ca="1" si="191"/>
        <v>4.6226482483446185E-2</v>
      </c>
    </row>
    <row r="9785" spans="6:7" x14ac:dyDescent="0.3">
      <c r="F9785" s="64">
        <v>9782</v>
      </c>
      <c r="G9785" s="64">
        <f t="shared" ca="1" si="191"/>
        <v>-1.3671988643518346E-2</v>
      </c>
    </row>
    <row r="9786" spans="6:7" x14ac:dyDescent="0.3">
      <c r="F9786" s="64">
        <v>9783</v>
      </c>
      <c r="G9786" s="64">
        <f t="shared" ca="1" si="191"/>
        <v>2.0272165713251765E-2</v>
      </c>
    </row>
    <row r="9787" spans="6:7" x14ac:dyDescent="0.3">
      <c r="F9787" s="64">
        <v>9784</v>
      </c>
      <c r="G9787" s="64">
        <f t="shared" ca="1" si="191"/>
        <v>7.9642391445055617E-3</v>
      </c>
    </row>
    <row r="9788" spans="6:7" x14ac:dyDescent="0.3">
      <c r="F9788" s="64">
        <v>9785</v>
      </c>
      <c r="G9788" s="64">
        <f t="shared" ca="1" si="191"/>
        <v>-2.6263491886016295E-2</v>
      </c>
    </row>
    <row r="9789" spans="6:7" x14ac:dyDescent="0.3">
      <c r="F9789" s="64">
        <v>9786</v>
      </c>
      <c r="G9789" s="64">
        <f t="shared" ca="1" si="191"/>
        <v>5.2301609990751709E-3</v>
      </c>
    </row>
    <row r="9790" spans="6:7" x14ac:dyDescent="0.3">
      <c r="F9790" s="64">
        <v>9787</v>
      </c>
      <c r="G9790" s="64">
        <f t="shared" ca="1" si="191"/>
        <v>-5.5082669887121976E-3</v>
      </c>
    </row>
    <row r="9791" spans="6:7" x14ac:dyDescent="0.3">
      <c r="F9791" s="64">
        <v>9788</v>
      </c>
      <c r="G9791" s="64">
        <f t="shared" ca="1" si="191"/>
        <v>-8.0392796871494743E-3</v>
      </c>
    </row>
    <row r="9792" spans="6:7" x14ac:dyDescent="0.3">
      <c r="F9792" s="64">
        <v>9789</v>
      </c>
      <c r="G9792" s="64">
        <f t="shared" ca="1" si="191"/>
        <v>-1.241412076746555E-2</v>
      </c>
    </row>
    <row r="9793" spans="6:7" x14ac:dyDescent="0.3">
      <c r="F9793" s="64">
        <v>9790</v>
      </c>
      <c r="G9793" s="64">
        <f t="shared" ca="1" si="191"/>
        <v>-2.9138293227449645E-2</v>
      </c>
    </row>
    <row r="9794" spans="6:7" x14ac:dyDescent="0.3">
      <c r="F9794" s="64">
        <v>9791</v>
      </c>
      <c r="G9794" s="64">
        <f t="shared" ca="1" si="191"/>
        <v>2.6349690914512371E-2</v>
      </c>
    </row>
    <row r="9795" spans="6:7" x14ac:dyDescent="0.3">
      <c r="F9795" s="64">
        <v>9792</v>
      </c>
      <c r="G9795" s="64">
        <f t="shared" ca="1" si="191"/>
        <v>2.0552243308394773E-2</v>
      </c>
    </row>
    <row r="9796" spans="6:7" x14ac:dyDescent="0.3">
      <c r="F9796" s="64">
        <v>9793</v>
      </c>
      <c r="G9796" s="64">
        <f t="shared" ca="1" si="191"/>
        <v>1.9770145868799709E-2</v>
      </c>
    </row>
    <row r="9797" spans="6:7" x14ac:dyDescent="0.3">
      <c r="F9797" s="64">
        <v>9794</v>
      </c>
      <c r="G9797" s="64">
        <f t="shared" ref="G9797:G9860" ca="1" si="192">_xlfn.NORM.INV(RAND(),K$6,K$7)</f>
        <v>2.336537176384057E-2</v>
      </c>
    </row>
    <row r="9798" spans="6:7" x14ac:dyDescent="0.3">
      <c r="F9798" s="64">
        <v>9795</v>
      </c>
      <c r="G9798" s="64">
        <f t="shared" ca="1" si="192"/>
        <v>-2.7365764938502846E-2</v>
      </c>
    </row>
    <row r="9799" spans="6:7" x14ac:dyDescent="0.3">
      <c r="F9799" s="64">
        <v>9796</v>
      </c>
      <c r="G9799" s="64">
        <f t="shared" ca="1" si="192"/>
        <v>-1.4763395634898443E-2</v>
      </c>
    </row>
    <row r="9800" spans="6:7" x14ac:dyDescent="0.3">
      <c r="F9800" s="64">
        <v>9797</v>
      </c>
      <c r="G9800" s="64">
        <f t="shared" ca="1" si="192"/>
        <v>-1.3994428456100411E-2</v>
      </c>
    </row>
    <row r="9801" spans="6:7" x14ac:dyDescent="0.3">
      <c r="F9801" s="64">
        <v>9798</v>
      </c>
      <c r="G9801" s="64">
        <f t="shared" ca="1" si="192"/>
        <v>-3.0560687005125722E-2</v>
      </c>
    </row>
    <row r="9802" spans="6:7" x14ac:dyDescent="0.3">
      <c r="F9802" s="64">
        <v>9799</v>
      </c>
      <c r="G9802" s="64">
        <f t="shared" ca="1" si="192"/>
        <v>-1.4545361523137204E-3</v>
      </c>
    </row>
    <row r="9803" spans="6:7" x14ac:dyDescent="0.3">
      <c r="F9803" s="64">
        <v>9800</v>
      </c>
      <c r="G9803" s="64">
        <f t="shared" ca="1" si="192"/>
        <v>-1.7836389553718274E-2</v>
      </c>
    </row>
    <row r="9804" spans="6:7" x14ac:dyDescent="0.3">
      <c r="F9804" s="64">
        <v>9801</v>
      </c>
      <c r="G9804" s="64">
        <f t="shared" ca="1" si="192"/>
        <v>1.0331195107730876E-2</v>
      </c>
    </row>
    <row r="9805" spans="6:7" x14ac:dyDescent="0.3">
      <c r="F9805" s="64">
        <v>9802</v>
      </c>
      <c r="G9805" s="64">
        <f t="shared" ca="1" si="192"/>
        <v>-5.814629614512741E-2</v>
      </c>
    </row>
    <row r="9806" spans="6:7" x14ac:dyDescent="0.3">
      <c r="F9806" s="64">
        <v>9803</v>
      </c>
      <c r="G9806" s="64">
        <f t="shared" ca="1" si="192"/>
        <v>-3.0175453979018711E-2</v>
      </c>
    </row>
    <row r="9807" spans="6:7" x14ac:dyDescent="0.3">
      <c r="F9807" s="64">
        <v>9804</v>
      </c>
      <c r="G9807" s="64">
        <f t="shared" ca="1" si="192"/>
        <v>2.2776430767765872E-4</v>
      </c>
    </row>
    <row r="9808" spans="6:7" x14ac:dyDescent="0.3">
      <c r="F9808" s="64">
        <v>9805</v>
      </c>
      <c r="G9808" s="64">
        <f t="shared" ca="1" si="192"/>
        <v>1.2992313356531029E-2</v>
      </c>
    </row>
    <row r="9809" spans="6:7" x14ac:dyDescent="0.3">
      <c r="F9809" s="64">
        <v>9806</v>
      </c>
      <c r="G9809" s="64">
        <f t="shared" ca="1" si="192"/>
        <v>5.4813061111508689E-3</v>
      </c>
    </row>
    <row r="9810" spans="6:7" x14ac:dyDescent="0.3">
      <c r="F9810" s="64">
        <v>9807</v>
      </c>
      <c r="G9810" s="64">
        <f t="shared" ca="1" si="192"/>
        <v>3.3035801162077182E-2</v>
      </c>
    </row>
    <row r="9811" spans="6:7" x14ac:dyDescent="0.3">
      <c r="F9811" s="64">
        <v>9808</v>
      </c>
      <c r="G9811" s="64">
        <f t="shared" ca="1" si="192"/>
        <v>-1.9310922287768942E-2</v>
      </c>
    </row>
    <row r="9812" spans="6:7" x14ac:dyDescent="0.3">
      <c r="F9812" s="64">
        <v>9809</v>
      </c>
      <c r="G9812" s="64">
        <f t="shared" ca="1" si="192"/>
        <v>-2.0076549669901737E-2</v>
      </c>
    </row>
    <row r="9813" spans="6:7" x14ac:dyDescent="0.3">
      <c r="F9813" s="64">
        <v>9810</v>
      </c>
      <c r="G9813" s="64">
        <f t="shared" ca="1" si="192"/>
        <v>7.539126999603454E-3</v>
      </c>
    </row>
    <row r="9814" spans="6:7" x14ac:dyDescent="0.3">
      <c r="F9814" s="64">
        <v>9811</v>
      </c>
      <c r="G9814" s="64">
        <f t="shared" ca="1" si="192"/>
        <v>2.4318047613964229E-2</v>
      </c>
    </row>
    <row r="9815" spans="6:7" x14ac:dyDescent="0.3">
      <c r="F9815" s="64">
        <v>9812</v>
      </c>
      <c r="G9815" s="64">
        <f t="shared" ca="1" si="192"/>
        <v>-3.2135417606407399E-3</v>
      </c>
    </row>
    <row r="9816" spans="6:7" x14ac:dyDescent="0.3">
      <c r="F9816" s="64">
        <v>9813</v>
      </c>
      <c r="G9816" s="64">
        <f t="shared" ca="1" si="192"/>
        <v>2.1566151771107482E-2</v>
      </c>
    </row>
    <row r="9817" spans="6:7" x14ac:dyDescent="0.3">
      <c r="F9817" s="64">
        <v>9814</v>
      </c>
      <c r="G9817" s="64">
        <f t="shared" ca="1" si="192"/>
        <v>-9.7446084189037538E-3</v>
      </c>
    </row>
    <row r="9818" spans="6:7" x14ac:dyDescent="0.3">
      <c r="F9818" s="64">
        <v>9815</v>
      </c>
      <c r="G9818" s="64">
        <f t="shared" ca="1" si="192"/>
        <v>3.2006958927557567E-2</v>
      </c>
    </row>
    <row r="9819" spans="6:7" x14ac:dyDescent="0.3">
      <c r="F9819" s="64">
        <v>9816</v>
      </c>
      <c r="G9819" s="64">
        <f t="shared" ca="1" si="192"/>
        <v>-5.1658312846413141E-3</v>
      </c>
    </row>
    <row r="9820" spans="6:7" x14ac:dyDescent="0.3">
      <c r="F9820" s="64">
        <v>9817</v>
      </c>
      <c r="G9820" s="64">
        <f t="shared" ca="1" si="192"/>
        <v>-2.0581755384000207E-2</v>
      </c>
    </row>
    <row r="9821" spans="6:7" x14ac:dyDescent="0.3">
      <c r="F9821" s="64">
        <v>9818</v>
      </c>
      <c r="G9821" s="64">
        <f t="shared" ca="1" si="192"/>
        <v>-1.8113825143608792E-2</v>
      </c>
    </row>
    <row r="9822" spans="6:7" x14ac:dyDescent="0.3">
      <c r="F9822" s="64">
        <v>9819</v>
      </c>
      <c r="G9822" s="64">
        <f t="shared" ca="1" si="192"/>
        <v>3.3396719629744685E-2</v>
      </c>
    </row>
    <row r="9823" spans="6:7" x14ac:dyDescent="0.3">
      <c r="F9823" s="64">
        <v>9820</v>
      </c>
      <c r="G9823" s="64">
        <f t="shared" ca="1" si="192"/>
        <v>2.8443264869930443E-2</v>
      </c>
    </row>
    <row r="9824" spans="6:7" x14ac:dyDescent="0.3">
      <c r="F9824" s="64">
        <v>9821</v>
      </c>
      <c r="G9824" s="64">
        <f t="shared" ca="1" si="192"/>
        <v>3.2590084335876973E-3</v>
      </c>
    </row>
    <row r="9825" spans="6:7" x14ac:dyDescent="0.3">
      <c r="F9825" s="64">
        <v>9822</v>
      </c>
      <c r="G9825" s="64">
        <f t="shared" ca="1" si="192"/>
        <v>4.2279413542709934E-3</v>
      </c>
    </row>
    <row r="9826" spans="6:7" x14ac:dyDescent="0.3">
      <c r="F9826" s="64">
        <v>9823</v>
      </c>
      <c r="G9826" s="64">
        <f t="shared" ca="1" si="192"/>
        <v>3.4138842993699348E-2</v>
      </c>
    </row>
    <row r="9827" spans="6:7" x14ac:dyDescent="0.3">
      <c r="F9827" s="64">
        <v>9824</v>
      </c>
      <c r="G9827" s="64">
        <f t="shared" ca="1" si="192"/>
        <v>-1.1691752012353824E-2</v>
      </c>
    </row>
    <row r="9828" spans="6:7" x14ac:dyDescent="0.3">
      <c r="F9828" s="64">
        <v>9825</v>
      </c>
      <c r="G9828" s="64">
        <f t="shared" ca="1" si="192"/>
        <v>1.790985821414643E-2</v>
      </c>
    </row>
    <row r="9829" spans="6:7" x14ac:dyDescent="0.3">
      <c r="F9829" s="64">
        <v>9826</v>
      </c>
      <c r="G9829" s="64">
        <f t="shared" ca="1" si="192"/>
        <v>-1.2431122466090188E-2</v>
      </c>
    </row>
    <row r="9830" spans="6:7" x14ac:dyDescent="0.3">
      <c r="F9830" s="64">
        <v>9827</v>
      </c>
      <c r="G9830" s="64">
        <f t="shared" ca="1" si="192"/>
        <v>1.4388535241911176E-2</v>
      </c>
    </row>
    <row r="9831" spans="6:7" x14ac:dyDescent="0.3">
      <c r="F9831" s="64">
        <v>9828</v>
      </c>
      <c r="G9831" s="64">
        <f t="shared" ca="1" si="192"/>
        <v>-8.4180581073270509E-3</v>
      </c>
    </row>
    <row r="9832" spans="6:7" x14ac:dyDescent="0.3">
      <c r="F9832" s="64">
        <v>9829</v>
      </c>
      <c r="G9832" s="64">
        <f t="shared" ca="1" si="192"/>
        <v>-2.1479900652959669E-2</v>
      </c>
    </row>
    <row r="9833" spans="6:7" x14ac:dyDescent="0.3">
      <c r="F9833" s="64">
        <v>9830</v>
      </c>
      <c r="G9833" s="64">
        <f t="shared" ca="1" si="192"/>
        <v>-1.909185661929582E-2</v>
      </c>
    </row>
    <row r="9834" spans="6:7" x14ac:dyDescent="0.3">
      <c r="F9834" s="64">
        <v>9831</v>
      </c>
      <c r="G9834" s="64">
        <f t="shared" ca="1" si="192"/>
        <v>-1.534140978994857E-2</v>
      </c>
    </row>
    <row r="9835" spans="6:7" x14ac:dyDescent="0.3">
      <c r="F9835" s="64">
        <v>9832</v>
      </c>
      <c r="G9835" s="64">
        <f t="shared" ca="1" si="192"/>
        <v>-1.5164488666719674E-4</v>
      </c>
    </row>
    <row r="9836" spans="6:7" x14ac:dyDescent="0.3">
      <c r="F9836" s="64">
        <v>9833</v>
      </c>
      <c r="G9836" s="64">
        <f t="shared" ca="1" si="192"/>
        <v>3.7692109885062226E-2</v>
      </c>
    </row>
    <row r="9837" spans="6:7" x14ac:dyDescent="0.3">
      <c r="F9837" s="64">
        <v>9834</v>
      </c>
      <c r="G9837" s="64">
        <f t="shared" ca="1" si="192"/>
        <v>1.9121045159598863E-3</v>
      </c>
    </row>
    <row r="9838" spans="6:7" x14ac:dyDescent="0.3">
      <c r="F9838" s="64">
        <v>9835</v>
      </c>
      <c r="G9838" s="64">
        <f t="shared" ca="1" si="192"/>
        <v>-7.7191917242197365E-3</v>
      </c>
    </row>
    <row r="9839" spans="6:7" x14ac:dyDescent="0.3">
      <c r="F9839" s="64">
        <v>9836</v>
      </c>
      <c r="G9839" s="64">
        <f t="shared" ca="1" si="192"/>
        <v>2.6344897599497215E-2</v>
      </c>
    </row>
    <row r="9840" spans="6:7" x14ac:dyDescent="0.3">
      <c r="F9840" s="64">
        <v>9837</v>
      </c>
      <c r="G9840" s="64">
        <f t="shared" ca="1" si="192"/>
        <v>-3.2693560320301768E-2</v>
      </c>
    </row>
    <row r="9841" spans="6:7" x14ac:dyDescent="0.3">
      <c r="F9841" s="64">
        <v>9838</v>
      </c>
      <c r="G9841" s="64">
        <f t="shared" ca="1" si="192"/>
        <v>1.5882433503625101E-2</v>
      </c>
    </row>
    <row r="9842" spans="6:7" x14ac:dyDescent="0.3">
      <c r="F9842" s="64">
        <v>9839</v>
      </c>
      <c r="G9842" s="64">
        <f t="shared" ca="1" si="192"/>
        <v>-6.3308631009143046E-3</v>
      </c>
    </row>
    <row r="9843" spans="6:7" x14ac:dyDescent="0.3">
      <c r="F9843" s="64">
        <v>9840</v>
      </c>
      <c r="G9843" s="64">
        <f t="shared" ca="1" si="192"/>
        <v>-1.4150666143623276E-2</v>
      </c>
    </row>
    <row r="9844" spans="6:7" x14ac:dyDescent="0.3">
      <c r="F9844" s="64">
        <v>9841</v>
      </c>
      <c r="G9844" s="64">
        <f t="shared" ca="1" si="192"/>
        <v>3.7905530705028244E-2</v>
      </c>
    </row>
    <row r="9845" spans="6:7" x14ac:dyDescent="0.3">
      <c r="F9845" s="64">
        <v>9842</v>
      </c>
      <c r="G9845" s="64">
        <f t="shared" ca="1" si="192"/>
        <v>-2.8609120462902739E-2</v>
      </c>
    </row>
    <row r="9846" spans="6:7" x14ac:dyDescent="0.3">
      <c r="F9846" s="64">
        <v>9843</v>
      </c>
      <c r="G9846" s="64">
        <f t="shared" ca="1" si="192"/>
        <v>-2.3697851302585914E-2</v>
      </c>
    </row>
    <row r="9847" spans="6:7" x14ac:dyDescent="0.3">
      <c r="F9847" s="64">
        <v>9844</v>
      </c>
      <c r="G9847" s="64">
        <f t="shared" ca="1" si="192"/>
        <v>3.570048623505781E-2</v>
      </c>
    </row>
    <row r="9848" spans="6:7" x14ac:dyDescent="0.3">
      <c r="F9848" s="64">
        <v>9845</v>
      </c>
      <c r="G9848" s="64">
        <f t="shared" ca="1" si="192"/>
        <v>2.1296354589735729E-2</v>
      </c>
    </row>
    <row r="9849" spans="6:7" x14ac:dyDescent="0.3">
      <c r="F9849" s="64">
        <v>9846</v>
      </c>
      <c r="G9849" s="64">
        <f t="shared" ca="1" si="192"/>
        <v>1.7051838866379704E-2</v>
      </c>
    </row>
    <row r="9850" spans="6:7" x14ac:dyDescent="0.3">
      <c r="F9850" s="64">
        <v>9847</v>
      </c>
      <c r="G9850" s="64">
        <f t="shared" ca="1" si="192"/>
        <v>9.7893380119134198E-3</v>
      </c>
    </row>
    <row r="9851" spans="6:7" x14ac:dyDescent="0.3">
      <c r="F9851" s="64">
        <v>9848</v>
      </c>
      <c r="G9851" s="64">
        <f t="shared" ca="1" si="192"/>
        <v>2.1369260690815128E-2</v>
      </c>
    </row>
    <row r="9852" spans="6:7" x14ac:dyDescent="0.3">
      <c r="F9852" s="64">
        <v>9849</v>
      </c>
      <c r="G9852" s="64">
        <f t="shared" ca="1" si="192"/>
        <v>2.5663313820866078E-3</v>
      </c>
    </row>
    <row r="9853" spans="6:7" x14ac:dyDescent="0.3">
      <c r="F9853" s="64">
        <v>9850</v>
      </c>
      <c r="G9853" s="64">
        <f t="shared" ca="1" si="192"/>
        <v>-3.8729817812796857E-2</v>
      </c>
    </row>
    <row r="9854" spans="6:7" x14ac:dyDescent="0.3">
      <c r="F9854" s="64">
        <v>9851</v>
      </c>
      <c r="G9854" s="64">
        <f t="shared" ca="1" si="192"/>
        <v>1.185308297089682E-2</v>
      </c>
    </row>
    <row r="9855" spans="6:7" x14ac:dyDescent="0.3">
      <c r="F9855" s="64">
        <v>9852</v>
      </c>
      <c r="G9855" s="64">
        <f t="shared" ca="1" si="192"/>
        <v>-1.4364891348156439E-2</v>
      </c>
    </row>
    <row r="9856" spans="6:7" x14ac:dyDescent="0.3">
      <c r="F9856" s="64">
        <v>9853</v>
      </c>
      <c r="G9856" s="64">
        <f t="shared" ca="1" si="192"/>
        <v>1.1193862167531207E-2</v>
      </c>
    </row>
    <row r="9857" spans="6:7" x14ac:dyDescent="0.3">
      <c r="F9857" s="64">
        <v>9854</v>
      </c>
      <c r="G9857" s="64">
        <f t="shared" ca="1" si="192"/>
        <v>-1.3726863396359366E-2</v>
      </c>
    </row>
    <row r="9858" spans="6:7" x14ac:dyDescent="0.3">
      <c r="F9858" s="64">
        <v>9855</v>
      </c>
      <c r="G9858" s="64">
        <f t="shared" ca="1" si="192"/>
        <v>1.8000272338189204E-2</v>
      </c>
    </row>
    <row r="9859" spans="6:7" x14ac:dyDescent="0.3">
      <c r="F9859" s="64">
        <v>9856</v>
      </c>
      <c r="G9859" s="64">
        <f t="shared" ca="1" si="192"/>
        <v>2.9917029235639589E-2</v>
      </c>
    </row>
    <row r="9860" spans="6:7" x14ac:dyDescent="0.3">
      <c r="F9860" s="64">
        <v>9857</v>
      </c>
      <c r="G9860" s="64">
        <f t="shared" ca="1" si="192"/>
        <v>8.3994878648663823E-3</v>
      </c>
    </row>
    <row r="9861" spans="6:7" x14ac:dyDescent="0.3">
      <c r="F9861" s="64">
        <v>9858</v>
      </c>
      <c r="G9861" s="64">
        <f t="shared" ref="G9861:G9924" ca="1" si="193">_xlfn.NORM.INV(RAND(),K$6,K$7)</f>
        <v>2.02948144591798E-2</v>
      </c>
    </row>
    <row r="9862" spans="6:7" x14ac:dyDescent="0.3">
      <c r="F9862" s="64">
        <v>9859</v>
      </c>
      <c r="G9862" s="64">
        <f t="shared" ca="1" si="193"/>
        <v>-1.4074390308528296E-2</v>
      </c>
    </row>
    <row r="9863" spans="6:7" x14ac:dyDescent="0.3">
      <c r="F9863" s="64">
        <v>9860</v>
      </c>
      <c r="G9863" s="64">
        <f t="shared" ca="1" si="193"/>
        <v>-2.6495314870726441E-2</v>
      </c>
    </row>
    <row r="9864" spans="6:7" x14ac:dyDescent="0.3">
      <c r="F9864" s="64">
        <v>9861</v>
      </c>
      <c r="G9864" s="64">
        <f t="shared" ca="1" si="193"/>
        <v>-1.5584386340994349E-3</v>
      </c>
    </row>
    <row r="9865" spans="6:7" x14ac:dyDescent="0.3">
      <c r="F9865" s="64">
        <v>9862</v>
      </c>
      <c r="G9865" s="64">
        <f t="shared" ca="1" si="193"/>
        <v>2.7671030971773885E-3</v>
      </c>
    </row>
    <row r="9866" spans="6:7" x14ac:dyDescent="0.3">
      <c r="F9866" s="64">
        <v>9863</v>
      </c>
      <c r="G9866" s="64">
        <f t="shared" ca="1" si="193"/>
        <v>-2.4101629142298263E-2</v>
      </c>
    </row>
    <row r="9867" spans="6:7" x14ac:dyDescent="0.3">
      <c r="F9867" s="64">
        <v>9864</v>
      </c>
      <c r="G9867" s="64">
        <f t="shared" ca="1" si="193"/>
        <v>-3.0913029213155446E-2</v>
      </c>
    </row>
    <row r="9868" spans="6:7" x14ac:dyDescent="0.3">
      <c r="F9868" s="64">
        <v>9865</v>
      </c>
      <c r="G9868" s="64">
        <f t="shared" ca="1" si="193"/>
        <v>9.0052985079755263E-3</v>
      </c>
    </row>
    <row r="9869" spans="6:7" x14ac:dyDescent="0.3">
      <c r="F9869" s="64">
        <v>9866</v>
      </c>
      <c r="G9869" s="64">
        <f t="shared" ca="1" si="193"/>
        <v>6.7930914904837268E-3</v>
      </c>
    </row>
    <row r="9870" spans="6:7" x14ac:dyDescent="0.3">
      <c r="F9870" s="64">
        <v>9867</v>
      </c>
      <c r="G9870" s="64">
        <f t="shared" ca="1" si="193"/>
        <v>6.8175645583628342E-3</v>
      </c>
    </row>
    <row r="9871" spans="6:7" x14ac:dyDescent="0.3">
      <c r="F9871" s="64">
        <v>9868</v>
      </c>
      <c r="G9871" s="64">
        <f t="shared" ca="1" si="193"/>
        <v>3.8423871934539422E-3</v>
      </c>
    </row>
    <row r="9872" spans="6:7" x14ac:dyDescent="0.3">
      <c r="F9872" s="64">
        <v>9869</v>
      </c>
      <c r="G9872" s="64">
        <f t="shared" ca="1" si="193"/>
        <v>4.3980007160942169E-3</v>
      </c>
    </row>
    <row r="9873" spans="6:7" x14ac:dyDescent="0.3">
      <c r="F9873" s="64">
        <v>9870</v>
      </c>
      <c r="G9873" s="64">
        <f t="shared" ca="1" si="193"/>
        <v>-2.8926739742737829E-2</v>
      </c>
    </row>
    <row r="9874" spans="6:7" x14ac:dyDescent="0.3">
      <c r="F9874" s="64">
        <v>9871</v>
      </c>
      <c r="G9874" s="64">
        <f t="shared" ca="1" si="193"/>
        <v>-4.2380358517774969E-3</v>
      </c>
    </row>
    <row r="9875" spans="6:7" x14ac:dyDescent="0.3">
      <c r="F9875" s="64">
        <v>9872</v>
      </c>
      <c r="G9875" s="64">
        <f t="shared" ca="1" si="193"/>
        <v>4.045071270685402E-3</v>
      </c>
    </row>
    <row r="9876" spans="6:7" x14ac:dyDescent="0.3">
      <c r="F9876" s="64">
        <v>9873</v>
      </c>
      <c r="G9876" s="64">
        <f t="shared" ca="1" si="193"/>
        <v>8.1644734978149232E-3</v>
      </c>
    </row>
    <row r="9877" spans="6:7" x14ac:dyDescent="0.3">
      <c r="F9877" s="64">
        <v>9874</v>
      </c>
      <c r="G9877" s="64">
        <f t="shared" ca="1" si="193"/>
        <v>-2.0881428474841389E-2</v>
      </c>
    </row>
    <row r="9878" spans="6:7" x14ac:dyDescent="0.3">
      <c r="F9878" s="64">
        <v>9875</v>
      </c>
      <c r="G9878" s="64">
        <f t="shared" ca="1" si="193"/>
        <v>-2.429178102861209E-2</v>
      </c>
    </row>
    <row r="9879" spans="6:7" x14ac:dyDescent="0.3">
      <c r="F9879" s="64">
        <v>9876</v>
      </c>
      <c r="G9879" s="64">
        <f t="shared" ca="1" si="193"/>
        <v>-7.9801858190077096E-3</v>
      </c>
    </row>
    <row r="9880" spans="6:7" x14ac:dyDescent="0.3">
      <c r="F9880" s="64">
        <v>9877</v>
      </c>
      <c r="G9880" s="64">
        <f t="shared" ca="1" si="193"/>
        <v>1.9121178291914613E-2</v>
      </c>
    </row>
    <row r="9881" spans="6:7" x14ac:dyDescent="0.3">
      <c r="F9881" s="64">
        <v>9878</v>
      </c>
      <c r="G9881" s="64">
        <f t="shared" ca="1" si="193"/>
        <v>-9.4323279830940999E-3</v>
      </c>
    </row>
    <row r="9882" spans="6:7" x14ac:dyDescent="0.3">
      <c r="F9882" s="64">
        <v>9879</v>
      </c>
      <c r="G9882" s="64">
        <f t="shared" ca="1" si="193"/>
        <v>-1.317407173039957E-2</v>
      </c>
    </row>
    <row r="9883" spans="6:7" x14ac:dyDescent="0.3">
      <c r="F9883" s="64">
        <v>9880</v>
      </c>
      <c r="G9883" s="64">
        <f t="shared" ca="1" si="193"/>
        <v>2.4688381269105442E-2</v>
      </c>
    </row>
    <row r="9884" spans="6:7" x14ac:dyDescent="0.3">
      <c r="F9884" s="64">
        <v>9881</v>
      </c>
      <c r="G9884" s="64">
        <f t="shared" ca="1" si="193"/>
        <v>1.8735936241203385E-2</v>
      </c>
    </row>
    <row r="9885" spans="6:7" x14ac:dyDescent="0.3">
      <c r="F9885" s="64">
        <v>9882</v>
      </c>
      <c r="G9885" s="64">
        <f t="shared" ca="1" si="193"/>
        <v>-2.1482336601516931E-2</v>
      </c>
    </row>
    <row r="9886" spans="6:7" x14ac:dyDescent="0.3">
      <c r="F9886" s="64">
        <v>9883</v>
      </c>
      <c r="G9886" s="64">
        <f t="shared" ca="1" si="193"/>
        <v>-9.5833772063008155E-3</v>
      </c>
    </row>
    <row r="9887" spans="6:7" x14ac:dyDescent="0.3">
      <c r="F9887" s="64">
        <v>9884</v>
      </c>
      <c r="G9887" s="64">
        <f t="shared" ca="1" si="193"/>
        <v>1.0148319356257549E-2</v>
      </c>
    </row>
    <row r="9888" spans="6:7" x14ac:dyDescent="0.3">
      <c r="F9888" s="64">
        <v>9885</v>
      </c>
      <c r="G9888" s="64">
        <f t="shared" ca="1" si="193"/>
        <v>-1.9044574836066565E-2</v>
      </c>
    </row>
    <row r="9889" spans="6:7" x14ac:dyDescent="0.3">
      <c r="F9889" s="64">
        <v>9886</v>
      </c>
      <c r="G9889" s="64">
        <f t="shared" ca="1" si="193"/>
        <v>-1.3004607917297231E-2</v>
      </c>
    </row>
    <row r="9890" spans="6:7" x14ac:dyDescent="0.3">
      <c r="F9890" s="64">
        <v>9887</v>
      </c>
      <c r="G9890" s="64">
        <f t="shared" ca="1" si="193"/>
        <v>2.3272870963304215E-2</v>
      </c>
    </row>
    <row r="9891" spans="6:7" x14ac:dyDescent="0.3">
      <c r="F9891" s="64">
        <v>9888</v>
      </c>
      <c r="G9891" s="64">
        <f t="shared" ca="1" si="193"/>
        <v>1.6393401135903873E-2</v>
      </c>
    </row>
    <row r="9892" spans="6:7" x14ac:dyDescent="0.3">
      <c r="F9892" s="64">
        <v>9889</v>
      </c>
      <c r="G9892" s="64">
        <f t="shared" ca="1" si="193"/>
        <v>1.0100606036114941E-2</v>
      </c>
    </row>
    <row r="9893" spans="6:7" x14ac:dyDescent="0.3">
      <c r="F9893" s="64">
        <v>9890</v>
      </c>
      <c r="G9893" s="64">
        <f t="shared" ca="1" si="193"/>
        <v>-3.1609546747003003E-2</v>
      </c>
    </row>
    <row r="9894" spans="6:7" x14ac:dyDescent="0.3">
      <c r="F9894" s="64">
        <v>9891</v>
      </c>
      <c r="G9894" s="64">
        <f t="shared" ca="1" si="193"/>
        <v>1.0993302751023959E-3</v>
      </c>
    </row>
    <row r="9895" spans="6:7" x14ac:dyDescent="0.3">
      <c r="F9895" s="64">
        <v>9892</v>
      </c>
      <c r="G9895" s="64">
        <f t="shared" ca="1" si="193"/>
        <v>1.3940326838565997E-3</v>
      </c>
    </row>
    <row r="9896" spans="6:7" x14ac:dyDescent="0.3">
      <c r="F9896" s="64">
        <v>9893</v>
      </c>
      <c r="G9896" s="64">
        <f t="shared" ca="1" si="193"/>
        <v>1.1750839863948303E-2</v>
      </c>
    </row>
    <row r="9897" spans="6:7" x14ac:dyDescent="0.3">
      <c r="F9897" s="64">
        <v>9894</v>
      </c>
      <c r="G9897" s="64">
        <f t="shared" ca="1" si="193"/>
        <v>-1.5266250853939513E-2</v>
      </c>
    </row>
    <row r="9898" spans="6:7" x14ac:dyDescent="0.3">
      <c r="F9898" s="64">
        <v>9895</v>
      </c>
      <c r="G9898" s="64">
        <f t="shared" ca="1" si="193"/>
        <v>-1.0851872412519514E-2</v>
      </c>
    </row>
    <row r="9899" spans="6:7" x14ac:dyDescent="0.3">
      <c r="F9899" s="64">
        <v>9896</v>
      </c>
      <c r="G9899" s="64">
        <f t="shared" ca="1" si="193"/>
        <v>1.3094290609721025E-2</v>
      </c>
    </row>
    <row r="9900" spans="6:7" x14ac:dyDescent="0.3">
      <c r="F9900" s="64">
        <v>9897</v>
      </c>
      <c r="G9900" s="64">
        <f t="shared" ca="1" si="193"/>
        <v>1.4779862865101554E-2</v>
      </c>
    </row>
    <row r="9901" spans="6:7" x14ac:dyDescent="0.3">
      <c r="F9901" s="64">
        <v>9898</v>
      </c>
      <c r="G9901" s="64">
        <f t="shared" ca="1" si="193"/>
        <v>3.3963390787149633E-2</v>
      </c>
    </row>
    <row r="9902" spans="6:7" x14ac:dyDescent="0.3">
      <c r="F9902" s="64">
        <v>9899</v>
      </c>
      <c r="G9902" s="64">
        <f t="shared" ca="1" si="193"/>
        <v>2.7945438524325676E-2</v>
      </c>
    </row>
    <row r="9903" spans="6:7" x14ac:dyDescent="0.3">
      <c r="F9903" s="64">
        <v>9900</v>
      </c>
      <c r="G9903" s="64">
        <f t="shared" ca="1" si="193"/>
        <v>1.4630924433824905E-2</v>
      </c>
    </row>
    <row r="9904" spans="6:7" x14ac:dyDescent="0.3">
      <c r="F9904" s="64">
        <v>9901</v>
      </c>
      <c r="G9904" s="64">
        <f t="shared" ca="1" si="193"/>
        <v>3.0144070017761364E-2</v>
      </c>
    </row>
    <row r="9905" spans="6:7" x14ac:dyDescent="0.3">
      <c r="F9905" s="64">
        <v>9902</v>
      </c>
      <c r="G9905" s="64">
        <f t="shared" ca="1" si="193"/>
        <v>2.5679449717846706E-2</v>
      </c>
    </row>
    <row r="9906" spans="6:7" x14ac:dyDescent="0.3">
      <c r="F9906" s="64">
        <v>9903</v>
      </c>
      <c r="G9906" s="64">
        <f t="shared" ca="1" si="193"/>
        <v>-1.9227223251572947E-3</v>
      </c>
    </row>
    <row r="9907" spans="6:7" x14ac:dyDescent="0.3">
      <c r="F9907" s="64">
        <v>9904</v>
      </c>
      <c r="G9907" s="64">
        <f t="shared" ca="1" si="193"/>
        <v>9.322524133437142E-3</v>
      </c>
    </row>
    <row r="9908" spans="6:7" x14ac:dyDescent="0.3">
      <c r="F9908" s="64">
        <v>9905</v>
      </c>
      <c r="G9908" s="64">
        <f t="shared" ca="1" si="193"/>
        <v>1.5039944897143798E-2</v>
      </c>
    </row>
    <row r="9909" spans="6:7" x14ac:dyDescent="0.3">
      <c r="F9909" s="64">
        <v>9906</v>
      </c>
      <c r="G9909" s="64">
        <f t="shared" ca="1" si="193"/>
        <v>-2.4079145460166616E-2</v>
      </c>
    </row>
    <row r="9910" spans="6:7" x14ac:dyDescent="0.3">
      <c r="F9910" s="64">
        <v>9907</v>
      </c>
      <c r="G9910" s="64">
        <f t="shared" ca="1" si="193"/>
        <v>1.3102352382557843E-3</v>
      </c>
    </row>
    <row r="9911" spans="6:7" x14ac:dyDescent="0.3">
      <c r="F9911" s="64">
        <v>9908</v>
      </c>
      <c r="G9911" s="64">
        <f t="shared" ca="1" si="193"/>
        <v>7.6169448236021557E-3</v>
      </c>
    </row>
    <row r="9912" spans="6:7" x14ac:dyDescent="0.3">
      <c r="F9912" s="64">
        <v>9909</v>
      </c>
      <c r="G9912" s="64">
        <f t="shared" ca="1" si="193"/>
        <v>-2.7140086240263921E-2</v>
      </c>
    </row>
    <row r="9913" spans="6:7" x14ac:dyDescent="0.3">
      <c r="F9913" s="64">
        <v>9910</v>
      </c>
      <c r="G9913" s="64">
        <f t="shared" ca="1" si="193"/>
        <v>4.3550416862338917E-2</v>
      </c>
    </row>
    <row r="9914" spans="6:7" x14ac:dyDescent="0.3">
      <c r="F9914" s="64">
        <v>9911</v>
      </c>
      <c r="G9914" s="64">
        <f t="shared" ca="1" si="193"/>
        <v>-2.3810486821029785E-2</v>
      </c>
    </row>
    <row r="9915" spans="6:7" x14ac:dyDescent="0.3">
      <c r="F9915" s="64">
        <v>9912</v>
      </c>
      <c r="G9915" s="64">
        <f t="shared" ca="1" si="193"/>
        <v>1.3329632812189671E-2</v>
      </c>
    </row>
    <row r="9916" spans="6:7" x14ac:dyDescent="0.3">
      <c r="F9916" s="64">
        <v>9913</v>
      </c>
      <c r="G9916" s="64">
        <f t="shared" ca="1" si="193"/>
        <v>2.0147023317030124E-2</v>
      </c>
    </row>
    <row r="9917" spans="6:7" x14ac:dyDescent="0.3">
      <c r="F9917" s="64">
        <v>9914</v>
      </c>
      <c r="G9917" s="64">
        <f t="shared" ca="1" si="193"/>
        <v>-1.6239453066816546E-2</v>
      </c>
    </row>
    <row r="9918" spans="6:7" x14ac:dyDescent="0.3">
      <c r="F9918" s="64">
        <v>9915</v>
      </c>
      <c r="G9918" s="64">
        <f t="shared" ca="1" si="193"/>
        <v>2.2561406539605484E-2</v>
      </c>
    </row>
    <row r="9919" spans="6:7" x14ac:dyDescent="0.3">
      <c r="F9919" s="64">
        <v>9916</v>
      </c>
      <c r="G9919" s="64">
        <f t="shared" ca="1" si="193"/>
        <v>9.2364764261045392E-3</v>
      </c>
    </row>
    <row r="9920" spans="6:7" x14ac:dyDescent="0.3">
      <c r="F9920" s="64">
        <v>9917</v>
      </c>
      <c r="G9920" s="64">
        <f t="shared" ca="1" si="193"/>
        <v>-3.0892347320957657E-2</v>
      </c>
    </row>
    <row r="9921" spans="6:7" x14ac:dyDescent="0.3">
      <c r="F9921" s="64">
        <v>9918</v>
      </c>
      <c r="G9921" s="64">
        <f t="shared" ca="1" si="193"/>
        <v>-3.7924228853671305E-3</v>
      </c>
    </row>
    <row r="9922" spans="6:7" x14ac:dyDescent="0.3">
      <c r="F9922" s="64">
        <v>9919</v>
      </c>
      <c r="G9922" s="64">
        <f t="shared" ca="1" si="193"/>
        <v>-3.6596995081412953E-3</v>
      </c>
    </row>
    <row r="9923" spans="6:7" x14ac:dyDescent="0.3">
      <c r="F9923" s="64">
        <v>9920</v>
      </c>
      <c r="G9923" s="64">
        <f t="shared" ca="1" si="193"/>
        <v>-1.8503774364691818E-3</v>
      </c>
    </row>
    <row r="9924" spans="6:7" x14ac:dyDescent="0.3">
      <c r="F9924" s="64">
        <v>9921</v>
      </c>
      <c r="G9924" s="64">
        <f t="shared" ca="1" si="193"/>
        <v>8.5179312235255621E-3</v>
      </c>
    </row>
    <row r="9925" spans="6:7" x14ac:dyDescent="0.3">
      <c r="F9925" s="64">
        <v>9922</v>
      </c>
      <c r="G9925" s="64">
        <f t="shared" ref="G9925:G9988" ca="1" si="194">_xlfn.NORM.INV(RAND(),K$6,K$7)</f>
        <v>-8.3678820735245268E-3</v>
      </c>
    </row>
    <row r="9926" spans="6:7" x14ac:dyDescent="0.3">
      <c r="F9926" s="64">
        <v>9923</v>
      </c>
      <c r="G9926" s="64">
        <f t="shared" ca="1" si="194"/>
        <v>3.166583840136474E-3</v>
      </c>
    </row>
    <row r="9927" spans="6:7" x14ac:dyDescent="0.3">
      <c r="F9927" s="64">
        <v>9924</v>
      </c>
      <c r="G9927" s="64">
        <f t="shared" ca="1" si="194"/>
        <v>2.5231968393606342E-2</v>
      </c>
    </row>
    <row r="9928" spans="6:7" x14ac:dyDescent="0.3">
      <c r="F9928" s="64">
        <v>9925</v>
      </c>
      <c r="G9928" s="64">
        <f t="shared" ca="1" si="194"/>
        <v>1.6922407795864236E-2</v>
      </c>
    </row>
    <row r="9929" spans="6:7" x14ac:dyDescent="0.3">
      <c r="F9929" s="64">
        <v>9926</v>
      </c>
      <c r="G9929" s="64">
        <f t="shared" ca="1" si="194"/>
        <v>-1.9888434249161924E-2</v>
      </c>
    </row>
    <row r="9930" spans="6:7" x14ac:dyDescent="0.3">
      <c r="F9930" s="64">
        <v>9927</v>
      </c>
      <c r="G9930" s="64">
        <f t="shared" ca="1" si="194"/>
        <v>4.662330011846935E-3</v>
      </c>
    </row>
    <row r="9931" spans="6:7" x14ac:dyDescent="0.3">
      <c r="F9931" s="64">
        <v>9928</v>
      </c>
      <c r="G9931" s="64">
        <f t="shared" ca="1" si="194"/>
        <v>-1.6742836840418392E-2</v>
      </c>
    </row>
    <row r="9932" spans="6:7" x14ac:dyDescent="0.3">
      <c r="F9932" s="64">
        <v>9929</v>
      </c>
      <c r="G9932" s="64">
        <f t="shared" ca="1" si="194"/>
        <v>-5.4812879161201783E-2</v>
      </c>
    </row>
    <row r="9933" spans="6:7" x14ac:dyDescent="0.3">
      <c r="F9933" s="64">
        <v>9930</v>
      </c>
      <c r="G9933" s="64">
        <f t="shared" ca="1" si="194"/>
        <v>6.1058611980968252E-3</v>
      </c>
    </row>
    <row r="9934" spans="6:7" x14ac:dyDescent="0.3">
      <c r="F9934" s="64">
        <v>9931</v>
      </c>
      <c r="G9934" s="64">
        <f t="shared" ca="1" si="194"/>
        <v>-8.6127366483880422E-3</v>
      </c>
    </row>
    <row r="9935" spans="6:7" x14ac:dyDescent="0.3">
      <c r="F9935" s="64">
        <v>9932</v>
      </c>
      <c r="G9935" s="64">
        <f t="shared" ca="1" si="194"/>
        <v>1.1773196265652923E-3</v>
      </c>
    </row>
    <row r="9936" spans="6:7" x14ac:dyDescent="0.3">
      <c r="F9936" s="64">
        <v>9933</v>
      </c>
      <c r="G9936" s="64">
        <f t="shared" ca="1" si="194"/>
        <v>1.7690296210025207E-2</v>
      </c>
    </row>
    <row r="9937" spans="6:7" x14ac:dyDescent="0.3">
      <c r="F9937" s="64">
        <v>9934</v>
      </c>
      <c r="G9937" s="64">
        <f t="shared" ca="1" si="194"/>
        <v>1.5455207241870139E-2</v>
      </c>
    </row>
    <row r="9938" spans="6:7" x14ac:dyDescent="0.3">
      <c r="F9938" s="64">
        <v>9935</v>
      </c>
      <c r="G9938" s="64">
        <f t="shared" ca="1" si="194"/>
        <v>-1.9846641183109227E-2</v>
      </c>
    </row>
    <row r="9939" spans="6:7" x14ac:dyDescent="0.3">
      <c r="F9939" s="64">
        <v>9936</v>
      </c>
      <c r="G9939" s="64">
        <f t="shared" ca="1" si="194"/>
        <v>1.384147904676908E-2</v>
      </c>
    </row>
    <row r="9940" spans="6:7" x14ac:dyDescent="0.3">
      <c r="F9940" s="64">
        <v>9937</v>
      </c>
      <c r="G9940" s="64">
        <f t="shared" ca="1" si="194"/>
        <v>-1.1574900044201045E-2</v>
      </c>
    </row>
    <row r="9941" spans="6:7" x14ac:dyDescent="0.3">
      <c r="F9941" s="64">
        <v>9938</v>
      </c>
      <c r="G9941" s="64">
        <f t="shared" ca="1" si="194"/>
        <v>-2.854690035317306E-2</v>
      </c>
    </row>
    <row r="9942" spans="6:7" x14ac:dyDescent="0.3">
      <c r="F9942" s="64">
        <v>9939</v>
      </c>
      <c r="G9942" s="64">
        <f t="shared" ca="1" si="194"/>
        <v>3.5283381034748353E-3</v>
      </c>
    </row>
    <row r="9943" spans="6:7" x14ac:dyDescent="0.3">
      <c r="F9943" s="64">
        <v>9940</v>
      </c>
      <c r="G9943" s="64">
        <f t="shared" ca="1" si="194"/>
        <v>-1.8322607921914959E-2</v>
      </c>
    </row>
    <row r="9944" spans="6:7" x14ac:dyDescent="0.3">
      <c r="F9944" s="64">
        <v>9941</v>
      </c>
      <c r="G9944" s="64">
        <f t="shared" ca="1" si="194"/>
        <v>2.6497361664853253E-2</v>
      </c>
    </row>
    <row r="9945" spans="6:7" x14ac:dyDescent="0.3">
      <c r="F9945" s="64">
        <v>9942</v>
      </c>
      <c r="G9945" s="64">
        <f t="shared" ca="1" si="194"/>
        <v>1.4175507107763347E-2</v>
      </c>
    </row>
    <row r="9946" spans="6:7" x14ac:dyDescent="0.3">
      <c r="F9946" s="64">
        <v>9943</v>
      </c>
      <c r="G9946" s="64">
        <f t="shared" ca="1" si="194"/>
        <v>-4.2303055614406525E-2</v>
      </c>
    </row>
    <row r="9947" spans="6:7" x14ac:dyDescent="0.3">
      <c r="F9947" s="64">
        <v>9944</v>
      </c>
      <c r="G9947" s="64">
        <f t="shared" ca="1" si="194"/>
        <v>4.5404919598042316E-3</v>
      </c>
    </row>
    <row r="9948" spans="6:7" x14ac:dyDescent="0.3">
      <c r="F9948" s="64">
        <v>9945</v>
      </c>
      <c r="G9948" s="64">
        <f t="shared" ca="1" si="194"/>
        <v>-8.461918783288884E-3</v>
      </c>
    </row>
    <row r="9949" spans="6:7" x14ac:dyDescent="0.3">
      <c r="F9949" s="64">
        <v>9946</v>
      </c>
      <c r="G9949" s="64">
        <f t="shared" ca="1" si="194"/>
        <v>-1.8386764653645998E-2</v>
      </c>
    </row>
    <row r="9950" spans="6:7" x14ac:dyDescent="0.3">
      <c r="F9950" s="64">
        <v>9947</v>
      </c>
      <c r="G9950" s="64">
        <f t="shared" ca="1" si="194"/>
        <v>-1.9432125448125039E-2</v>
      </c>
    </row>
    <row r="9951" spans="6:7" x14ac:dyDescent="0.3">
      <c r="F9951" s="64">
        <v>9948</v>
      </c>
      <c r="G9951" s="64">
        <f t="shared" ca="1" si="194"/>
        <v>2.5982794999240724E-3</v>
      </c>
    </row>
    <row r="9952" spans="6:7" x14ac:dyDescent="0.3">
      <c r="F9952" s="64">
        <v>9949</v>
      </c>
      <c r="G9952" s="64">
        <f t="shared" ca="1" si="194"/>
        <v>-4.2505457826584325E-3</v>
      </c>
    </row>
    <row r="9953" spans="6:7" x14ac:dyDescent="0.3">
      <c r="F9953" s="64">
        <v>9950</v>
      </c>
      <c r="G9953" s="64">
        <f t="shared" ca="1" si="194"/>
        <v>-1.0719778821979106E-3</v>
      </c>
    </row>
    <row r="9954" spans="6:7" x14ac:dyDescent="0.3">
      <c r="F9954" s="64">
        <v>9951</v>
      </c>
      <c r="G9954" s="64">
        <f t="shared" ca="1" si="194"/>
        <v>-1.4180463126400748E-2</v>
      </c>
    </row>
    <row r="9955" spans="6:7" x14ac:dyDescent="0.3">
      <c r="F9955" s="64">
        <v>9952</v>
      </c>
      <c r="G9955" s="64">
        <f t="shared" ca="1" si="194"/>
        <v>-4.6679251225744955E-3</v>
      </c>
    </row>
    <row r="9956" spans="6:7" x14ac:dyDescent="0.3">
      <c r="F9956" s="64">
        <v>9953</v>
      </c>
      <c r="G9956" s="64">
        <f t="shared" ca="1" si="194"/>
        <v>-1.1057640497876543E-2</v>
      </c>
    </row>
    <row r="9957" spans="6:7" x14ac:dyDescent="0.3">
      <c r="F9957" s="64">
        <v>9954</v>
      </c>
      <c r="G9957" s="64">
        <f t="shared" ca="1" si="194"/>
        <v>-9.9599836112653096E-3</v>
      </c>
    </row>
    <row r="9958" spans="6:7" x14ac:dyDescent="0.3">
      <c r="F9958" s="64">
        <v>9955</v>
      </c>
      <c r="G9958" s="64">
        <f t="shared" ca="1" si="194"/>
        <v>-3.7242951100683744E-3</v>
      </c>
    </row>
    <row r="9959" spans="6:7" x14ac:dyDescent="0.3">
      <c r="F9959" s="64">
        <v>9956</v>
      </c>
      <c r="G9959" s="64">
        <f t="shared" ca="1" si="194"/>
        <v>-4.2212947708046584E-3</v>
      </c>
    </row>
    <row r="9960" spans="6:7" x14ac:dyDescent="0.3">
      <c r="F9960" s="64">
        <v>9957</v>
      </c>
      <c r="G9960" s="64">
        <f t="shared" ca="1" si="194"/>
        <v>-2.141666682506229E-2</v>
      </c>
    </row>
    <row r="9961" spans="6:7" x14ac:dyDescent="0.3">
      <c r="F9961" s="64">
        <v>9958</v>
      </c>
      <c r="G9961" s="64">
        <f t="shared" ca="1" si="194"/>
        <v>-1.932557064647647E-2</v>
      </c>
    </row>
    <row r="9962" spans="6:7" x14ac:dyDescent="0.3">
      <c r="F9962" s="64">
        <v>9959</v>
      </c>
      <c r="G9962" s="64">
        <f t="shared" ca="1" si="194"/>
        <v>2.4266176972131452E-2</v>
      </c>
    </row>
    <row r="9963" spans="6:7" x14ac:dyDescent="0.3">
      <c r="F9963" s="64">
        <v>9960</v>
      </c>
      <c r="G9963" s="64">
        <f t="shared" ca="1" si="194"/>
        <v>-1.196461708996799E-2</v>
      </c>
    </row>
    <row r="9964" spans="6:7" x14ac:dyDescent="0.3">
      <c r="F9964" s="64">
        <v>9961</v>
      </c>
      <c r="G9964" s="64">
        <f t="shared" ca="1" si="194"/>
        <v>-2.428110605242835E-2</v>
      </c>
    </row>
    <row r="9965" spans="6:7" x14ac:dyDescent="0.3">
      <c r="F9965" s="64">
        <v>9962</v>
      </c>
      <c r="G9965" s="64">
        <f t="shared" ca="1" si="194"/>
        <v>2.9005622706348815E-2</v>
      </c>
    </row>
    <row r="9966" spans="6:7" x14ac:dyDescent="0.3">
      <c r="F9966" s="64">
        <v>9963</v>
      </c>
      <c r="G9966" s="64">
        <f t="shared" ca="1" si="194"/>
        <v>-5.0364264169527433E-2</v>
      </c>
    </row>
    <row r="9967" spans="6:7" x14ac:dyDescent="0.3">
      <c r="F9967" s="64">
        <v>9964</v>
      </c>
      <c r="G9967" s="64">
        <f t="shared" ca="1" si="194"/>
        <v>3.1427391676285478E-2</v>
      </c>
    </row>
    <row r="9968" spans="6:7" x14ac:dyDescent="0.3">
      <c r="F9968" s="64">
        <v>9965</v>
      </c>
      <c r="G9968" s="64">
        <f t="shared" ca="1" si="194"/>
        <v>-1.6888245851131682E-2</v>
      </c>
    </row>
    <row r="9969" spans="6:7" x14ac:dyDescent="0.3">
      <c r="F9969" s="64">
        <v>9966</v>
      </c>
      <c r="G9969" s="64">
        <f t="shared" ca="1" si="194"/>
        <v>8.791071976395632E-3</v>
      </c>
    </row>
    <row r="9970" spans="6:7" x14ac:dyDescent="0.3">
      <c r="F9970" s="64">
        <v>9967</v>
      </c>
      <c r="G9970" s="64">
        <f t="shared" ca="1" si="194"/>
        <v>-1.6892341060956377E-2</v>
      </c>
    </row>
    <row r="9971" spans="6:7" x14ac:dyDescent="0.3">
      <c r="F9971" s="64">
        <v>9968</v>
      </c>
      <c r="G9971" s="64">
        <f t="shared" ca="1" si="194"/>
        <v>-7.9495658072674599E-3</v>
      </c>
    </row>
    <row r="9972" spans="6:7" x14ac:dyDescent="0.3">
      <c r="F9972" s="64">
        <v>9969</v>
      </c>
      <c r="G9972" s="64">
        <f t="shared" ca="1" si="194"/>
        <v>-3.3162677378397031E-2</v>
      </c>
    </row>
    <row r="9973" spans="6:7" x14ac:dyDescent="0.3">
      <c r="F9973" s="64">
        <v>9970</v>
      </c>
      <c r="G9973" s="64">
        <f t="shared" ca="1" si="194"/>
        <v>6.0063477561430479E-3</v>
      </c>
    </row>
    <row r="9974" spans="6:7" x14ac:dyDescent="0.3">
      <c r="F9974" s="64">
        <v>9971</v>
      </c>
      <c r="G9974" s="64">
        <f t="shared" ca="1" si="194"/>
        <v>-3.2809373184723599E-3</v>
      </c>
    </row>
    <row r="9975" spans="6:7" x14ac:dyDescent="0.3">
      <c r="F9975" s="64">
        <v>9972</v>
      </c>
      <c r="G9975" s="64">
        <f t="shared" ca="1" si="194"/>
        <v>1.3890176249129672E-2</v>
      </c>
    </row>
    <row r="9976" spans="6:7" x14ac:dyDescent="0.3">
      <c r="F9976" s="64">
        <v>9973</v>
      </c>
      <c r="G9976" s="64">
        <f t="shared" ca="1" si="194"/>
        <v>2.1863433488727116E-2</v>
      </c>
    </row>
    <row r="9977" spans="6:7" x14ac:dyDescent="0.3">
      <c r="F9977" s="64">
        <v>9974</v>
      </c>
      <c r="G9977" s="64">
        <f t="shared" ca="1" si="194"/>
        <v>-1.6621554668681281E-2</v>
      </c>
    </row>
    <row r="9978" spans="6:7" x14ac:dyDescent="0.3">
      <c r="F9978" s="64">
        <v>9975</v>
      </c>
      <c r="G9978" s="64">
        <f t="shared" ca="1" si="194"/>
        <v>4.0922751421252145E-2</v>
      </c>
    </row>
    <row r="9979" spans="6:7" x14ac:dyDescent="0.3">
      <c r="F9979" s="64">
        <v>9976</v>
      </c>
      <c r="G9979" s="64">
        <f t="shared" ca="1" si="194"/>
        <v>1.4419168639024971E-2</v>
      </c>
    </row>
    <row r="9980" spans="6:7" x14ac:dyDescent="0.3">
      <c r="F9980" s="64">
        <v>9977</v>
      </c>
      <c r="G9980" s="64">
        <f t="shared" ca="1" si="194"/>
        <v>2.5283074458541437E-2</v>
      </c>
    </row>
    <row r="9981" spans="6:7" x14ac:dyDescent="0.3">
      <c r="F9981" s="64">
        <v>9978</v>
      </c>
      <c r="G9981" s="64">
        <f t="shared" ca="1" si="194"/>
        <v>1.1854519759452438E-2</v>
      </c>
    </row>
    <row r="9982" spans="6:7" x14ac:dyDescent="0.3">
      <c r="F9982" s="64">
        <v>9979</v>
      </c>
      <c r="G9982" s="64">
        <f t="shared" ca="1" si="194"/>
        <v>-3.5709313978730447E-3</v>
      </c>
    </row>
    <row r="9983" spans="6:7" x14ac:dyDescent="0.3">
      <c r="F9983" s="64">
        <v>9980</v>
      </c>
      <c r="G9983" s="64">
        <f t="shared" ca="1" si="194"/>
        <v>1.1286926527363171E-2</v>
      </c>
    </row>
    <row r="9984" spans="6:7" x14ac:dyDescent="0.3">
      <c r="F9984" s="64">
        <v>9981</v>
      </c>
      <c r="G9984" s="64">
        <f t="shared" ca="1" si="194"/>
        <v>1.3381805405780255E-2</v>
      </c>
    </row>
    <row r="9985" spans="6:7" x14ac:dyDescent="0.3">
      <c r="F9985" s="64">
        <v>9982</v>
      </c>
      <c r="G9985" s="64">
        <f t="shared" ca="1" si="194"/>
        <v>1.2884260044311384E-2</v>
      </c>
    </row>
    <row r="9986" spans="6:7" x14ac:dyDescent="0.3">
      <c r="F9986" s="64">
        <v>9983</v>
      </c>
      <c r="G9986" s="64">
        <f t="shared" ca="1" si="194"/>
        <v>8.8981422598244896E-3</v>
      </c>
    </row>
    <row r="9987" spans="6:7" x14ac:dyDescent="0.3">
      <c r="F9987" s="64">
        <v>9984</v>
      </c>
      <c r="G9987" s="64">
        <f t="shared" ca="1" si="194"/>
        <v>-1.4503553386745308E-2</v>
      </c>
    </row>
    <row r="9988" spans="6:7" x14ac:dyDescent="0.3">
      <c r="F9988" s="64">
        <v>9985</v>
      </c>
      <c r="G9988" s="64">
        <f t="shared" ca="1" si="194"/>
        <v>-1.9272927124070902E-2</v>
      </c>
    </row>
    <row r="9989" spans="6:7" x14ac:dyDescent="0.3">
      <c r="F9989" s="64">
        <v>9986</v>
      </c>
      <c r="G9989" s="64">
        <f t="shared" ref="G9989:G10003" ca="1" si="195">_xlfn.NORM.INV(RAND(),K$6,K$7)</f>
        <v>-1.7363531103041306E-2</v>
      </c>
    </row>
    <row r="9990" spans="6:7" x14ac:dyDescent="0.3">
      <c r="F9990" s="64">
        <v>9987</v>
      </c>
      <c r="G9990" s="64">
        <f t="shared" ca="1" si="195"/>
        <v>-4.0813163665226687E-3</v>
      </c>
    </row>
    <row r="9991" spans="6:7" x14ac:dyDescent="0.3">
      <c r="F9991" s="64">
        <v>9988</v>
      </c>
      <c r="G9991" s="64">
        <f t="shared" ca="1" si="195"/>
        <v>-3.2484803563121313E-2</v>
      </c>
    </row>
    <row r="9992" spans="6:7" x14ac:dyDescent="0.3">
      <c r="F9992" s="64">
        <v>9989</v>
      </c>
      <c r="G9992" s="64">
        <f t="shared" ca="1" si="195"/>
        <v>-1.260775030798224E-2</v>
      </c>
    </row>
    <row r="9993" spans="6:7" x14ac:dyDescent="0.3">
      <c r="F9993" s="64">
        <v>9990</v>
      </c>
      <c r="G9993" s="64">
        <f t="shared" ca="1" si="195"/>
        <v>-1.917195318350419E-2</v>
      </c>
    </row>
    <row r="9994" spans="6:7" x14ac:dyDescent="0.3">
      <c r="F9994" s="64">
        <v>9991</v>
      </c>
      <c r="G9994" s="64">
        <f t="shared" ca="1" si="195"/>
        <v>-4.1347369110065211E-3</v>
      </c>
    </row>
    <row r="9995" spans="6:7" x14ac:dyDescent="0.3">
      <c r="F9995" s="64">
        <v>9992</v>
      </c>
      <c r="G9995" s="64">
        <f t="shared" ca="1" si="195"/>
        <v>-2.2399183229163205E-2</v>
      </c>
    </row>
    <row r="9996" spans="6:7" x14ac:dyDescent="0.3">
      <c r="F9996" s="64">
        <v>9993</v>
      </c>
      <c r="G9996" s="64">
        <f t="shared" ca="1" si="195"/>
        <v>1.9502981907365324E-2</v>
      </c>
    </row>
    <row r="9997" spans="6:7" x14ac:dyDescent="0.3">
      <c r="F9997" s="64">
        <v>9994</v>
      </c>
      <c r="G9997" s="64">
        <f t="shared" ca="1" si="195"/>
        <v>3.9986646839000476E-3</v>
      </c>
    </row>
    <row r="9998" spans="6:7" x14ac:dyDescent="0.3">
      <c r="F9998" s="64">
        <v>9995</v>
      </c>
      <c r="G9998" s="64">
        <f t="shared" ca="1" si="195"/>
        <v>-5.7625399901102103E-2</v>
      </c>
    </row>
    <row r="9999" spans="6:7" x14ac:dyDescent="0.3">
      <c r="F9999" s="64">
        <v>9996</v>
      </c>
      <c r="G9999" s="64">
        <f t="shared" ca="1" si="195"/>
        <v>1.4600847646432798E-2</v>
      </c>
    </row>
    <row r="10000" spans="6:7" x14ac:dyDescent="0.3">
      <c r="F10000" s="64">
        <v>9997</v>
      </c>
      <c r="G10000" s="64">
        <f t="shared" ca="1" si="195"/>
        <v>9.1716821536565567E-3</v>
      </c>
    </row>
    <row r="10001" spans="6:7" x14ac:dyDescent="0.3">
      <c r="F10001" s="64">
        <v>9998</v>
      </c>
      <c r="G10001" s="64">
        <f t="shared" ca="1" si="195"/>
        <v>9.6602536966370282E-3</v>
      </c>
    </row>
    <row r="10002" spans="6:7" x14ac:dyDescent="0.3">
      <c r="F10002" s="64">
        <v>9999</v>
      </c>
      <c r="G10002" s="64">
        <f t="shared" ca="1" si="195"/>
        <v>7.325250739101302E-3</v>
      </c>
    </row>
    <row r="10003" spans="6:7" x14ac:dyDescent="0.3">
      <c r="F10003" s="64">
        <v>10000</v>
      </c>
      <c r="G10003" s="64">
        <f t="shared" ca="1" si="195"/>
        <v>-4.2350467158159344E-3</v>
      </c>
    </row>
  </sheetData>
  <autoFilter ref="A3:E2333" xr:uid="{9432377F-2B9B-40DC-A93B-0E112B81828F}">
    <sortState xmlns:xlrd2="http://schemas.microsoft.com/office/spreadsheetml/2017/richdata2" ref="A4:E2333">
      <sortCondition descending="1" ref="E3:E2333"/>
    </sortState>
  </autoFilter>
  <mergeCells count="1">
    <mergeCell ref="B1:Q1"/>
  </mergeCells>
  <pageMargins left="0.7" right="0.7" top="0.75" bottom="0.75" header="0.3" footer="0.3"/>
  <pageSetup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7980-6C4B-47A3-96D2-A714F23577F7}">
  <dimension ref="A1"/>
  <sheetViews>
    <sheetView workbookViewId="0">
      <selection activeCell="I28" sqref="I28"/>
    </sheetView>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8"/>
  <sheetViews>
    <sheetView zoomScale="120" zoomScaleNormal="120" zoomScalePageLayoutView="120" workbookViewId="0">
      <pane xSplit="1" ySplit="1" topLeftCell="B2" activePane="bottomRight" state="frozen"/>
      <selection activeCell="C4" sqref="C4"/>
      <selection pane="topRight" activeCell="C4" sqref="C4"/>
      <selection pane="bottomLeft" activeCell="C4" sqref="C4"/>
      <selection pane="bottomRight" activeCell="G3" sqref="G1:G1048576"/>
    </sheetView>
  </sheetViews>
  <sheetFormatPr defaultColWidth="8.77734375" defaultRowHeight="14.4" x14ac:dyDescent="0.3"/>
  <cols>
    <col min="1" max="1" width="27.6640625" style="3" bestFit="1" customWidth="1"/>
    <col min="2" max="11" width="13.44140625" style="3" bestFit="1" customWidth="1"/>
    <col min="12" max="16384" width="8.77734375" style="3"/>
  </cols>
  <sheetData>
    <row r="1" spans="1:11" s="1" customFormat="1" x14ac:dyDescent="0.3">
      <c r="A1" s="1" t="s">
        <v>0</v>
      </c>
      <c r="B1" s="1" t="s">
        <v>34</v>
      </c>
      <c r="E1" s="219" t="str">
        <f>IF(B2&lt;&gt;B3, "A NEW VERSION OF THE WORKSHEET IS AVAILABLE", "")</f>
        <v/>
      </c>
      <c r="F1" s="219"/>
      <c r="G1" s="219"/>
      <c r="H1" s="219"/>
      <c r="I1" s="219"/>
      <c r="J1" s="219"/>
      <c r="K1" s="219"/>
    </row>
    <row r="2" spans="1:11" x14ac:dyDescent="0.3">
      <c r="A2" s="1" t="s">
        <v>32</v>
      </c>
      <c r="B2" s="3">
        <v>2.1</v>
      </c>
      <c r="E2" s="220" t="s">
        <v>22</v>
      </c>
      <c r="F2" s="220"/>
      <c r="G2" s="220"/>
      <c r="H2" s="220"/>
      <c r="I2" s="220"/>
      <c r="J2" s="220"/>
      <c r="K2" s="220"/>
    </row>
    <row r="3" spans="1:11" x14ac:dyDescent="0.3">
      <c r="A3" s="1" t="s">
        <v>33</v>
      </c>
      <c r="B3" s="3">
        <v>2.1</v>
      </c>
    </row>
    <row r="4" spans="1:11" x14ac:dyDescent="0.3">
      <c r="A4" s="1"/>
    </row>
    <row r="5" spans="1:11" x14ac:dyDescent="0.3">
      <c r="A5" s="1" t="s">
        <v>35</v>
      </c>
    </row>
    <row r="6" spans="1:11" x14ac:dyDescent="0.3">
      <c r="A6" s="3" t="s">
        <v>28</v>
      </c>
      <c r="B6" s="3">
        <f>IF(B9&gt;0, B9/B8, 0)</f>
        <v>142.34321727019497</v>
      </c>
    </row>
    <row r="7" spans="1:11" x14ac:dyDescent="0.3">
      <c r="A7" s="3" t="s">
        <v>17</v>
      </c>
      <c r="B7">
        <v>1</v>
      </c>
    </row>
    <row r="8" spans="1:11" x14ac:dyDescent="0.3">
      <c r="A8" s="3" t="s">
        <v>29</v>
      </c>
      <c r="B8">
        <v>718</v>
      </c>
    </row>
    <row r="9" spans="1:11" x14ac:dyDescent="0.3">
      <c r="A9" s="3" t="s">
        <v>45</v>
      </c>
      <c r="B9">
        <v>102202.43</v>
      </c>
    </row>
    <row r="15" spans="1:11" x14ac:dyDescent="0.3">
      <c r="A15" s="1" t="s">
        <v>23</v>
      </c>
    </row>
    <row r="16" spans="1:11" s="7" customFormat="1" x14ac:dyDescent="0.3">
      <c r="A16" s="6" t="s">
        <v>24</v>
      </c>
      <c r="B16" s="5">
        <v>42825</v>
      </c>
      <c r="C16" s="5">
        <v>43190</v>
      </c>
      <c r="D16" s="5">
        <v>43555</v>
      </c>
      <c r="E16" s="5">
        <v>43921</v>
      </c>
      <c r="F16" s="5">
        <v>44286</v>
      </c>
      <c r="G16" s="5">
        <v>44651</v>
      </c>
      <c r="H16" s="5">
        <v>45016</v>
      </c>
      <c r="I16" s="5">
        <v>45382</v>
      </c>
      <c r="J16" s="5">
        <v>45747</v>
      </c>
      <c r="K16" s="5">
        <v>46112</v>
      </c>
    </row>
    <row r="17" spans="1:11" s="4" customFormat="1" x14ac:dyDescent="0.3">
      <c r="A17" s="4" t="s">
        <v>1</v>
      </c>
      <c r="B17">
        <v>4020.57</v>
      </c>
      <c r="C17">
        <v>4103.55</v>
      </c>
      <c r="D17">
        <v>4512</v>
      </c>
      <c r="E17">
        <v>4463.1400000000003</v>
      </c>
      <c r="F17">
        <v>1575.16</v>
      </c>
      <c r="G17">
        <v>3056.22</v>
      </c>
      <c r="H17">
        <v>5809.91</v>
      </c>
      <c r="I17">
        <v>6768.75</v>
      </c>
      <c r="J17">
        <v>8334.5400000000009</v>
      </c>
      <c r="K17">
        <v>9689.2199999999993</v>
      </c>
    </row>
    <row r="18" spans="1:11" s="4" customFormat="1" x14ac:dyDescent="0.3">
      <c r="A18" s="3" t="s">
        <v>46</v>
      </c>
      <c r="B18">
        <v>363.95</v>
      </c>
      <c r="C18">
        <v>376.44</v>
      </c>
      <c r="D18">
        <v>404.05</v>
      </c>
      <c r="E18">
        <v>370.56</v>
      </c>
      <c r="F18">
        <v>143.82</v>
      </c>
      <c r="G18">
        <v>257.23</v>
      </c>
      <c r="H18">
        <v>472.89</v>
      </c>
      <c r="I18">
        <v>520.83000000000004</v>
      </c>
      <c r="J18">
        <v>773.75</v>
      </c>
      <c r="K18">
        <v>950.89</v>
      </c>
    </row>
    <row r="19" spans="1:11" s="4" customFormat="1" x14ac:dyDescent="0.3">
      <c r="A19" s="3" t="s">
        <v>47</v>
      </c>
      <c r="B19"/>
      <c r="C19"/>
      <c r="D19"/>
      <c r="E19"/>
      <c r="F19"/>
      <c r="G19"/>
      <c r="H19"/>
      <c r="I19"/>
      <c r="J19"/>
      <c r="K19"/>
    </row>
    <row r="20" spans="1:11" s="4" customFormat="1" x14ac:dyDescent="0.3">
      <c r="A20" s="3" t="s">
        <v>48</v>
      </c>
      <c r="B20">
        <v>258.61</v>
      </c>
      <c r="C20">
        <v>259.11</v>
      </c>
      <c r="D20">
        <v>273.57</v>
      </c>
      <c r="E20">
        <v>269.87</v>
      </c>
      <c r="F20">
        <v>172.85</v>
      </c>
      <c r="G20">
        <v>224.79</v>
      </c>
      <c r="H20">
        <v>303.08999999999997</v>
      </c>
      <c r="I20">
        <v>308.99</v>
      </c>
      <c r="J20">
        <v>360.66</v>
      </c>
      <c r="K20">
        <v>377.1</v>
      </c>
    </row>
    <row r="21" spans="1:11" s="4" customFormat="1" x14ac:dyDescent="0.3">
      <c r="A21" s="3" t="s">
        <v>49</v>
      </c>
      <c r="B21">
        <v>607.04999999999995</v>
      </c>
      <c r="C21">
        <v>603.49</v>
      </c>
      <c r="D21">
        <v>677.4</v>
      </c>
      <c r="E21">
        <v>808.11</v>
      </c>
      <c r="F21">
        <v>360.13</v>
      </c>
      <c r="G21">
        <v>574.32000000000005</v>
      </c>
      <c r="H21">
        <v>1045.5</v>
      </c>
      <c r="I21">
        <v>1249.06</v>
      </c>
      <c r="J21">
        <v>1105.74</v>
      </c>
      <c r="K21">
        <v>1262.95</v>
      </c>
    </row>
    <row r="22" spans="1:11" s="4" customFormat="1" x14ac:dyDescent="0.3">
      <c r="A22" s="3" t="s">
        <v>50</v>
      </c>
      <c r="B22">
        <v>1368.61</v>
      </c>
      <c r="C22">
        <v>1351.39</v>
      </c>
      <c r="D22">
        <v>1474.19</v>
      </c>
      <c r="E22">
        <v>1498.67</v>
      </c>
      <c r="F22">
        <v>896.13</v>
      </c>
      <c r="G22">
        <v>1153.4000000000001</v>
      </c>
      <c r="H22">
        <v>1588.69</v>
      </c>
      <c r="I22">
        <v>1811.08</v>
      </c>
      <c r="J22">
        <v>2156.67</v>
      </c>
      <c r="K22">
        <v>2491.75</v>
      </c>
    </row>
    <row r="23" spans="1:11" s="4" customFormat="1" x14ac:dyDescent="0.3">
      <c r="A23" s="3" t="s">
        <v>51</v>
      </c>
      <c r="B23">
        <v>681.21</v>
      </c>
      <c r="C23">
        <v>704.89</v>
      </c>
      <c r="D23">
        <v>723.09</v>
      </c>
      <c r="E23">
        <v>426.21</v>
      </c>
      <c r="F23">
        <v>263.68</v>
      </c>
      <c r="G23">
        <v>331.02</v>
      </c>
      <c r="H23">
        <v>472.94</v>
      </c>
      <c r="I23">
        <v>569.03</v>
      </c>
      <c r="J23">
        <v>988.62</v>
      </c>
      <c r="K23">
        <v>1174.5999999999999</v>
      </c>
    </row>
    <row r="24" spans="1:11" s="4" customFormat="1" x14ac:dyDescent="0.3">
      <c r="A24" s="3" t="s">
        <v>52</v>
      </c>
      <c r="B24">
        <v>131.52000000000001</v>
      </c>
      <c r="C24">
        <v>137.11000000000001</v>
      </c>
      <c r="D24">
        <v>129.97</v>
      </c>
      <c r="E24">
        <v>122.19</v>
      </c>
      <c r="F24">
        <v>100.31</v>
      </c>
      <c r="G24">
        <v>110.71</v>
      </c>
      <c r="H24">
        <v>122.24</v>
      </c>
      <c r="I24">
        <v>150.25</v>
      </c>
      <c r="J24">
        <v>179.77</v>
      </c>
      <c r="K24">
        <v>236.13</v>
      </c>
    </row>
    <row r="25" spans="1:11" s="4" customFormat="1" x14ac:dyDescent="0.3">
      <c r="A25" s="4" t="s">
        <v>4</v>
      </c>
      <c r="B25">
        <v>44.16</v>
      </c>
      <c r="C25">
        <v>83.41</v>
      </c>
      <c r="D25">
        <v>89.96</v>
      </c>
      <c r="E25">
        <v>173.37</v>
      </c>
      <c r="F25">
        <v>324.67</v>
      </c>
      <c r="G25">
        <v>170.78</v>
      </c>
      <c r="H25">
        <v>142.19</v>
      </c>
      <c r="I25">
        <v>180.54</v>
      </c>
      <c r="J25">
        <v>535.26</v>
      </c>
      <c r="K25">
        <v>556.57000000000005</v>
      </c>
    </row>
    <row r="26" spans="1:11" s="4" customFormat="1" x14ac:dyDescent="0.3">
      <c r="A26" s="4" t="s">
        <v>5</v>
      </c>
      <c r="B26">
        <v>299.37</v>
      </c>
      <c r="C26">
        <v>301.2</v>
      </c>
      <c r="D26">
        <v>327.85</v>
      </c>
      <c r="E26">
        <v>404.24</v>
      </c>
      <c r="F26">
        <v>409.63</v>
      </c>
      <c r="G26">
        <v>406.05</v>
      </c>
      <c r="H26">
        <v>416.06</v>
      </c>
      <c r="I26">
        <v>454.3</v>
      </c>
      <c r="J26">
        <v>518.16</v>
      </c>
      <c r="K26">
        <v>605.16</v>
      </c>
    </row>
    <row r="27" spans="1:11" s="4" customFormat="1" x14ac:dyDescent="0.3">
      <c r="A27" s="4" t="s">
        <v>6</v>
      </c>
      <c r="B27">
        <v>323.83</v>
      </c>
      <c r="C27">
        <v>269.04000000000002</v>
      </c>
      <c r="D27">
        <v>190.13</v>
      </c>
      <c r="E27">
        <v>341.12</v>
      </c>
      <c r="F27">
        <v>402.82</v>
      </c>
      <c r="G27">
        <v>427.66</v>
      </c>
      <c r="H27">
        <v>236.05</v>
      </c>
      <c r="I27">
        <v>220.22</v>
      </c>
      <c r="J27">
        <v>208.38</v>
      </c>
      <c r="K27">
        <v>221.35</v>
      </c>
    </row>
    <row r="28" spans="1:11" s="4" customFormat="1" x14ac:dyDescent="0.3">
      <c r="A28" s="4" t="s">
        <v>7</v>
      </c>
      <c r="B28">
        <v>30.58</v>
      </c>
      <c r="C28">
        <v>184.29</v>
      </c>
      <c r="D28">
        <v>401.71</v>
      </c>
      <c r="E28">
        <v>395.54</v>
      </c>
      <c r="F28">
        <v>-849.54</v>
      </c>
      <c r="G28">
        <v>-258.18</v>
      </c>
      <c r="H28">
        <v>1294.6400000000001</v>
      </c>
      <c r="I28">
        <v>1665.53</v>
      </c>
      <c r="J28">
        <v>2578.0500000000002</v>
      </c>
      <c r="K28">
        <v>2925.86</v>
      </c>
    </row>
    <row r="29" spans="1:11" s="4" customFormat="1" x14ac:dyDescent="0.3">
      <c r="A29" s="4" t="s">
        <v>8</v>
      </c>
      <c r="B29">
        <v>113.74</v>
      </c>
      <c r="C29">
        <v>121.06</v>
      </c>
      <c r="D29">
        <v>157.12</v>
      </c>
      <c r="E29">
        <v>44.77</v>
      </c>
      <c r="F29">
        <v>-155.33000000000001</v>
      </c>
      <c r="G29">
        <v>-35.78</v>
      </c>
      <c r="H29">
        <v>323.20999999999998</v>
      </c>
      <c r="I29">
        <v>463.94</v>
      </c>
      <c r="J29">
        <v>616.79999999999995</v>
      </c>
      <c r="K29">
        <v>730.72</v>
      </c>
    </row>
    <row r="30" spans="1:11" s="4" customFormat="1" x14ac:dyDescent="0.3">
      <c r="A30" s="4" t="s">
        <v>9</v>
      </c>
      <c r="B30">
        <v>-63.2</v>
      </c>
      <c r="C30">
        <v>100.87</v>
      </c>
      <c r="D30">
        <v>286.82</v>
      </c>
      <c r="E30">
        <v>354.42</v>
      </c>
      <c r="F30">
        <v>-720.11</v>
      </c>
      <c r="G30">
        <v>-247.72</v>
      </c>
      <c r="H30">
        <v>1002.59</v>
      </c>
      <c r="I30">
        <v>1259.07</v>
      </c>
      <c r="J30">
        <v>1907.59</v>
      </c>
      <c r="K30">
        <v>2084.38</v>
      </c>
    </row>
    <row r="31" spans="1:11" s="4" customFormat="1" x14ac:dyDescent="0.3">
      <c r="A31" s="4" t="s">
        <v>36</v>
      </c>
      <c r="B31">
        <v>34.630000000000003</v>
      </c>
      <c r="C31">
        <v>47.57</v>
      </c>
      <c r="D31">
        <v>59.46</v>
      </c>
      <c r="E31">
        <v>59.46</v>
      </c>
      <c r="F31">
        <v>47.57</v>
      </c>
      <c r="G31">
        <v>56.82</v>
      </c>
      <c r="H31">
        <v>142.04</v>
      </c>
      <c r="I31">
        <v>249.1</v>
      </c>
      <c r="J31">
        <v>320.26</v>
      </c>
      <c r="K31">
        <v>462.6</v>
      </c>
    </row>
    <row r="32" spans="1:11" s="4" customFormat="1" x14ac:dyDescent="0.3"/>
    <row r="33" spans="1:11" x14ac:dyDescent="0.3">
      <c r="A33" s="4"/>
    </row>
    <row r="34" spans="1:11" x14ac:dyDescent="0.3">
      <c r="A34" s="4"/>
    </row>
    <row r="35" spans="1:11" x14ac:dyDescent="0.3">
      <c r="A35" s="4"/>
    </row>
    <row r="36" spans="1:11" x14ac:dyDescent="0.3">
      <c r="A36" s="4"/>
    </row>
    <row r="37" spans="1:11" x14ac:dyDescent="0.3">
      <c r="A37" s="4"/>
    </row>
    <row r="38" spans="1:11" x14ac:dyDescent="0.3">
      <c r="A38" s="4"/>
    </row>
    <row r="39" spans="1:11" x14ac:dyDescent="0.3">
      <c r="A39" s="4"/>
    </row>
    <row r="40" spans="1:11" x14ac:dyDescent="0.3">
      <c r="A40" s="1" t="s">
        <v>25</v>
      </c>
    </row>
    <row r="41" spans="1:11" s="7" customFormat="1" x14ac:dyDescent="0.3">
      <c r="A41" s="6" t="s">
        <v>24</v>
      </c>
      <c r="B41" s="5">
        <v>45382</v>
      </c>
      <c r="C41" s="5">
        <v>45473</v>
      </c>
      <c r="D41" s="5">
        <v>45565</v>
      </c>
      <c r="E41" s="5">
        <v>45657</v>
      </c>
      <c r="F41" s="5">
        <v>45747</v>
      </c>
      <c r="G41" s="5">
        <v>45838</v>
      </c>
      <c r="H41" s="5">
        <v>45930</v>
      </c>
      <c r="I41" s="5">
        <v>46022</v>
      </c>
      <c r="J41" s="5">
        <v>46112</v>
      </c>
      <c r="K41" s="5">
        <v>46203</v>
      </c>
    </row>
    <row r="42" spans="1:11" s="4" customFormat="1" x14ac:dyDescent="0.3">
      <c r="A42" s="4" t="s">
        <v>1</v>
      </c>
      <c r="B42">
        <v>1905.34</v>
      </c>
      <c r="C42">
        <v>1550.23</v>
      </c>
      <c r="D42">
        <v>1826.12</v>
      </c>
      <c r="E42">
        <v>2533.0500000000002</v>
      </c>
      <c r="F42">
        <v>2425.14</v>
      </c>
      <c r="G42">
        <v>2041.08</v>
      </c>
      <c r="H42">
        <v>2040.89</v>
      </c>
      <c r="I42">
        <v>2841.96</v>
      </c>
      <c r="J42">
        <v>2765.29</v>
      </c>
      <c r="K42">
        <v>2339.19</v>
      </c>
    </row>
    <row r="43" spans="1:11" s="4" customFormat="1" x14ac:dyDescent="0.3">
      <c r="A43" s="4" t="s">
        <v>2</v>
      </c>
      <c r="B43">
        <v>1245.54</v>
      </c>
      <c r="C43">
        <v>1100.6300000000001</v>
      </c>
      <c r="D43">
        <v>1324.85</v>
      </c>
      <c r="E43">
        <v>1571.37</v>
      </c>
      <c r="F43">
        <v>1568.36</v>
      </c>
      <c r="G43">
        <v>1465.05</v>
      </c>
      <c r="H43">
        <v>1470.77</v>
      </c>
      <c r="I43">
        <v>1766.14</v>
      </c>
      <c r="J43">
        <v>1792.61</v>
      </c>
      <c r="K43">
        <v>1666.48</v>
      </c>
    </row>
    <row r="44" spans="1:11" s="4" customFormat="1" x14ac:dyDescent="0.3">
      <c r="A44" s="4" t="s">
        <v>4</v>
      </c>
      <c r="B44">
        <v>46.12</v>
      </c>
      <c r="C44">
        <v>46.04</v>
      </c>
      <c r="D44">
        <v>371.46</v>
      </c>
      <c r="E44">
        <v>58.68</v>
      </c>
      <c r="F44">
        <v>59.08</v>
      </c>
      <c r="G44">
        <v>61.09</v>
      </c>
      <c r="H44">
        <v>83.36</v>
      </c>
      <c r="I44">
        <v>333.78</v>
      </c>
      <c r="J44">
        <v>79.489999999999995</v>
      </c>
      <c r="K44">
        <v>80.180000000000007</v>
      </c>
    </row>
    <row r="45" spans="1:11" s="4" customFormat="1" x14ac:dyDescent="0.3">
      <c r="A45" s="4" t="s">
        <v>5</v>
      </c>
      <c r="B45">
        <v>119.73</v>
      </c>
      <c r="C45">
        <v>117.29</v>
      </c>
      <c r="D45">
        <v>124.93</v>
      </c>
      <c r="E45">
        <v>133.94</v>
      </c>
      <c r="F45">
        <v>142</v>
      </c>
      <c r="G45">
        <v>142.75</v>
      </c>
      <c r="H45">
        <v>144.72</v>
      </c>
      <c r="I45">
        <v>150.32</v>
      </c>
      <c r="J45">
        <v>167.37</v>
      </c>
      <c r="K45">
        <v>162.58000000000001</v>
      </c>
    </row>
    <row r="46" spans="1:11" s="4" customFormat="1" x14ac:dyDescent="0.3">
      <c r="A46" s="4" t="s">
        <v>6</v>
      </c>
      <c r="B46">
        <v>51.5</v>
      </c>
      <c r="C46">
        <v>49.86</v>
      </c>
      <c r="D46">
        <v>52.23</v>
      </c>
      <c r="E46">
        <v>52.39</v>
      </c>
      <c r="F46">
        <v>53.9</v>
      </c>
      <c r="G46">
        <v>54.55</v>
      </c>
      <c r="H46">
        <v>56.05</v>
      </c>
      <c r="I46">
        <v>55.82</v>
      </c>
      <c r="J46">
        <v>54.93</v>
      </c>
      <c r="K46">
        <v>56.98</v>
      </c>
    </row>
    <row r="47" spans="1:11" s="4" customFormat="1" x14ac:dyDescent="0.3">
      <c r="A47" s="4" t="s">
        <v>7</v>
      </c>
      <c r="B47">
        <v>534.69000000000005</v>
      </c>
      <c r="C47">
        <v>328.49</v>
      </c>
      <c r="D47">
        <v>695.57</v>
      </c>
      <c r="E47">
        <v>834.03</v>
      </c>
      <c r="F47">
        <v>719.96</v>
      </c>
      <c r="G47">
        <v>439.82</v>
      </c>
      <c r="H47">
        <v>452.71</v>
      </c>
      <c r="I47">
        <v>1203.46</v>
      </c>
      <c r="J47">
        <v>829.87</v>
      </c>
      <c r="K47">
        <v>533.33000000000004</v>
      </c>
    </row>
    <row r="48" spans="1:11" s="4" customFormat="1" x14ac:dyDescent="0.3">
      <c r="A48" s="4" t="s">
        <v>8</v>
      </c>
      <c r="B48">
        <v>141.6</v>
      </c>
      <c r="C48">
        <v>94.28</v>
      </c>
      <c r="D48">
        <v>122.36</v>
      </c>
      <c r="E48">
        <v>220.21</v>
      </c>
      <c r="F48">
        <v>179.95</v>
      </c>
      <c r="G48">
        <v>120.4</v>
      </c>
      <c r="H48">
        <v>136.53</v>
      </c>
      <c r="I48">
        <v>269.14</v>
      </c>
      <c r="J48">
        <v>204.65</v>
      </c>
      <c r="K48">
        <v>142.4</v>
      </c>
    </row>
    <row r="49" spans="1:11" s="4" customFormat="1" x14ac:dyDescent="0.3">
      <c r="A49" s="4" t="s">
        <v>9</v>
      </c>
      <c r="B49">
        <v>417.76</v>
      </c>
      <c r="C49">
        <v>248.39</v>
      </c>
      <c r="D49">
        <v>554.58000000000004</v>
      </c>
      <c r="E49">
        <v>582.32000000000005</v>
      </c>
      <c r="F49">
        <v>522.29999999999995</v>
      </c>
      <c r="G49">
        <v>296.37</v>
      </c>
      <c r="H49">
        <v>284.92</v>
      </c>
      <c r="I49">
        <v>903.23</v>
      </c>
      <c r="J49">
        <v>599.86</v>
      </c>
      <c r="K49">
        <v>357.9</v>
      </c>
    </row>
    <row r="50" spans="1:11" x14ac:dyDescent="0.3">
      <c r="A50" s="4" t="s">
        <v>3</v>
      </c>
      <c r="B50">
        <v>659.8</v>
      </c>
      <c r="C50">
        <v>449.6</v>
      </c>
      <c r="D50">
        <v>501.27</v>
      </c>
      <c r="E50">
        <v>961.68</v>
      </c>
      <c r="F50">
        <v>856.78</v>
      </c>
      <c r="G50">
        <v>576.03</v>
      </c>
      <c r="H50">
        <v>570.12</v>
      </c>
      <c r="I50">
        <v>1075.82</v>
      </c>
      <c r="J50">
        <v>972.68</v>
      </c>
      <c r="K50">
        <v>672.71</v>
      </c>
    </row>
    <row r="51" spans="1:11" x14ac:dyDescent="0.3">
      <c r="A51" s="4"/>
    </row>
    <row r="52" spans="1:11" x14ac:dyDescent="0.3">
      <c r="A52" s="4"/>
    </row>
    <row r="53" spans="1:11" x14ac:dyDescent="0.3">
      <c r="A53" s="4"/>
    </row>
    <row r="54" spans="1:11" x14ac:dyDescent="0.3">
      <c r="A54" s="4"/>
    </row>
    <row r="55" spans="1:11" x14ac:dyDescent="0.3">
      <c r="A55" s="1" t="s">
        <v>26</v>
      </c>
    </row>
    <row r="56" spans="1:11" s="7" customFormat="1" x14ac:dyDescent="0.3">
      <c r="A56" s="6" t="s">
        <v>24</v>
      </c>
      <c r="B56" s="5">
        <v>42825</v>
      </c>
      <c r="C56" s="5">
        <v>43190</v>
      </c>
      <c r="D56" s="5">
        <v>43555</v>
      </c>
      <c r="E56" s="5">
        <v>43921</v>
      </c>
      <c r="F56" s="5">
        <v>44286</v>
      </c>
      <c r="G56" s="5">
        <v>44651</v>
      </c>
      <c r="H56" s="5">
        <v>45016</v>
      </c>
      <c r="I56" s="5">
        <v>45382</v>
      </c>
      <c r="J56" s="5">
        <v>45747</v>
      </c>
      <c r="K56" s="5">
        <v>46112</v>
      </c>
    </row>
    <row r="57" spans="1:11" x14ac:dyDescent="0.3">
      <c r="A57" s="4" t="s">
        <v>11</v>
      </c>
      <c r="B57">
        <v>98.93</v>
      </c>
      <c r="C57">
        <v>118.93</v>
      </c>
      <c r="D57">
        <v>118.93</v>
      </c>
      <c r="E57">
        <v>118.93</v>
      </c>
      <c r="F57">
        <v>118.93</v>
      </c>
      <c r="G57">
        <v>142.04</v>
      </c>
      <c r="H57">
        <v>142.04</v>
      </c>
      <c r="I57">
        <v>142.34</v>
      </c>
      <c r="J57">
        <v>142.34</v>
      </c>
      <c r="K57">
        <v>142.34</v>
      </c>
    </row>
    <row r="58" spans="1:11" x14ac:dyDescent="0.3">
      <c r="A58" s="4" t="s">
        <v>12</v>
      </c>
      <c r="B58">
        <v>2418.7600000000002</v>
      </c>
      <c r="C58">
        <v>4062.17</v>
      </c>
      <c r="D58">
        <v>4229.07</v>
      </c>
      <c r="E58">
        <v>4237.88</v>
      </c>
      <c r="F58">
        <v>3529.51</v>
      </c>
      <c r="G58">
        <v>6920.21</v>
      </c>
      <c r="H58">
        <v>7839.92</v>
      </c>
      <c r="I58">
        <v>9314.31</v>
      </c>
      <c r="J58">
        <v>11018.37</v>
      </c>
      <c r="K58">
        <v>12909.95</v>
      </c>
    </row>
    <row r="59" spans="1:11" x14ac:dyDescent="0.3">
      <c r="A59" s="4" t="s">
        <v>37</v>
      </c>
      <c r="B59">
        <v>3382.98</v>
      </c>
      <c r="C59">
        <v>2427.4299999999998</v>
      </c>
      <c r="D59">
        <v>2325.98</v>
      </c>
      <c r="E59">
        <v>4500.78</v>
      </c>
      <c r="F59">
        <v>5518.33</v>
      </c>
      <c r="G59">
        <v>3887.87</v>
      </c>
      <c r="H59">
        <v>3139.01</v>
      </c>
      <c r="I59">
        <v>2736.23</v>
      </c>
      <c r="J59">
        <v>3084.27</v>
      </c>
      <c r="K59">
        <v>2836.55</v>
      </c>
    </row>
    <row r="60" spans="1:11" x14ac:dyDescent="0.3">
      <c r="A60" s="4" t="s">
        <v>38</v>
      </c>
      <c r="B60">
        <v>2698.4</v>
      </c>
      <c r="C60">
        <v>2705.87</v>
      </c>
      <c r="D60">
        <v>2840.34</v>
      </c>
      <c r="E60">
        <v>2584.17</v>
      </c>
      <c r="F60">
        <v>2267.89</v>
      </c>
      <c r="G60">
        <v>2051.92</v>
      </c>
      <c r="H60">
        <v>2391.0700000000002</v>
      </c>
      <c r="I60">
        <v>2540.54</v>
      </c>
      <c r="J60">
        <v>3371</v>
      </c>
      <c r="K60">
        <v>4331.88</v>
      </c>
    </row>
    <row r="61" spans="1:11" s="1" customFormat="1" x14ac:dyDescent="0.3">
      <c r="A61" s="1" t="s">
        <v>13</v>
      </c>
      <c r="B61">
        <v>8599.07</v>
      </c>
      <c r="C61">
        <v>9314.4</v>
      </c>
      <c r="D61">
        <v>9514.32</v>
      </c>
      <c r="E61">
        <v>11441.76</v>
      </c>
      <c r="F61">
        <v>11434.66</v>
      </c>
      <c r="G61">
        <v>13002.04</v>
      </c>
      <c r="H61">
        <v>13512.04</v>
      </c>
      <c r="I61">
        <v>14733.42</v>
      </c>
      <c r="J61">
        <v>17615.98</v>
      </c>
      <c r="K61">
        <v>20220.72</v>
      </c>
    </row>
    <row r="62" spans="1:11" x14ac:dyDescent="0.3">
      <c r="A62" s="4" t="s">
        <v>14</v>
      </c>
      <c r="B62">
        <v>5815.39</v>
      </c>
      <c r="C62">
        <v>6162.63</v>
      </c>
      <c r="D62">
        <v>6422.25</v>
      </c>
      <c r="E62">
        <v>8058.85</v>
      </c>
      <c r="F62">
        <v>8437.7000000000007</v>
      </c>
      <c r="G62">
        <v>8415.34</v>
      </c>
      <c r="H62">
        <v>8818.5300000000007</v>
      </c>
      <c r="I62">
        <v>9311.34</v>
      </c>
      <c r="J62">
        <v>10918.18</v>
      </c>
      <c r="K62">
        <v>12210.06</v>
      </c>
    </row>
    <row r="63" spans="1:11" x14ac:dyDescent="0.3">
      <c r="A63" s="4" t="s">
        <v>15</v>
      </c>
      <c r="B63">
        <v>222.67</v>
      </c>
      <c r="C63">
        <v>196.98</v>
      </c>
      <c r="D63">
        <v>116.18</v>
      </c>
      <c r="E63">
        <v>244.08</v>
      </c>
      <c r="F63">
        <v>164.99</v>
      </c>
      <c r="G63">
        <v>193.54</v>
      </c>
      <c r="H63">
        <v>332.05</v>
      </c>
      <c r="I63">
        <v>255.52</v>
      </c>
      <c r="J63">
        <v>632.57000000000005</v>
      </c>
      <c r="K63">
        <v>787.31</v>
      </c>
    </row>
    <row r="64" spans="1:11" x14ac:dyDescent="0.3">
      <c r="A64" s="4" t="s">
        <v>16</v>
      </c>
      <c r="B64">
        <v>1243.71</v>
      </c>
      <c r="C64">
        <v>1511.42</v>
      </c>
      <c r="D64">
        <v>1335.14</v>
      </c>
      <c r="E64">
        <v>1426.59</v>
      </c>
      <c r="F64">
        <v>1483.17</v>
      </c>
      <c r="G64">
        <v>1966.8</v>
      </c>
      <c r="H64">
        <v>1891.04</v>
      </c>
      <c r="I64">
        <v>2261.1999999999998</v>
      </c>
      <c r="J64">
        <v>2278.7600000000002</v>
      </c>
      <c r="K64">
        <v>3606.43</v>
      </c>
    </row>
    <row r="65" spans="1:11" x14ac:dyDescent="0.3">
      <c r="A65" s="4" t="s">
        <v>39</v>
      </c>
      <c r="B65">
        <v>1317.3</v>
      </c>
      <c r="C65">
        <v>1443.37</v>
      </c>
      <c r="D65">
        <v>1640.75</v>
      </c>
      <c r="E65">
        <v>1712.24</v>
      </c>
      <c r="F65">
        <v>1348.8</v>
      </c>
      <c r="G65">
        <v>2426.36</v>
      </c>
      <c r="H65">
        <v>2470.42</v>
      </c>
      <c r="I65">
        <v>2905.36</v>
      </c>
      <c r="J65">
        <v>3786.47</v>
      </c>
      <c r="K65">
        <v>3616.92</v>
      </c>
    </row>
    <row r="66" spans="1:11" s="1" customFormat="1" x14ac:dyDescent="0.3">
      <c r="A66" s="1" t="s">
        <v>13</v>
      </c>
      <c r="B66">
        <v>8599.07</v>
      </c>
      <c r="C66">
        <v>9314.4</v>
      </c>
      <c r="D66">
        <v>9514.32</v>
      </c>
      <c r="E66">
        <v>11441.76</v>
      </c>
      <c r="F66">
        <v>11434.66</v>
      </c>
      <c r="G66">
        <v>13002.04</v>
      </c>
      <c r="H66">
        <v>13512.04</v>
      </c>
      <c r="I66">
        <v>14733.42</v>
      </c>
      <c r="J66">
        <v>17615.98</v>
      </c>
      <c r="K66">
        <v>20220.72</v>
      </c>
    </row>
    <row r="67" spans="1:11" s="4" customFormat="1" x14ac:dyDescent="0.3">
      <c r="A67" s="4" t="s">
        <v>44</v>
      </c>
      <c r="B67">
        <v>272.06</v>
      </c>
      <c r="C67">
        <v>328.56</v>
      </c>
      <c r="D67">
        <v>321.38</v>
      </c>
      <c r="E67">
        <v>290.02</v>
      </c>
      <c r="F67">
        <v>219.84</v>
      </c>
      <c r="G67">
        <v>255.34</v>
      </c>
      <c r="H67">
        <v>446.45</v>
      </c>
      <c r="I67">
        <v>476.46</v>
      </c>
      <c r="J67">
        <v>650.88</v>
      </c>
      <c r="K67">
        <v>726.82</v>
      </c>
    </row>
    <row r="68" spans="1:11" x14ac:dyDescent="0.3">
      <c r="A68" s="4" t="s">
        <v>30</v>
      </c>
      <c r="B68">
        <v>80.44</v>
      </c>
      <c r="C68">
        <v>85.72</v>
      </c>
      <c r="D68">
        <v>80.400000000000006</v>
      </c>
      <c r="E68">
        <v>93.61</v>
      </c>
      <c r="F68">
        <v>92.88</v>
      </c>
      <c r="G68">
        <v>100.83</v>
      </c>
      <c r="H68">
        <v>109.21</v>
      </c>
      <c r="I68">
        <v>116.44</v>
      </c>
      <c r="J68">
        <v>135.47</v>
      </c>
      <c r="K68">
        <v>149.72999999999999</v>
      </c>
    </row>
    <row r="69" spans="1:11" x14ac:dyDescent="0.3">
      <c r="A69" s="3" t="s">
        <v>53</v>
      </c>
      <c r="B69">
        <v>247.06</v>
      </c>
      <c r="C69">
        <v>270.32</v>
      </c>
      <c r="D69">
        <v>240.94</v>
      </c>
      <c r="E69">
        <v>315.58</v>
      </c>
      <c r="F69">
        <v>153.63</v>
      </c>
      <c r="G69">
        <v>1187.81</v>
      </c>
      <c r="H69">
        <v>1053.43</v>
      </c>
      <c r="I69">
        <v>1485.5</v>
      </c>
      <c r="J69">
        <v>2181.56</v>
      </c>
      <c r="K69">
        <v>1831.19</v>
      </c>
    </row>
    <row r="70" spans="1:11" x14ac:dyDescent="0.3">
      <c r="A70" s="3" t="s">
        <v>40</v>
      </c>
      <c r="B70">
        <v>989274015</v>
      </c>
      <c r="C70">
        <v>1189258445</v>
      </c>
      <c r="D70">
        <v>1189258445</v>
      </c>
      <c r="E70">
        <v>1189258445</v>
      </c>
      <c r="F70">
        <v>1189258445</v>
      </c>
      <c r="G70">
        <v>1420457199</v>
      </c>
      <c r="H70">
        <v>1420400342</v>
      </c>
      <c r="I70">
        <v>1423432227</v>
      </c>
      <c r="J70">
        <v>1423432227</v>
      </c>
      <c r="K70">
        <v>1423432227</v>
      </c>
    </row>
    <row r="71" spans="1:11" x14ac:dyDescent="0.3">
      <c r="A71" s="3" t="s">
        <v>41</v>
      </c>
    </row>
    <row r="72" spans="1:11" x14ac:dyDescent="0.3">
      <c r="A72" s="3" t="s">
        <v>54</v>
      </c>
      <c r="B72">
        <v>1</v>
      </c>
      <c r="C72">
        <v>1</v>
      </c>
      <c r="D72">
        <v>1</v>
      </c>
      <c r="E72">
        <v>1</v>
      </c>
      <c r="F72">
        <v>1</v>
      </c>
      <c r="G72">
        <v>1</v>
      </c>
      <c r="H72">
        <v>1</v>
      </c>
      <c r="I72">
        <v>1</v>
      </c>
      <c r="J72">
        <v>1</v>
      </c>
      <c r="K72">
        <v>1</v>
      </c>
    </row>
    <row r="74" spans="1:11" x14ac:dyDescent="0.3">
      <c r="A74" s="4"/>
    </row>
    <row r="75" spans="1:11" x14ac:dyDescent="0.3">
      <c r="A75" s="4"/>
    </row>
    <row r="76" spans="1:11" x14ac:dyDescent="0.3">
      <c r="A76" s="4"/>
    </row>
    <row r="77" spans="1:11" x14ac:dyDescent="0.3">
      <c r="A77" s="4"/>
    </row>
    <row r="78" spans="1:11" x14ac:dyDescent="0.3">
      <c r="A78" s="4"/>
    </row>
    <row r="79" spans="1:11" x14ac:dyDescent="0.3">
      <c r="A79" s="4"/>
    </row>
    <row r="80" spans="1:11" x14ac:dyDescent="0.3">
      <c r="A80" s="1" t="s">
        <v>27</v>
      </c>
    </row>
    <row r="81" spans="1:11" s="7" customFormat="1" x14ac:dyDescent="0.3">
      <c r="A81" s="6" t="s">
        <v>24</v>
      </c>
      <c r="B81" s="5">
        <v>42825</v>
      </c>
      <c r="C81" s="5">
        <v>43190</v>
      </c>
      <c r="D81" s="5">
        <v>43555</v>
      </c>
      <c r="E81" s="5">
        <v>43921</v>
      </c>
      <c r="F81" s="5">
        <v>44286</v>
      </c>
      <c r="G81" s="5">
        <v>44651</v>
      </c>
      <c r="H81" s="5">
        <v>45016</v>
      </c>
      <c r="I81" s="5">
        <v>45382</v>
      </c>
      <c r="J81" s="5">
        <v>45747</v>
      </c>
      <c r="K81" s="5">
        <v>46112</v>
      </c>
    </row>
    <row r="82" spans="1:11" s="1" customFormat="1" x14ac:dyDescent="0.3">
      <c r="A82" s="4" t="s">
        <v>18</v>
      </c>
      <c r="B82">
        <v>534.51</v>
      </c>
      <c r="C82">
        <v>492.05</v>
      </c>
      <c r="D82">
        <v>711.43</v>
      </c>
      <c r="E82">
        <v>823.47</v>
      </c>
      <c r="F82">
        <v>-318.69</v>
      </c>
      <c r="G82">
        <v>671.63</v>
      </c>
      <c r="H82">
        <v>1618.99</v>
      </c>
      <c r="I82">
        <v>1935.14</v>
      </c>
      <c r="J82">
        <v>2194.37</v>
      </c>
      <c r="K82">
        <v>2471.41</v>
      </c>
    </row>
    <row r="83" spans="1:11" s="4" customFormat="1" x14ac:dyDescent="0.3">
      <c r="A83" s="4" t="s">
        <v>19</v>
      </c>
      <c r="B83">
        <v>848.32</v>
      </c>
      <c r="C83">
        <v>-521.24</v>
      </c>
      <c r="D83">
        <v>-386.72</v>
      </c>
      <c r="E83">
        <v>-496.56</v>
      </c>
      <c r="F83">
        <v>-118.23</v>
      </c>
      <c r="G83">
        <v>-1641.15</v>
      </c>
      <c r="H83">
        <v>-138.28</v>
      </c>
      <c r="I83">
        <v>-1207.54</v>
      </c>
      <c r="J83">
        <v>-1869.46</v>
      </c>
      <c r="K83">
        <v>-1345.68</v>
      </c>
    </row>
    <row r="84" spans="1:11" s="4" customFormat="1" x14ac:dyDescent="0.3">
      <c r="A84" s="4" t="s">
        <v>20</v>
      </c>
      <c r="B84">
        <v>-1381.36</v>
      </c>
      <c r="C84">
        <v>95.72</v>
      </c>
      <c r="D84">
        <v>-343.26</v>
      </c>
      <c r="E84">
        <v>-265.38</v>
      </c>
      <c r="F84">
        <v>280.37</v>
      </c>
      <c r="G84">
        <v>1658.78</v>
      </c>
      <c r="H84">
        <v>-1527.85</v>
      </c>
      <c r="I84">
        <v>-984.65</v>
      </c>
      <c r="J84">
        <v>-547.34</v>
      </c>
      <c r="K84">
        <v>-976.31</v>
      </c>
    </row>
    <row r="85" spans="1:11" s="1" customFormat="1" x14ac:dyDescent="0.3">
      <c r="A85" s="4" t="s">
        <v>21</v>
      </c>
      <c r="B85">
        <v>1.47</v>
      </c>
      <c r="C85">
        <v>66.53</v>
      </c>
      <c r="D85">
        <v>-18.55</v>
      </c>
      <c r="E85">
        <v>61.53</v>
      </c>
      <c r="F85">
        <v>-156.55000000000001</v>
      </c>
      <c r="G85">
        <v>689.26</v>
      </c>
      <c r="H85">
        <v>-47.14</v>
      </c>
      <c r="I85">
        <v>-257.05</v>
      </c>
      <c r="J85">
        <v>-222.43</v>
      </c>
      <c r="K85">
        <v>149.41999999999999</v>
      </c>
    </row>
    <row r="86" spans="1:11" x14ac:dyDescent="0.3">
      <c r="A86" s="4"/>
    </row>
    <row r="87" spans="1:11" x14ac:dyDescent="0.3">
      <c r="A87" s="4"/>
    </row>
    <row r="88" spans="1:11" x14ac:dyDescent="0.3">
      <c r="A88" s="4"/>
    </row>
    <row r="89" spans="1:11" x14ac:dyDescent="0.3">
      <c r="A89" s="4"/>
    </row>
    <row r="90" spans="1:11" s="1" customFormat="1" x14ac:dyDescent="0.3">
      <c r="A90" s="1" t="s">
        <v>43</v>
      </c>
      <c r="B90">
        <v>115.16</v>
      </c>
      <c r="C90">
        <v>125.48</v>
      </c>
      <c r="D90">
        <v>150.19999999999999</v>
      </c>
      <c r="E90">
        <v>72.73</v>
      </c>
      <c r="F90">
        <v>107.49</v>
      </c>
      <c r="G90">
        <v>238.5</v>
      </c>
      <c r="H90">
        <v>324.35000000000002</v>
      </c>
      <c r="I90">
        <v>591.15</v>
      </c>
      <c r="J90">
        <v>787.55</v>
      </c>
      <c r="K90">
        <v>570.95000000000005</v>
      </c>
    </row>
    <row r="92" spans="1:11" s="1" customFormat="1" x14ac:dyDescent="0.3">
      <c r="A92" s="1" t="s">
        <v>42</v>
      </c>
    </row>
    <row r="93" spans="1:11" x14ac:dyDescent="0.3">
      <c r="A93" s="3" t="s">
        <v>55</v>
      </c>
      <c r="B93" s="8">
        <v>131.9</v>
      </c>
      <c r="C93" s="8">
        <v>132.13999999999999</v>
      </c>
      <c r="D93" s="8">
        <v>132.13999999999999</v>
      </c>
      <c r="E93" s="8">
        <v>132.13999999999999</v>
      </c>
      <c r="F93" s="8">
        <v>132.13999999999999</v>
      </c>
      <c r="G93" s="8">
        <v>142.04</v>
      </c>
      <c r="H93" s="8">
        <v>142.04</v>
      </c>
      <c r="I93" s="8">
        <v>142.34</v>
      </c>
      <c r="J93" s="8">
        <v>142.34</v>
      </c>
      <c r="K93" s="8">
        <v>142.34</v>
      </c>
    </row>
    <row r="95" spans="1:11" x14ac:dyDescent="0.3">
      <c r="A95" s="3" t="s">
        <v>320</v>
      </c>
      <c r="E95" s="3">
        <f>DCF!$C$27/'Historicial Financials'!C19</f>
        <v>50.3201347805052</v>
      </c>
      <c r="F95" s="3">
        <f>DCF!$C$27/'Historicial Financials'!D19</f>
        <v>-134.58160107303806</v>
      </c>
      <c r="G95" s="3">
        <f>DCF!$C$27/'Historicial Financials'!E19</f>
        <v>120.28718963355716</v>
      </c>
      <c r="H95" s="3">
        <f>DCF!$C$27/'Historicial Financials'!F19</f>
        <v>26.979562887453014</v>
      </c>
      <c r="I95" s="3">
        <f>DCF!$C$27/'Historicial Financials'!G19</f>
        <v>22.545040312006986</v>
      </c>
      <c r="J95" s="3">
        <f>DCF!$C$27/'Historicial Financials'!H19</f>
        <v>17.580512255376643</v>
      </c>
      <c r="K95" s="3">
        <f>DCF!$C$27/'Historicial Financials'!I19</f>
        <v>15.234445210645919</v>
      </c>
    </row>
    <row r="96" spans="1:11" x14ac:dyDescent="0.3">
      <c r="A96" s="3" t="s">
        <v>392</v>
      </c>
      <c r="E96" s="3">
        <f>DCF!$C$27/'Data Sheet'!E17</f>
        <v>10.908517322822544</v>
      </c>
      <c r="F96" s="3">
        <f>DCF!$C$27/'Data Sheet'!F17</f>
        <v>30.908758477984591</v>
      </c>
      <c r="G96" s="3">
        <f>DCF!$C$27/'Data Sheet'!G17</f>
        <v>15.930214449281209</v>
      </c>
      <c r="H96" s="3">
        <f>DCF!$C$27/'Data Sheet'!H17</f>
        <v>8.3798613066608976</v>
      </c>
      <c r="I96" s="3">
        <f>DCF!$C$27/'Data Sheet'!I17</f>
        <v>7.192796307173734</v>
      </c>
      <c r="J96" s="3">
        <f>DCF!$C$27/'Data Sheet'!J17</f>
        <v>5.8415029508745784</v>
      </c>
      <c r="K96" s="3">
        <f>DCF!$C$27/'Data Sheet'!K17</f>
        <v>5.0247842451902436</v>
      </c>
    </row>
    <row r="97" spans="1:11" x14ac:dyDescent="0.3">
      <c r="A97" s="3" t="s">
        <v>393</v>
      </c>
      <c r="E97" s="3">
        <f>SUM(E57:E58)</f>
        <v>4356.8100000000004</v>
      </c>
      <c r="F97" s="3">
        <f t="shared" ref="F97:J97" si="0">SUM(F57:F58)</f>
        <v>3648.44</v>
      </c>
      <c r="G97" s="3">
        <f t="shared" si="0"/>
        <v>7062.25</v>
      </c>
      <c r="H97" s="3">
        <f>SUM(H57:H58)</f>
        <v>7981.96</v>
      </c>
      <c r="I97" s="3">
        <f t="shared" si="0"/>
        <v>9456.65</v>
      </c>
      <c r="J97" s="3">
        <f t="shared" si="0"/>
        <v>11160.710000000001</v>
      </c>
      <c r="K97" s="3">
        <f>SUM(K57:K58)</f>
        <v>13052.29</v>
      </c>
    </row>
    <row r="98" spans="1:11" x14ac:dyDescent="0.3">
      <c r="A98" s="3" t="s">
        <v>394</v>
      </c>
      <c r="E98" s="3">
        <f>E90/E97</f>
        <v>1.6693406414326078E-2</v>
      </c>
      <c r="F98" s="3">
        <f t="shared" ref="F98:J98" si="1">F90/F97</f>
        <v>2.9461907006830313E-2</v>
      </c>
      <c r="G98" s="3">
        <f t="shared" si="1"/>
        <v>3.3771106941838651E-2</v>
      </c>
      <c r="H98" s="3">
        <f t="shared" si="1"/>
        <v>4.0635382788187367E-2</v>
      </c>
      <c r="I98" s="3">
        <f t="shared" si="1"/>
        <v>6.2511565935082725E-2</v>
      </c>
      <c r="J98" s="3">
        <f t="shared" si="1"/>
        <v>7.0564507096770715E-2</v>
      </c>
      <c r="K98" s="3">
        <f>K90/K97</f>
        <v>4.374328183023822E-2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9AE5-8BA7-4A41-9A00-6347447908C1}">
  <dimension ref="A1:O25"/>
  <sheetViews>
    <sheetView workbookViewId="0">
      <selection activeCell="U10" sqref="U10"/>
    </sheetView>
  </sheetViews>
  <sheetFormatPr defaultRowHeight="14.4" x14ac:dyDescent="0.3"/>
  <cols>
    <col min="2" max="2" width="10" bestFit="1" customWidth="1"/>
  </cols>
  <sheetData>
    <row r="1" spans="1:15" x14ac:dyDescent="0.3">
      <c r="A1" s="2" t="str">
        <f>'[1]Data Sheet'!B1</f>
        <v>AVENUE SUPERMARTS LTD</v>
      </c>
      <c r="B1" s="2"/>
      <c r="C1" s="2"/>
      <c r="D1" s="2"/>
      <c r="E1" s="2"/>
      <c r="F1" s="2"/>
      <c r="G1" s="2"/>
      <c r="H1" t="str">
        <f>UPDATE</f>
        <v/>
      </c>
      <c r="I1" s="2"/>
      <c r="J1" s="151"/>
      <c r="K1" s="151"/>
      <c r="L1" s="2"/>
      <c r="M1" s="2" t="s">
        <v>375</v>
      </c>
      <c r="N1" s="2"/>
      <c r="O1" s="2"/>
    </row>
    <row r="3" spans="1:15" x14ac:dyDescent="0.3">
      <c r="A3" s="152" t="s">
        <v>376</v>
      </c>
      <c r="B3" s="5">
        <f>'[1]Data Sheet'!B16</f>
        <v>42825</v>
      </c>
      <c r="C3" s="5">
        <f>'[1]Data Sheet'!C16</f>
        <v>43190</v>
      </c>
      <c r="D3" s="5">
        <f>'[1]Data Sheet'!D16</f>
        <v>43555</v>
      </c>
      <c r="E3" s="5">
        <f>'[1]Data Sheet'!E16</f>
        <v>43921</v>
      </c>
      <c r="F3" s="5">
        <f>'[1]Data Sheet'!F16</f>
        <v>44286</v>
      </c>
      <c r="G3" s="5">
        <f>'[1]Data Sheet'!G16</f>
        <v>44651</v>
      </c>
      <c r="H3" s="5">
        <f>'[1]Data Sheet'!H16</f>
        <v>45016</v>
      </c>
      <c r="I3" s="5">
        <f>'[1]Data Sheet'!I16</f>
        <v>45382</v>
      </c>
      <c r="J3" s="5">
        <f>'[1]Data Sheet'!J16</f>
        <v>45747</v>
      </c>
      <c r="K3" s="5">
        <f>'[1]Data Sheet'!K16</f>
        <v>46112</v>
      </c>
      <c r="L3" s="153" t="s">
        <v>377</v>
      </c>
      <c r="M3" s="153" t="s">
        <v>378</v>
      </c>
      <c r="N3" s="153" t="s">
        <v>379</v>
      </c>
      <c r="O3" s="2"/>
    </row>
    <row r="4" spans="1:15" x14ac:dyDescent="0.3">
      <c r="A4" s="2" t="s">
        <v>1</v>
      </c>
      <c r="B4" s="1">
        <f>'[1]Data Sheet'!B17</f>
        <v>11897.7</v>
      </c>
      <c r="C4" s="1">
        <f>'[1]Data Sheet'!C17</f>
        <v>15033.2</v>
      </c>
      <c r="D4" s="1">
        <f>'[1]Data Sheet'!D17</f>
        <v>20004.52</v>
      </c>
      <c r="E4" s="1">
        <f>'[1]Data Sheet'!E17</f>
        <v>24870.2</v>
      </c>
      <c r="F4" s="1">
        <f>'[1]Data Sheet'!F17</f>
        <v>24143.06</v>
      </c>
      <c r="G4" s="1">
        <f>'[1]Data Sheet'!G17</f>
        <v>30976.27</v>
      </c>
      <c r="H4" s="1">
        <f>'[1]Data Sheet'!H17</f>
        <v>42839.56</v>
      </c>
      <c r="I4" s="1">
        <f>'[1]Data Sheet'!I17</f>
        <v>50788.83</v>
      </c>
      <c r="J4" s="1">
        <f>'[1]Data Sheet'!J17</f>
        <v>59358.05</v>
      </c>
      <c r="K4" s="1">
        <f>'[1]Data Sheet'!K17</f>
        <v>68820.740000000005</v>
      </c>
      <c r="L4" s="1">
        <f>SUM([1]Quarters!H4:K4)</f>
        <v>71255.570000000007</v>
      </c>
      <c r="M4" s="1">
        <f>$K4+M23*K4</f>
        <v>80601.684254251406</v>
      </c>
      <c r="N4" s="1">
        <f>$K4+N23*L4</f>
        <v>80180.098497849918</v>
      </c>
      <c r="O4" s="2"/>
    </row>
    <row r="5" spans="1:15" x14ac:dyDescent="0.3">
      <c r="A5" t="s">
        <v>2</v>
      </c>
      <c r="B5" s="4">
        <f>SUM('[1]Data Sheet'!B18,'[1]Data Sheet'!B20:B24, -1*'[1]Data Sheet'!B19)</f>
        <v>10928.52</v>
      </c>
      <c r="C5" s="4">
        <f>SUM('[1]Data Sheet'!C18,'[1]Data Sheet'!C20:C24, -1*'[1]Data Sheet'!C19)</f>
        <v>13680.34</v>
      </c>
      <c r="D5" s="4">
        <f>SUM('[1]Data Sheet'!D18,'[1]Data Sheet'!D20:D24, -1*'[1]Data Sheet'!D19)</f>
        <v>18371.21</v>
      </c>
      <c r="E5" s="4">
        <f>SUM('[1]Data Sheet'!E18,'[1]Data Sheet'!E20:E24, -1*'[1]Data Sheet'!E19)</f>
        <v>22741.890000000003</v>
      </c>
      <c r="F5" s="4">
        <f>SUM('[1]Data Sheet'!F18,'[1]Data Sheet'!F20:F24, -1*'[1]Data Sheet'!F19)</f>
        <v>22398.230000000003</v>
      </c>
      <c r="G5" s="4">
        <f>SUM('[1]Data Sheet'!G18,'[1]Data Sheet'!G20:G24, -1*'[1]Data Sheet'!G19)</f>
        <v>28473.919999999998</v>
      </c>
      <c r="H5" s="4">
        <f>SUM('[1]Data Sheet'!H18,'[1]Data Sheet'!H20:H24, -1*'[1]Data Sheet'!H19)</f>
        <v>39200.79</v>
      </c>
      <c r="I5" s="4">
        <f>SUM('[1]Data Sheet'!I18,'[1]Data Sheet'!I20:I24, -1*'[1]Data Sheet'!I19)</f>
        <v>46683.189999999995</v>
      </c>
      <c r="J5" s="4">
        <f>SUM('[1]Data Sheet'!J18,'[1]Data Sheet'!J20:J24, -1*'[1]Data Sheet'!J19)</f>
        <v>54863.540000000008</v>
      </c>
      <c r="K5" s="4">
        <f>SUM('[1]Data Sheet'!K18,'[1]Data Sheet'!K20:K24, -1*'[1]Data Sheet'!K19)</f>
        <v>63631.95</v>
      </c>
      <c r="L5" s="4">
        <f>SUM([1]Quarters!H5:K5)</f>
        <v>65868.679999999993</v>
      </c>
      <c r="M5" s="4">
        <f t="shared" ref="M5:N5" si="0">M4-M6</f>
        <v>74391.556477613267</v>
      </c>
      <c r="N5" s="4">
        <f t="shared" si="0"/>
        <v>74118.518037584392</v>
      </c>
    </row>
    <row r="6" spans="1:15" x14ac:dyDescent="0.3">
      <c r="A6" s="2" t="s">
        <v>3</v>
      </c>
      <c r="B6" s="1">
        <f>B4-B5</f>
        <v>969.18000000000029</v>
      </c>
      <c r="C6" s="1">
        <f t="shared" ref="C6:K6" si="1">C4-C5</f>
        <v>1352.8600000000006</v>
      </c>
      <c r="D6" s="1">
        <f t="shared" si="1"/>
        <v>1633.3100000000013</v>
      </c>
      <c r="E6" s="1">
        <f t="shared" si="1"/>
        <v>2128.3099999999977</v>
      </c>
      <c r="F6" s="1">
        <f t="shared" si="1"/>
        <v>1744.8299999999981</v>
      </c>
      <c r="G6" s="1">
        <f t="shared" si="1"/>
        <v>2502.3500000000022</v>
      </c>
      <c r="H6" s="1">
        <f t="shared" si="1"/>
        <v>3638.7699999999968</v>
      </c>
      <c r="I6" s="1">
        <f t="shared" si="1"/>
        <v>4105.6400000000067</v>
      </c>
      <c r="J6" s="1">
        <f t="shared" si="1"/>
        <v>4494.5099999999948</v>
      </c>
      <c r="K6" s="1">
        <f t="shared" si="1"/>
        <v>5188.7900000000081</v>
      </c>
      <c r="L6" s="1">
        <f>SUM([1]Quarters!H6:K6)</f>
        <v>5386.89</v>
      </c>
      <c r="M6" s="1">
        <f>M4*M24</f>
        <v>6210.1277766381327</v>
      </c>
      <c r="N6" s="1">
        <f>N4*N24</f>
        <v>6061.5804602655307</v>
      </c>
      <c r="O6" s="2"/>
    </row>
    <row r="7" spans="1:15" x14ac:dyDescent="0.3">
      <c r="A7" t="s">
        <v>4</v>
      </c>
      <c r="B7" s="4">
        <f>'[1]Data Sheet'!B25</f>
        <v>27.7</v>
      </c>
      <c r="C7" s="4">
        <f>'[1]Data Sheet'!C25</f>
        <v>87.75</v>
      </c>
      <c r="D7" s="4">
        <f>'[1]Data Sheet'!D25</f>
        <v>48.33</v>
      </c>
      <c r="E7" s="4">
        <f>'[1]Data Sheet'!E25</f>
        <v>59.99</v>
      </c>
      <c r="F7" s="4">
        <f>'[1]Data Sheet'!F25</f>
        <v>194.43</v>
      </c>
      <c r="G7" s="4">
        <f>'[1]Data Sheet'!G25</f>
        <v>113.64</v>
      </c>
      <c r="H7" s="4">
        <f>'[1]Data Sheet'!H25</f>
        <v>127.6</v>
      </c>
      <c r="I7" s="4">
        <f>'[1]Data Sheet'!I25</f>
        <v>144.58000000000001</v>
      </c>
      <c r="J7" s="4">
        <f>'[1]Data Sheet'!J25</f>
        <v>117.13</v>
      </c>
      <c r="K7" s="4">
        <f>'[1]Data Sheet'!K25</f>
        <v>71.900000000000006</v>
      </c>
      <c r="L7" s="4">
        <f>SUM([1]Quarters!H7:K7)</f>
        <v>80.45</v>
      </c>
      <c r="M7" s="4">
        <v>0</v>
      </c>
      <c r="N7" s="4">
        <v>0</v>
      </c>
    </row>
    <row r="8" spans="1:15" x14ac:dyDescent="0.3">
      <c r="A8" t="s">
        <v>5</v>
      </c>
      <c r="B8" s="4">
        <f>'[1]Data Sheet'!B26</f>
        <v>127.82</v>
      </c>
      <c r="C8" s="4">
        <f>'[1]Data Sheet'!C26</f>
        <v>159</v>
      </c>
      <c r="D8" s="4">
        <f>'[1]Data Sheet'!D26</f>
        <v>212.49</v>
      </c>
      <c r="E8" s="4">
        <f>'[1]Data Sheet'!E26</f>
        <v>374.41</v>
      </c>
      <c r="F8" s="4">
        <f>'[1]Data Sheet'!F26</f>
        <v>414.16</v>
      </c>
      <c r="G8" s="4">
        <f>'[1]Data Sheet'!G26</f>
        <v>498.08</v>
      </c>
      <c r="H8" s="4">
        <f>'[1]Data Sheet'!H26</f>
        <v>638.87</v>
      </c>
      <c r="I8" s="4">
        <f>'[1]Data Sheet'!I26</f>
        <v>730.76</v>
      </c>
      <c r="J8" s="4">
        <f>'[1]Data Sheet'!J26</f>
        <v>869.52</v>
      </c>
      <c r="K8" s="4">
        <f>'[1]Data Sheet'!K26</f>
        <v>1037.02</v>
      </c>
      <c r="L8" s="4">
        <f>SUM([1]Quarters!H8:K8)</f>
        <v>1093.02</v>
      </c>
      <c r="M8" s="4">
        <f>+$L8</f>
        <v>1093.02</v>
      </c>
      <c r="N8" s="4">
        <f>+$L8</f>
        <v>1093.02</v>
      </c>
    </row>
    <row r="9" spans="1:15" x14ac:dyDescent="0.3">
      <c r="A9" t="s">
        <v>6</v>
      </c>
      <c r="B9" s="4">
        <f>'[1]Data Sheet'!B27</f>
        <v>121.98</v>
      </c>
      <c r="C9" s="4">
        <f>'[1]Data Sheet'!C27</f>
        <v>59.54</v>
      </c>
      <c r="D9" s="4">
        <f>'[1]Data Sheet'!D27</f>
        <v>47.21</v>
      </c>
      <c r="E9" s="4">
        <f>'[1]Data Sheet'!E27</f>
        <v>69.12</v>
      </c>
      <c r="F9" s="4">
        <f>'[1]Data Sheet'!F27</f>
        <v>41.65</v>
      </c>
      <c r="G9" s="4">
        <f>'[1]Data Sheet'!G27</f>
        <v>53.79</v>
      </c>
      <c r="H9" s="4">
        <f>'[1]Data Sheet'!H27</f>
        <v>67.41</v>
      </c>
      <c r="I9" s="4">
        <f>'[1]Data Sheet'!I27</f>
        <v>58.13</v>
      </c>
      <c r="J9" s="4">
        <f>'[1]Data Sheet'!J27</f>
        <v>69.45</v>
      </c>
      <c r="K9" s="4">
        <f>'[1]Data Sheet'!K27</f>
        <v>142.05000000000001</v>
      </c>
      <c r="L9" s="4">
        <f>SUM([1]Quarters!H9:K9)</f>
        <v>167.03</v>
      </c>
      <c r="M9" s="4">
        <f>+$L9</f>
        <v>167.03</v>
      </c>
      <c r="N9" s="4">
        <f>+$L9</f>
        <v>167.03</v>
      </c>
    </row>
    <row r="10" spans="1:15" x14ac:dyDescent="0.3">
      <c r="A10" t="s">
        <v>7</v>
      </c>
      <c r="B10" s="4">
        <f>'[1]Data Sheet'!B28</f>
        <v>747.08</v>
      </c>
      <c r="C10" s="4">
        <f>'[1]Data Sheet'!C28</f>
        <v>1222.07</v>
      </c>
      <c r="D10" s="4">
        <f>'[1]Data Sheet'!D28</f>
        <v>1421.94</v>
      </c>
      <c r="E10" s="4">
        <f>'[1]Data Sheet'!E28</f>
        <v>1744.77</v>
      </c>
      <c r="F10" s="4">
        <f>'[1]Data Sheet'!F28</f>
        <v>1483.45</v>
      </c>
      <c r="G10" s="4">
        <f>'[1]Data Sheet'!G28</f>
        <v>2064.12</v>
      </c>
      <c r="H10" s="4">
        <f>'[1]Data Sheet'!H28</f>
        <v>3060.09</v>
      </c>
      <c r="I10" s="4">
        <f>'[1]Data Sheet'!I28</f>
        <v>3461.33</v>
      </c>
      <c r="J10" s="4">
        <f>'[1]Data Sheet'!J28</f>
        <v>3672.67</v>
      </c>
      <c r="K10" s="4">
        <f>'[1]Data Sheet'!K28</f>
        <v>4081.62</v>
      </c>
      <c r="L10" s="4">
        <f>SUM([1]Quarters!H10:K10)</f>
        <v>4207.29</v>
      </c>
      <c r="M10" s="4">
        <f>M6+M7-SUM(M8:M9)</f>
        <v>4950.0777766381325</v>
      </c>
      <c r="N10" s="4">
        <f>N6+N7-SUM(N8:N9)</f>
        <v>4801.5304602655306</v>
      </c>
    </row>
    <row r="11" spans="1:15" x14ac:dyDescent="0.3">
      <c r="A11" t="s">
        <v>8</v>
      </c>
      <c r="B11" s="4">
        <f>'[1]Data Sheet'!B29</f>
        <v>268.27999999999997</v>
      </c>
      <c r="C11" s="4">
        <f>'[1]Data Sheet'!C29</f>
        <v>415.79</v>
      </c>
      <c r="D11" s="4">
        <f>'[1]Data Sheet'!D29</f>
        <v>519.48</v>
      </c>
      <c r="E11" s="4">
        <f>'[1]Data Sheet'!E29</f>
        <v>443.79</v>
      </c>
      <c r="F11" s="4">
        <f>'[1]Data Sheet'!F29</f>
        <v>384.02</v>
      </c>
      <c r="G11" s="4">
        <f>'[1]Data Sheet'!G29</f>
        <v>571.72</v>
      </c>
      <c r="H11" s="4">
        <f>'[1]Data Sheet'!H29</f>
        <v>681.75</v>
      </c>
      <c r="I11" s="4">
        <f>'[1]Data Sheet'!I29</f>
        <v>925.72</v>
      </c>
      <c r="J11" s="4">
        <f>'[1]Data Sheet'!J29</f>
        <v>965.22</v>
      </c>
      <c r="K11" s="4">
        <f>'[1]Data Sheet'!K29</f>
        <v>1111.76</v>
      </c>
      <c r="L11" s="4">
        <f>SUM([1]Quarters!H11:K11)</f>
        <v>1149.8</v>
      </c>
      <c r="M11" s="154">
        <f>IF($L10&gt;0,$L11/$L10,0)</f>
        <v>0.27328755564745955</v>
      </c>
      <c r="N11" s="154">
        <f>IF($L10&gt;0,$L11/$L10,0)</f>
        <v>0.27328755564745955</v>
      </c>
    </row>
    <row r="12" spans="1:15" x14ac:dyDescent="0.3">
      <c r="A12" s="2" t="s">
        <v>9</v>
      </c>
      <c r="B12" s="1">
        <f>'[1]Data Sheet'!B30</f>
        <v>478.75</v>
      </c>
      <c r="C12" s="1">
        <f>'[1]Data Sheet'!C30</f>
        <v>806.26</v>
      </c>
      <c r="D12" s="1">
        <f>'[1]Data Sheet'!D30</f>
        <v>902.54</v>
      </c>
      <c r="E12" s="1">
        <f>'[1]Data Sheet'!E30</f>
        <v>1301.08</v>
      </c>
      <c r="F12" s="1">
        <f>'[1]Data Sheet'!F30</f>
        <v>1099.49</v>
      </c>
      <c r="G12" s="1">
        <f>'[1]Data Sheet'!G30</f>
        <v>1492.55</v>
      </c>
      <c r="H12" s="1">
        <f>'[1]Data Sheet'!H30</f>
        <v>2378.5100000000002</v>
      </c>
      <c r="I12" s="1">
        <f>'[1]Data Sheet'!I30</f>
        <v>2536.17</v>
      </c>
      <c r="J12" s="1">
        <f>'[1]Data Sheet'!J30</f>
        <v>2708.02</v>
      </c>
      <c r="K12" s="1">
        <f>'[1]Data Sheet'!K30</f>
        <v>2970.49</v>
      </c>
      <c r="L12" s="1">
        <f>SUM([1]Quarters!H12:K12)</f>
        <v>3058.13</v>
      </c>
      <c r="M12" s="1">
        <f>M10-M11*M10</f>
        <v>3597.2831207958861</v>
      </c>
      <c r="N12" s="1">
        <f>N10-N11*N10</f>
        <v>3489.3319374127423</v>
      </c>
      <c r="O12" s="2"/>
    </row>
    <row r="13" spans="1:15" x14ac:dyDescent="0.3">
      <c r="A13" t="s">
        <v>31</v>
      </c>
      <c r="B13" s="4">
        <f>IF('[1]Data Sheet'!B93&gt;0,B12/'[1]Data Sheet'!B93,0)</f>
        <v>7.6710463066816219</v>
      </c>
      <c r="C13" s="4">
        <f>IF('[1]Data Sheet'!C93&gt;0,C12/'[1]Data Sheet'!C93,0)</f>
        <v>12.918763018746997</v>
      </c>
      <c r="D13" s="4">
        <f>IF('[1]Data Sheet'!D93&gt;0,D12/'[1]Data Sheet'!D93,0)</f>
        <v>14.461464508892806</v>
      </c>
      <c r="E13" s="4">
        <f>IF('[1]Data Sheet'!E93&gt;0,E12/'[1]Data Sheet'!E93,0)</f>
        <v>20.084594010497067</v>
      </c>
      <c r="F13" s="4">
        <f>IF('[1]Data Sheet'!F93&gt;0,F12/'[1]Data Sheet'!F93,0)</f>
        <v>16.972676752083977</v>
      </c>
      <c r="G13" s="4">
        <f>IF('[1]Data Sheet'!G93&gt;0,G12/'[1]Data Sheet'!G93,0)</f>
        <v>23.040290213028712</v>
      </c>
      <c r="H13" s="4">
        <f>IF('[1]Data Sheet'!H93&gt;0,H12/'[1]Data Sheet'!H93,0)</f>
        <v>36.688415856856395</v>
      </c>
      <c r="I13" s="4">
        <f>IF('[1]Data Sheet'!I93&gt;0,I12/'[1]Data Sheet'!I93,0)</f>
        <v>38.976025818349477</v>
      </c>
      <c r="J13" s="4">
        <f>IF('[1]Data Sheet'!J93&gt;0,J12/'[1]Data Sheet'!J93,0)</f>
        <v>41.617027816197947</v>
      </c>
      <c r="K13" s="4">
        <f>IF('[1]Data Sheet'!K93&gt;0,K12/'[1]Data Sheet'!K93,0)</f>
        <v>45.55966257668711</v>
      </c>
      <c r="L13" s="4">
        <f>IF('[1]Data Sheet'!$B6&gt;0,'[1]Profit &amp; Loss'!L12/'[1]Data Sheet'!$B6,0)</f>
        <v>46.886146032396518</v>
      </c>
      <c r="M13" s="4">
        <f>IF('[1]Data Sheet'!$B6&gt;0,'[1]Profit &amp; Loss'!M12/'[1]Data Sheet'!$B6,0)</f>
        <v>55.152247197310444</v>
      </c>
      <c r="N13" s="4">
        <f>IF('[1]Data Sheet'!$B6&gt;0,'[1]Profit &amp; Loss'!N12/'[1]Data Sheet'!$B6,0)</f>
        <v>53.497178593793883</v>
      </c>
    </row>
    <row r="14" spans="1:15" x14ac:dyDescent="0.3">
      <c r="A14" t="s">
        <v>380</v>
      </c>
      <c r="B14" s="4">
        <f>IF(B15&gt;0,B15/B13,"")</f>
        <v>83.150325848563966</v>
      </c>
      <c r="C14" s="4">
        <f t="shared" ref="C14:K14" si="2">IF(C15&gt;0,C15/C13,"")</f>
        <v>102.54851784784063</v>
      </c>
      <c r="D14" s="4">
        <f t="shared" si="2"/>
        <v>101.72552019855074</v>
      </c>
      <c r="E14" s="4">
        <f t="shared" si="2"/>
        <v>108.91432502228918</v>
      </c>
      <c r="F14" s="4">
        <f t="shared" si="2"/>
        <v>168.45015325287179</v>
      </c>
      <c r="G14" s="4">
        <f t="shared" si="2"/>
        <v>173.75432179826473</v>
      </c>
      <c r="H14" s="4">
        <f t="shared" si="2"/>
        <v>92.700922636440467</v>
      </c>
      <c r="I14" s="4">
        <f t="shared" si="2"/>
        <v>116.1124025597653</v>
      </c>
      <c r="J14" s="4">
        <f t="shared" si="2"/>
        <v>98.113686014135766</v>
      </c>
      <c r="K14" s="4">
        <f t="shared" si="2"/>
        <v>86.848755592511694</v>
      </c>
      <c r="L14" s="4">
        <f t="shared" ref="L14" si="3">IF(L13&gt;0,L15/L13,0)</f>
        <v>81.3246624571225</v>
      </c>
      <c r="M14" s="4">
        <f>M25</f>
        <v>95.599876655883804</v>
      </c>
      <c r="N14" s="4">
        <f>N25</f>
        <v>81.3246624571225</v>
      </c>
    </row>
    <row r="15" spans="1:15" x14ac:dyDescent="0.3">
      <c r="A15" s="2" t="s">
        <v>292</v>
      </c>
      <c r="B15" s="1">
        <f>'[1]Data Sheet'!B90</f>
        <v>637.85</v>
      </c>
      <c r="C15" s="1">
        <f>'[1]Data Sheet'!C90</f>
        <v>1324.8</v>
      </c>
      <c r="D15" s="1">
        <f>'[1]Data Sheet'!D90</f>
        <v>1471.1</v>
      </c>
      <c r="E15" s="1">
        <f>'[1]Data Sheet'!E90</f>
        <v>2187.5</v>
      </c>
      <c r="F15" s="1">
        <f>'[1]Data Sheet'!F90</f>
        <v>2859.05</v>
      </c>
      <c r="G15" s="1">
        <f>'[1]Data Sheet'!G90</f>
        <v>4003.35</v>
      </c>
      <c r="H15" s="1">
        <f>'[1]Data Sheet'!H90</f>
        <v>3401.05</v>
      </c>
      <c r="I15" s="1">
        <f>'[1]Data Sheet'!I90</f>
        <v>4525.6000000000004</v>
      </c>
      <c r="J15" s="1">
        <f>'[1]Data Sheet'!J90</f>
        <v>4083.2</v>
      </c>
      <c r="K15" s="1">
        <f>'[1]Data Sheet'!K90</f>
        <v>3956.8</v>
      </c>
      <c r="L15" s="1">
        <f>'[1]Data Sheet'!B8</f>
        <v>3813</v>
      </c>
      <c r="M15" s="155">
        <f>M13*M14</f>
        <v>5272.548029357692</v>
      </c>
      <c r="N15" s="156">
        <f>N13*N14</f>
        <v>4350.6399915486872</v>
      </c>
      <c r="O15" s="2"/>
    </row>
    <row r="17" spans="1:15" x14ac:dyDescent="0.3">
      <c r="A17" s="2" t="s">
        <v>381</v>
      </c>
      <c r="B17" s="2"/>
      <c r="C17" s="2"/>
      <c r="D17" s="2"/>
      <c r="E17" s="2"/>
      <c r="F17" s="2"/>
      <c r="G17" s="2"/>
      <c r="H17" s="2"/>
      <c r="I17" s="2"/>
      <c r="J17" s="2"/>
      <c r="K17" s="2"/>
      <c r="L17" s="2"/>
      <c r="M17" s="2"/>
      <c r="N17" s="2"/>
      <c r="O17" s="2"/>
    </row>
    <row r="18" spans="1:15" x14ac:dyDescent="0.3">
      <c r="A18" t="s">
        <v>382</v>
      </c>
      <c r="B18" s="30">
        <f>IF('[1]Data Sheet'!B30&gt;0, '[1]Data Sheet'!B31/'[1]Data Sheet'!B30, 0)</f>
        <v>0</v>
      </c>
      <c r="C18" s="30">
        <f>IF('[1]Data Sheet'!C30&gt;0, '[1]Data Sheet'!C31/'[1]Data Sheet'!C30, 0)</f>
        <v>0</v>
      </c>
      <c r="D18" s="30">
        <f>IF('[1]Data Sheet'!D30&gt;0, '[1]Data Sheet'!D31/'[1]Data Sheet'!D30, 0)</f>
        <v>0</v>
      </c>
      <c r="E18" s="30">
        <f>IF('[1]Data Sheet'!E30&gt;0, '[1]Data Sheet'!E31/'[1]Data Sheet'!E30, 0)</f>
        <v>0</v>
      </c>
      <c r="F18" s="30">
        <f>IF('[1]Data Sheet'!F30&gt;0, '[1]Data Sheet'!F31/'[1]Data Sheet'!F30, 0)</f>
        <v>0</v>
      </c>
      <c r="G18" s="30">
        <f>IF('[1]Data Sheet'!G30&gt;0, '[1]Data Sheet'!G31/'[1]Data Sheet'!G30, 0)</f>
        <v>0</v>
      </c>
      <c r="H18" s="30">
        <f>IF('[1]Data Sheet'!H30&gt;0, '[1]Data Sheet'!H31/'[1]Data Sheet'!H30, 0)</f>
        <v>0</v>
      </c>
      <c r="I18" s="30">
        <f>IF('[1]Data Sheet'!I30&gt;0, '[1]Data Sheet'!I31/'[1]Data Sheet'!I30, 0)</f>
        <v>0</v>
      </c>
      <c r="J18" s="30">
        <f>IF('[1]Data Sheet'!J30&gt;0, '[1]Data Sheet'!J31/'[1]Data Sheet'!J30, 0)</f>
        <v>0</v>
      </c>
      <c r="K18" s="30">
        <f>IF('[1]Data Sheet'!K30&gt;0, '[1]Data Sheet'!K31/'[1]Data Sheet'!K30, 0)</f>
        <v>0</v>
      </c>
    </row>
    <row r="19" spans="1:15" x14ac:dyDescent="0.3">
      <c r="A19" t="s">
        <v>383</v>
      </c>
      <c r="B19" s="30">
        <f t="shared" ref="B19:L19" si="4">IF(B6&gt;0,B6/B4,0)</f>
        <v>8.1459441740840688E-2</v>
      </c>
      <c r="C19" s="30">
        <f t="shared" si="4"/>
        <v>8.9991485512066663E-2</v>
      </c>
      <c r="D19" s="30">
        <f t="shared" si="4"/>
        <v>8.1647047767204675E-2</v>
      </c>
      <c r="E19" s="30">
        <f t="shared" si="4"/>
        <v>8.5576714300648879E-2</v>
      </c>
      <c r="F19" s="30">
        <f t="shared" si="4"/>
        <v>7.2270457845857075E-2</v>
      </c>
      <c r="G19" s="30">
        <f t="shared" si="4"/>
        <v>8.0782805676732614E-2</v>
      </c>
      <c r="H19" s="30">
        <f t="shared" si="4"/>
        <v>8.4939481171141737E-2</v>
      </c>
      <c r="I19" s="30">
        <f t="shared" si="4"/>
        <v>8.0837459732779948E-2</v>
      </c>
      <c r="J19" s="30">
        <f t="shared" si="4"/>
        <v>7.5718626201500799E-2</v>
      </c>
      <c r="K19" s="30">
        <f t="shared" si="4"/>
        <v>7.5395730996208526E-2</v>
      </c>
      <c r="L19" s="30">
        <f t="shared" si="4"/>
        <v>7.5599563655164084E-2</v>
      </c>
    </row>
    <row r="20" spans="1:15" x14ac:dyDescent="0.3">
      <c r="B20" s="30"/>
      <c r="C20" s="30"/>
      <c r="D20" s="30"/>
      <c r="E20" s="30"/>
      <c r="F20" s="30"/>
      <c r="G20" s="30"/>
      <c r="H20" s="30"/>
      <c r="I20" s="30"/>
      <c r="J20" s="30"/>
      <c r="K20" s="30"/>
      <c r="L20" s="30"/>
    </row>
    <row r="21" spans="1:15" x14ac:dyDescent="0.3">
      <c r="B21" s="30"/>
      <c r="C21" s="30"/>
      <c r="D21" s="30"/>
      <c r="E21" s="30"/>
      <c r="F21" s="30"/>
      <c r="G21" s="30"/>
      <c r="H21" s="30"/>
      <c r="I21" s="30"/>
      <c r="J21" s="30"/>
      <c r="K21" s="30"/>
      <c r="L21" s="30"/>
    </row>
    <row r="22" spans="1:15" x14ac:dyDescent="0.3">
      <c r="A22" s="152"/>
      <c r="B22" s="5"/>
      <c r="C22" s="5"/>
      <c r="D22" s="5"/>
      <c r="E22" s="5"/>
      <c r="F22" s="5"/>
      <c r="G22" s="5" t="s">
        <v>384</v>
      </c>
      <c r="H22" s="5" t="s">
        <v>385</v>
      </c>
      <c r="I22" s="5" t="s">
        <v>386</v>
      </c>
      <c r="J22" s="5" t="s">
        <v>387</v>
      </c>
      <c r="K22" s="5" t="s">
        <v>388</v>
      </c>
      <c r="L22" s="153" t="s">
        <v>389</v>
      </c>
      <c r="M22" s="153" t="s">
        <v>390</v>
      </c>
      <c r="N22" s="153" t="s">
        <v>391</v>
      </c>
      <c r="O22" s="2"/>
    </row>
    <row r="23" spans="1:15" x14ac:dyDescent="0.3">
      <c r="G23" t="s">
        <v>10</v>
      </c>
      <c r="H23" s="30">
        <f>IF(B4=0,"",POWER($K4/B4,1/9)-1)</f>
        <v>0.21533259881017242</v>
      </c>
      <c r="I23" s="30">
        <f>IF(D4=0,"",POWER($K4/D4,1/7)-1)</f>
        <v>0.19304242096577506</v>
      </c>
      <c r="J23" s="30">
        <f>IF(F4=0,"",POWER($K4/F4,1/5)-1)</f>
        <v>0.23306339358471639</v>
      </c>
      <c r="K23" s="30">
        <f>IF(H4=0,"",POWER($K4/H4, 1/3)-1)</f>
        <v>0.17118305113039178</v>
      </c>
      <c r="L23" s="30">
        <f>IF(ISERROR(MAX(IF(J4=0,"",(K4-J4)/J4),IF(K4=0,"",(L4-K4)/K4))),"",MAX(IF(J4=0,"",(K4-J4)/J4),IF(K4=0,"",(L4-K4)/K4)))</f>
        <v>0.15941713044818692</v>
      </c>
      <c r="M23" s="85">
        <f>MAX(K23:L23)</f>
        <v>0.17118305113039178</v>
      </c>
      <c r="N23" s="85">
        <f>MIN(H23:L23)</f>
        <v>0.15941713044818692</v>
      </c>
      <c r="O23" s="2"/>
    </row>
    <row r="24" spans="1:15" x14ac:dyDescent="0.3">
      <c r="G24" t="s">
        <v>383</v>
      </c>
      <c r="H24" s="30">
        <f>IF(SUM(B4:$K$4)=0,"",SUMPRODUCT(B19:$K$19,B4:$K$4)/SUM(B4:$K$4))</f>
        <v>7.9598487240048699E-2</v>
      </c>
      <c r="I24" s="30">
        <f>IF(SUM(E4:$K$4)=0,"",SUMPRODUCT(E19:$K$19,E4:$K$4)/SUM(E4:$K$4))</f>
        <v>7.8871635148043878E-2</v>
      </c>
      <c r="J24" s="30">
        <f>IF(SUM(G4:$K$4)=0,"",SUMPRODUCT(G19:$K$19,G4:$K$4)/SUM(G4:$K$4))</f>
        <v>7.8842424217250018E-2</v>
      </c>
      <c r="K24" s="30">
        <f>IF(SUM(I4:$K$4)=0, "", SUMPRODUCT(I19:$K$19,I4:$K$4)/SUM(I4:$K$4))</f>
        <v>7.7047121708385069E-2</v>
      </c>
      <c r="L24" s="30">
        <f>L19</f>
        <v>7.5599563655164084E-2</v>
      </c>
      <c r="M24" s="85">
        <f>MAX(K24:L24)</f>
        <v>7.7047121708385069E-2</v>
      </c>
      <c r="N24" s="85">
        <f>MIN(H24:L24)</f>
        <v>7.5599563655164084E-2</v>
      </c>
    </row>
    <row r="25" spans="1:15" x14ac:dyDescent="0.3">
      <c r="G25" t="s">
        <v>374</v>
      </c>
      <c r="H25" s="4">
        <f>IF(ISERROR(AVERAGEIF(B14:$L14,"&gt;0")),"",AVERAGEIF(B14:$L14,"&gt;0"))</f>
        <v>110.33123574803244</v>
      </c>
      <c r="I25" s="4">
        <f>IF(ISERROR(AVERAGEIF(E14:$L14,"&gt;0")),"",AVERAGEIF(E14:$L14,"&gt;0"))</f>
        <v>115.77740366667518</v>
      </c>
      <c r="J25" s="4">
        <f>IF(ISERROR(AVERAGEIF(G14:$L14,"&gt;0")),"",AVERAGEIF(G14:$L14,"&gt;0"))</f>
        <v>108.14245850970674</v>
      </c>
      <c r="K25" s="4">
        <f>IF(ISERROR(AVERAGEIF(I14:$L14,"&gt;0")),"",AVERAGEIF(I14:$L14,"&gt;0"))</f>
        <v>95.599876655883804</v>
      </c>
      <c r="L25" s="4">
        <f>L14</f>
        <v>81.3246624571225</v>
      </c>
      <c r="M25" s="1">
        <f>MAX(K25:L25)</f>
        <v>95.599876655883804</v>
      </c>
      <c r="N25" s="1">
        <f>MIN(H25:L25)</f>
        <v>81.3246624571225</v>
      </c>
    </row>
  </sheetData>
  <hyperlinks>
    <hyperlink ref="M1" r:id="rId1" xr:uid="{F7FC0433-7E2F-428C-ABFF-5AE8A68E237B}"/>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8956A-64AF-4A21-AB3E-B94152AD8090}">
  <dimension ref="B3:J40"/>
  <sheetViews>
    <sheetView showGridLines="0" zoomScale="94" workbookViewId="0">
      <selection activeCell="I9" sqref="I9"/>
    </sheetView>
  </sheetViews>
  <sheetFormatPr defaultRowHeight="14.4" x14ac:dyDescent="0.3"/>
  <cols>
    <col min="2" max="2" width="22.77734375" bestFit="1" customWidth="1"/>
    <col min="3" max="4" width="9.44140625" bestFit="1" customWidth="1"/>
    <col min="5" max="7" width="10.6640625" bestFit="1" customWidth="1"/>
    <col min="8" max="9" width="9.6640625" bestFit="1" customWidth="1"/>
  </cols>
  <sheetData>
    <row r="3" spans="2:10" x14ac:dyDescent="0.3">
      <c r="B3" s="124" t="s">
        <v>251</v>
      </c>
      <c r="C3" s="125">
        <v>43891</v>
      </c>
      <c r="D3" s="125">
        <v>44256</v>
      </c>
      <c r="E3" s="125">
        <v>44621</v>
      </c>
      <c r="F3" s="125">
        <v>44986</v>
      </c>
      <c r="G3" s="125">
        <v>45352</v>
      </c>
      <c r="H3" s="125">
        <v>45717</v>
      </c>
      <c r="I3" s="125">
        <v>46082</v>
      </c>
    </row>
    <row r="4" spans="2:10" x14ac:dyDescent="0.3">
      <c r="B4" s="2" t="s">
        <v>226</v>
      </c>
      <c r="C4" s="26">
        <v>648</v>
      </c>
      <c r="D4" s="26">
        <v>648</v>
      </c>
      <c r="E4" s="26">
        <v>648</v>
      </c>
      <c r="F4" s="26">
        <v>648</v>
      </c>
      <c r="G4" s="26">
        <v>651</v>
      </c>
      <c r="H4" s="26">
        <v>651</v>
      </c>
      <c r="I4" s="26">
        <v>652</v>
      </c>
    </row>
    <row r="5" spans="2:10" x14ac:dyDescent="0.3">
      <c r="B5" s="2" t="s">
        <v>12</v>
      </c>
      <c r="C5" s="26">
        <v>10432</v>
      </c>
      <c r="D5" s="26">
        <v>11536</v>
      </c>
      <c r="E5" s="26">
        <v>13030</v>
      </c>
      <c r="F5" s="26">
        <v>15430</v>
      </c>
      <c r="G5" s="26">
        <v>18047</v>
      </c>
      <c r="H5" s="26">
        <v>20777</v>
      </c>
      <c r="I5" s="26">
        <v>23812</v>
      </c>
    </row>
    <row r="6" spans="2:10" x14ac:dyDescent="0.3">
      <c r="B6" s="2" t="s">
        <v>227</v>
      </c>
      <c r="E6" s="14"/>
      <c r="F6" s="14"/>
      <c r="G6" s="14"/>
      <c r="H6" s="14"/>
      <c r="I6" s="14"/>
    </row>
    <row r="7" spans="2:10" x14ac:dyDescent="0.3">
      <c r="B7" t="s">
        <v>228</v>
      </c>
      <c r="C7" s="26">
        <v>2126</v>
      </c>
      <c r="D7" s="26">
        <v>2224</v>
      </c>
      <c r="E7" s="26">
        <v>1388</v>
      </c>
      <c r="F7" s="26">
        <v>331</v>
      </c>
      <c r="G7" s="26">
        <v>47</v>
      </c>
      <c r="H7" s="26">
        <v>203</v>
      </c>
      <c r="I7" s="26">
        <v>47</v>
      </c>
    </row>
    <row r="8" spans="2:10" x14ac:dyDescent="0.3">
      <c r="B8" t="s">
        <v>229</v>
      </c>
      <c r="C8" s="26">
        <v>166</v>
      </c>
      <c r="D8" s="26">
        <v>1409</v>
      </c>
      <c r="E8" s="26">
        <v>597</v>
      </c>
      <c r="F8" s="26">
        <v>487</v>
      </c>
      <c r="G8" s="26">
        <v>214</v>
      </c>
      <c r="H8" s="26">
        <v>22</v>
      </c>
      <c r="I8" s="26">
        <v>5</v>
      </c>
    </row>
    <row r="9" spans="2:10" x14ac:dyDescent="0.3">
      <c r="B9" t="s">
        <v>230</v>
      </c>
      <c r="C9" s="26">
        <v>1899</v>
      </c>
      <c r="D9" s="26">
        <v>1885</v>
      </c>
      <c r="E9" s="26">
        <v>1903</v>
      </c>
      <c r="F9" s="26">
        <v>2321</v>
      </c>
      <c r="G9" s="26">
        <v>2476</v>
      </c>
      <c r="H9" s="26">
        <v>2860</v>
      </c>
      <c r="I9" s="26">
        <v>2785</v>
      </c>
    </row>
    <row r="10" spans="2:10" x14ac:dyDescent="0.3">
      <c r="B10" t="s">
        <v>231</v>
      </c>
      <c r="C10" s="26">
        <v>310</v>
      </c>
      <c r="D10" s="26">
        <v>0</v>
      </c>
      <c r="E10" s="26">
        <v>0</v>
      </c>
      <c r="F10" s="26">
        <v>0</v>
      </c>
      <c r="G10" s="26">
        <v>0</v>
      </c>
      <c r="H10" s="26">
        <v>0</v>
      </c>
      <c r="I10" s="26">
        <v>0</v>
      </c>
    </row>
    <row r="11" spans="2:10" x14ac:dyDescent="0.3">
      <c r="B11" s="2" t="s">
        <v>232</v>
      </c>
      <c r="C11" s="24"/>
      <c r="D11" s="24"/>
      <c r="E11" s="24"/>
      <c r="F11" s="24"/>
      <c r="G11" s="24"/>
      <c r="H11" s="24"/>
      <c r="I11" s="24"/>
    </row>
    <row r="12" spans="2:10" x14ac:dyDescent="0.3">
      <c r="B12" t="s">
        <v>293</v>
      </c>
      <c r="C12" s="26">
        <v>765</v>
      </c>
      <c r="D12" s="26">
        <v>635</v>
      </c>
      <c r="E12" s="26">
        <v>593</v>
      </c>
      <c r="F12" s="26">
        <v>660</v>
      </c>
      <c r="G12" s="26">
        <v>672</v>
      </c>
      <c r="H12" s="26">
        <v>1255</v>
      </c>
      <c r="I12" s="26">
        <v>1887</v>
      </c>
    </row>
    <row r="13" spans="2:10" x14ac:dyDescent="0.3">
      <c r="B13" t="s">
        <v>233</v>
      </c>
      <c r="C13" s="26">
        <v>389</v>
      </c>
      <c r="D13" s="26">
        <v>318</v>
      </c>
      <c r="E13" s="26">
        <v>387</v>
      </c>
      <c r="F13" s="26">
        <v>477</v>
      </c>
      <c r="G13" s="26">
        <v>519</v>
      </c>
      <c r="H13" s="26">
        <v>578</v>
      </c>
      <c r="I13" s="26">
        <v>720</v>
      </c>
      <c r="J13" s="14"/>
    </row>
    <row r="14" spans="2:10" x14ac:dyDescent="0.3">
      <c r="B14" t="s">
        <v>428</v>
      </c>
      <c r="C14" s="26">
        <v>124</v>
      </c>
      <c r="D14" s="26">
        <v>144</v>
      </c>
      <c r="E14" s="26">
        <v>183</v>
      </c>
      <c r="F14" s="26">
        <v>224</v>
      </c>
      <c r="G14" s="26">
        <v>252</v>
      </c>
      <c r="H14" s="26">
        <v>298</v>
      </c>
      <c r="I14" s="26">
        <v>317</v>
      </c>
    </row>
    <row r="15" spans="2:10" x14ac:dyDescent="0.3">
      <c r="B15" t="s">
        <v>234</v>
      </c>
      <c r="C15" s="26">
        <v>1306</v>
      </c>
      <c r="D15" s="26">
        <v>1172</v>
      </c>
      <c r="E15" s="26">
        <v>889</v>
      </c>
      <c r="F15" s="26">
        <v>1030</v>
      </c>
      <c r="G15" s="26">
        <v>1098</v>
      </c>
      <c r="H15" s="26">
        <v>1240</v>
      </c>
      <c r="I15" s="26">
        <v>1408</v>
      </c>
    </row>
    <row r="16" spans="2:10" x14ac:dyDescent="0.3">
      <c r="B16" s="23" t="s">
        <v>81</v>
      </c>
      <c r="C16" s="25">
        <f>SUM(C7:C10,C12:C15)</f>
        <v>7085</v>
      </c>
      <c r="D16" s="25">
        <f t="shared" ref="D16:I16" si="0">SUM(D7:D10,D12:D15)</f>
        <v>7787</v>
      </c>
      <c r="E16" s="25">
        <f t="shared" si="0"/>
        <v>5940</v>
      </c>
      <c r="F16" s="25">
        <f t="shared" si="0"/>
        <v>5530</v>
      </c>
      <c r="G16" s="25">
        <f t="shared" si="0"/>
        <v>5278</v>
      </c>
      <c r="H16" s="25">
        <f t="shared" si="0"/>
        <v>6456</v>
      </c>
      <c r="I16" s="25">
        <f t="shared" si="0"/>
        <v>7169</v>
      </c>
    </row>
    <row r="17" spans="2:9" x14ac:dyDescent="0.3">
      <c r="B17" s="2"/>
      <c r="C17" s="24"/>
      <c r="D17" s="24"/>
      <c r="E17" s="24"/>
      <c r="F17" s="24"/>
      <c r="G17" s="24"/>
      <c r="H17" s="24"/>
      <c r="I17" s="24"/>
    </row>
    <row r="18" spans="2:9" x14ac:dyDescent="0.3">
      <c r="B18" s="2" t="s">
        <v>235</v>
      </c>
      <c r="C18" s="24"/>
      <c r="D18" s="24"/>
      <c r="E18" s="24"/>
      <c r="F18" s="24"/>
      <c r="G18" s="24"/>
      <c r="H18" s="24"/>
      <c r="I18" s="24"/>
    </row>
    <row r="19" spans="2:9" x14ac:dyDescent="0.3">
      <c r="B19" t="s">
        <v>294</v>
      </c>
      <c r="C19">
        <v>460</v>
      </c>
      <c r="D19">
        <v>552</v>
      </c>
      <c r="E19">
        <v>569</v>
      </c>
      <c r="F19">
        <v>836</v>
      </c>
      <c r="G19">
        <v>871</v>
      </c>
      <c r="H19" s="14">
        <v>1482</v>
      </c>
      <c r="I19" s="14">
        <v>1410</v>
      </c>
    </row>
    <row r="20" spans="2:9" x14ac:dyDescent="0.3">
      <c r="B20" t="s">
        <v>236</v>
      </c>
      <c r="C20" s="14">
        <v>5634</v>
      </c>
      <c r="D20" s="14">
        <v>6218</v>
      </c>
      <c r="E20" s="14">
        <v>6464</v>
      </c>
      <c r="F20" s="14">
        <v>6779</v>
      </c>
      <c r="G20" s="14">
        <v>7276</v>
      </c>
      <c r="H20" s="14">
        <v>8298</v>
      </c>
      <c r="I20" s="14">
        <v>9247</v>
      </c>
    </row>
    <row r="21" spans="2:9" x14ac:dyDescent="0.3">
      <c r="B21" t="s">
        <v>237</v>
      </c>
      <c r="C21" s="14">
        <v>1402</v>
      </c>
      <c r="D21" s="14">
        <v>1527</v>
      </c>
      <c r="E21" s="14">
        <v>1574</v>
      </c>
      <c r="F21" s="14">
        <v>1683</v>
      </c>
      <c r="G21" s="14">
        <v>1947</v>
      </c>
      <c r="H21" s="14">
        <v>2249</v>
      </c>
      <c r="I21" s="14">
        <v>2620</v>
      </c>
    </row>
    <row r="22" spans="2:9" x14ac:dyDescent="0.3">
      <c r="B22" t="s">
        <v>238</v>
      </c>
      <c r="C22">
        <v>88</v>
      </c>
      <c r="D22">
        <v>93</v>
      </c>
      <c r="E22">
        <v>101</v>
      </c>
      <c r="F22">
        <v>106</v>
      </c>
      <c r="G22">
        <v>119</v>
      </c>
      <c r="H22">
        <v>139</v>
      </c>
      <c r="I22">
        <v>159</v>
      </c>
    </row>
    <row r="23" spans="2:9" x14ac:dyDescent="0.3">
      <c r="B23" t="s">
        <v>239</v>
      </c>
      <c r="C23">
        <v>671</v>
      </c>
      <c r="D23">
        <v>743</v>
      </c>
      <c r="E23">
        <v>792</v>
      </c>
      <c r="F23">
        <v>856</v>
      </c>
      <c r="G23">
        <v>970</v>
      </c>
      <c r="H23" s="14">
        <v>1111</v>
      </c>
      <c r="I23" s="14">
        <v>1272</v>
      </c>
    </row>
    <row r="24" spans="2:9" x14ac:dyDescent="0.3">
      <c r="B24" t="s">
        <v>295</v>
      </c>
      <c r="C24">
        <v>14</v>
      </c>
      <c r="D24">
        <v>14</v>
      </c>
      <c r="E24">
        <v>15</v>
      </c>
      <c r="F24">
        <v>16</v>
      </c>
      <c r="G24">
        <v>16</v>
      </c>
      <c r="H24">
        <v>89</v>
      </c>
      <c r="I24">
        <v>102</v>
      </c>
    </row>
    <row r="25" spans="2:9" x14ac:dyDescent="0.3">
      <c r="B25" t="s">
        <v>240</v>
      </c>
      <c r="C25" s="14">
        <v>1259</v>
      </c>
      <c r="D25" s="14">
        <v>1255</v>
      </c>
      <c r="E25" s="14">
        <v>1269</v>
      </c>
      <c r="F25" s="14">
        <v>1306</v>
      </c>
      <c r="G25" s="14">
        <v>1317</v>
      </c>
      <c r="H25" s="14">
        <v>1366</v>
      </c>
      <c r="I25" s="14">
        <v>1891</v>
      </c>
    </row>
    <row r="26" spans="2:9" x14ac:dyDescent="0.3">
      <c r="B26" t="s">
        <v>241</v>
      </c>
      <c r="C26">
        <v>80</v>
      </c>
      <c r="D26">
        <v>84</v>
      </c>
      <c r="E26">
        <v>86</v>
      </c>
      <c r="F26">
        <v>94</v>
      </c>
      <c r="G26">
        <v>97</v>
      </c>
      <c r="H26">
        <v>161</v>
      </c>
      <c r="I26">
        <v>226</v>
      </c>
    </row>
    <row r="27" spans="2:9" x14ac:dyDescent="0.3">
      <c r="B27" s="2" t="s">
        <v>242</v>
      </c>
      <c r="C27" s="28">
        <f>SUM(C19:C26)</f>
        <v>9608</v>
      </c>
      <c r="D27" s="28">
        <f t="shared" ref="D27:I27" si="1">SUM(D19:D26)</f>
        <v>10486</v>
      </c>
      <c r="E27" s="28">
        <f t="shared" si="1"/>
        <v>10870</v>
      </c>
      <c r="F27" s="28">
        <f t="shared" si="1"/>
        <v>11676</v>
      </c>
      <c r="G27" s="28">
        <f t="shared" si="1"/>
        <v>12613</v>
      </c>
      <c r="H27" s="28">
        <f t="shared" si="1"/>
        <v>14895</v>
      </c>
      <c r="I27" s="28">
        <f t="shared" si="1"/>
        <v>16927</v>
      </c>
    </row>
    <row r="28" spans="2:9" x14ac:dyDescent="0.3">
      <c r="B28" s="2" t="s">
        <v>243</v>
      </c>
      <c r="C28" s="181">
        <v>1550</v>
      </c>
      <c r="D28" s="181">
        <v>2048</v>
      </c>
      <c r="E28" s="181">
        <v>2454</v>
      </c>
      <c r="F28" s="181">
        <v>2856</v>
      </c>
      <c r="G28" s="181">
        <v>3302</v>
      </c>
      <c r="H28" s="181">
        <v>3977</v>
      </c>
      <c r="I28" s="181">
        <v>4717</v>
      </c>
    </row>
    <row r="29" spans="2:9" x14ac:dyDescent="0.3">
      <c r="B29" s="38" t="s">
        <v>14</v>
      </c>
      <c r="C29" s="37">
        <f>C27-C28</f>
        <v>8058</v>
      </c>
      <c r="D29" s="37">
        <f t="shared" ref="D29:H29" si="2">D27-D28</f>
        <v>8438</v>
      </c>
      <c r="E29" s="37">
        <f t="shared" si="2"/>
        <v>8416</v>
      </c>
      <c r="F29" s="37">
        <f t="shared" si="2"/>
        <v>8820</v>
      </c>
      <c r="G29" s="37">
        <f t="shared" si="2"/>
        <v>9311</v>
      </c>
      <c r="H29" s="37">
        <f t="shared" si="2"/>
        <v>10918</v>
      </c>
      <c r="I29" s="37">
        <f>I27-I28</f>
        <v>12210</v>
      </c>
    </row>
    <row r="30" spans="2:9" x14ac:dyDescent="0.3">
      <c r="B30" s="2"/>
      <c r="C30" s="27"/>
      <c r="D30" s="27"/>
      <c r="E30" s="27"/>
      <c r="F30" s="27"/>
      <c r="G30" s="27"/>
      <c r="H30" s="27"/>
      <c r="I30" s="27"/>
    </row>
    <row r="31" spans="2:9" x14ac:dyDescent="0.3">
      <c r="B31" s="2" t="s">
        <v>244</v>
      </c>
      <c r="C31" s="28">
        <v>244</v>
      </c>
      <c r="D31" s="28">
        <v>165</v>
      </c>
      <c r="E31" s="28">
        <v>194</v>
      </c>
      <c r="F31" s="28">
        <v>332</v>
      </c>
      <c r="G31" s="28">
        <v>256</v>
      </c>
      <c r="H31" s="28">
        <v>633</v>
      </c>
      <c r="I31" s="28">
        <v>787</v>
      </c>
    </row>
    <row r="32" spans="2:9" x14ac:dyDescent="0.3">
      <c r="B32" s="2" t="s">
        <v>16</v>
      </c>
      <c r="C32" s="28">
        <v>1427</v>
      </c>
      <c r="D32" s="28">
        <v>1483</v>
      </c>
      <c r="E32" s="28">
        <v>1967</v>
      </c>
      <c r="F32" s="28">
        <v>1891</v>
      </c>
      <c r="G32" s="28">
        <v>2261</v>
      </c>
      <c r="H32" s="28">
        <v>2279</v>
      </c>
      <c r="I32" s="28">
        <v>3606</v>
      </c>
    </row>
    <row r="33" spans="2:9" x14ac:dyDescent="0.3">
      <c r="B33" s="2"/>
      <c r="C33" s="24"/>
      <c r="D33" s="24"/>
      <c r="E33" s="24"/>
      <c r="F33" s="24"/>
      <c r="G33" s="24"/>
      <c r="H33" s="24"/>
      <c r="I33" s="24"/>
    </row>
    <row r="34" spans="2:9" x14ac:dyDescent="0.3">
      <c r="B34" s="2" t="s">
        <v>245</v>
      </c>
      <c r="C34" s="24"/>
      <c r="D34" s="24"/>
      <c r="E34" s="24"/>
      <c r="F34" s="24"/>
      <c r="G34" s="24"/>
      <c r="H34" s="24"/>
      <c r="I34" s="24"/>
    </row>
    <row r="35" spans="2:9" x14ac:dyDescent="0.3">
      <c r="B35" t="s">
        <v>246</v>
      </c>
      <c r="C35" s="28">
        <v>94</v>
      </c>
      <c r="D35" s="28">
        <v>93</v>
      </c>
      <c r="E35" s="28">
        <v>101</v>
      </c>
      <c r="F35" s="28">
        <v>109</v>
      </c>
      <c r="G35" s="28">
        <v>116</v>
      </c>
      <c r="H35" s="28">
        <v>135</v>
      </c>
      <c r="I35" s="28">
        <v>150</v>
      </c>
    </row>
    <row r="36" spans="2:9" x14ac:dyDescent="0.3">
      <c r="B36" t="s">
        <v>247</v>
      </c>
      <c r="C36" s="28">
        <v>290</v>
      </c>
      <c r="D36" s="28">
        <v>220</v>
      </c>
      <c r="E36" s="28">
        <v>255</v>
      </c>
      <c r="F36" s="28">
        <v>446</v>
      </c>
      <c r="G36" s="28">
        <v>476</v>
      </c>
      <c r="H36" s="28">
        <v>651</v>
      </c>
      <c r="I36" s="28">
        <v>727</v>
      </c>
    </row>
    <row r="37" spans="2:9" x14ac:dyDescent="0.3">
      <c r="B37" t="s">
        <v>248</v>
      </c>
      <c r="C37" s="28">
        <v>316</v>
      </c>
      <c r="D37" s="28">
        <v>154</v>
      </c>
      <c r="E37" s="28">
        <v>1188</v>
      </c>
      <c r="F37" s="28">
        <v>1053</v>
      </c>
      <c r="G37" s="28">
        <v>1486</v>
      </c>
      <c r="H37" s="28">
        <v>2182</v>
      </c>
      <c r="I37" s="28">
        <v>1831</v>
      </c>
    </row>
    <row r="38" spans="2:9" x14ac:dyDescent="0.3">
      <c r="B38" t="s">
        <v>249</v>
      </c>
      <c r="C38" s="28">
        <v>134</v>
      </c>
      <c r="D38" s="28">
        <v>144</v>
      </c>
      <c r="E38" s="28">
        <v>138</v>
      </c>
      <c r="F38" s="28">
        <v>144</v>
      </c>
      <c r="G38" s="28">
        <v>173</v>
      </c>
      <c r="H38" s="28">
        <v>176</v>
      </c>
      <c r="I38" s="28">
        <v>218</v>
      </c>
    </row>
    <row r="39" spans="2:9" x14ac:dyDescent="0.3">
      <c r="B39" t="s">
        <v>250</v>
      </c>
      <c r="C39" s="28">
        <v>879</v>
      </c>
      <c r="D39" s="28">
        <v>738</v>
      </c>
      <c r="E39" s="28">
        <v>744</v>
      </c>
      <c r="F39" s="28">
        <v>717</v>
      </c>
      <c r="G39" s="28">
        <v>654</v>
      </c>
      <c r="H39" s="28">
        <v>643</v>
      </c>
      <c r="I39" s="28">
        <v>691</v>
      </c>
    </row>
    <row r="40" spans="2:9" x14ac:dyDescent="0.3">
      <c r="B40" s="23" t="s">
        <v>115</v>
      </c>
      <c r="C40" s="25">
        <v>11442</v>
      </c>
      <c r="D40" s="25">
        <v>11435</v>
      </c>
      <c r="E40" s="25">
        <v>13002</v>
      </c>
      <c r="F40" s="25">
        <v>13512</v>
      </c>
      <c r="G40" s="25">
        <v>14733</v>
      </c>
      <c r="H40" s="25">
        <v>17616</v>
      </c>
      <c r="I40" s="25">
        <v>20221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719C-E7EC-4616-88F7-C3FD36D27829}">
  <dimension ref="B1:R31"/>
  <sheetViews>
    <sheetView showGridLines="0" topLeftCell="A5" zoomScale="110" workbookViewId="0">
      <selection activeCell="B11" sqref="B11:B21"/>
    </sheetView>
  </sheetViews>
  <sheetFormatPr defaultRowHeight="14.4" x14ac:dyDescent="0.3"/>
  <cols>
    <col min="1" max="1" width="25.77734375" bestFit="1" customWidth="1"/>
    <col min="2" max="2" width="26.6640625" bestFit="1" customWidth="1"/>
    <col min="11" max="11" width="4.6640625" bestFit="1" customWidth="1"/>
  </cols>
  <sheetData>
    <row r="1" spans="2:17" x14ac:dyDescent="0.3">
      <c r="C1" s="146">
        <v>43891</v>
      </c>
      <c r="D1" s="146">
        <v>44256</v>
      </c>
      <c r="E1" s="146">
        <v>44621</v>
      </c>
      <c r="F1" s="146">
        <v>44986</v>
      </c>
      <c r="G1" s="146">
        <v>45352</v>
      </c>
      <c r="H1" s="146">
        <v>45717</v>
      </c>
      <c r="I1" s="146">
        <v>46082</v>
      </c>
    </row>
    <row r="2" spans="2:17" x14ac:dyDescent="0.3">
      <c r="B2" s="2" t="s">
        <v>85</v>
      </c>
      <c r="K2">
        <v>823</v>
      </c>
      <c r="L2">
        <v>-319</v>
      </c>
      <c r="M2">
        <v>672</v>
      </c>
      <c r="N2" s="14">
        <v>1619</v>
      </c>
      <c r="O2" s="14">
        <v>1935</v>
      </c>
      <c r="P2" s="14">
        <v>2194</v>
      </c>
      <c r="Q2" s="14">
        <v>2471</v>
      </c>
    </row>
    <row r="3" spans="2:17" x14ac:dyDescent="0.3">
      <c r="B3" t="s">
        <v>86</v>
      </c>
      <c r="C3" s="14">
        <v>1006</v>
      </c>
      <c r="D3">
        <v>-265</v>
      </c>
      <c r="E3">
        <v>495</v>
      </c>
      <c r="F3" s="14">
        <v>1845</v>
      </c>
      <c r="G3" s="14">
        <v>2208</v>
      </c>
      <c r="H3" s="14">
        <v>2829</v>
      </c>
      <c r="I3" s="14">
        <v>3201</v>
      </c>
    </row>
    <row r="4" spans="2:17" x14ac:dyDescent="0.3">
      <c r="B4" t="s">
        <v>44</v>
      </c>
      <c r="C4">
        <v>0</v>
      </c>
      <c r="D4">
        <v>0</v>
      </c>
      <c r="E4">
        <v>0</v>
      </c>
      <c r="F4">
        <v>0</v>
      </c>
      <c r="G4">
        <v>0</v>
      </c>
      <c r="H4">
        <v>-82</v>
      </c>
      <c r="I4">
        <v>-146</v>
      </c>
    </row>
    <row r="5" spans="2:17" x14ac:dyDescent="0.3">
      <c r="B5" t="s">
        <v>30</v>
      </c>
      <c r="C5">
        <v>-13</v>
      </c>
      <c r="D5">
        <v>12</v>
      </c>
      <c r="E5">
        <v>-8</v>
      </c>
      <c r="F5">
        <v>-8</v>
      </c>
      <c r="G5">
        <v>-7</v>
      </c>
      <c r="H5">
        <v>-7</v>
      </c>
      <c r="I5">
        <v>-10</v>
      </c>
    </row>
    <row r="6" spans="2:17" x14ac:dyDescent="0.3">
      <c r="B6" t="s">
        <v>87</v>
      </c>
      <c r="C6">
        <v>0</v>
      </c>
      <c r="D6">
        <v>0</v>
      </c>
      <c r="E6">
        <v>0</v>
      </c>
      <c r="F6">
        <v>0</v>
      </c>
      <c r="G6">
        <v>0</v>
      </c>
      <c r="H6">
        <v>36</v>
      </c>
      <c r="I6">
        <v>92</v>
      </c>
    </row>
    <row r="7" spans="2:17" x14ac:dyDescent="0.3">
      <c r="B7" t="s">
        <v>88</v>
      </c>
      <c r="C7">
        <v>37</v>
      </c>
      <c r="D7">
        <v>-88</v>
      </c>
      <c r="E7">
        <v>129</v>
      </c>
      <c r="F7">
        <v>32</v>
      </c>
      <c r="G7">
        <v>43</v>
      </c>
      <c r="H7">
        <v>0</v>
      </c>
      <c r="I7">
        <v>0</v>
      </c>
    </row>
    <row r="8" spans="2:17" x14ac:dyDescent="0.3">
      <c r="B8" t="s">
        <v>89</v>
      </c>
      <c r="C8">
        <v>23</v>
      </c>
      <c r="D8">
        <v>-77</v>
      </c>
      <c r="E8">
        <v>121</v>
      </c>
      <c r="F8">
        <v>24</v>
      </c>
      <c r="G8">
        <v>36</v>
      </c>
      <c r="H8">
        <v>-53</v>
      </c>
      <c r="I8">
        <v>-63</v>
      </c>
    </row>
    <row r="9" spans="2:17" x14ac:dyDescent="0.3">
      <c r="B9" t="s">
        <v>90</v>
      </c>
      <c r="C9">
        <v>-206</v>
      </c>
      <c r="D9">
        <v>23</v>
      </c>
      <c r="E9">
        <v>55</v>
      </c>
      <c r="F9">
        <v>-250</v>
      </c>
      <c r="G9">
        <v>-309</v>
      </c>
      <c r="H9">
        <v>-581</v>
      </c>
      <c r="I9">
        <v>-667</v>
      </c>
    </row>
    <row r="10" spans="2:17" x14ac:dyDescent="0.3">
      <c r="B10" s="2" t="s">
        <v>91</v>
      </c>
      <c r="K10">
        <v>-497</v>
      </c>
      <c r="L10">
        <v>-118</v>
      </c>
      <c r="M10" s="14">
        <v>-1641</v>
      </c>
      <c r="N10">
        <v>-138</v>
      </c>
      <c r="O10" s="14">
        <v>-1208</v>
      </c>
      <c r="P10" s="14">
        <v>-1869</v>
      </c>
      <c r="Q10" s="14">
        <v>-1346</v>
      </c>
    </row>
    <row r="11" spans="2:17" x14ac:dyDescent="0.3">
      <c r="B11" t="s">
        <v>92</v>
      </c>
      <c r="C11">
        <v>-487</v>
      </c>
      <c r="D11">
        <v>-215</v>
      </c>
      <c r="E11">
        <v>-318</v>
      </c>
      <c r="F11">
        <v>-471</v>
      </c>
      <c r="G11">
        <v>-637</v>
      </c>
      <c r="H11" s="14">
        <v>-1074</v>
      </c>
      <c r="I11" s="14">
        <v>-1037</v>
      </c>
    </row>
    <row r="12" spans="2:17" x14ac:dyDescent="0.3">
      <c r="B12" t="s">
        <v>93</v>
      </c>
      <c r="C12">
        <v>175</v>
      </c>
      <c r="D12">
        <v>28</v>
      </c>
      <c r="E12">
        <v>33</v>
      </c>
      <c r="F12">
        <v>43</v>
      </c>
      <c r="G12">
        <v>4</v>
      </c>
      <c r="H12">
        <v>12</v>
      </c>
      <c r="I12">
        <v>9</v>
      </c>
    </row>
    <row r="13" spans="2:17" x14ac:dyDescent="0.3">
      <c r="B13" t="s">
        <v>94</v>
      </c>
      <c r="C13" s="14">
        <v>-1938</v>
      </c>
      <c r="D13" s="14">
        <v>-1512</v>
      </c>
      <c r="E13" s="14">
        <v>-2339</v>
      </c>
      <c r="F13" s="14">
        <v>-2069</v>
      </c>
      <c r="G13" s="14">
        <v>-2525</v>
      </c>
      <c r="H13" s="14">
        <v>-3156</v>
      </c>
      <c r="I13" s="14">
        <v>-5438</v>
      </c>
    </row>
    <row r="14" spans="2:17" x14ac:dyDescent="0.3">
      <c r="B14" t="s">
        <v>95</v>
      </c>
      <c r="C14" s="14">
        <v>1712</v>
      </c>
      <c r="D14" s="14">
        <v>1591</v>
      </c>
      <c r="E14" s="14">
        <v>1893</v>
      </c>
      <c r="F14" s="14">
        <v>2250</v>
      </c>
      <c r="G14" s="14">
        <v>2597</v>
      </c>
      <c r="H14" s="14">
        <v>3037</v>
      </c>
      <c r="I14" s="14">
        <v>4568</v>
      </c>
    </row>
    <row r="15" spans="2:17" x14ac:dyDescent="0.3">
      <c r="B15" t="s">
        <v>410</v>
      </c>
      <c r="C15">
        <v>0</v>
      </c>
      <c r="D15">
        <v>0</v>
      </c>
      <c r="E15">
        <v>0</v>
      </c>
      <c r="F15">
        <v>0</v>
      </c>
      <c r="G15">
        <v>0</v>
      </c>
      <c r="H15">
        <v>5</v>
      </c>
      <c r="I15">
        <v>0</v>
      </c>
    </row>
    <row r="16" spans="2:17" x14ac:dyDescent="0.3">
      <c r="B16" t="s">
        <v>96</v>
      </c>
      <c r="C16">
        <v>16</v>
      </c>
      <c r="D16">
        <v>18</v>
      </c>
      <c r="E16">
        <v>12</v>
      </c>
      <c r="F16">
        <v>30</v>
      </c>
      <c r="G16">
        <v>53</v>
      </c>
      <c r="H16">
        <v>109</v>
      </c>
      <c r="I16">
        <v>107</v>
      </c>
    </row>
    <row r="17" spans="2:18" x14ac:dyDescent="0.3">
      <c r="B17" t="s">
        <v>296</v>
      </c>
      <c r="C17">
        <v>14</v>
      </c>
      <c r="D17">
        <v>7</v>
      </c>
      <c r="E17">
        <v>8</v>
      </c>
      <c r="F17">
        <v>5</v>
      </c>
      <c r="G17">
        <v>27</v>
      </c>
      <c r="H17">
        <v>44</v>
      </c>
      <c r="I17">
        <v>45</v>
      </c>
    </row>
    <row r="18" spans="2:18" x14ac:dyDescent="0.3">
      <c r="B18" t="s">
        <v>97</v>
      </c>
      <c r="C18">
        <v>0</v>
      </c>
      <c r="D18">
        <v>-73</v>
      </c>
      <c r="E18">
        <v>-544</v>
      </c>
      <c r="F18">
        <v>0</v>
      </c>
      <c r="G18">
        <v>0</v>
      </c>
      <c r="H18">
        <v>0</v>
      </c>
      <c r="I18">
        <v>0</v>
      </c>
    </row>
    <row r="19" spans="2:18" x14ac:dyDescent="0.3">
      <c r="B19" t="s">
        <v>98</v>
      </c>
      <c r="C19">
        <v>30</v>
      </c>
      <c r="D19">
        <v>0</v>
      </c>
      <c r="E19">
        <v>0</v>
      </c>
      <c r="F19">
        <v>0</v>
      </c>
      <c r="G19">
        <v>0</v>
      </c>
      <c r="H19">
        <v>0</v>
      </c>
      <c r="I19">
        <v>0</v>
      </c>
    </row>
    <row r="20" spans="2:18" x14ac:dyDescent="0.3">
      <c r="B20" t="s">
        <v>99</v>
      </c>
      <c r="C20">
        <v>0</v>
      </c>
      <c r="D20">
        <v>0</v>
      </c>
      <c r="E20">
        <v>0</v>
      </c>
      <c r="F20">
        <v>0</v>
      </c>
      <c r="G20">
        <v>0</v>
      </c>
      <c r="H20">
        <v>-18</v>
      </c>
      <c r="I20">
        <v>-412</v>
      </c>
    </row>
    <row r="21" spans="2:18" x14ac:dyDescent="0.3">
      <c r="B21" t="s">
        <v>100</v>
      </c>
      <c r="C21">
        <v>-18</v>
      </c>
      <c r="D21">
        <v>39</v>
      </c>
      <c r="E21">
        <v>-385</v>
      </c>
      <c r="F21">
        <v>73</v>
      </c>
      <c r="G21">
        <v>-727</v>
      </c>
      <c r="H21">
        <v>-829</v>
      </c>
      <c r="I21">
        <v>811</v>
      </c>
    </row>
    <row r="22" spans="2:18" x14ac:dyDescent="0.3">
      <c r="B22" s="2" t="s">
        <v>101</v>
      </c>
      <c r="L22">
        <v>-265</v>
      </c>
      <c r="M22">
        <v>280</v>
      </c>
      <c r="N22" s="14">
        <v>1659</v>
      </c>
      <c r="O22" s="14">
        <v>-1528</v>
      </c>
      <c r="P22">
        <v>-985</v>
      </c>
      <c r="Q22">
        <v>-547</v>
      </c>
      <c r="R22">
        <v>-976</v>
      </c>
    </row>
    <row r="23" spans="2:18" x14ac:dyDescent="0.3">
      <c r="B23" t="s">
        <v>102</v>
      </c>
      <c r="C23">
        <v>0</v>
      </c>
      <c r="D23">
        <v>0</v>
      </c>
      <c r="E23" s="14">
        <v>3982</v>
      </c>
      <c r="F23">
        <v>1</v>
      </c>
      <c r="G23">
        <v>6</v>
      </c>
      <c r="H23">
        <v>0</v>
      </c>
      <c r="I23">
        <v>0</v>
      </c>
    </row>
    <row r="24" spans="2:18" x14ac:dyDescent="0.3">
      <c r="B24" t="s">
        <v>297</v>
      </c>
      <c r="C24">
        <v>0</v>
      </c>
      <c r="D24">
        <v>0</v>
      </c>
      <c r="E24">
        <v>0</v>
      </c>
      <c r="F24">
        <v>0</v>
      </c>
      <c r="G24">
        <v>0</v>
      </c>
      <c r="H24">
        <v>0</v>
      </c>
      <c r="I24">
        <v>0</v>
      </c>
    </row>
    <row r="25" spans="2:18" x14ac:dyDescent="0.3">
      <c r="B25" t="s">
        <v>103</v>
      </c>
      <c r="C25" s="14">
        <v>1015</v>
      </c>
      <c r="D25" s="14">
        <v>1141</v>
      </c>
      <c r="E25" s="14">
        <v>1520</v>
      </c>
      <c r="F25">
        <v>59</v>
      </c>
      <c r="G25">
        <v>138</v>
      </c>
      <c r="H25">
        <v>275</v>
      </c>
      <c r="I25">
        <v>99</v>
      </c>
    </row>
    <row r="26" spans="2:18" x14ac:dyDescent="0.3">
      <c r="B26" t="s">
        <v>104</v>
      </c>
      <c r="C26">
        <v>-793</v>
      </c>
      <c r="D26">
        <v>-428</v>
      </c>
      <c r="E26" s="14">
        <v>-3176</v>
      </c>
      <c r="F26" s="14">
        <v>-1253</v>
      </c>
      <c r="G26">
        <v>-709</v>
      </c>
      <c r="H26">
        <v>-325</v>
      </c>
      <c r="I26">
        <v>-461</v>
      </c>
    </row>
    <row r="27" spans="2:18" x14ac:dyDescent="0.3">
      <c r="B27" t="s">
        <v>105</v>
      </c>
      <c r="C27">
        <v>-155</v>
      </c>
      <c r="D27">
        <v>-232</v>
      </c>
      <c r="E27">
        <v>-281</v>
      </c>
      <c r="F27">
        <v>-83</v>
      </c>
      <c r="G27">
        <v>-67</v>
      </c>
      <c r="H27">
        <v>-27</v>
      </c>
      <c r="I27">
        <v>-22</v>
      </c>
    </row>
    <row r="28" spans="2:18" x14ac:dyDescent="0.3">
      <c r="B28" t="s">
        <v>411</v>
      </c>
      <c r="C28">
        <v>-76</v>
      </c>
      <c r="D28">
        <v>-60</v>
      </c>
      <c r="E28">
        <v>-52</v>
      </c>
      <c r="F28">
        <v>-64</v>
      </c>
      <c r="G28">
        <v>-155</v>
      </c>
      <c r="H28">
        <v>-252</v>
      </c>
      <c r="I28">
        <v>-342</v>
      </c>
    </row>
    <row r="29" spans="2:18" x14ac:dyDescent="0.3">
      <c r="B29" t="s">
        <v>106</v>
      </c>
      <c r="C29">
        <v>-136</v>
      </c>
      <c r="D29">
        <v>-139</v>
      </c>
      <c r="E29">
        <v>-151</v>
      </c>
      <c r="F29">
        <v>-187</v>
      </c>
      <c r="G29">
        <v>-198</v>
      </c>
      <c r="H29">
        <v>-218</v>
      </c>
      <c r="I29">
        <v>-263</v>
      </c>
    </row>
    <row r="30" spans="2:18" x14ac:dyDescent="0.3">
      <c r="B30" t="s">
        <v>107</v>
      </c>
      <c r="C30">
        <v>-121</v>
      </c>
      <c r="D30">
        <v>-1</v>
      </c>
      <c r="E30">
        <v>-184</v>
      </c>
      <c r="F30">
        <v>-1</v>
      </c>
      <c r="G30">
        <v>0</v>
      </c>
      <c r="H30">
        <v>0</v>
      </c>
      <c r="I30">
        <v>13</v>
      </c>
    </row>
    <row r="31" spans="2:18" x14ac:dyDescent="0.3">
      <c r="B31" t="s">
        <v>21</v>
      </c>
      <c r="C31">
        <v>62</v>
      </c>
      <c r="D31">
        <v>-157</v>
      </c>
      <c r="E31">
        <v>689</v>
      </c>
      <c r="F31">
        <v>-47</v>
      </c>
      <c r="G31">
        <v>-257</v>
      </c>
      <c r="H31">
        <v>-222</v>
      </c>
      <c r="I31">
        <v>149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5808-5D93-4BF9-98C4-D8F97A8972C8}">
  <dimension ref="B1:P17"/>
  <sheetViews>
    <sheetView zoomScale="138" workbookViewId="0">
      <selection activeCell="G11" sqref="G11:G17"/>
    </sheetView>
  </sheetViews>
  <sheetFormatPr defaultRowHeight="14.4" x14ac:dyDescent="0.3"/>
  <cols>
    <col min="4" max="5" width="9" bestFit="1" customWidth="1"/>
    <col min="6" max="6" width="15.21875" bestFit="1" customWidth="1"/>
    <col min="7" max="8" width="9" bestFit="1" customWidth="1"/>
    <col min="9" max="10" width="9" customWidth="1"/>
    <col min="11" max="11" width="9.77734375" bestFit="1" customWidth="1"/>
    <col min="12" max="12" width="9.5546875" bestFit="1" customWidth="1"/>
    <col min="13" max="13" width="9" bestFit="1" customWidth="1"/>
    <col min="14" max="14" width="12.6640625" bestFit="1" customWidth="1"/>
  </cols>
  <sheetData>
    <row r="1" spans="2:16" x14ac:dyDescent="0.3">
      <c r="B1" t="s">
        <v>311</v>
      </c>
      <c r="C1" t="s">
        <v>412</v>
      </c>
      <c r="D1" t="s">
        <v>312</v>
      </c>
      <c r="E1" t="s">
        <v>313</v>
      </c>
      <c r="F1" t="s">
        <v>420</v>
      </c>
      <c r="G1" t="s">
        <v>314</v>
      </c>
      <c r="H1" t="s">
        <v>315</v>
      </c>
      <c r="I1" t="s">
        <v>304</v>
      </c>
      <c r="J1" t="s">
        <v>316</v>
      </c>
      <c r="K1" t="s">
        <v>317</v>
      </c>
      <c r="L1" t="s">
        <v>318</v>
      </c>
    </row>
    <row r="2" spans="2:16" x14ac:dyDescent="0.3">
      <c r="B2">
        <v>1</v>
      </c>
      <c r="C2" t="s">
        <v>413</v>
      </c>
      <c r="D2">
        <v>718</v>
      </c>
      <c r="E2">
        <v>142.34</v>
      </c>
      <c r="F2">
        <v>102202.43</v>
      </c>
      <c r="G2">
        <v>2836.55</v>
      </c>
      <c r="H2">
        <v>1831.19</v>
      </c>
      <c r="I2">
        <f>G2-H2</f>
        <v>1005.3600000000001</v>
      </c>
      <c r="J2">
        <v>103207.79</v>
      </c>
      <c r="K2">
        <v>9987.33</v>
      </c>
      <c r="L2">
        <v>2308.7399999999998</v>
      </c>
    </row>
    <row r="3" spans="2:16" x14ac:dyDescent="0.3">
      <c r="B3">
        <v>2</v>
      </c>
      <c r="C3" t="s">
        <v>414</v>
      </c>
      <c r="D3">
        <v>158.51</v>
      </c>
      <c r="E3">
        <v>208.31</v>
      </c>
      <c r="F3">
        <v>33018.65</v>
      </c>
      <c r="G3">
        <v>74.19</v>
      </c>
      <c r="H3">
        <v>765.36</v>
      </c>
      <c r="I3">
        <f t="shared" ref="I3:I8" si="0">G3-H3</f>
        <v>-691.17000000000007</v>
      </c>
      <c r="J3">
        <v>32327.48</v>
      </c>
      <c r="K3">
        <v>4259.88</v>
      </c>
      <c r="L3">
        <v>869.46</v>
      </c>
    </row>
    <row r="4" spans="2:16" x14ac:dyDescent="0.3">
      <c r="B4">
        <v>3</v>
      </c>
      <c r="C4" t="s">
        <v>415</v>
      </c>
      <c r="D4">
        <v>568.95000000000005</v>
      </c>
      <c r="E4">
        <v>33.4</v>
      </c>
      <c r="F4">
        <v>19000.53</v>
      </c>
      <c r="G4">
        <v>1810.95</v>
      </c>
      <c r="H4">
        <v>285.57</v>
      </c>
      <c r="I4">
        <f t="shared" si="0"/>
        <v>1525.38</v>
      </c>
      <c r="J4">
        <v>20525.91</v>
      </c>
      <c r="K4">
        <v>1604.46</v>
      </c>
      <c r="L4">
        <v>443.09</v>
      </c>
    </row>
    <row r="5" spans="2:16" x14ac:dyDescent="0.3">
      <c r="B5">
        <v>4</v>
      </c>
      <c r="C5" t="s">
        <v>416</v>
      </c>
      <c r="D5">
        <v>297.85000000000002</v>
      </c>
      <c r="E5">
        <v>62.54</v>
      </c>
      <c r="F5">
        <v>18626.47</v>
      </c>
      <c r="G5">
        <v>252.42</v>
      </c>
      <c r="H5">
        <v>933.96</v>
      </c>
      <c r="I5">
        <f t="shared" si="0"/>
        <v>-681.54000000000008</v>
      </c>
      <c r="J5">
        <v>17944.93</v>
      </c>
      <c r="K5">
        <v>3023.01</v>
      </c>
      <c r="L5">
        <v>740.72</v>
      </c>
    </row>
    <row r="6" spans="2:16" x14ac:dyDescent="0.3">
      <c r="B6">
        <v>5</v>
      </c>
      <c r="C6" t="s">
        <v>417</v>
      </c>
      <c r="D6">
        <v>830.25</v>
      </c>
      <c r="E6">
        <v>21.9</v>
      </c>
      <c r="F6">
        <v>18181.990000000002</v>
      </c>
      <c r="G6">
        <v>2367.6799999999998</v>
      </c>
      <c r="H6">
        <v>308.5</v>
      </c>
      <c r="I6">
        <f t="shared" si="0"/>
        <v>2059.1799999999998</v>
      </c>
      <c r="J6">
        <v>20241.169999999998</v>
      </c>
      <c r="K6">
        <v>2387.48</v>
      </c>
      <c r="L6">
        <v>528.03</v>
      </c>
      <c r="P6" s="34"/>
    </row>
    <row r="7" spans="2:16" x14ac:dyDescent="0.3">
      <c r="B7">
        <v>6</v>
      </c>
      <c r="C7" t="s">
        <v>418</v>
      </c>
      <c r="D7">
        <v>552.20000000000005</v>
      </c>
      <c r="E7">
        <v>23.35</v>
      </c>
      <c r="F7">
        <v>12896.17</v>
      </c>
      <c r="G7">
        <v>2574.4299999999998</v>
      </c>
      <c r="H7">
        <v>421.27</v>
      </c>
      <c r="I7">
        <f t="shared" si="0"/>
        <v>2153.16</v>
      </c>
      <c r="J7">
        <v>15049.33</v>
      </c>
      <c r="K7">
        <v>2496.42</v>
      </c>
      <c r="L7">
        <v>588.16</v>
      </c>
    </row>
    <row r="8" spans="2:16" x14ac:dyDescent="0.3">
      <c r="B8">
        <v>7</v>
      </c>
      <c r="C8" t="s">
        <v>419</v>
      </c>
      <c r="D8">
        <v>107.67</v>
      </c>
      <c r="E8">
        <v>79.22</v>
      </c>
      <c r="F8">
        <v>8530.1200000000008</v>
      </c>
      <c r="G8">
        <v>2003.65</v>
      </c>
      <c r="H8">
        <v>97.8</v>
      </c>
      <c r="I8">
        <f t="shared" si="0"/>
        <v>1905.8500000000001</v>
      </c>
      <c r="J8">
        <v>10435.969999999999</v>
      </c>
      <c r="K8">
        <v>1473.34</v>
      </c>
      <c r="L8">
        <v>297.55</v>
      </c>
    </row>
    <row r="10" spans="2:16" x14ac:dyDescent="0.3">
      <c r="B10" t="s">
        <v>311</v>
      </c>
      <c r="C10" t="s">
        <v>412</v>
      </c>
      <c r="D10" t="s">
        <v>312</v>
      </c>
      <c r="E10" t="s">
        <v>317</v>
      </c>
      <c r="F10" t="s">
        <v>430</v>
      </c>
      <c r="G10" t="s">
        <v>66</v>
      </c>
      <c r="H10" t="s">
        <v>431</v>
      </c>
    </row>
    <row r="11" spans="2:16" x14ac:dyDescent="0.3">
      <c r="B11">
        <v>1</v>
      </c>
      <c r="C11" t="s">
        <v>413</v>
      </c>
      <c r="D11">
        <v>718</v>
      </c>
      <c r="E11">
        <v>9987.33</v>
      </c>
      <c r="F11">
        <v>35.97</v>
      </c>
      <c r="G11">
        <f>E11*F11</f>
        <v>359244.26010000001</v>
      </c>
      <c r="H11">
        <v>1943.44</v>
      </c>
    </row>
    <row r="12" spans="2:16" x14ac:dyDescent="0.3">
      <c r="B12">
        <v>2</v>
      </c>
      <c r="C12" t="s">
        <v>414</v>
      </c>
      <c r="D12">
        <v>158.51</v>
      </c>
      <c r="E12">
        <v>4259.88</v>
      </c>
      <c r="F12">
        <v>39.65</v>
      </c>
      <c r="G12">
        <f t="shared" ref="G12:G17" si="1">E12*F12</f>
        <v>168904.242</v>
      </c>
      <c r="H12">
        <v>921.57</v>
      </c>
    </row>
    <row r="13" spans="2:16" x14ac:dyDescent="0.3">
      <c r="B13">
        <v>3</v>
      </c>
      <c r="C13" t="s">
        <v>415</v>
      </c>
      <c r="D13">
        <v>568.95000000000005</v>
      </c>
      <c r="E13">
        <v>1604.46</v>
      </c>
      <c r="F13">
        <v>51.04</v>
      </c>
      <c r="G13">
        <f t="shared" si="1"/>
        <v>81891.638399999996</v>
      </c>
      <c r="H13">
        <v>448.62</v>
      </c>
    </row>
    <row r="14" spans="2:16" x14ac:dyDescent="0.3">
      <c r="B14">
        <v>4</v>
      </c>
      <c r="C14" t="s">
        <v>416</v>
      </c>
      <c r="D14">
        <v>297.85000000000002</v>
      </c>
      <c r="E14">
        <v>3023.01</v>
      </c>
      <c r="F14">
        <v>41.5</v>
      </c>
      <c r="G14">
        <f t="shared" si="1"/>
        <v>125454.91500000001</v>
      </c>
      <c r="H14">
        <v>726.07</v>
      </c>
    </row>
    <row r="15" spans="2:16" x14ac:dyDescent="0.3">
      <c r="B15">
        <v>5</v>
      </c>
      <c r="C15" t="s">
        <v>417</v>
      </c>
      <c r="D15">
        <v>830.25</v>
      </c>
      <c r="E15">
        <v>2387.48</v>
      </c>
      <c r="F15">
        <v>46.16</v>
      </c>
      <c r="G15">
        <f t="shared" si="1"/>
        <v>110206.0768</v>
      </c>
      <c r="H15">
        <v>535.27</v>
      </c>
    </row>
    <row r="16" spans="2:16" x14ac:dyDescent="0.3">
      <c r="B16">
        <v>6</v>
      </c>
      <c r="C16" t="s">
        <v>418</v>
      </c>
      <c r="D16">
        <v>552.20000000000005</v>
      </c>
      <c r="E16">
        <v>2496.42</v>
      </c>
      <c r="F16">
        <v>55.45</v>
      </c>
      <c r="G16">
        <f t="shared" si="1"/>
        <v>138426.489</v>
      </c>
      <c r="H16">
        <v>484.72</v>
      </c>
    </row>
    <row r="17" spans="2:8" x14ac:dyDescent="0.3">
      <c r="B17">
        <v>7</v>
      </c>
      <c r="C17" t="s">
        <v>419</v>
      </c>
      <c r="D17">
        <v>107.67</v>
      </c>
      <c r="E17">
        <v>1473.34</v>
      </c>
      <c r="F17">
        <v>48.07</v>
      </c>
      <c r="G17">
        <f t="shared" si="1"/>
        <v>70823.453800000003</v>
      </c>
      <c r="H17">
        <v>255.91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C5771-2952-4DD7-A023-35C3427EBE06}">
  <dimension ref="A1:U993"/>
  <sheetViews>
    <sheetView topLeftCell="A44" zoomScale="76" zoomScaleNormal="85" workbookViewId="0">
      <selection activeCell="M80" sqref="M80"/>
    </sheetView>
  </sheetViews>
  <sheetFormatPr defaultRowHeight="14.4" x14ac:dyDescent="0.3"/>
  <cols>
    <col min="1" max="1" width="11.88671875" bestFit="1" customWidth="1"/>
    <col min="2" max="2" width="8" bestFit="1" customWidth="1"/>
    <col min="5" max="5" width="35.77734375" bestFit="1" customWidth="1"/>
    <col min="16" max="16" width="77.77734375" customWidth="1"/>
    <col min="17" max="17" width="15.5546875" bestFit="1" customWidth="1"/>
    <col min="20" max="20" width="17.44140625" bestFit="1" customWidth="1"/>
  </cols>
  <sheetData>
    <row r="1" spans="1:21" x14ac:dyDescent="0.3">
      <c r="A1" t="s">
        <v>183</v>
      </c>
      <c r="B1" t="s">
        <v>292</v>
      </c>
    </row>
    <row r="2" spans="1:21" x14ac:dyDescent="0.3">
      <c r="A2" s="81">
        <v>46301</v>
      </c>
      <c r="B2" s="147">
        <v>736</v>
      </c>
      <c r="P2" t="s">
        <v>508</v>
      </c>
      <c r="Q2" t="s">
        <v>509</v>
      </c>
      <c r="R2" t="s">
        <v>510</v>
      </c>
    </row>
    <row r="3" spans="1:21" x14ac:dyDescent="0.3">
      <c r="A3" s="81">
        <v>46300</v>
      </c>
      <c r="B3" s="147">
        <v>725</v>
      </c>
      <c r="P3" t="s">
        <v>396</v>
      </c>
      <c r="Q3" s="14">
        <v>507655313</v>
      </c>
      <c r="R3" s="30">
        <v>0.35659999999999997</v>
      </c>
      <c r="T3" t="s">
        <v>396</v>
      </c>
      <c r="U3" s="30">
        <v>0.38119999999999998</v>
      </c>
    </row>
    <row r="4" spans="1:21" x14ac:dyDescent="0.3">
      <c r="A4" s="81">
        <v>46296</v>
      </c>
      <c r="B4" s="147">
        <v>718</v>
      </c>
      <c r="P4" t="s">
        <v>511</v>
      </c>
      <c r="Q4" s="14">
        <v>34902429</v>
      </c>
      <c r="R4" s="30">
        <v>2.4500000000000001E-2</v>
      </c>
      <c r="T4" t="s">
        <v>398</v>
      </c>
      <c r="U4" s="30">
        <v>0.2447</v>
      </c>
    </row>
    <row r="5" spans="1:21" x14ac:dyDescent="0.3">
      <c r="A5" s="81">
        <v>46295</v>
      </c>
      <c r="B5" s="147">
        <v>728.65</v>
      </c>
      <c r="P5" t="s">
        <v>512</v>
      </c>
      <c r="Q5" s="14">
        <v>184481396</v>
      </c>
      <c r="R5" s="30">
        <v>0.12959999999999999</v>
      </c>
      <c r="T5" t="s">
        <v>397</v>
      </c>
      <c r="U5" s="30">
        <v>0.21709999999999999</v>
      </c>
    </row>
    <row r="6" spans="1:21" x14ac:dyDescent="0.3">
      <c r="A6" s="81">
        <v>46294</v>
      </c>
      <c r="B6" s="147">
        <v>714.35</v>
      </c>
      <c r="P6" t="s">
        <v>513</v>
      </c>
      <c r="Q6" s="14">
        <v>65963120</v>
      </c>
      <c r="R6" s="30">
        <v>4.6399999999999997E-2</v>
      </c>
      <c r="T6" t="s">
        <v>550</v>
      </c>
      <c r="U6" s="30">
        <v>0.15720000000000001</v>
      </c>
    </row>
    <row r="7" spans="1:21" x14ac:dyDescent="0.3">
      <c r="A7" s="81">
        <v>46293</v>
      </c>
      <c r="B7" s="147">
        <v>711</v>
      </c>
      <c r="P7" t="s">
        <v>514</v>
      </c>
      <c r="Q7" s="14">
        <v>70490071</v>
      </c>
      <c r="R7" s="30">
        <v>4.9500000000000002E-2</v>
      </c>
    </row>
    <row r="8" spans="1:21" x14ac:dyDescent="0.3">
      <c r="A8" s="81">
        <v>46290</v>
      </c>
      <c r="B8" s="147">
        <v>726.8</v>
      </c>
      <c r="P8" t="s">
        <v>515</v>
      </c>
      <c r="Q8" s="14">
        <v>330844614</v>
      </c>
      <c r="R8" s="30">
        <v>0.2324</v>
      </c>
    </row>
    <row r="9" spans="1:21" x14ac:dyDescent="0.3">
      <c r="A9" s="81">
        <v>46289</v>
      </c>
      <c r="B9" s="147">
        <v>728.8</v>
      </c>
      <c r="P9" t="s">
        <v>516</v>
      </c>
      <c r="Q9" s="14">
        <v>12335274</v>
      </c>
      <c r="R9" s="30">
        <v>8.6999999999999994E-3</v>
      </c>
    </row>
    <row r="10" spans="1:21" x14ac:dyDescent="0.3">
      <c r="A10" s="81">
        <v>46288</v>
      </c>
      <c r="B10" s="147">
        <v>743.7</v>
      </c>
      <c r="P10" t="s">
        <v>517</v>
      </c>
      <c r="Q10" s="14">
        <v>14928531</v>
      </c>
      <c r="R10" s="30">
        <v>1.0500000000000001E-2</v>
      </c>
    </row>
    <row r="11" spans="1:21" x14ac:dyDescent="0.3">
      <c r="A11" s="81">
        <v>46287</v>
      </c>
      <c r="B11" s="147">
        <v>736.25</v>
      </c>
      <c r="P11" t="s">
        <v>518</v>
      </c>
      <c r="Q11" s="14">
        <v>196721749</v>
      </c>
      <c r="R11" s="30">
        <v>0.13819999999999999</v>
      </c>
    </row>
    <row r="12" spans="1:21" x14ac:dyDescent="0.3">
      <c r="A12" s="81">
        <v>46286</v>
      </c>
      <c r="B12" s="147">
        <v>745</v>
      </c>
      <c r="P12" t="s">
        <v>519</v>
      </c>
      <c r="Q12" s="14">
        <v>1859488</v>
      </c>
      <c r="R12" s="30">
        <v>1.2999999999999999E-3</v>
      </c>
    </row>
    <row r="13" spans="1:21" x14ac:dyDescent="0.3">
      <c r="A13" s="81">
        <v>46283</v>
      </c>
      <c r="B13" s="147">
        <v>732.75</v>
      </c>
      <c r="P13" t="s">
        <v>520</v>
      </c>
      <c r="Q13" s="14">
        <v>3250242</v>
      </c>
      <c r="R13" s="30">
        <v>2.3E-3</v>
      </c>
    </row>
    <row r="14" spans="1:21" x14ac:dyDescent="0.3">
      <c r="A14" s="81">
        <v>46282</v>
      </c>
      <c r="B14" s="147">
        <v>726.65</v>
      </c>
    </row>
    <row r="15" spans="1:21" x14ac:dyDescent="0.3">
      <c r="A15" s="81">
        <v>46281</v>
      </c>
      <c r="B15" s="147">
        <v>713.4</v>
      </c>
    </row>
    <row r="16" spans="1:21" x14ac:dyDescent="0.3">
      <c r="A16" s="81">
        <v>46280</v>
      </c>
      <c r="B16" s="147">
        <v>715</v>
      </c>
    </row>
    <row r="17" spans="1:18" x14ac:dyDescent="0.3">
      <c r="A17" s="81">
        <v>46276</v>
      </c>
      <c r="B17" s="147">
        <v>718.5</v>
      </c>
      <c r="P17" t="s">
        <v>522</v>
      </c>
      <c r="Q17" t="s">
        <v>523</v>
      </c>
      <c r="R17" t="s">
        <v>524</v>
      </c>
    </row>
    <row r="18" spans="1:18" x14ac:dyDescent="0.3">
      <c r="A18" s="81">
        <v>46275</v>
      </c>
      <c r="B18" s="147">
        <v>715.75</v>
      </c>
      <c r="P18" t="s">
        <v>525</v>
      </c>
    </row>
    <row r="19" spans="1:18" x14ac:dyDescent="0.3">
      <c r="A19" s="81">
        <v>46274</v>
      </c>
      <c r="B19" s="147">
        <v>722.75</v>
      </c>
      <c r="P19" t="s">
        <v>526</v>
      </c>
      <c r="Q19" t="s">
        <v>59</v>
      </c>
      <c r="R19" t="s">
        <v>59</v>
      </c>
    </row>
    <row r="20" spans="1:18" x14ac:dyDescent="0.3">
      <c r="A20" s="81">
        <v>46273</v>
      </c>
      <c r="B20" s="147">
        <v>720</v>
      </c>
      <c r="P20" t="s">
        <v>527</v>
      </c>
      <c r="Q20" s="31">
        <v>0.12</v>
      </c>
      <c r="R20">
        <v>18.7</v>
      </c>
    </row>
    <row r="21" spans="1:18" x14ac:dyDescent="0.3">
      <c r="A21" s="81">
        <v>46272</v>
      </c>
      <c r="B21" s="147">
        <v>716.2</v>
      </c>
      <c r="P21" t="s">
        <v>528</v>
      </c>
      <c r="Q21" s="31">
        <v>0.12</v>
      </c>
      <c r="R21">
        <v>17.8</v>
      </c>
    </row>
    <row r="22" spans="1:18" x14ac:dyDescent="0.3">
      <c r="A22" s="81">
        <v>46269</v>
      </c>
      <c r="B22" s="147">
        <v>720</v>
      </c>
      <c r="P22" t="s">
        <v>529</v>
      </c>
      <c r="Q22" s="31">
        <v>0.13</v>
      </c>
      <c r="R22">
        <v>17.8</v>
      </c>
    </row>
    <row r="23" spans="1:18" x14ac:dyDescent="0.3">
      <c r="A23" s="81">
        <v>46268</v>
      </c>
      <c r="B23" s="147">
        <v>732</v>
      </c>
      <c r="P23" t="s">
        <v>530</v>
      </c>
      <c r="Q23" s="31">
        <v>0.13</v>
      </c>
      <c r="R23">
        <v>17.600000000000001</v>
      </c>
    </row>
    <row r="24" spans="1:18" x14ac:dyDescent="0.3">
      <c r="A24" s="81">
        <v>46267</v>
      </c>
      <c r="B24" s="147">
        <v>727.7</v>
      </c>
      <c r="P24" t="s">
        <v>531</v>
      </c>
    </row>
    <row r="25" spans="1:18" x14ac:dyDescent="0.3">
      <c r="A25" s="81">
        <v>46266</v>
      </c>
      <c r="B25" s="147">
        <v>718</v>
      </c>
      <c r="P25" t="s">
        <v>532</v>
      </c>
      <c r="Q25" s="31">
        <v>0.09</v>
      </c>
      <c r="R25">
        <v>521.70000000000005</v>
      </c>
    </row>
    <row r="26" spans="1:18" x14ac:dyDescent="0.3">
      <c r="A26" s="81">
        <v>46265</v>
      </c>
      <c r="B26" s="147">
        <v>737.9</v>
      </c>
      <c r="P26" t="s">
        <v>533</v>
      </c>
    </row>
    <row r="27" spans="1:18" x14ac:dyDescent="0.3">
      <c r="A27" s="81">
        <v>46262</v>
      </c>
      <c r="B27" s="147">
        <v>706.4</v>
      </c>
      <c r="P27" t="s">
        <v>534</v>
      </c>
      <c r="Q27" t="s">
        <v>535</v>
      </c>
      <c r="R27" t="s">
        <v>535</v>
      </c>
    </row>
    <row r="28" spans="1:18" x14ac:dyDescent="0.3">
      <c r="A28" s="81">
        <v>46261</v>
      </c>
      <c r="B28" s="147">
        <v>718.5</v>
      </c>
      <c r="P28" t="s">
        <v>536</v>
      </c>
      <c r="Q28" t="s">
        <v>535</v>
      </c>
      <c r="R28" t="s">
        <v>535</v>
      </c>
    </row>
    <row r="29" spans="1:18" x14ac:dyDescent="0.3">
      <c r="A29" s="81">
        <v>46260</v>
      </c>
      <c r="B29" s="147">
        <v>721</v>
      </c>
      <c r="P29" t="s">
        <v>537</v>
      </c>
      <c r="Q29" t="s">
        <v>535</v>
      </c>
      <c r="R29" t="s">
        <v>535</v>
      </c>
    </row>
    <row r="30" spans="1:18" x14ac:dyDescent="0.3">
      <c r="A30" s="81">
        <v>46259</v>
      </c>
      <c r="B30" s="147">
        <v>730</v>
      </c>
    </row>
    <row r="31" spans="1:18" x14ac:dyDescent="0.3">
      <c r="A31" s="81">
        <v>46258</v>
      </c>
      <c r="B31" s="147">
        <v>728.9</v>
      </c>
      <c r="P31" t="s">
        <v>538</v>
      </c>
    </row>
    <row r="32" spans="1:18" x14ac:dyDescent="0.3">
      <c r="A32" s="81">
        <v>46255</v>
      </c>
      <c r="B32" s="147">
        <v>730</v>
      </c>
      <c r="P32" t="s">
        <v>539</v>
      </c>
    </row>
    <row r="33" spans="1:16" x14ac:dyDescent="0.3">
      <c r="A33" s="81">
        <v>46254</v>
      </c>
      <c r="B33" s="147">
        <v>735.85</v>
      </c>
      <c r="P33" t="s">
        <v>540</v>
      </c>
    </row>
    <row r="34" spans="1:16" x14ac:dyDescent="0.3">
      <c r="A34" s="81">
        <v>46253</v>
      </c>
      <c r="B34" s="147">
        <v>723.35</v>
      </c>
      <c r="P34" t="s">
        <v>541</v>
      </c>
    </row>
    <row r="35" spans="1:16" x14ac:dyDescent="0.3">
      <c r="A35" s="81">
        <v>46252</v>
      </c>
      <c r="B35" s="147">
        <v>719</v>
      </c>
      <c r="P35" t="s">
        <v>542</v>
      </c>
    </row>
    <row r="36" spans="1:16" x14ac:dyDescent="0.3">
      <c r="A36" s="81">
        <v>46251</v>
      </c>
      <c r="B36" s="147">
        <v>720</v>
      </c>
    </row>
    <row r="37" spans="1:16" x14ac:dyDescent="0.3">
      <c r="A37" s="81">
        <v>46248</v>
      </c>
      <c r="B37" s="147">
        <v>720</v>
      </c>
    </row>
    <row r="38" spans="1:16" x14ac:dyDescent="0.3">
      <c r="A38" s="81">
        <v>46247</v>
      </c>
      <c r="B38" s="147">
        <v>721.75</v>
      </c>
      <c r="O38" s="146"/>
      <c r="P38" s="168"/>
    </row>
    <row r="39" spans="1:16" x14ac:dyDescent="0.3">
      <c r="A39" s="81">
        <v>46246</v>
      </c>
      <c r="B39" s="147">
        <v>724</v>
      </c>
      <c r="O39" s="146"/>
      <c r="P39" s="168"/>
    </row>
    <row r="40" spans="1:16" x14ac:dyDescent="0.3">
      <c r="A40" s="81">
        <v>46245</v>
      </c>
      <c r="B40" s="147">
        <v>724</v>
      </c>
      <c r="O40" s="146"/>
      <c r="P40" s="168"/>
    </row>
    <row r="41" spans="1:16" x14ac:dyDescent="0.3">
      <c r="A41" s="81">
        <v>46244</v>
      </c>
      <c r="B41" s="147">
        <v>728.7</v>
      </c>
      <c r="O41" s="146"/>
      <c r="P41" s="168"/>
    </row>
    <row r="42" spans="1:16" x14ac:dyDescent="0.3">
      <c r="A42" s="81">
        <v>46241</v>
      </c>
      <c r="B42" s="147">
        <v>731</v>
      </c>
      <c r="O42" s="146"/>
      <c r="P42" s="168"/>
    </row>
    <row r="43" spans="1:16" x14ac:dyDescent="0.3">
      <c r="A43" s="81">
        <v>46240</v>
      </c>
      <c r="B43" s="147">
        <v>736</v>
      </c>
      <c r="P43" s="50"/>
    </row>
    <row r="44" spans="1:16" x14ac:dyDescent="0.3">
      <c r="A44" s="81">
        <v>46239</v>
      </c>
      <c r="B44" s="147">
        <v>741.05</v>
      </c>
    </row>
    <row r="45" spans="1:16" x14ac:dyDescent="0.3">
      <c r="A45" s="81">
        <v>46238</v>
      </c>
      <c r="B45" s="147">
        <v>750</v>
      </c>
    </row>
    <row r="46" spans="1:16" x14ac:dyDescent="0.3">
      <c r="A46" s="81">
        <v>46237</v>
      </c>
      <c r="B46" s="147">
        <v>752</v>
      </c>
    </row>
    <row r="47" spans="1:16" x14ac:dyDescent="0.3">
      <c r="A47" s="81">
        <v>46234</v>
      </c>
      <c r="B47" s="147">
        <v>738.55</v>
      </c>
    </row>
    <row r="48" spans="1:16" x14ac:dyDescent="0.3">
      <c r="A48" s="81">
        <v>46233</v>
      </c>
      <c r="B48" s="147">
        <v>749.25</v>
      </c>
    </row>
    <row r="49" spans="1:13" x14ac:dyDescent="0.3">
      <c r="A49" s="81">
        <v>46232</v>
      </c>
      <c r="B49" s="147">
        <v>738.2</v>
      </c>
    </row>
    <row r="50" spans="1:13" x14ac:dyDescent="0.3">
      <c r="A50" s="81">
        <v>46231</v>
      </c>
      <c r="B50" s="147">
        <v>734.7</v>
      </c>
    </row>
    <row r="51" spans="1:13" x14ac:dyDescent="0.3">
      <c r="A51" s="81">
        <v>46230</v>
      </c>
      <c r="B51" s="147">
        <v>733.75</v>
      </c>
      <c r="E51" t="s">
        <v>251</v>
      </c>
      <c r="F51" s="146">
        <v>43525</v>
      </c>
      <c r="G51" s="146">
        <v>43891</v>
      </c>
      <c r="H51" s="146">
        <v>44256</v>
      </c>
      <c r="I51" s="146">
        <v>44621</v>
      </c>
      <c r="J51" s="146">
        <v>44986</v>
      </c>
      <c r="K51" s="146">
        <v>45352</v>
      </c>
      <c r="L51" s="146">
        <v>45717</v>
      </c>
      <c r="M51" s="146">
        <v>46082</v>
      </c>
    </row>
    <row r="52" spans="1:13" x14ac:dyDescent="0.3">
      <c r="A52" s="81">
        <v>46227</v>
      </c>
      <c r="B52" s="147">
        <v>727.45</v>
      </c>
      <c r="E52" t="s">
        <v>499</v>
      </c>
      <c r="F52" s="147">
        <v>1155.01</v>
      </c>
      <c r="G52" s="147">
        <v>1135.51</v>
      </c>
      <c r="H52">
        <v>471.55</v>
      </c>
      <c r="I52">
        <v>848.19</v>
      </c>
      <c r="J52" s="147">
        <v>1594.04</v>
      </c>
      <c r="K52" s="147">
        <v>1952.72</v>
      </c>
      <c r="L52" s="147">
        <v>2238.42</v>
      </c>
      <c r="M52" s="147">
        <v>2374.64</v>
      </c>
    </row>
    <row r="53" spans="1:13" x14ac:dyDescent="0.3">
      <c r="A53" s="81">
        <v>46226</v>
      </c>
      <c r="B53" s="147">
        <v>724.05</v>
      </c>
      <c r="E53" t="s">
        <v>500</v>
      </c>
      <c r="F53" s="147">
        <v>1136.6500000000001</v>
      </c>
      <c r="G53" s="147">
        <v>1091.72</v>
      </c>
      <c r="H53">
        <v>401.8</v>
      </c>
      <c r="I53">
        <v>714.47</v>
      </c>
      <c r="J53" s="147">
        <v>1381.47</v>
      </c>
      <c r="K53" s="147">
        <v>1562.9</v>
      </c>
      <c r="L53" s="147">
        <v>1650.32</v>
      </c>
      <c r="M53" s="147">
        <v>1803.48</v>
      </c>
    </row>
    <row r="54" spans="1:13" x14ac:dyDescent="0.3">
      <c r="A54" s="81">
        <v>46225</v>
      </c>
      <c r="B54" s="147">
        <v>724.85</v>
      </c>
      <c r="E54" t="s">
        <v>501</v>
      </c>
      <c r="F54">
        <v>488.75</v>
      </c>
      <c r="G54">
        <v>516.24</v>
      </c>
      <c r="H54">
        <v>169.32</v>
      </c>
      <c r="I54">
        <v>242.03</v>
      </c>
      <c r="J54">
        <v>338.08</v>
      </c>
      <c r="K54">
        <v>426.7</v>
      </c>
      <c r="L54">
        <v>483.94</v>
      </c>
      <c r="M54">
        <v>557.22</v>
      </c>
    </row>
    <row r="55" spans="1:13" x14ac:dyDescent="0.3">
      <c r="A55" s="81">
        <v>46224</v>
      </c>
      <c r="B55" s="147">
        <v>731.6</v>
      </c>
      <c r="E55" t="s">
        <v>502</v>
      </c>
      <c r="F55" t="s">
        <v>59</v>
      </c>
      <c r="G55" t="s">
        <v>59</v>
      </c>
      <c r="H55">
        <v>90.48</v>
      </c>
      <c r="I55">
        <v>198.65</v>
      </c>
      <c r="J55">
        <v>390.65</v>
      </c>
      <c r="K55">
        <v>463.28</v>
      </c>
      <c r="L55">
        <v>543.86</v>
      </c>
      <c r="M55">
        <v>644.21</v>
      </c>
    </row>
    <row r="56" spans="1:13" x14ac:dyDescent="0.3">
      <c r="A56" s="81">
        <v>46223</v>
      </c>
      <c r="B56" s="147">
        <v>725.05</v>
      </c>
      <c r="E56" t="s">
        <v>503</v>
      </c>
      <c r="F56">
        <v>90.5</v>
      </c>
      <c r="G56">
        <v>134.41</v>
      </c>
      <c r="H56">
        <v>110.52</v>
      </c>
      <c r="I56">
        <v>149.08000000000001</v>
      </c>
      <c r="J56">
        <v>107.08</v>
      </c>
      <c r="K56">
        <v>184.51</v>
      </c>
      <c r="L56">
        <v>228.55</v>
      </c>
      <c r="M56">
        <v>260.61</v>
      </c>
    </row>
    <row r="57" spans="1:13" x14ac:dyDescent="0.3">
      <c r="A57" s="81">
        <v>46220</v>
      </c>
      <c r="B57" s="147">
        <v>727.9</v>
      </c>
      <c r="E57" t="s">
        <v>504</v>
      </c>
      <c r="F57" s="147">
        <v>2870.91</v>
      </c>
      <c r="G57" s="147">
        <v>2877.88</v>
      </c>
      <c r="H57" s="147">
        <v>1243.67</v>
      </c>
      <c r="I57" s="147">
        <v>2152.42</v>
      </c>
      <c r="J57" s="147">
        <v>3811.32</v>
      </c>
      <c r="K57" s="147">
        <v>4590.1099999999997</v>
      </c>
      <c r="L57" s="147">
        <v>5145.09</v>
      </c>
      <c r="M57" s="147">
        <v>5640.16</v>
      </c>
    </row>
    <row r="58" spans="1:13" x14ac:dyDescent="0.3">
      <c r="A58" s="81">
        <v>46219</v>
      </c>
      <c r="B58" s="147">
        <v>731.45</v>
      </c>
    </row>
    <row r="59" spans="1:13" x14ac:dyDescent="0.3">
      <c r="A59" s="81">
        <v>46218</v>
      </c>
      <c r="B59" s="147">
        <v>743.2</v>
      </c>
      <c r="E59" t="s">
        <v>506</v>
      </c>
      <c r="F59" s="14">
        <v>11003</v>
      </c>
      <c r="G59" s="14">
        <v>10734</v>
      </c>
      <c r="H59" s="14">
        <v>7351</v>
      </c>
      <c r="I59" s="14">
        <v>9717</v>
      </c>
      <c r="J59" s="14">
        <v>13736</v>
      </c>
      <c r="K59" s="14">
        <v>15414</v>
      </c>
      <c r="L59" s="14">
        <v>17315</v>
      </c>
      <c r="M59" s="14">
        <v>18507</v>
      </c>
    </row>
    <row r="60" spans="1:13" x14ac:dyDescent="0.3">
      <c r="A60" s="81">
        <v>46217</v>
      </c>
      <c r="B60" s="147">
        <v>733.3</v>
      </c>
      <c r="E60" t="s">
        <v>507</v>
      </c>
      <c r="F60" t="s">
        <v>59</v>
      </c>
      <c r="G60" t="s">
        <v>59</v>
      </c>
      <c r="H60" t="s">
        <v>59</v>
      </c>
      <c r="I60" t="s">
        <v>59</v>
      </c>
      <c r="J60" s="14">
        <v>9851</v>
      </c>
      <c r="K60" s="14">
        <v>11821</v>
      </c>
      <c r="L60" s="14">
        <v>13368</v>
      </c>
      <c r="M60" s="14">
        <v>14390</v>
      </c>
    </row>
    <row r="61" spans="1:13" x14ac:dyDescent="0.3">
      <c r="A61" s="81">
        <v>46216</v>
      </c>
      <c r="B61" s="147">
        <v>738.55</v>
      </c>
      <c r="E61" t="s">
        <v>505</v>
      </c>
      <c r="F61" s="31">
        <v>0.68</v>
      </c>
      <c r="G61" s="31">
        <v>0.67</v>
      </c>
      <c r="H61" s="31">
        <v>0.39</v>
      </c>
      <c r="I61" s="31">
        <v>0.53</v>
      </c>
      <c r="J61" s="31">
        <v>0.72</v>
      </c>
      <c r="K61" s="31">
        <v>0.77</v>
      </c>
      <c r="L61" s="31">
        <v>0.77</v>
      </c>
      <c r="M61" s="31">
        <v>0.78</v>
      </c>
    </row>
    <row r="62" spans="1:13" x14ac:dyDescent="0.3">
      <c r="A62" s="81">
        <v>46213</v>
      </c>
      <c r="B62" s="147">
        <v>752.3</v>
      </c>
    </row>
    <row r="63" spans="1:13" x14ac:dyDescent="0.3">
      <c r="A63" s="81">
        <v>46212</v>
      </c>
      <c r="B63" s="147">
        <v>731.45</v>
      </c>
    </row>
    <row r="64" spans="1:13" x14ac:dyDescent="0.3">
      <c r="A64" s="81">
        <v>46211</v>
      </c>
      <c r="B64" s="147">
        <v>722.9</v>
      </c>
    </row>
    <row r="65" spans="1:2" x14ac:dyDescent="0.3">
      <c r="A65" s="81">
        <v>46210</v>
      </c>
      <c r="B65" s="147">
        <v>745.95</v>
      </c>
    </row>
    <row r="66" spans="1:2" x14ac:dyDescent="0.3">
      <c r="A66" s="81">
        <v>46209</v>
      </c>
      <c r="B66" s="147">
        <v>738.15</v>
      </c>
    </row>
    <row r="67" spans="1:2" x14ac:dyDescent="0.3">
      <c r="A67" s="81">
        <v>46206</v>
      </c>
      <c r="B67" s="147">
        <v>728.6</v>
      </c>
    </row>
    <row r="68" spans="1:2" x14ac:dyDescent="0.3">
      <c r="A68" s="81">
        <v>46205</v>
      </c>
      <c r="B68" s="147">
        <v>720.7</v>
      </c>
    </row>
    <row r="69" spans="1:2" x14ac:dyDescent="0.3">
      <c r="A69" s="81">
        <v>46204</v>
      </c>
      <c r="B69" s="147">
        <v>718.75</v>
      </c>
    </row>
    <row r="70" spans="1:2" x14ac:dyDescent="0.3">
      <c r="A70" s="81">
        <v>46203</v>
      </c>
      <c r="B70" s="147">
        <v>713.95</v>
      </c>
    </row>
    <row r="71" spans="1:2" x14ac:dyDescent="0.3">
      <c r="A71" s="81">
        <v>46202</v>
      </c>
      <c r="B71" s="147">
        <v>707.05</v>
      </c>
    </row>
    <row r="72" spans="1:2" x14ac:dyDescent="0.3">
      <c r="A72" s="81">
        <v>46198</v>
      </c>
      <c r="B72" s="147">
        <v>720.65</v>
      </c>
    </row>
    <row r="73" spans="1:2" x14ac:dyDescent="0.3">
      <c r="A73" s="81">
        <v>46197</v>
      </c>
      <c r="B73" s="147">
        <v>725.5</v>
      </c>
    </row>
    <row r="74" spans="1:2" x14ac:dyDescent="0.3">
      <c r="A74" s="81">
        <v>46196</v>
      </c>
      <c r="B74" s="147">
        <v>724.05</v>
      </c>
    </row>
    <row r="75" spans="1:2" x14ac:dyDescent="0.3">
      <c r="A75" s="81">
        <v>46195</v>
      </c>
      <c r="B75" s="147">
        <v>733</v>
      </c>
    </row>
    <row r="76" spans="1:2" x14ac:dyDescent="0.3">
      <c r="A76" s="81">
        <v>46192</v>
      </c>
      <c r="B76" s="147">
        <v>724.75</v>
      </c>
    </row>
    <row r="77" spans="1:2" x14ac:dyDescent="0.3">
      <c r="A77" s="81">
        <v>46191</v>
      </c>
      <c r="B77" s="147">
        <v>710.45</v>
      </c>
    </row>
    <row r="78" spans="1:2" x14ac:dyDescent="0.3">
      <c r="A78" s="81">
        <v>46190</v>
      </c>
      <c r="B78" s="147">
        <v>699.1</v>
      </c>
    </row>
    <row r="79" spans="1:2" x14ac:dyDescent="0.3">
      <c r="A79" s="81">
        <v>46189</v>
      </c>
      <c r="B79" s="147">
        <v>694.4</v>
      </c>
    </row>
    <row r="80" spans="1:2" x14ac:dyDescent="0.3">
      <c r="A80" s="81">
        <v>46188</v>
      </c>
      <c r="B80" s="147">
        <v>689.85</v>
      </c>
    </row>
    <row r="81" spans="1:2" x14ac:dyDescent="0.3">
      <c r="A81" s="81">
        <v>46185</v>
      </c>
      <c r="B81" s="147">
        <v>679.45</v>
      </c>
    </row>
    <row r="82" spans="1:2" x14ac:dyDescent="0.3">
      <c r="A82" s="81">
        <v>46184</v>
      </c>
      <c r="B82" s="147">
        <v>655.7</v>
      </c>
    </row>
    <row r="83" spans="1:2" x14ac:dyDescent="0.3">
      <c r="A83" s="81">
        <v>46183</v>
      </c>
      <c r="B83" s="147">
        <v>665.85</v>
      </c>
    </row>
    <row r="84" spans="1:2" x14ac:dyDescent="0.3">
      <c r="A84" s="81">
        <v>46182</v>
      </c>
      <c r="B84" s="147">
        <v>666.7</v>
      </c>
    </row>
    <row r="85" spans="1:2" x14ac:dyDescent="0.3">
      <c r="A85" s="81">
        <v>46181</v>
      </c>
      <c r="B85" s="147">
        <v>652.25</v>
      </c>
    </row>
    <row r="86" spans="1:2" x14ac:dyDescent="0.3">
      <c r="A86" s="81">
        <v>46178</v>
      </c>
      <c r="B86" s="147">
        <v>657.6</v>
      </c>
    </row>
    <row r="87" spans="1:2" x14ac:dyDescent="0.3">
      <c r="A87" s="81">
        <v>46177</v>
      </c>
      <c r="B87" s="147">
        <v>661.55</v>
      </c>
    </row>
    <row r="88" spans="1:2" x14ac:dyDescent="0.3">
      <c r="A88" s="81">
        <v>46176</v>
      </c>
      <c r="B88" s="147">
        <v>656.3</v>
      </c>
    </row>
    <row r="89" spans="1:2" x14ac:dyDescent="0.3">
      <c r="A89" s="81">
        <v>46175</v>
      </c>
      <c r="B89" s="147">
        <v>661.65</v>
      </c>
    </row>
    <row r="90" spans="1:2" x14ac:dyDescent="0.3">
      <c r="A90" s="81">
        <v>46174</v>
      </c>
      <c r="B90" s="147">
        <v>646.75</v>
      </c>
    </row>
    <row r="91" spans="1:2" x14ac:dyDescent="0.3">
      <c r="A91" s="81">
        <v>46171</v>
      </c>
      <c r="B91" s="147">
        <v>654.25</v>
      </c>
    </row>
    <row r="92" spans="1:2" x14ac:dyDescent="0.3">
      <c r="A92" s="81">
        <v>46169</v>
      </c>
      <c r="B92" s="147">
        <v>667.7</v>
      </c>
    </row>
    <row r="93" spans="1:2" x14ac:dyDescent="0.3">
      <c r="A93" s="81">
        <v>46168</v>
      </c>
      <c r="B93" s="147">
        <v>657.15</v>
      </c>
    </row>
    <row r="94" spans="1:2" x14ac:dyDescent="0.3">
      <c r="A94" s="81">
        <v>46167</v>
      </c>
      <c r="B94" s="147">
        <v>663.55</v>
      </c>
    </row>
    <row r="95" spans="1:2" x14ac:dyDescent="0.3">
      <c r="A95" s="81">
        <v>46164</v>
      </c>
      <c r="B95" s="147">
        <v>650.25</v>
      </c>
    </row>
    <row r="96" spans="1:2" x14ac:dyDescent="0.3">
      <c r="A96" s="81">
        <v>46163</v>
      </c>
      <c r="B96" s="147">
        <v>657.4</v>
      </c>
    </row>
    <row r="97" spans="1:2" x14ac:dyDescent="0.3">
      <c r="A97" s="81">
        <v>46162</v>
      </c>
      <c r="B97" s="147">
        <v>659.6</v>
      </c>
    </row>
    <row r="98" spans="1:2" x14ac:dyDescent="0.3">
      <c r="A98" s="81">
        <v>46161</v>
      </c>
      <c r="B98" s="147">
        <v>652.75</v>
      </c>
    </row>
    <row r="99" spans="1:2" x14ac:dyDescent="0.3">
      <c r="A99" s="81">
        <v>46160</v>
      </c>
      <c r="B99" s="147">
        <v>648.54999999999995</v>
      </c>
    </row>
    <row r="100" spans="1:2" x14ac:dyDescent="0.3">
      <c r="A100" s="81">
        <v>46157</v>
      </c>
      <c r="B100" s="147">
        <v>656.25</v>
      </c>
    </row>
    <row r="101" spans="1:2" x14ac:dyDescent="0.3">
      <c r="A101" s="81">
        <v>46156</v>
      </c>
      <c r="B101" s="147">
        <v>650.20000000000005</v>
      </c>
    </row>
    <row r="102" spans="1:2" x14ac:dyDescent="0.3">
      <c r="A102" s="81">
        <v>46155</v>
      </c>
      <c r="B102" s="147">
        <v>637.4</v>
      </c>
    </row>
    <row r="103" spans="1:2" x14ac:dyDescent="0.3">
      <c r="A103" s="81">
        <v>46154</v>
      </c>
      <c r="B103" s="147">
        <v>634.4</v>
      </c>
    </row>
    <row r="104" spans="1:2" x14ac:dyDescent="0.3">
      <c r="A104" s="81">
        <v>46153</v>
      </c>
      <c r="B104" s="147">
        <v>661.3</v>
      </c>
    </row>
    <row r="105" spans="1:2" x14ac:dyDescent="0.3">
      <c r="A105" s="81">
        <v>46150</v>
      </c>
      <c r="B105" s="147">
        <v>673.05</v>
      </c>
    </row>
    <row r="106" spans="1:2" x14ac:dyDescent="0.3">
      <c r="A106" s="81">
        <v>46149</v>
      </c>
      <c r="B106" s="147">
        <v>669.1</v>
      </c>
    </row>
    <row r="107" spans="1:2" x14ac:dyDescent="0.3">
      <c r="A107" s="81">
        <v>46148</v>
      </c>
      <c r="B107" s="147">
        <v>666.15</v>
      </c>
    </row>
    <row r="108" spans="1:2" x14ac:dyDescent="0.3">
      <c r="A108" s="81">
        <v>46147</v>
      </c>
      <c r="B108" s="147">
        <v>647.79999999999995</v>
      </c>
    </row>
    <row r="109" spans="1:2" x14ac:dyDescent="0.3">
      <c r="A109" s="81">
        <v>46146</v>
      </c>
      <c r="B109" s="147">
        <v>643.70000000000005</v>
      </c>
    </row>
    <row r="110" spans="1:2" x14ac:dyDescent="0.3">
      <c r="A110" s="81">
        <v>46142</v>
      </c>
      <c r="B110" s="147">
        <v>635.85</v>
      </c>
    </row>
    <row r="111" spans="1:2" x14ac:dyDescent="0.3">
      <c r="A111" s="81">
        <v>46141</v>
      </c>
      <c r="B111" s="147">
        <v>644.65</v>
      </c>
    </row>
    <row r="112" spans="1:2" x14ac:dyDescent="0.3">
      <c r="A112" s="81">
        <v>46140</v>
      </c>
      <c r="B112" s="147">
        <v>652.45000000000005</v>
      </c>
    </row>
    <row r="113" spans="1:2" x14ac:dyDescent="0.3">
      <c r="A113" s="81">
        <v>46139</v>
      </c>
      <c r="B113" s="147">
        <v>647.85</v>
      </c>
    </row>
    <row r="114" spans="1:2" x14ac:dyDescent="0.3">
      <c r="A114" s="81">
        <v>46136</v>
      </c>
      <c r="B114" s="147">
        <v>635.35</v>
      </c>
    </row>
    <row r="115" spans="1:2" x14ac:dyDescent="0.3">
      <c r="A115" s="81">
        <v>46135</v>
      </c>
      <c r="B115" s="147">
        <v>639.45000000000005</v>
      </c>
    </row>
    <row r="116" spans="1:2" x14ac:dyDescent="0.3">
      <c r="A116" s="81">
        <v>46134</v>
      </c>
      <c r="B116" s="147">
        <v>659.7</v>
      </c>
    </row>
    <row r="117" spans="1:2" x14ac:dyDescent="0.3">
      <c r="A117" s="81">
        <v>46133</v>
      </c>
      <c r="B117" s="147">
        <v>666.15</v>
      </c>
    </row>
    <row r="118" spans="1:2" x14ac:dyDescent="0.3">
      <c r="A118" s="81">
        <v>46132</v>
      </c>
      <c r="B118" s="147">
        <v>659.5</v>
      </c>
    </row>
    <row r="119" spans="1:2" x14ac:dyDescent="0.3">
      <c r="A119" s="81">
        <v>46129</v>
      </c>
      <c r="B119" s="147">
        <v>659.3</v>
      </c>
    </row>
    <row r="120" spans="1:2" x14ac:dyDescent="0.3">
      <c r="A120" s="81">
        <v>46128</v>
      </c>
      <c r="B120" s="147">
        <v>652.75</v>
      </c>
    </row>
    <row r="121" spans="1:2" x14ac:dyDescent="0.3">
      <c r="A121" s="81">
        <v>46127</v>
      </c>
      <c r="B121" s="147">
        <v>646.4</v>
      </c>
    </row>
    <row r="122" spans="1:2" x14ac:dyDescent="0.3">
      <c r="A122" s="81">
        <v>46125</v>
      </c>
      <c r="B122" s="147">
        <v>634.95000000000005</v>
      </c>
    </row>
    <row r="123" spans="1:2" x14ac:dyDescent="0.3">
      <c r="A123" s="81">
        <v>46122</v>
      </c>
      <c r="B123" s="147">
        <v>641.5</v>
      </c>
    </row>
    <row r="124" spans="1:2" x14ac:dyDescent="0.3">
      <c r="A124" s="81">
        <v>46121</v>
      </c>
      <c r="B124" s="147">
        <v>629.1</v>
      </c>
    </row>
    <row r="125" spans="1:2" x14ac:dyDescent="0.3">
      <c r="A125" s="81">
        <v>46120</v>
      </c>
      <c r="B125" s="147">
        <v>636.35</v>
      </c>
    </row>
    <row r="126" spans="1:2" x14ac:dyDescent="0.3">
      <c r="A126" s="81">
        <v>46119</v>
      </c>
      <c r="B126" s="147">
        <v>600.4</v>
      </c>
    </row>
    <row r="127" spans="1:2" x14ac:dyDescent="0.3">
      <c r="A127" s="81">
        <v>46118</v>
      </c>
      <c r="B127" s="147">
        <v>595.4</v>
      </c>
    </row>
    <row r="128" spans="1:2" x14ac:dyDescent="0.3">
      <c r="A128" s="81">
        <v>46114</v>
      </c>
      <c r="B128" s="147">
        <v>582.75</v>
      </c>
    </row>
    <row r="129" spans="1:2" x14ac:dyDescent="0.3">
      <c r="A129" s="81">
        <v>46113</v>
      </c>
      <c r="B129" s="147">
        <v>585.20000000000005</v>
      </c>
    </row>
    <row r="130" spans="1:2" x14ac:dyDescent="0.3">
      <c r="A130" s="81">
        <v>46111</v>
      </c>
      <c r="B130" s="147">
        <v>570.95000000000005</v>
      </c>
    </row>
    <row r="131" spans="1:2" x14ac:dyDescent="0.3">
      <c r="A131" s="81">
        <v>46108</v>
      </c>
      <c r="B131" s="147">
        <v>590.9</v>
      </c>
    </row>
    <row r="132" spans="1:2" x14ac:dyDescent="0.3">
      <c r="A132" s="81">
        <v>46106</v>
      </c>
      <c r="B132" s="147">
        <v>617.29999999999995</v>
      </c>
    </row>
    <row r="133" spans="1:2" x14ac:dyDescent="0.3">
      <c r="A133" s="81">
        <v>46105</v>
      </c>
      <c r="B133" s="147">
        <v>604.04999999999995</v>
      </c>
    </row>
    <row r="134" spans="1:2" x14ac:dyDescent="0.3">
      <c r="A134" s="81">
        <v>46104</v>
      </c>
      <c r="B134" s="147">
        <v>582.45000000000005</v>
      </c>
    </row>
    <row r="135" spans="1:2" x14ac:dyDescent="0.3">
      <c r="A135" s="81">
        <v>46101</v>
      </c>
      <c r="B135" s="147">
        <v>615.54999999999995</v>
      </c>
    </row>
    <row r="136" spans="1:2" x14ac:dyDescent="0.3">
      <c r="A136" s="81">
        <v>46100</v>
      </c>
      <c r="B136" s="147">
        <v>613.65</v>
      </c>
    </row>
    <row r="137" spans="1:2" x14ac:dyDescent="0.3">
      <c r="A137" s="81">
        <v>46099</v>
      </c>
      <c r="B137" s="147">
        <v>636.95000000000005</v>
      </c>
    </row>
    <row r="138" spans="1:2" x14ac:dyDescent="0.3">
      <c r="A138" s="81">
        <v>46098</v>
      </c>
      <c r="B138" s="147">
        <v>622.04999999999995</v>
      </c>
    </row>
    <row r="139" spans="1:2" x14ac:dyDescent="0.3">
      <c r="A139" s="81">
        <v>46097</v>
      </c>
      <c r="B139" s="147">
        <v>613.35</v>
      </c>
    </row>
    <row r="140" spans="1:2" x14ac:dyDescent="0.3">
      <c r="A140" s="81">
        <v>46094</v>
      </c>
      <c r="B140" s="147">
        <v>609.85</v>
      </c>
    </row>
    <row r="141" spans="1:2" x14ac:dyDescent="0.3">
      <c r="A141" s="81">
        <v>46093</v>
      </c>
      <c r="B141" s="147">
        <v>624.95000000000005</v>
      </c>
    </row>
    <row r="142" spans="1:2" x14ac:dyDescent="0.3">
      <c r="A142" s="81">
        <v>46092</v>
      </c>
      <c r="B142" s="147">
        <v>624.04999999999995</v>
      </c>
    </row>
    <row r="143" spans="1:2" x14ac:dyDescent="0.3">
      <c r="A143" s="81">
        <v>46091</v>
      </c>
      <c r="B143" s="147">
        <v>629.4</v>
      </c>
    </row>
    <row r="144" spans="1:2" x14ac:dyDescent="0.3">
      <c r="A144" s="81">
        <v>46090</v>
      </c>
      <c r="B144" s="147">
        <v>611.70000000000005</v>
      </c>
    </row>
    <row r="145" spans="1:2" x14ac:dyDescent="0.3">
      <c r="A145" s="81">
        <v>46087</v>
      </c>
      <c r="B145" s="147">
        <v>623.85</v>
      </c>
    </row>
    <row r="146" spans="1:2" x14ac:dyDescent="0.3">
      <c r="A146" s="81">
        <v>46086</v>
      </c>
      <c r="B146" s="147">
        <v>629.70000000000005</v>
      </c>
    </row>
    <row r="147" spans="1:2" x14ac:dyDescent="0.3">
      <c r="A147" s="81">
        <v>46085</v>
      </c>
      <c r="B147" s="147">
        <v>633.75</v>
      </c>
    </row>
    <row r="148" spans="1:2" x14ac:dyDescent="0.3">
      <c r="A148" s="81">
        <v>46083</v>
      </c>
      <c r="B148" s="147">
        <v>651</v>
      </c>
    </row>
    <row r="149" spans="1:2" x14ac:dyDescent="0.3">
      <c r="A149" s="81">
        <v>46080</v>
      </c>
      <c r="B149" s="147">
        <v>667.05</v>
      </c>
    </row>
    <row r="150" spans="1:2" x14ac:dyDescent="0.3">
      <c r="A150" s="81">
        <v>46079</v>
      </c>
      <c r="B150" s="147">
        <v>680.95</v>
      </c>
    </row>
    <row r="151" spans="1:2" x14ac:dyDescent="0.3">
      <c r="A151" s="81">
        <v>46078</v>
      </c>
      <c r="B151" s="147">
        <v>676.7</v>
      </c>
    </row>
    <row r="152" spans="1:2" x14ac:dyDescent="0.3">
      <c r="A152" s="81">
        <v>46077</v>
      </c>
      <c r="B152" s="147">
        <v>676.15</v>
      </c>
    </row>
    <row r="153" spans="1:2" x14ac:dyDescent="0.3">
      <c r="A153" s="81">
        <v>46076</v>
      </c>
      <c r="B153" s="147">
        <v>675.1</v>
      </c>
    </row>
    <row r="154" spans="1:2" x14ac:dyDescent="0.3">
      <c r="A154" s="81">
        <v>46073</v>
      </c>
      <c r="B154" s="147">
        <v>674.95</v>
      </c>
    </row>
    <row r="155" spans="1:2" x14ac:dyDescent="0.3">
      <c r="A155" s="81">
        <v>46072</v>
      </c>
      <c r="B155" s="147">
        <v>672.1</v>
      </c>
    </row>
    <row r="156" spans="1:2" x14ac:dyDescent="0.3">
      <c r="A156" s="81">
        <v>46071</v>
      </c>
      <c r="B156" s="147">
        <v>695.1</v>
      </c>
    </row>
    <row r="157" spans="1:2" x14ac:dyDescent="0.3">
      <c r="A157" s="81">
        <v>46070</v>
      </c>
      <c r="B157" s="147">
        <v>687.75</v>
      </c>
    </row>
    <row r="158" spans="1:2" x14ac:dyDescent="0.3">
      <c r="A158" s="81">
        <v>46069</v>
      </c>
      <c r="B158" s="147">
        <v>691</v>
      </c>
    </row>
    <row r="159" spans="1:2" x14ac:dyDescent="0.3">
      <c r="A159" s="81">
        <v>46066</v>
      </c>
      <c r="B159" s="147">
        <v>699.9</v>
      </c>
    </row>
    <row r="160" spans="1:2" x14ac:dyDescent="0.3">
      <c r="A160" s="81">
        <v>46065</v>
      </c>
      <c r="B160" s="147">
        <v>712</v>
      </c>
    </row>
    <row r="161" spans="1:2" x14ac:dyDescent="0.3">
      <c r="A161" s="81">
        <v>46064</v>
      </c>
      <c r="B161" s="147">
        <v>707.55</v>
      </c>
    </row>
    <row r="162" spans="1:2" x14ac:dyDescent="0.3">
      <c r="A162" s="81">
        <v>46063</v>
      </c>
      <c r="B162" s="147">
        <v>702.55</v>
      </c>
    </row>
    <row r="163" spans="1:2" x14ac:dyDescent="0.3">
      <c r="A163" s="81">
        <v>46062</v>
      </c>
      <c r="B163" s="147">
        <v>695</v>
      </c>
    </row>
    <row r="164" spans="1:2" x14ac:dyDescent="0.3">
      <c r="A164" s="81">
        <v>46059</v>
      </c>
      <c r="B164" s="147">
        <v>683.2</v>
      </c>
    </row>
    <row r="165" spans="1:2" x14ac:dyDescent="0.3">
      <c r="A165" s="81">
        <v>46058</v>
      </c>
      <c r="B165" s="147">
        <v>689.15</v>
      </c>
    </row>
    <row r="166" spans="1:2" x14ac:dyDescent="0.3">
      <c r="A166" s="81">
        <v>46057</v>
      </c>
      <c r="B166" s="147">
        <v>686.15</v>
      </c>
    </row>
    <row r="167" spans="1:2" x14ac:dyDescent="0.3">
      <c r="A167" s="81">
        <v>46056</v>
      </c>
      <c r="B167" s="147">
        <v>681.5</v>
      </c>
    </row>
    <row r="168" spans="1:2" x14ac:dyDescent="0.3">
      <c r="A168" s="81">
        <v>46055</v>
      </c>
      <c r="B168" s="147">
        <v>663.9</v>
      </c>
    </row>
    <row r="169" spans="1:2" x14ac:dyDescent="0.3">
      <c r="A169" s="81">
        <v>46054</v>
      </c>
      <c r="B169" s="147">
        <v>664.3</v>
      </c>
    </row>
    <row r="170" spans="1:2" x14ac:dyDescent="0.3">
      <c r="A170" s="81">
        <v>46052</v>
      </c>
      <c r="B170" s="147">
        <v>674.15</v>
      </c>
    </row>
    <row r="171" spans="1:2" x14ac:dyDescent="0.3">
      <c r="A171" s="81">
        <v>46051</v>
      </c>
      <c r="B171" s="147">
        <v>664.6</v>
      </c>
    </row>
    <row r="172" spans="1:2" x14ac:dyDescent="0.3">
      <c r="A172" s="81">
        <v>46050</v>
      </c>
      <c r="B172" s="147">
        <v>656.2</v>
      </c>
    </row>
    <row r="173" spans="1:2" x14ac:dyDescent="0.3">
      <c r="A173" s="81">
        <v>46049</v>
      </c>
      <c r="B173" s="147">
        <v>651.35</v>
      </c>
    </row>
    <row r="174" spans="1:2" x14ac:dyDescent="0.3">
      <c r="A174" s="81">
        <v>46045</v>
      </c>
      <c r="B174" s="147">
        <v>645.79999999999995</v>
      </c>
    </row>
    <row r="175" spans="1:2" x14ac:dyDescent="0.3">
      <c r="A175" s="81">
        <v>46044</v>
      </c>
      <c r="B175" s="147">
        <v>656.55</v>
      </c>
    </row>
    <row r="176" spans="1:2" x14ac:dyDescent="0.3">
      <c r="A176" s="81">
        <v>46043</v>
      </c>
      <c r="B176" s="147">
        <v>653.6</v>
      </c>
    </row>
    <row r="177" spans="1:2" x14ac:dyDescent="0.3">
      <c r="A177" s="81">
        <v>46042</v>
      </c>
      <c r="B177" s="147">
        <v>645.5</v>
      </c>
    </row>
    <row r="178" spans="1:2" x14ac:dyDescent="0.3">
      <c r="A178" s="81">
        <v>46041</v>
      </c>
      <c r="B178" s="147">
        <v>668.35</v>
      </c>
    </row>
    <row r="179" spans="1:2" x14ac:dyDescent="0.3">
      <c r="A179" s="81">
        <v>46038</v>
      </c>
      <c r="B179" s="147">
        <v>684.45</v>
      </c>
    </row>
    <row r="180" spans="1:2" x14ac:dyDescent="0.3">
      <c r="A180" s="81">
        <v>46036</v>
      </c>
      <c r="B180" s="147">
        <v>689.45</v>
      </c>
    </row>
    <row r="181" spans="1:2" x14ac:dyDescent="0.3">
      <c r="A181" s="81">
        <v>46035</v>
      </c>
      <c r="B181" s="147">
        <v>678.15</v>
      </c>
    </row>
    <row r="182" spans="1:2" x14ac:dyDescent="0.3">
      <c r="A182" s="81">
        <v>46034</v>
      </c>
      <c r="B182" s="147">
        <v>690.1</v>
      </c>
    </row>
    <row r="183" spans="1:2" x14ac:dyDescent="0.3">
      <c r="A183" s="81">
        <v>46031</v>
      </c>
      <c r="B183" s="147">
        <v>693.1</v>
      </c>
    </row>
    <row r="184" spans="1:2" x14ac:dyDescent="0.3">
      <c r="A184" s="81">
        <v>46030</v>
      </c>
      <c r="B184" s="147">
        <v>704.35</v>
      </c>
    </row>
    <row r="185" spans="1:2" x14ac:dyDescent="0.3">
      <c r="A185" s="81">
        <v>46029</v>
      </c>
      <c r="B185" s="147">
        <v>715.35</v>
      </c>
    </row>
    <row r="186" spans="1:2" x14ac:dyDescent="0.3">
      <c r="A186" s="81">
        <v>46028</v>
      </c>
      <c r="B186" s="147">
        <v>726.4</v>
      </c>
    </row>
    <row r="187" spans="1:2" x14ac:dyDescent="0.3">
      <c r="A187" s="81">
        <v>46027</v>
      </c>
      <c r="B187" s="147">
        <v>744.2</v>
      </c>
    </row>
    <row r="188" spans="1:2" x14ac:dyDescent="0.3">
      <c r="A188" s="81">
        <v>46024</v>
      </c>
      <c r="B188" s="147">
        <v>748.65</v>
      </c>
    </row>
    <row r="189" spans="1:2" x14ac:dyDescent="0.3">
      <c r="A189" s="81">
        <v>46023</v>
      </c>
      <c r="B189" s="147">
        <v>738.6</v>
      </c>
    </row>
    <row r="190" spans="1:2" x14ac:dyDescent="0.3">
      <c r="A190" s="81">
        <v>46022</v>
      </c>
      <c r="B190" s="147">
        <v>738.85</v>
      </c>
    </row>
    <row r="191" spans="1:2" x14ac:dyDescent="0.3">
      <c r="A191" s="81">
        <v>46021</v>
      </c>
      <c r="B191" s="147">
        <v>729.55</v>
      </c>
    </row>
    <row r="192" spans="1:2" x14ac:dyDescent="0.3">
      <c r="A192" s="81">
        <v>46020</v>
      </c>
      <c r="B192" s="147">
        <v>742.15</v>
      </c>
    </row>
    <row r="193" spans="1:2" x14ac:dyDescent="0.3">
      <c r="A193" s="81">
        <v>46017</v>
      </c>
      <c r="B193" s="147">
        <v>739.6</v>
      </c>
    </row>
    <row r="194" spans="1:2" x14ac:dyDescent="0.3">
      <c r="A194" s="81">
        <v>46015</v>
      </c>
      <c r="B194" s="147">
        <v>740.1</v>
      </c>
    </row>
    <row r="195" spans="1:2" x14ac:dyDescent="0.3">
      <c r="A195" s="81">
        <v>46014</v>
      </c>
      <c r="B195" s="147">
        <v>738.3</v>
      </c>
    </row>
    <row r="196" spans="1:2" x14ac:dyDescent="0.3">
      <c r="A196" s="81">
        <v>46013</v>
      </c>
      <c r="B196" s="147">
        <v>740.15</v>
      </c>
    </row>
    <row r="197" spans="1:2" x14ac:dyDescent="0.3">
      <c r="A197" s="81">
        <v>46010</v>
      </c>
      <c r="B197" s="147">
        <v>731.2</v>
      </c>
    </row>
    <row r="198" spans="1:2" x14ac:dyDescent="0.3">
      <c r="A198" s="81">
        <v>46009</v>
      </c>
      <c r="B198" s="147">
        <v>722</v>
      </c>
    </row>
    <row r="199" spans="1:2" x14ac:dyDescent="0.3">
      <c r="A199" s="81">
        <v>46008</v>
      </c>
      <c r="B199" s="147">
        <v>713.2</v>
      </c>
    </row>
    <row r="200" spans="1:2" x14ac:dyDescent="0.3">
      <c r="A200" s="81">
        <v>46007</v>
      </c>
      <c r="B200" s="147">
        <v>725.25</v>
      </c>
    </row>
    <row r="201" spans="1:2" x14ac:dyDescent="0.3">
      <c r="A201" s="81">
        <v>46006</v>
      </c>
      <c r="B201" s="147">
        <v>731.15</v>
      </c>
    </row>
    <row r="202" spans="1:2" x14ac:dyDescent="0.3">
      <c r="A202" s="81">
        <v>46003</v>
      </c>
      <c r="B202" s="147">
        <v>735.05</v>
      </c>
    </row>
    <row r="203" spans="1:2" x14ac:dyDescent="0.3">
      <c r="A203" s="81">
        <v>46002</v>
      </c>
      <c r="B203" s="147">
        <v>729</v>
      </c>
    </row>
    <row r="204" spans="1:2" x14ac:dyDescent="0.3">
      <c r="A204" s="81">
        <v>46001</v>
      </c>
      <c r="B204" s="147">
        <v>718.6</v>
      </c>
    </row>
    <row r="205" spans="1:2" x14ac:dyDescent="0.3">
      <c r="A205" s="81">
        <v>46000</v>
      </c>
      <c r="B205" s="147">
        <v>727.75</v>
      </c>
    </row>
    <row r="206" spans="1:2" x14ac:dyDescent="0.3">
      <c r="A206" s="81">
        <v>45999</v>
      </c>
      <c r="B206" s="147">
        <v>718.1</v>
      </c>
    </row>
    <row r="207" spans="1:2" x14ac:dyDescent="0.3">
      <c r="A207" s="81">
        <v>45996</v>
      </c>
      <c r="B207" s="147">
        <v>730.9</v>
      </c>
    </row>
    <row r="208" spans="1:2" x14ac:dyDescent="0.3">
      <c r="A208" s="81">
        <v>45995</v>
      </c>
      <c r="B208" s="147">
        <v>729.55</v>
      </c>
    </row>
    <row r="209" spans="1:2" x14ac:dyDescent="0.3">
      <c r="A209" s="81">
        <v>45994</v>
      </c>
      <c r="B209" s="147">
        <v>734.6</v>
      </c>
    </row>
    <row r="210" spans="1:2" x14ac:dyDescent="0.3">
      <c r="A210" s="81">
        <v>45993</v>
      </c>
      <c r="B210" s="147">
        <v>742.5</v>
      </c>
    </row>
    <row r="211" spans="1:2" x14ac:dyDescent="0.3">
      <c r="A211" s="81">
        <v>45992</v>
      </c>
      <c r="B211" s="147">
        <v>749.05</v>
      </c>
    </row>
    <row r="212" spans="1:2" x14ac:dyDescent="0.3">
      <c r="A212" s="81">
        <v>45989</v>
      </c>
      <c r="B212" s="147">
        <v>744.3</v>
      </c>
    </row>
    <row r="213" spans="1:2" x14ac:dyDescent="0.3">
      <c r="A213" s="81">
        <v>45988</v>
      </c>
      <c r="B213" s="147">
        <v>735</v>
      </c>
    </row>
    <row r="214" spans="1:2" x14ac:dyDescent="0.3">
      <c r="A214" s="81">
        <v>45987</v>
      </c>
      <c r="B214" s="147">
        <v>731.4</v>
      </c>
    </row>
    <row r="215" spans="1:2" x14ac:dyDescent="0.3">
      <c r="A215" s="81">
        <v>45986</v>
      </c>
      <c r="B215" s="147">
        <v>726.5</v>
      </c>
    </row>
    <row r="216" spans="1:2" x14ac:dyDescent="0.3">
      <c r="A216" s="81">
        <v>45985</v>
      </c>
      <c r="B216" s="147">
        <v>721.15</v>
      </c>
    </row>
    <row r="217" spans="1:2" x14ac:dyDescent="0.3">
      <c r="A217" s="81">
        <v>45982</v>
      </c>
      <c r="B217" s="147">
        <v>733.2</v>
      </c>
    </row>
    <row r="218" spans="1:2" x14ac:dyDescent="0.3">
      <c r="A218" s="81">
        <v>45981</v>
      </c>
      <c r="B218" s="147">
        <v>733.35</v>
      </c>
    </row>
    <row r="219" spans="1:2" x14ac:dyDescent="0.3">
      <c r="A219" s="81">
        <v>45980</v>
      </c>
      <c r="B219" s="147">
        <v>719.55</v>
      </c>
    </row>
    <row r="220" spans="1:2" x14ac:dyDescent="0.3">
      <c r="A220" s="81">
        <v>45979</v>
      </c>
      <c r="B220" s="147">
        <v>712.75</v>
      </c>
    </row>
    <row r="221" spans="1:2" x14ac:dyDescent="0.3">
      <c r="A221" s="81">
        <v>45978</v>
      </c>
      <c r="B221" s="147">
        <v>722.3</v>
      </c>
    </row>
    <row r="222" spans="1:2" x14ac:dyDescent="0.3">
      <c r="A222" s="81">
        <v>45975</v>
      </c>
      <c r="B222" s="147">
        <v>720.8</v>
      </c>
    </row>
    <row r="223" spans="1:2" x14ac:dyDescent="0.3">
      <c r="A223" s="81">
        <v>45974</v>
      </c>
      <c r="B223" s="147">
        <v>717.7</v>
      </c>
    </row>
    <row r="224" spans="1:2" x14ac:dyDescent="0.3">
      <c r="A224" s="81">
        <v>45973</v>
      </c>
      <c r="B224" s="147">
        <v>706.95</v>
      </c>
    </row>
    <row r="225" spans="1:2" x14ac:dyDescent="0.3">
      <c r="A225" s="81">
        <v>45972</v>
      </c>
      <c r="B225" s="147">
        <v>697.75</v>
      </c>
    </row>
    <row r="226" spans="1:2" x14ac:dyDescent="0.3">
      <c r="A226" s="81">
        <v>45971</v>
      </c>
      <c r="B226" s="147">
        <v>703.8</v>
      </c>
    </row>
    <row r="227" spans="1:2" x14ac:dyDescent="0.3">
      <c r="A227" s="81">
        <v>45968</v>
      </c>
      <c r="B227" s="147">
        <v>691.3</v>
      </c>
    </row>
    <row r="228" spans="1:2" x14ac:dyDescent="0.3">
      <c r="A228" s="81">
        <v>45967</v>
      </c>
      <c r="B228" s="147">
        <v>697</v>
      </c>
    </row>
    <row r="229" spans="1:2" x14ac:dyDescent="0.3">
      <c r="A229" s="81">
        <v>45965</v>
      </c>
      <c r="B229" s="147">
        <v>743.2</v>
      </c>
    </row>
    <row r="230" spans="1:2" x14ac:dyDescent="0.3">
      <c r="A230" s="81">
        <v>45964</v>
      </c>
      <c r="B230" s="147">
        <v>747.15</v>
      </c>
    </row>
    <row r="231" spans="1:2" x14ac:dyDescent="0.3">
      <c r="A231" s="81">
        <v>45961</v>
      </c>
      <c r="B231" s="147">
        <v>741.8</v>
      </c>
    </row>
    <row r="232" spans="1:2" x14ac:dyDescent="0.3">
      <c r="A232" s="81">
        <v>45960</v>
      </c>
      <c r="B232" s="147">
        <v>749.65</v>
      </c>
    </row>
    <row r="233" spans="1:2" x14ac:dyDescent="0.3">
      <c r="A233" s="81">
        <v>45959</v>
      </c>
      <c r="B233" s="147">
        <v>746.75</v>
      </c>
    </row>
    <row r="234" spans="1:2" x14ac:dyDescent="0.3">
      <c r="A234" s="81">
        <v>45958</v>
      </c>
      <c r="B234" s="147">
        <v>741.75</v>
      </c>
    </row>
    <row r="235" spans="1:2" x14ac:dyDescent="0.3">
      <c r="A235" s="81">
        <v>45957</v>
      </c>
      <c r="B235" s="147">
        <v>746.55</v>
      </c>
    </row>
    <row r="236" spans="1:2" x14ac:dyDescent="0.3">
      <c r="A236" s="81">
        <v>45954</v>
      </c>
      <c r="B236" s="147">
        <v>735.9</v>
      </c>
    </row>
    <row r="237" spans="1:2" x14ac:dyDescent="0.3">
      <c r="A237" s="81">
        <v>45953</v>
      </c>
      <c r="B237" s="147">
        <v>737.55</v>
      </c>
    </row>
    <row r="238" spans="1:2" x14ac:dyDescent="0.3">
      <c r="A238" s="81">
        <v>45951</v>
      </c>
      <c r="B238" s="147">
        <v>744.25</v>
      </c>
    </row>
    <row r="239" spans="1:2" x14ac:dyDescent="0.3">
      <c r="A239" s="81">
        <v>45950</v>
      </c>
      <c r="B239" s="147">
        <v>743</v>
      </c>
    </row>
    <row r="240" spans="1:2" x14ac:dyDescent="0.3">
      <c r="A240" s="81">
        <v>45947</v>
      </c>
      <c r="B240" s="147">
        <v>735.4</v>
      </c>
    </row>
    <row r="241" spans="1:2" x14ac:dyDescent="0.3">
      <c r="A241" s="81">
        <v>45946</v>
      </c>
      <c r="B241" s="147">
        <v>738.05</v>
      </c>
    </row>
    <row r="242" spans="1:2" x14ac:dyDescent="0.3">
      <c r="A242" s="81">
        <v>45945</v>
      </c>
      <c r="B242" s="147">
        <v>727.75</v>
      </c>
    </row>
    <row r="243" spans="1:2" x14ac:dyDescent="0.3">
      <c r="A243" s="81">
        <v>45944</v>
      </c>
      <c r="B243" s="147">
        <v>721.15</v>
      </c>
    </row>
    <row r="244" spans="1:2" x14ac:dyDescent="0.3">
      <c r="A244" s="81">
        <v>45943</v>
      </c>
      <c r="B244" s="147">
        <v>726.05</v>
      </c>
    </row>
    <row r="245" spans="1:2" x14ac:dyDescent="0.3">
      <c r="A245" s="81">
        <v>45940</v>
      </c>
      <c r="B245" s="147">
        <v>735.55</v>
      </c>
    </row>
    <row r="246" spans="1:2" x14ac:dyDescent="0.3">
      <c r="A246" s="81">
        <v>45939</v>
      </c>
      <c r="B246" s="147">
        <v>732.15</v>
      </c>
    </row>
    <row r="247" spans="1:2" x14ac:dyDescent="0.3">
      <c r="A247" s="81">
        <v>45938</v>
      </c>
      <c r="B247" s="147">
        <v>730</v>
      </c>
    </row>
    <row r="248" spans="1:2" x14ac:dyDescent="0.3">
      <c r="A248" s="81">
        <v>45937</v>
      </c>
      <c r="B248" s="147">
        <v>733.25</v>
      </c>
    </row>
    <row r="249" spans="1:2" x14ac:dyDescent="0.3">
      <c r="A249" s="81">
        <v>45936</v>
      </c>
      <c r="B249" s="147">
        <v>723.55</v>
      </c>
    </row>
    <row r="250" spans="1:2" x14ac:dyDescent="0.3">
      <c r="A250" s="81">
        <v>45933</v>
      </c>
      <c r="B250" s="147">
        <v>724.45</v>
      </c>
    </row>
    <row r="251" spans="1:2" x14ac:dyDescent="0.3">
      <c r="A251" s="81">
        <v>45931</v>
      </c>
      <c r="B251" s="147">
        <v>723.25</v>
      </c>
    </row>
    <row r="252" spans="1:2" x14ac:dyDescent="0.3">
      <c r="A252" s="81">
        <v>45930</v>
      </c>
      <c r="B252" s="147">
        <v>720.3</v>
      </c>
    </row>
    <row r="253" spans="1:2" x14ac:dyDescent="0.3">
      <c r="A253" s="81">
        <v>45929</v>
      </c>
      <c r="B253" s="147">
        <v>724.3</v>
      </c>
    </row>
    <row r="254" spans="1:2" x14ac:dyDescent="0.3">
      <c r="A254" s="81">
        <v>45926</v>
      </c>
      <c r="B254" s="147">
        <v>709.8</v>
      </c>
    </row>
    <row r="255" spans="1:2" x14ac:dyDescent="0.3">
      <c r="A255" s="81">
        <v>45925</v>
      </c>
      <c r="B255" s="147">
        <v>732.15</v>
      </c>
    </row>
    <row r="256" spans="1:2" x14ac:dyDescent="0.3">
      <c r="A256" s="81">
        <v>45924</v>
      </c>
      <c r="B256" s="147">
        <v>746</v>
      </c>
    </row>
    <row r="257" spans="1:2" x14ac:dyDescent="0.3">
      <c r="A257" s="81">
        <v>45923</v>
      </c>
      <c r="B257" s="147">
        <v>752</v>
      </c>
    </row>
    <row r="258" spans="1:2" x14ac:dyDescent="0.3">
      <c r="A258" s="81">
        <v>45922</v>
      </c>
      <c r="B258" s="147">
        <v>769.4</v>
      </c>
    </row>
    <row r="259" spans="1:2" x14ac:dyDescent="0.3">
      <c r="A259" s="81">
        <v>45919</v>
      </c>
      <c r="B259" s="147">
        <v>775.55</v>
      </c>
    </row>
    <row r="260" spans="1:2" x14ac:dyDescent="0.3">
      <c r="A260" s="81">
        <v>45918</v>
      </c>
      <c r="B260" s="147">
        <v>782.05</v>
      </c>
    </row>
    <row r="261" spans="1:2" x14ac:dyDescent="0.3">
      <c r="A261" s="81">
        <v>45917</v>
      </c>
      <c r="B261" s="147">
        <v>780.25</v>
      </c>
    </row>
    <row r="262" spans="1:2" x14ac:dyDescent="0.3">
      <c r="A262" s="81">
        <v>45916</v>
      </c>
      <c r="B262" s="147">
        <v>778.65</v>
      </c>
    </row>
    <row r="263" spans="1:2" x14ac:dyDescent="0.3">
      <c r="A263" s="81">
        <v>45915</v>
      </c>
      <c r="B263" s="147">
        <v>790.85</v>
      </c>
    </row>
    <row r="264" spans="1:2" x14ac:dyDescent="0.3">
      <c r="A264" s="81">
        <v>45912</v>
      </c>
      <c r="B264" s="147">
        <v>777.7</v>
      </c>
    </row>
    <row r="265" spans="1:2" x14ac:dyDescent="0.3">
      <c r="A265" s="81">
        <v>45911</v>
      </c>
      <c r="B265" s="147">
        <v>773.95</v>
      </c>
    </row>
    <row r="266" spans="1:2" x14ac:dyDescent="0.3">
      <c r="A266" s="81">
        <v>45910</v>
      </c>
      <c r="B266" s="147">
        <v>775.5</v>
      </c>
    </row>
    <row r="267" spans="1:2" x14ac:dyDescent="0.3">
      <c r="A267" s="81">
        <v>45909</v>
      </c>
      <c r="B267" s="147">
        <v>775.5</v>
      </c>
    </row>
    <row r="268" spans="1:2" x14ac:dyDescent="0.3">
      <c r="A268" s="81">
        <v>45908</v>
      </c>
      <c r="B268" s="147">
        <v>777.7</v>
      </c>
    </row>
    <row r="269" spans="1:2" x14ac:dyDescent="0.3">
      <c r="A269" s="81">
        <v>45905</v>
      </c>
      <c r="B269" s="147">
        <v>774.75</v>
      </c>
    </row>
    <row r="270" spans="1:2" x14ac:dyDescent="0.3">
      <c r="A270" s="81">
        <v>45904</v>
      </c>
      <c r="B270" s="147">
        <v>774.75</v>
      </c>
    </row>
    <row r="271" spans="1:2" x14ac:dyDescent="0.3">
      <c r="A271" s="81">
        <v>45903</v>
      </c>
      <c r="B271" s="147">
        <v>773.95</v>
      </c>
    </row>
    <row r="272" spans="1:2" x14ac:dyDescent="0.3">
      <c r="A272" s="81">
        <v>45902</v>
      </c>
      <c r="B272" s="147">
        <v>765.6</v>
      </c>
    </row>
    <row r="273" spans="1:2" x14ac:dyDescent="0.3">
      <c r="A273" s="81">
        <v>45901</v>
      </c>
      <c r="B273" s="147">
        <v>759.85</v>
      </c>
    </row>
    <row r="274" spans="1:2" x14ac:dyDescent="0.3">
      <c r="A274" s="81">
        <v>45898</v>
      </c>
      <c r="B274" s="147">
        <v>758.45</v>
      </c>
    </row>
    <row r="275" spans="1:2" x14ac:dyDescent="0.3">
      <c r="A275" s="81">
        <v>45897</v>
      </c>
      <c r="B275" s="147">
        <v>765.15</v>
      </c>
    </row>
    <row r="276" spans="1:2" x14ac:dyDescent="0.3">
      <c r="A276" s="81">
        <v>45895</v>
      </c>
      <c r="B276" s="147">
        <v>769.05</v>
      </c>
    </row>
    <row r="277" spans="1:2" x14ac:dyDescent="0.3">
      <c r="A277" s="81">
        <v>45894</v>
      </c>
      <c r="B277" s="147">
        <v>785.55</v>
      </c>
    </row>
    <row r="278" spans="1:2" x14ac:dyDescent="0.3">
      <c r="A278" s="81">
        <v>45891</v>
      </c>
      <c r="B278" s="147">
        <v>788.85</v>
      </c>
    </row>
    <row r="279" spans="1:2" x14ac:dyDescent="0.3">
      <c r="A279" s="81">
        <v>45890</v>
      </c>
      <c r="B279" s="147">
        <v>795.65</v>
      </c>
    </row>
    <row r="280" spans="1:2" x14ac:dyDescent="0.3">
      <c r="A280" s="81">
        <v>45889</v>
      </c>
      <c r="B280" s="147">
        <v>806.8</v>
      </c>
    </row>
    <row r="281" spans="1:2" x14ac:dyDescent="0.3">
      <c r="A281" s="81">
        <v>45888</v>
      </c>
      <c r="B281" s="147">
        <v>775.15</v>
      </c>
    </row>
    <row r="282" spans="1:2" x14ac:dyDescent="0.3">
      <c r="A282" s="81">
        <v>45887</v>
      </c>
      <c r="B282" s="147">
        <v>775.5</v>
      </c>
    </row>
    <row r="283" spans="1:2" x14ac:dyDescent="0.3">
      <c r="A283" s="81">
        <v>45883</v>
      </c>
      <c r="B283" s="147">
        <v>774.35</v>
      </c>
    </row>
    <row r="284" spans="1:2" x14ac:dyDescent="0.3">
      <c r="A284" s="81">
        <v>45882</v>
      </c>
      <c r="B284" s="147">
        <v>769.8</v>
      </c>
    </row>
    <row r="285" spans="1:2" x14ac:dyDescent="0.3">
      <c r="A285" s="81">
        <v>45881</v>
      </c>
      <c r="B285" s="147">
        <v>747.45</v>
      </c>
    </row>
    <row r="286" spans="1:2" x14ac:dyDescent="0.3">
      <c r="A286" s="81">
        <v>45880</v>
      </c>
      <c r="B286" s="147">
        <v>746.75</v>
      </c>
    </row>
    <row r="287" spans="1:2" x14ac:dyDescent="0.3">
      <c r="A287" s="81">
        <v>45877</v>
      </c>
      <c r="B287" s="147">
        <v>735.75</v>
      </c>
    </row>
    <row r="288" spans="1:2" x14ac:dyDescent="0.3">
      <c r="A288" s="81">
        <v>45876</v>
      </c>
      <c r="B288" s="147">
        <v>742.3</v>
      </c>
    </row>
    <row r="289" spans="1:2" x14ac:dyDescent="0.3">
      <c r="A289" s="81">
        <v>45875</v>
      </c>
      <c r="B289" s="147">
        <v>746.6</v>
      </c>
    </row>
    <row r="290" spans="1:2" x14ac:dyDescent="0.3">
      <c r="A290" s="81">
        <v>45874</v>
      </c>
      <c r="B290" s="147">
        <v>751.05</v>
      </c>
    </row>
    <row r="291" spans="1:2" x14ac:dyDescent="0.3">
      <c r="A291" s="81">
        <v>45873</v>
      </c>
      <c r="B291" s="147">
        <v>748.8</v>
      </c>
    </row>
    <row r="292" spans="1:2" x14ac:dyDescent="0.3">
      <c r="A292" s="81">
        <v>45870</v>
      </c>
      <c r="B292" s="147">
        <v>741.15</v>
      </c>
    </row>
    <row r="293" spans="1:2" x14ac:dyDescent="0.3">
      <c r="A293" s="81">
        <v>45869</v>
      </c>
      <c r="B293" s="147">
        <v>740.75</v>
      </c>
    </row>
    <row r="294" spans="1:2" x14ac:dyDescent="0.3">
      <c r="A294" s="81">
        <v>45868</v>
      </c>
      <c r="B294" s="147">
        <v>744.9</v>
      </c>
    </row>
    <row r="295" spans="1:2" x14ac:dyDescent="0.3">
      <c r="A295" s="81">
        <v>45867</v>
      </c>
      <c r="B295" s="147">
        <v>748.2</v>
      </c>
    </row>
    <row r="296" spans="1:2" x14ac:dyDescent="0.3">
      <c r="A296" s="81">
        <v>45866</v>
      </c>
      <c r="B296" s="147">
        <v>744.8</v>
      </c>
    </row>
    <row r="297" spans="1:2" x14ac:dyDescent="0.3">
      <c r="A297" s="81">
        <v>45863</v>
      </c>
      <c r="B297" s="147">
        <v>746.15</v>
      </c>
    </row>
    <row r="298" spans="1:2" x14ac:dyDescent="0.3">
      <c r="A298" s="81">
        <v>45862</v>
      </c>
      <c r="B298" s="147">
        <v>754</v>
      </c>
    </row>
    <row r="299" spans="1:2" x14ac:dyDescent="0.3">
      <c r="A299" s="81">
        <v>45861</v>
      </c>
      <c r="B299" s="147">
        <v>754.4</v>
      </c>
    </row>
    <row r="300" spans="1:2" x14ac:dyDescent="0.3">
      <c r="A300" s="81">
        <v>45860</v>
      </c>
      <c r="B300" s="147">
        <v>756.3</v>
      </c>
    </row>
    <row r="301" spans="1:2" x14ac:dyDescent="0.3">
      <c r="A301" s="81">
        <v>45859</v>
      </c>
      <c r="B301" s="147">
        <v>771.7</v>
      </c>
    </row>
    <row r="302" spans="1:2" x14ac:dyDescent="0.3">
      <c r="A302" s="81">
        <v>45856</v>
      </c>
      <c r="B302" s="147">
        <v>766.2</v>
      </c>
    </row>
    <row r="303" spans="1:2" x14ac:dyDescent="0.3">
      <c r="A303" s="81">
        <v>45855</v>
      </c>
      <c r="B303" s="147">
        <v>753.95</v>
      </c>
    </row>
    <row r="304" spans="1:2" x14ac:dyDescent="0.3">
      <c r="A304" s="81">
        <v>45854</v>
      </c>
      <c r="B304" s="147">
        <v>751.2</v>
      </c>
    </row>
    <row r="305" spans="1:2" x14ac:dyDescent="0.3">
      <c r="A305" s="81">
        <v>45853</v>
      </c>
      <c r="B305" s="147">
        <v>744.05</v>
      </c>
    </row>
    <row r="306" spans="1:2" x14ac:dyDescent="0.3">
      <c r="A306" s="81">
        <v>45852</v>
      </c>
      <c r="B306" s="147">
        <v>729.15</v>
      </c>
    </row>
    <row r="307" spans="1:2" x14ac:dyDescent="0.3">
      <c r="A307" s="81">
        <v>45849</v>
      </c>
      <c r="B307" s="147">
        <v>735.2</v>
      </c>
    </row>
    <row r="308" spans="1:2" x14ac:dyDescent="0.3">
      <c r="A308" s="81">
        <v>45848</v>
      </c>
      <c r="B308" s="147">
        <v>743.35</v>
      </c>
    </row>
    <row r="309" spans="1:2" x14ac:dyDescent="0.3">
      <c r="A309" s="81">
        <v>45847</v>
      </c>
      <c r="B309" s="147">
        <v>750.15</v>
      </c>
    </row>
    <row r="310" spans="1:2" x14ac:dyDescent="0.3">
      <c r="A310" s="81">
        <v>45846</v>
      </c>
      <c r="B310" s="147">
        <v>739.3</v>
      </c>
    </row>
    <row r="311" spans="1:2" x14ac:dyDescent="0.3">
      <c r="A311" s="81">
        <v>45845</v>
      </c>
      <c r="B311" s="147">
        <v>737.15</v>
      </c>
    </row>
    <row r="312" spans="1:2" x14ac:dyDescent="0.3">
      <c r="A312" s="81">
        <v>45842</v>
      </c>
      <c r="B312" s="147">
        <v>747.55</v>
      </c>
    </row>
    <row r="313" spans="1:2" x14ac:dyDescent="0.3">
      <c r="A313" s="81">
        <v>45841</v>
      </c>
      <c r="B313" s="147">
        <v>748.25</v>
      </c>
    </row>
    <row r="314" spans="1:2" x14ac:dyDescent="0.3">
      <c r="A314" s="81">
        <v>45840</v>
      </c>
      <c r="B314" s="147">
        <v>756</v>
      </c>
    </row>
    <row r="315" spans="1:2" x14ac:dyDescent="0.3">
      <c r="A315" s="81">
        <v>45839</v>
      </c>
      <c r="B315" s="147">
        <v>762.05</v>
      </c>
    </row>
    <row r="316" spans="1:2" x14ac:dyDescent="0.3">
      <c r="A316" s="81">
        <v>45838</v>
      </c>
      <c r="B316" s="147">
        <v>760.3</v>
      </c>
    </row>
    <row r="317" spans="1:2" x14ac:dyDescent="0.3">
      <c r="A317" s="81">
        <v>45835</v>
      </c>
      <c r="B317" s="147">
        <v>767.4</v>
      </c>
    </row>
    <row r="318" spans="1:2" x14ac:dyDescent="0.3">
      <c r="A318" s="81">
        <v>45834</v>
      </c>
      <c r="B318" s="147">
        <v>782.95</v>
      </c>
    </row>
    <row r="319" spans="1:2" x14ac:dyDescent="0.3">
      <c r="A319" s="81">
        <v>45833</v>
      </c>
      <c r="B319" s="147">
        <v>781.9</v>
      </c>
    </row>
    <row r="320" spans="1:2" x14ac:dyDescent="0.3">
      <c r="A320" s="81">
        <v>45832</v>
      </c>
      <c r="B320" s="147">
        <v>764.1</v>
      </c>
    </row>
    <row r="321" spans="1:2" x14ac:dyDescent="0.3">
      <c r="A321" s="81">
        <v>45831</v>
      </c>
      <c r="B321" s="147">
        <v>760.1</v>
      </c>
    </row>
    <row r="322" spans="1:2" x14ac:dyDescent="0.3">
      <c r="A322" s="81">
        <v>45828</v>
      </c>
      <c r="B322" s="147">
        <v>765.65</v>
      </c>
    </row>
    <row r="323" spans="1:2" x14ac:dyDescent="0.3">
      <c r="A323" s="81">
        <v>45827</v>
      </c>
      <c r="B323" s="147">
        <v>747.3</v>
      </c>
    </row>
    <row r="324" spans="1:2" x14ac:dyDescent="0.3">
      <c r="A324" s="81">
        <v>45826</v>
      </c>
      <c r="B324" s="147">
        <v>763.3</v>
      </c>
    </row>
    <row r="325" spans="1:2" x14ac:dyDescent="0.3">
      <c r="A325" s="81">
        <v>45825</v>
      </c>
      <c r="B325" s="147">
        <v>756.65</v>
      </c>
    </row>
    <row r="326" spans="1:2" x14ac:dyDescent="0.3">
      <c r="A326" s="81">
        <v>45824</v>
      </c>
      <c r="B326" s="147">
        <v>754.9</v>
      </c>
    </row>
    <row r="327" spans="1:2" x14ac:dyDescent="0.3">
      <c r="A327" s="81">
        <v>45821</v>
      </c>
      <c r="B327" s="147">
        <v>735.15</v>
      </c>
    </row>
    <row r="328" spans="1:2" x14ac:dyDescent="0.3">
      <c r="A328" s="81">
        <v>45820</v>
      </c>
      <c r="B328" s="147">
        <v>744.8</v>
      </c>
    </row>
    <row r="329" spans="1:2" x14ac:dyDescent="0.3">
      <c r="A329" s="81">
        <v>45819</v>
      </c>
      <c r="B329" s="147">
        <v>765.8</v>
      </c>
    </row>
    <row r="330" spans="1:2" x14ac:dyDescent="0.3">
      <c r="A330" s="81">
        <v>45818</v>
      </c>
      <c r="B330" s="147">
        <v>779.65</v>
      </c>
    </row>
    <row r="331" spans="1:2" x14ac:dyDescent="0.3">
      <c r="A331" s="81">
        <v>45817</v>
      </c>
      <c r="B331" s="147">
        <v>780.05</v>
      </c>
    </row>
    <row r="332" spans="1:2" x14ac:dyDescent="0.3">
      <c r="A332" s="81">
        <v>45814</v>
      </c>
      <c r="B332" s="147">
        <v>776.85</v>
      </c>
    </row>
    <row r="333" spans="1:2" x14ac:dyDescent="0.3">
      <c r="A333" s="81">
        <v>45813</v>
      </c>
      <c r="B333" s="147">
        <v>771.75</v>
      </c>
    </row>
    <row r="334" spans="1:2" x14ac:dyDescent="0.3">
      <c r="A334" s="81">
        <v>45812</v>
      </c>
      <c r="B334" s="147">
        <v>770.75</v>
      </c>
    </row>
    <row r="335" spans="1:2" x14ac:dyDescent="0.3">
      <c r="A335" s="81">
        <v>45811</v>
      </c>
      <c r="B335" s="147">
        <v>760.95</v>
      </c>
    </row>
    <row r="336" spans="1:2" x14ac:dyDescent="0.3">
      <c r="A336" s="81">
        <v>45810</v>
      </c>
      <c r="B336" s="147">
        <v>783.6</v>
      </c>
    </row>
    <row r="337" spans="1:2" x14ac:dyDescent="0.3">
      <c r="A337" s="81">
        <v>45807</v>
      </c>
      <c r="B337" s="147">
        <v>769.85</v>
      </c>
    </row>
    <row r="338" spans="1:2" x14ac:dyDescent="0.3">
      <c r="A338" s="81">
        <v>45806</v>
      </c>
      <c r="B338" s="147">
        <v>762.35</v>
      </c>
    </row>
    <row r="339" spans="1:2" x14ac:dyDescent="0.3">
      <c r="A339" s="81">
        <v>45805</v>
      </c>
      <c r="B339" s="147">
        <v>761.2</v>
      </c>
    </row>
    <row r="340" spans="1:2" x14ac:dyDescent="0.3">
      <c r="A340" s="81">
        <v>45804</v>
      </c>
      <c r="B340" s="147">
        <v>771.05</v>
      </c>
    </row>
    <row r="341" spans="1:2" x14ac:dyDescent="0.3">
      <c r="A341" s="81">
        <v>45803</v>
      </c>
      <c r="B341" s="147">
        <v>774.8</v>
      </c>
    </row>
    <row r="342" spans="1:2" x14ac:dyDescent="0.3">
      <c r="A342" s="81">
        <v>45800</v>
      </c>
      <c r="B342" s="147">
        <v>770.45</v>
      </c>
    </row>
    <row r="343" spans="1:2" x14ac:dyDescent="0.3">
      <c r="A343" s="81">
        <v>45799</v>
      </c>
      <c r="B343" s="147">
        <v>769.55</v>
      </c>
    </row>
    <row r="344" spans="1:2" x14ac:dyDescent="0.3">
      <c r="A344" s="81">
        <v>45798</v>
      </c>
      <c r="B344" s="147">
        <v>773.1</v>
      </c>
    </row>
    <row r="345" spans="1:2" x14ac:dyDescent="0.3">
      <c r="A345" s="81">
        <v>45797</v>
      </c>
      <c r="B345" s="147">
        <v>752.75</v>
      </c>
    </row>
    <row r="346" spans="1:2" x14ac:dyDescent="0.3">
      <c r="A346" s="81">
        <v>45796</v>
      </c>
      <c r="B346" s="147">
        <v>771.95</v>
      </c>
    </row>
    <row r="347" spans="1:2" x14ac:dyDescent="0.3">
      <c r="A347" s="81">
        <v>45793</v>
      </c>
      <c r="B347" s="147">
        <v>766.35</v>
      </c>
    </row>
    <row r="348" spans="1:2" x14ac:dyDescent="0.3">
      <c r="A348" s="81">
        <v>45792</v>
      </c>
      <c r="B348" s="147">
        <v>764.35</v>
      </c>
    </row>
    <row r="349" spans="1:2" x14ac:dyDescent="0.3">
      <c r="A349" s="81">
        <v>45791</v>
      </c>
      <c r="B349" s="147">
        <v>770.2</v>
      </c>
    </row>
    <row r="350" spans="1:2" x14ac:dyDescent="0.3">
      <c r="A350" s="81">
        <v>45790</v>
      </c>
      <c r="B350" s="147">
        <v>761.1</v>
      </c>
    </row>
    <row r="351" spans="1:2" x14ac:dyDescent="0.3">
      <c r="A351" s="81">
        <v>45789</v>
      </c>
      <c r="B351" s="147">
        <v>769.15</v>
      </c>
    </row>
    <row r="352" spans="1:2" x14ac:dyDescent="0.3">
      <c r="A352" s="81">
        <v>45786</v>
      </c>
      <c r="B352" s="147">
        <v>718.75</v>
      </c>
    </row>
    <row r="353" spans="1:2" x14ac:dyDescent="0.3">
      <c r="A353" s="81">
        <v>45785</v>
      </c>
      <c r="B353" s="147">
        <v>750</v>
      </c>
    </row>
    <row r="354" spans="1:2" x14ac:dyDescent="0.3">
      <c r="A354" s="81">
        <v>45784</v>
      </c>
      <c r="B354" s="147">
        <v>765.65</v>
      </c>
    </row>
    <row r="355" spans="1:2" x14ac:dyDescent="0.3">
      <c r="A355" s="81">
        <v>45783</v>
      </c>
      <c r="B355" s="147">
        <v>753.25</v>
      </c>
    </row>
    <row r="356" spans="1:2" x14ac:dyDescent="0.3">
      <c r="A356" s="81">
        <v>45782</v>
      </c>
      <c r="B356" s="147">
        <v>801.8</v>
      </c>
    </row>
    <row r="357" spans="1:2" x14ac:dyDescent="0.3">
      <c r="A357" s="81">
        <v>45779</v>
      </c>
      <c r="B357" s="147">
        <v>800.5</v>
      </c>
    </row>
    <row r="358" spans="1:2" x14ac:dyDescent="0.3">
      <c r="A358" s="81">
        <v>45777</v>
      </c>
      <c r="B358" s="147">
        <v>787.7</v>
      </c>
    </row>
    <row r="359" spans="1:2" x14ac:dyDescent="0.3">
      <c r="A359" s="81">
        <v>45776</v>
      </c>
      <c r="B359" s="147">
        <v>790.15</v>
      </c>
    </row>
    <row r="360" spans="1:2" x14ac:dyDescent="0.3">
      <c r="A360" s="81">
        <v>45775</v>
      </c>
      <c r="B360" s="147">
        <v>800.45</v>
      </c>
    </row>
    <row r="361" spans="1:2" x14ac:dyDescent="0.3">
      <c r="A361" s="81">
        <v>45772</v>
      </c>
      <c r="B361" s="147">
        <v>786.35</v>
      </c>
    </row>
    <row r="362" spans="1:2" x14ac:dyDescent="0.3">
      <c r="A362" s="81">
        <v>45771</v>
      </c>
      <c r="B362" s="147">
        <v>819.1</v>
      </c>
    </row>
    <row r="363" spans="1:2" x14ac:dyDescent="0.3">
      <c r="A363" s="81">
        <v>45770</v>
      </c>
      <c r="B363" s="147">
        <v>822.9</v>
      </c>
    </row>
    <row r="364" spans="1:2" x14ac:dyDescent="0.3">
      <c r="A364" s="81">
        <v>45769</v>
      </c>
      <c r="B364" s="147">
        <v>833.9</v>
      </c>
    </row>
    <row r="365" spans="1:2" x14ac:dyDescent="0.3">
      <c r="A365" s="81">
        <v>45768</v>
      </c>
      <c r="B365" s="147">
        <v>836.05</v>
      </c>
    </row>
    <row r="366" spans="1:2" x14ac:dyDescent="0.3">
      <c r="A366" s="81">
        <v>45764</v>
      </c>
      <c r="B366" s="147">
        <v>841.2</v>
      </c>
    </row>
    <row r="367" spans="1:2" x14ac:dyDescent="0.3">
      <c r="A367" s="81">
        <v>45763</v>
      </c>
      <c r="B367" s="147">
        <v>842.05</v>
      </c>
    </row>
    <row r="368" spans="1:2" x14ac:dyDescent="0.3">
      <c r="A368" s="81">
        <v>45762</v>
      </c>
      <c r="B368" s="147">
        <v>836.35</v>
      </c>
    </row>
    <row r="369" spans="1:2" x14ac:dyDescent="0.3">
      <c r="A369" s="81">
        <v>45758</v>
      </c>
      <c r="B369" s="147">
        <v>788.6</v>
      </c>
    </row>
    <row r="370" spans="1:2" x14ac:dyDescent="0.3">
      <c r="A370" s="81">
        <v>45756</v>
      </c>
      <c r="B370" s="147">
        <v>768.2</v>
      </c>
    </row>
    <row r="371" spans="1:2" x14ac:dyDescent="0.3">
      <c r="A371" s="81">
        <v>45755</v>
      </c>
      <c r="B371" s="147">
        <v>773.6</v>
      </c>
    </row>
    <row r="372" spans="1:2" x14ac:dyDescent="0.3">
      <c r="A372" s="81">
        <v>45754</v>
      </c>
      <c r="B372" s="147">
        <v>751.95</v>
      </c>
    </row>
    <row r="373" spans="1:2" x14ac:dyDescent="0.3">
      <c r="A373" s="81">
        <v>45751</v>
      </c>
      <c r="B373" s="147">
        <v>799.35</v>
      </c>
    </row>
    <row r="374" spans="1:2" x14ac:dyDescent="0.3">
      <c r="A374" s="81">
        <v>45750</v>
      </c>
      <c r="B374" s="147">
        <v>831.05</v>
      </c>
    </row>
    <row r="375" spans="1:2" x14ac:dyDescent="0.3">
      <c r="A375" s="81">
        <v>45749</v>
      </c>
      <c r="B375" s="147">
        <v>830.15</v>
      </c>
    </row>
    <row r="376" spans="1:2" x14ac:dyDescent="0.3">
      <c r="A376" s="81">
        <v>45748</v>
      </c>
      <c r="B376" s="147">
        <v>805.75</v>
      </c>
    </row>
    <row r="377" spans="1:2" x14ac:dyDescent="0.3">
      <c r="A377" s="81">
        <v>45744</v>
      </c>
      <c r="B377" s="147">
        <v>787.55</v>
      </c>
    </row>
    <row r="378" spans="1:2" x14ac:dyDescent="0.3">
      <c r="A378" s="81">
        <v>45743</v>
      </c>
      <c r="B378" s="147">
        <v>790.55</v>
      </c>
    </row>
    <row r="379" spans="1:2" x14ac:dyDescent="0.3">
      <c r="A379" s="81">
        <v>45742</v>
      </c>
      <c r="B379" s="147">
        <v>808.2</v>
      </c>
    </row>
    <row r="380" spans="1:2" x14ac:dyDescent="0.3">
      <c r="A380" s="81">
        <v>45741</v>
      </c>
      <c r="B380" s="147">
        <v>828.55</v>
      </c>
    </row>
    <row r="381" spans="1:2" x14ac:dyDescent="0.3">
      <c r="A381" s="81">
        <v>45740</v>
      </c>
      <c r="B381" s="147">
        <v>842.1</v>
      </c>
    </row>
    <row r="382" spans="1:2" x14ac:dyDescent="0.3">
      <c r="A382" s="81">
        <v>45737</v>
      </c>
      <c r="B382" s="147">
        <v>824.7</v>
      </c>
    </row>
    <row r="383" spans="1:2" x14ac:dyDescent="0.3">
      <c r="A383" s="81">
        <v>45736</v>
      </c>
      <c r="B383" s="147">
        <v>816.1</v>
      </c>
    </row>
    <row r="384" spans="1:2" x14ac:dyDescent="0.3">
      <c r="A384" s="81">
        <v>45735</v>
      </c>
      <c r="B384" s="147">
        <v>810.6</v>
      </c>
    </row>
    <row r="385" spans="1:2" x14ac:dyDescent="0.3">
      <c r="A385" s="81">
        <v>45734</v>
      </c>
      <c r="B385" s="147">
        <v>786.25</v>
      </c>
    </row>
    <row r="386" spans="1:2" x14ac:dyDescent="0.3">
      <c r="A386" s="81">
        <v>45733</v>
      </c>
      <c r="B386" s="147">
        <v>753.3</v>
      </c>
    </row>
    <row r="387" spans="1:2" x14ac:dyDescent="0.3">
      <c r="A387" s="81">
        <v>45729</v>
      </c>
      <c r="B387" s="147">
        <v>750.45</v>
      </c>
    </row>
    <row r="388" spans="1:2" x14ac:dyDescent="0.3">
      <c r="A388" s="81">
        <v>45728</v>
      </c>
      <c r="B388" s="147">
        <v>749.35</v>
      </c>
    </row>
    <row r="389" spans="1:2" x14ac:dyDescent="0.3">
      <c r="A389" s="81">
        <v>45727</v>
      </c>
      <c r="B389" s="147">
        <v>749.05</v>
      </c>
    </row>
    <row r="390" spans="1:2" x14ac:dyDescent="0.3">
      <c r="A390" s="81">
        <v>45726</v>
      </c>
      <c r="B390" s="147">
        <v>741</v>
      </c>
    </row>
    <row r="391" spans="1:2" x14ac:dyDescent="0.3">
      <c r="A391" s="81">
        <v>45723</v>
      </c>
      <c r="B391" s="147">
        <v>744.3</v>
      </c>
    </row>
    <row r="392" spans="1:2" x14ac:dyDescent="0.3">
      <c r="A392" s="81">
        <v>45722</v>
      </c>
      <c r="B392" s="147">
        <v>749.15</v>
      </c>
    </row>
    <row r="393" spans="1:2" x14ac:dyDescent="0.3">
      <c r="A393" s="81">
        <v>45721</v>
      </c>
      <c r="B393" s="147">
        <v>757.2</v>
      </c>
    </row>
    <row r="394" spans="1:2" x14ac:dyDescent="0.3">
      <c r="A394" s="81">
        <v>45720</v>
      </c>
      <c r="B394" s="147">
        <v>716.9</v>
      </c>
    </row>
    <row r="395" spans="1:2" x14ac:dyDescent="0.3">
      <c r="A395" s="81">
        <v>45719</v>
      </c>
      <c r="B395" s="147">
        <v>726.75</v>
      </c>
    </row>
    <row r="396" spans="1:2" x14ac:dyDescent="0.3">
      <c r="A396" s="81">
        <v>45716</v>
      </c>
      <c r="B396" s="147">
        <v>716.1</v>
      </c>
    </row>
    <row r="397" spans="1:2" x14ac:dyDescent="0.3">
      <c r="A397" s="81">
        <v>45715</v>
      </c>
      <c r="B397" s="147">
        <v>724.35</v>
      </c>
    </row>
    <row r="398" spans="1:2" x14ac:dyDescent="0.3">
      <c r="A398" s="81">
        <v>45713</v>
      </c>
      <c r="B398" s="147">
        <v>724.65</v>
      </c>
    </row>
    <row r="399" spans="1:2" x14ac:dyDescent="0.3">
      <c r="A399" s="81">
        <v>45712</v>
      </c>
      <c r="B399" s="147">
        <v>728.8</v>
      </c>
    </row>
    <row r="400" spans="1:2" x14ac:dyDescent="0.3">
      <c r="A400" s="81">
        <v>45709</v>
      </c>
      <c r="B400" s="147">
        <v>757.55</v>
      </c>
    </row>
    <row r="401" spans="1:2" x14ac:dyDescent="0.3">
      <c r="A401" s="81">
        <v>45708</v>
      </c>
      <c r="B401" s="147">
        <v>761</v>
      </c>
    </row>
    <row r="402" spans="1:2" x14ac:dyDescent="0.3">
      <c r="A402" s="81">
        <v>45707</v>
      </c>
      <c r="B402" s="147">
        <v>746.7</v>
      </c>
    </row>
    <row r="403" spans="1:2" x14ac:dyDescent="0.3">
      <c r="A403" s="81">
        <v>45706</v>
      </c>
      <c r="B403" s="147">
        <v>721.95</v>
      </c>
    </row>
    <row r="404" spans="1:2" x14ac:dyDescent="0.3">
      <c r="A404" s="81">
        <v>45705</v>
      </c>
      <c r="B404" s="147">
        <v>721.65</v>
      </c>
    </row>
    <row r="405" spans="1:2" x14ac:dyDescent="0.3">
      <c r="A405" s="81">
        <v>45702</v>
      </c>
      <c r="B405" s="147">
        <v>710.2</v>
      </c>
    </row>
    <row r="406" spans="1:2" x14ac:dyDescent="0.3">
      <c r="A406" s="81">
        <v>45701</v>
      </c>
      <c r="B406" s="147">
        <v>736.75</v>
      </c>
    </row>
    <row r="407" spans="1:2" x14ac:dyDescent="0.3">
      <c r="A407" s="81">
        <v>45700</v>
      </c>
      <c r="B407" s="147">
        <v>731.2</v>
      </c>
    </row>
    <row r="408" spans="1:2" x14ac:dyDescent="0.3">
      <c r="A408" s="81">
        <v>45699</v>
      </c>
      <c r="B408" s="147">
        <v>748</v>
      </c>
    </row>
    <row r="409" spans="1:2" x14ac:dyDescent="0.3">
      <c r="A409" s="81">
        <v>45698</v>
      </c>
      <c r="B409" s="147">
        <v>776.7</v>
      </c>
    </row>
    <row r="410" spans="1:2" x14ac:dyDescent="0.3">
      <c r="A410" s="81">
        <v>45695</v>
      </c>
      <c r="B410" s="147">
        <v>791.8</v>
      </c>
    </row>
    <row r="411" spans="1:2" x14ac:dyDescent="0.3">
      <c r="A411" s="81">
        <v>45694</v>
      </c>
      <c r="B411" s="147">
        <v>790.1</v>
      </c>
    </row>
    <row r="412" spans="1:2" x14ac:dyDescent="0.3">
      <c r="A412" s="81">
        <v>45693</v>
      </c>
      <c r="B412" s="147">
        <v>815.9</v>
      </c>
    </row>
    <row r="413" spans="1:2" x14ac:dyDescent="0.3">
      <c r="A413" s="81">
        <v>45692</v>
      </c>
      <c r="B413" s="147">
        <v>828.2</v>
      </c>
    </row>
    <row r="414" spans="1:2" x14ac:dyDescent="0.3">
      <c r="A414" s="81">
        <v>45691</v>
      </c>
      <c r="B414" s="147">
        <v>816.2</v>
      </c>
    </row>
    <row r="415" spans="1:2" x14ac:dyDescent="0.3">
      <c r="A415" s="81">
        <v>45689</v>
      </c>
      <c r="B415" s="147">
        <v>801.45</v>
      </c>
    </row>
    <row r="416" spans="1:2" x14ac:dyDescent="0.3">
      <c r="A416" s="81">
        <v>45688</v>
      </c>
      <c r="B416" s="147">
        <v>764.7</v>
      </c>
    </row>
    <row r="417" spans="1:2" x14ac:dyDescent="0.3">
      <c r="A417" s="81">
        <v>45687</v>
      </c>
      <c r="B417" s="147">
        <v>761.2</v>
      </c>
    </row>
    <row r="418" spans="1:2" x14ac:dyDescent="0.3">
      <c r="A418" s="81">
        <v>45686</v>
      </c>
      <c r="B418" s="147">
        <v>777.55</v>
      </c>
    </row>
    <row r="419" spans="1:2" x14ac:dyDescent="0.3">
      <c r="A419" s="81">
        <v>45685</v>
      </c>
      <c r="B419" s="147">
        <v>753.7</v>
      </c>
    </row>
    <row r="420" spans="1:2" x14ac:dyDescent="0.3">
      <c r="A420" s="81">
        <v>45684</v>
      </c>
      <c r="B420" s="147">
        <v>760.2</v>
      </c>
    </row>
    <row r="421" spans="1:2" x14ac:dyDescent="0.3">
      <c r="A421" s="81">
        <v>45681</v>
      </c>
      <c r="B421" s="147">
        <v>781.2</v>
      </c>
    </row>
    <row r="422" spans="1:2" x14ac:dyDescent="0.3">
      <c r="A422" s="81">
        <v>45680</v>
      </c>
      <c r="B422" s="147">
        <v>775.1</v>
      </c>
    </row>
    <row r="423" spans="1:2" x14ac:dyDescent="0.3">
      <c r="A423" s="81">
        <v>45679</v>
      </c>
      <c r="B423" s="147">
        <v>772.75</v>
      </c>
    </row>
    <row r="424" spans="1:2" x14ac:dyDescent="0.3">
      <c r="A424" s="81">
        <v>45678</v>
      </c>
      <c r="B424" s="147">
        <v>760.35</v>
      </c>
    </row>
    <row r="425" spans="1:2" x14ac:dyDescent="0.3">
      <c r="A425" s="81">
        <v>45677</v>
      </c>
      <c r="B425" s="147">
        <v>793</v>
      </c>
    </row>
    <row r="426" spans="1:2" x14ac:dyDescent="0.3">
      <c r="A426" s="81">
        <v>45674</v>
      </c>
      <c r="B426" s="147">
        <v>813.35</v>
      </c>
    </row>
    <row r="427" spans="1:2" x14ac:dyDescent="0.3">
      <c r="A427" s="81">
        <v>45673</v>
      </c>
      <c r="B427" s="147">
        <v>811.45</v>
      </c>
    </row>
    <row r="428" spans="1:2" x14ac:dyDescent="0.3">
      <c r="A428" s="81">
        <v>45672</v>
      </c>
      <c r="B428" s="147">
        <v>811.4</v>
      </c>
    </row>
    <row r="429" spans="1:2" x14ac:dyDescent="0.3">
      <c r="A429" s="81">
        <v>45671</v>
      </c>
      <c r="B429" s="147">
        <v>781.4</v>
      </c>
    </row>
    <row r="430" spans="1:2" x14ac:dyDescent="0.3">
      <c r="A430" s="81">
        <v>45670</v>
      </c>
      <c r="B430" s="147">
        <v>756.1</v>
      </c>
    </row>
    <row r="431" spans="1:2" x14ac:dyDescent="0.3">
      <c r="A431" s="81">
        <v>45667</v>
      </c>
      <c r="B431" s="147">
        <v>805.9</v>
      </c>
    </row>
    <row r="432" spans="1:2" x14ac:dyDescent="0.3">
      <c r="A432" s="81">
        <v>45666</v>
      </c>
      <c r="B432" s="147">
        <v>822.85</v>
      </c>
    </row>
    <row r="433" spans="1:2" x14ac:dyDescent="0.3">
      <c r="A433" s="81">
        <v>45665</v>
      </c>
      <c r="B433" s="147">
        <v>834.9</v>
      </c>
    </row>
    <row r="434" spans="1:2" x14ac:dyDescent="0.3">
      <c r="A434" s="81">
        <v>45664</v>
      </c>
      <c r="B434" s="147">
        <v>852.15</v>
      </c>
    </row>
    <row r="435" spans="1:2" x14ac:dyDescent="0.3">
      <c r="A435" s="81">
        <v>45663</v>
      </c>
      <c r="B435" s="147">
        <v>844.25</v>
      </c>
    </row>
    <row r="436" spans="1:2" x14ac:dyDescent="0.3">
      <c r="A436" s="81">
        <v>45660</v>
      </c>
      <c r="B436" s="147">
        <v>872.45</v>
      </c>
    </row>
    <row r="437" spans="1:2" x14ac:dyDescent="0.3">
      <c r="A437" s="81">
        <v>45659</v>
      </c>
      <c r="B437" s="147">
        <v>879.5</v>
      </c>
    </row>
    <row r="438" spans="1:2" x14ac:dyDescent="0.3">
      <c r="A438" s="81">
        <v>45658</v>
      </c>
      <c r="B438" s="147">
        <v>873.6</v>
      </c>
    </row>
    <row r="439" spans="1:2" x14ac:dyDescent="0.3">
      <c r="A439" s="81">
        <v>45657</v>
      </c>
      <c r="B439" s="147">
        <v>877.55</v>
      </c>
    </row>
    <row r="440" spans="1:2" x14ac:dyDescent="0.3">
      <c r="A440" s="81">
        <v>45656</v>
      </c>
      <c r="B440" s="147">
        <v>889.65</v>
      </c>
    </row>
    <row r="441" spans="1:2" x14ac:dyDescent="0.3">
      <c r="A441" s="81">
        <v>45653</v>
      </c>
      <c r="B441" s="147">
        <v>860.6</v>
      </c>
    </row>
    <row r="442" spans="1:2" x14ac:dyDescent="0.3">
      <c r="A442" s="81">
        <v>45652</v>
      </c>
      <c r="B442" s="147">
        <v>868.3</v>
      </c>
    </row>
    <row r="443" spans="1:2" x14ac:dyDescent="0.3">
      <c r="A443" s="81">
        <v>45650</v>
      </c>
      <c r="B443" s="147">
        <v>862.65</v>
      </c>
    </row>
    <row r="444" spans="1:2" x14ac:dyDescent="0.3">
      <c r="A444" s="81">
        <v>45649</v>
      </c>
      <c r="B444" s="147">
        <v>859.4</v>
      </c>
    </row>
    <row r="445" spans="1:2" x14ac:dyDescent="0.3">
      <c r="A445" s="81">
        <v>45646</v>
      </c>
      <c r="B445" s="147">
        <v>854.1</v>
      </c>
    </row>
    <row r="446" spans="1:2" x14ac:dyDescent="0.3">
      <c r="A446" s="81">
        <v>45645</v>
      </c>
      <c r="B446" s="147">
        <v>880.05</v>
      </c>
    </row>
    <row r="447" spans="1:2" x14ac:dyDescent="0.3">
      <c r="A447" s="81">
        <v>45644</v>
      </c>
      <c r="B447" s="147">
        <v>881.4</v>
      </c>
    </row>
    <row r="448" spans="1:2" x14ac:dyDescent="0.3">
      <c r="A448" s="81">
        <v>45643</v>
      </c>
      <c r="B448" s="147">
        <v>880.05</v>
      </c>
    </row>
    <row r="449" spans="1:2" x14ac:dyDescent="0.3">
      <c r="A449" s="81">
        <v>45642</v>
      </c>
      <c r="B449" s="147">
        <v>867.65</v>
      </c>
    </row>
    <row r="450" spans="1:2" x14ac:dyDescent="0.3">
      <c r="A450" s="81">
        <v>45639</v>
      </c>
      <c r="B450" s="147">
        <v>855.6</v>
      </c>
    </row>
    <row r="451" spans="1:2" x14ac:dyDescent="0.3">
      <c r="A451" s="81">
        <v>45638</v>
      </c>
      <c r="B451" s="147">
        <v>836.7</v>
      </c>
    </row>
    <row r="452" spans="1:2" x14ac:dyDescent="0.3">
      <c r="A452" s="81">
        <v>45637</v>
      </c>
      <c r="B452" s="147">
        <v>836.4</v>
      </c>
    </row>
    <row r="453" spans="1:2" x14ac:dyDescent="0.3">
      <c r="A453" s="81">
        <v>45636</v>
      </c>
      <c r="B453" s="147">
        <v>838.55</v>
      </c>
    </row>
    <row r="454" spans="1:2" x14ac:dyDescent="0.3">
      <c r="A454" s="81">
        <v>45635</v>
      </c>
      <c r="B454" s="147">
        <v>837.2</v>
      </c>
    </row>
    <row r="455" spans="1:2" x14ac:dyDescent="0.3">
      <c r="A455" s="81">
        <v>45632</v>
      </c>
      <c r="B455" s="147">
        <v>826.65</v>
      </c>
    </row>
    <row r="456" spans="1:2" x14ac:dyDescent="0.3">
      <c r="A456" s="81">
        <v>45631</v>
      </c>
      <c r="B456" s="147">
        <v>820.1</v>
      </c>
    </row>
    <row r="457" spans="1:2" x14ac:dyDescent="0.3">
      <c r="A457" s="81">
        <v>45630</v>
      </c>
      <c r="B457" s="147">
        <v>810.9</v>
      </c>
    </row>
    <row r="458" spans="1:2" x14ac:dyDescent="0.3">
      <c r="A458" s="81">
        <v>45629</v>
      </c>
      <c r="B458" s="147">
        <v>806.65</v>
      </c>
    </row>
    <row r="459" spans="1:2" x14ac:dyDescent="0.3">
      <c r="A459" s="81">
        <v>45628</v>
      </c>
      <c r="B459" s="147">
        <v>801.05</v>
      </c>
    </row>
    <row r="460" spans="1:2" x14ac:dyDescent="0.3">
      <c r="A460" s="81">
        <v>45625</v>
      </c>
      <c r="B460" s="147">
        <v>793.35</v>
      </c>
    </row>
    <row r="461" spans="1:2" x14ac:dyDescent="0.3">
      <c r="A461" s="81">
        <v>45624</v>
      </c>
      <c r="B461" s="147">
        <v>778.55</v>
      </c>
    </row>
    <row r="462" spans="1:2" x14ac:dyDescent="0.3">
      <c r="A462" s="81">
        <v>45623</v>
      </c>
      <c r="B462" s="147">
        <v>788.9</v>
      </c>
    </row>
    <row r="463" spans="1:2" x14ac:dyDescent="0.3">
      <c r="A463" s="81">
        <v>45622</v>
      </c>
      <c r="B463" s="147">
        <v>796.75</v>
      </c>
    </row>
    <row r="464" spans="1:2" x14ac:dyDescent="0.3">
      <c r="A464" s="81">
        <v>45621</v>
      </c>
      <c r="B464" s="147">
        <v>798.05</v>
      </c>
    </row>
    <row r="465" spans="1:2" x14ac:dyDescent="0.3">
      <c r="A465" s="81">
        <v>45618</v>
      </c>
      <c r="B465" s="147">
        <v>799.05</v>
      </c>
    </row>
    <row r="466" spans="1:2" x14ac:dyDescent="0.3">
      <c r="A466" s="81">
        <v>45617</v>
      </c>
      <c r="B466" s="147">
        <v>786.8</v>
      </c>
    </row>
    <row r="467" spans="1:2" x14ac:dyDescent="0.3">
      <c r="A467" s="81">
        <v>45615</v>
      </c>
      <c r="B467" s="147">
        <v>754</v>
      </c>
    </row>
    <row r="468" spans="1:2" x14ac:dyDescent="0.3">
      <c r="A468" s="81">
        <v>45614</v>
      </c>
      <c r="B468" s="147">
        <v>737.2</v>
      </c>
    </row>
    <row r="469" spans="1:2" x14ac:dyDescent="0.3">
      <c r="A469" s="81">
        <v>45610</v>
      </c>
      <c r="B469" s="147">
        <v>741.35</v>
      </c>
    </row>
    <row r="470" spans="1:2" x14ac:dyDescent="0.3">
      <c r="A470" s="81">
        <v>45609</v>
      </c>
      <c r="B470" s="147">
        <v>714.15</v>
      </c>
    </row>
    <row r="471" spans="1:2" x14ac:dyDescent="0.3">
      <c r="A471" s="81">
        <v>45608</v>
      </c>
      <c r="B471" s="147">
        <v>730.4</v>
      </c>
    </row>
    <row r="472" spans="1:2" x14ac:dyDescent="0.3">
      <c r="A472" s="81">
        <v>45607</v>
      </c>
      <c r="B472" s="147">
        <v>729.75</v>
      </c>
    </row>
    <row r="473" spans="1:2" x14ac:dyDescent="0.3">
      <c r="A473" s="81">
        <v>45604</v>
      </c>
      <c r="B473" s="147">
        <v>732.9</v>
      </c>
    </row>
    <row r="474" spans="1:2" x14ac:dyDescent="0.3">
      <c r="A474" s="81">
        <v>45603</v>
      </c>
      <c r="B474" s="147">
        <v>683.8</v>
      </c>
    </row>
    <row r="475" spans="1:2" x14ac:dyDescent="0.3">
      <c r="A475" s="81">
        <v>45602</v>
      </c>
      <c r="B475" s="147">
        <v>684.65</v>
      </c>
    </row>
    <row r="476" spans="1:2" x14ac:dyDescent="0.3">
      <c r="A476" s="81">
        <v>45601</v>
      </c>
      <c r="B476" s="147">
        <v>668</v>
      </c>
    </row>
    <row r="477" spans="1:2" x14ac:dyDescent="0.3">
      <c r="A477" s="81">
        <v>45600</v>
      </c>
      <c r="B477" s="147">
        <v>666.55</v>
      </c>
    </row>
    <row r="478" spans="1:2" x14ac:dyDescent="0.3">
      <c r="A478" s="81">
        <v>45597</v>
      </c>
      <c r="B478" s="147">
        <v>687.6</v>
      </c>
    </row>
    <row r="479" spans="1:2" x14ac:dyDescent="0.3">
      <c r="A479" s="81">
        <v>45596</v>
      </c>
      <c r="B479" s="147">
        <v>676.7</v>
      </c>
    </row>
    <row r="480" spans="1:2" x14ac:dyDescent="0.3">
      <c r="A480" s="81">
        <v>45595</v>
      </c>
      <c r="B480" s="147">
        <v>684.75</v>
      </c>
    </row>
    <row r="481" spans="1:2" x14ac:dyDescent="0.3">
      <c r="A481" s="81">
        <v>45594</v>
      </c>
      <c r="B481" s="147">
        <v>678.75</v>
      </c>
    </row>
    <row r="482" spans="1:2" x14ac:dyDescent="0.3">
      <c r="A482" s="81">
        <v>45593</v>
      </c>
      <c r="B482" s="147">
        <v>671.25</v>
      </c>
    </row>
    <row r="483" spans="1:2" x14ac:dyDescent="0.3">
      <c r="A483" s="81">
        <v>45590</v>
      </c>
      <c r="B483" s="147">
        <v>691.25</v>
      </c>
    </row>
    <row r="484" spans="1:2" x14ac:dyDescent="0.3">
      <c r="A484" s="81">
        <v>45589</v>
      </c>
      <c r="B484" s="147">
        <v>667</v>
      </c>
    </row>
    <row r="485" spans="1:2" x14ac:dyDescent="0.3">
      <c r="A485" s="81">
        <v>45588</v>
      </c>
      <c r="B485" s="147">
        <v>658.65</v>
      </c>
    </row>
    <row r="486" spans="1:2" x14ac:dyDescent="0.3">
      <c r="A486" s="81">
        <v>45587</v>
      </c>
      <c r="B486" s="147">
        <v>656.1</v>
      </c>
    </row>
    <row r="487" spans="1:2" x14ac:dyDescent="0.3">
      <c r="A487" s="81">
        <v>45586</v>
      </c>
      <c r="B487" s="147">
        <v>679</v>
      </c>
    </row>
    <row r="488" spans="1:2" x14ac:dyDescent="0.3">
      <c r="A488" s="81">
        <v>45583</v>
      </c>
      <c r="B488" s="147">
        <v>686.7</v>
      </c>
    </row>
    <row r="489" spans="1:2" x14ac:dyDescent="0.3">
      <c r="A489" s="81">
        <v>45582</v>
      </c>
      <c r="B489" s="147">
        <v>687.3</v>
      </c>
    </row>
    <row r="490" spans="1:2" x14ac:dyDescent="0.3">
      <c r="A490" s="81">
        <v>45581</v>
      </c>
      <c r="B490" s="147">
        <v>704.55</v>
      </c>
    </row>
    <row r="491" spans="1:2" x14ac:dyDescent="0.3">
      <c r="A491" s="81">
        <v>45580</v>
      </c>
      <c r="B491" s="147">
        <v>712.6</v>
      </c>
    </row>
    <row r="492" spans="1:2" x14ac:dyDescent="0.3">
      <c r="A492" s="81">
        <v>45579</v>
      </c>
      <c r="B492" s="147">
        <v>705.2</v>
      </c>
    </row>
    <row r="493" spans="1:2" x14ac:dyDescent="0.3">
      <c r="A493" s="81">
        <v>45576</v>
      </c>
      <c r="B493" s="147">
        <v>708.55</v>
      </c>
    </row>
    <row r="494" spans="1:2" x14ac:dyDescent="0.3">
      <c r="A494" s="81">
        <v>45575</v>
      </c>
      <c r="B494" s="147">
        <v>706.25</v>
      </c>
    </row>
    <row r="495" spans="1:2" x14ac:dyDescent="0.3">
      <c r="A495" s="81">
        <v>45574</v>
      </c>
      <c r="B495" s="147">
        <v>693.65</v>
      </c>
    </row>
    <row r="496" spans="1:2" x14ac:dyDescent="0.3">
      <c r="A496" s="81">
        <v>45573</v>
      </c>
      <c r="B496" s="147">
        <v>684.65</v>
      </c>
    </row>
    <row r="497" spans="1:2" x14ac:dyDescent="0.3">
      <c r="A497" s="81">
        <v>45572</v>
      </c>
      <c r="B497" s="147">
        <v>653.04999999999995</v>
      </c>
    </row>
    <row r="498" spans="1:2" x14ac:dyDescent="0.3">
      <c r="A498" s="81">
        <v>45569</v>
      </c>
      <c r="B498" s="147">
        <v>661.45</v>
      </c>
    </row>
    <row r="499" spans="1:2" x14ac:dyDescent="0.3">
      <c r="A499" s="81">
        <v>45568</v>
      </c>
      <c r="B499" s="147">
        <v>674.05</v>
      </c>
    </row>
    <row r="500" spans="1:2" x14ac:dyDescent="0.3">
      <c r="A500" s="81">
        <v>45566</v>
      </c>
      <c r="B500" s="147">
        <v>681.7</v>
      </c>
    </row>
    <row r="501" spans="1:2" x14ac:dyDescent="0.3">
      <c r="A501" s="81">
        <v>45565</v>
      </c>
      <c r="B501" s="147">
        <v>684.7</v>
      </c>
    </row>
    <row r="502" spans="1:2" x14ac:dyDescent="0.3">
      <c r="A502" s="81">
        <v>45562</v>
      </c>
      <c r="B502" s="147">
        <v>710.3</v>
      </c>
    </row>
    <row r="503" spans="1:2" x14ac:dyDescent="0.3">
      <c r="A503" s="81">
        <v>45561</v>
      </c>
      <c r="B503" s="147">
        <v>709.9</v>
      </c>
    </row>
    <row r="504" spans="1:2" x14ac:dyDescent="0.3">
      <c r="A504" s="81">
        <v>45560</v>
      </c>
      <c r="B504" s="147">
        <v>709.95</v>
      </c>
    </row>
    <row r="505" spans="1:2" x14ac:dyDescent="0.3">
      <c r="A505" s="81">
        <v>45559</v>
      </c>
      <c r="B505" s="147">
        <v>711.65</v>
      </c>
    </row>
    <row r="506" spans="1:2" x14ac:dyDescent="0.3">
      <c r="A506" s="81">
        <v>45558</v>
      </c>
      <c r="B506" s="147">
        <v>714.8</v>
      </c>
    </row>
    <row r="507" spans="1:2" x14ac:dyDescent="0.3">
      <c r="A507" s="81">
        <v>45555</v>
      </c>
      <c r="B507" s="147">
        <v>702.75</v>
      </c>
    </row>
    <row r="508" spans="1:2" x14ac:dyDescent="0.3">
      <c r="A508" s="81">
        <v>45554</v>
      </c>
      <c r="B508" s="147">
        <v>690.85</v>
      </c>
    </row>
    <row r="509" spans="1:2" x14ac:dyDescent="0.3">
      <c r="A509" s="81">
        <v>45553</v>
      </c>
      <c r="B509" s="147">
        <v>681.4</v>
      </c>
    </row>
    <row r="510" spans="1:2" x14ac:dyDescent="0.3">
      <c r="A510" s="81">
        <v>45552</v>
      </c>
      <c r="B510" s="147">
        <v>692.25</v>
      </c>
    </row>
    <row r="511" spans="1:2" x14ac:dyDescent="0.3">
      <c r="A511" s="81">
        <v>45551</v>
      </c>
      <c r="B511" s="147">
        <v>690.95</v>
      </c>
    </row>
    <row r="512" spans="1:2" x14ac:dyDescent="0.3">
      <c r="A512" s="81">
        <v>45548</v>
      </c>
      <c r="B512" s="147">
        <v>689.05</v>
      </c>
    </row>
    <row r="513" spans="1:2" x14ac:dyDescent="0.3">
      <c r="A513" s="81">
        <v>45547</v>
      </c>
      <c r="B513" s="147">
        <v>700.9</v>
      </c>
    </row>
    <row r="514" spans="1:2" x14ac:dyDescent="0.3">
      <c r="A514" s="81">
        <v>45546</v>
      </c>
      <c r="B514" s="147">
        <v>684.75</v>
      </c>
    </row>
    <row r="515" spans="1:2" x14ac:dyDescent="0.3">
      <c r="A515" s="81">
        <v>45545</v>
      </c>
      <c r="B515" s="147">
        <v>695</v>
      </c>
    </row>
    <row r="516" spans="1:2" x14ac:dyDescent="0.3">
      <c r="A516" s="81">
        <v>45544</v>
      </c>
      <c r="B516" s="147">
        <v>665.85</v>
      </c>
    </row>
    <row r="517" spans="1:2" x14ac:dyDescent="0.3">
      <c r="A517" s="81">
        <v>45541</v>
      </c>
      <c r="B517" s="147">
        <v>657.25</v>
      </c>
    </row>
    <row r="518" spans="1:2" x14ac:dyDescent="0.3">
      <c r="A518" s="81">
        <v>45540</v>
      </c>
      <c r="B518" s="147">
        <v>670.45</v>
      </c>
    </row>
    <row r="519" spans="1:2" x14ac:dyDescent="0.3">
      <c r="A519" s="81">
        <v>45539</v>
      </c>
      <c r="B519" s="147">
        <v>659.65</v>
      </c>
    </row>
    <row r="520" spans="1:2" x14ac:dyDescent="0.3">
      <c r="A520" s="81">
        <v>45538</v>
      </c>
      <c r="B520" s="147">
        <v>658.95</v>
      </c>
    </row>
    <row r="521" spans="1:2" x14ac:dyDescent="0.3">
      <c r="A521" s="81">
        <v>45537</v>
      </c>
      <c r="B521" s="147">
        <v>655.9</v>
      </c>
    </row>
    <row r="522" spans="1:2" x14ac:dyDescent="0.3">
      <c r="A522" s="81">
        <v>45534</v>
      </c>
      <c r="B522" s="147">
        <v>647.5</v>
      </c>
    </row>
    <row r="523" spans="1:2" x14ac:dyDescent="0.3">
      <c r="A523" s="81">
        <v>45533</v>
      </c>
      <c r="B523" s="147">
        <v>648.29999999999995</v>
      </c>
    </row>
    <row r="524" spans="1:2" x14ac:dyDescent="0.3">
      <c r="A524" s="81">
        <v>45532</v>
      </c>
      <c r="B524" s="147">
        <v>654.20000000000005</v>
      </c>
    </row>
    <row r="525" spans="1:2" x14ac:dyDescent="0.3">
      <c r="A525" s="81">
        <v>45531</v>
      </c>
      <c r="B525" s="147">
        <v>665.3</v>
      </c>
    </row>
    <row r="526" spans="1:2" x14ac:dyDescent="0.3">
      <c r="A526" s="81">
        <v>45530</v>
      </c>
      <c r="B526" s="147">
        <v>661.6</v>
      </c>
    </row>
    <row r="527" spans="1:2" x14ac:dyDescent="0.3">
      <c r="A527" s="81">
        <v>45527</v>
      </c>
      <c r="B527" s="147">
        <v>641.9</v>
      </c>
    </row>
    <row r="528" spans="1:2" x14ac:dyDescent="0.3">
      <c r="A528" s="81">
        <v>45526</v>
      </c>
      <c r="B528" s="147">
        <v>644.6</v>
      </c>
    </row>
    <row r="529" spans="1:2" x14ac:dyDescent="0.3">
      <c r="A529" s="81">
        <v>45525</v>
      </c>
      <c r="B529" s="147">
        <v>621.15</v>
      </c>
    </row>
    <row r="530" spans="1:2" x14ac:dyDescent="0.3">
      <c r="A530" s="81">
        <v>45524</v>
      </c>
      <c r="B530" s="147">
        <v>616.15</v>
      </c>
    </row>
    <row r="531" spans="1:2" x14ac:dyDescent="0.3">
      <c r="A531" s="81">
        <v>45523</v>
      </c>
      <c r="B531" s="147">
        <v>613.15</v>
      </c>
    </row>
    <row r="532" spans="1:2" x14ac:dyDescent="0.3">
      <c r="A532" s="81">
        <v>45520</v>
      </c>
      <c r="B532" s="147">
        <v>623.20000000000005</v>
      </c>
    </row>
    <row r="533" spans="1:2" x14ac:dyDescent="0.3">
      <c r="A533" s="81">
        <v>45518</v>
      </c>
      <c r="B533" s="147">
        <v>611.45000000000005</v>
      </c>
    </row>
    <row r="534" spans="1:2" x14ac:dyDescent="0.3">
      <c r="A534" s="81">
        <v>45517</v>
      </c>
      <c r="B534" s="147">
        <v>610.75</v>
      </c>
    </row>
    <row r="535" spans="1:2" x14ac:dyDescent="0.3">
      <c r="A535" s="81">
        <v>45516</v>
      </c>
      <c r="B535" s="147">
        <v>617.15</v>
      </c>
    </row>
    <row r="536" spans="1:2" x14ac:dyDescent="0.3">
      <c r="A536" s="81">
        <v>45513</v>
      </c>
      <c r="B536" s="147">
        <v>618.45000000000005</v>
      </c>
    </row>
    <row r="537" spans="1:2" x14ac:dyDescent="0.3">
      <c r="A537" s="81">
        <v>45512</v>
      </c>
      <c r="B537" s="147">
        <v>614.20000000000005</v>
      </c>
    </row>
    <row r="538" spans="1:2" x14ac:dyDescent="0.3">
      <c r="A538" s="81">
        <v>45511</v>
      </c>
      <c r="B538" s="147">
        <v>620.6</v>
      </c>
    </row>
    <row r="539" spans="1:2" x14ac:dyDescent="0.3">
      <c r="A539" s="81">
        <v>45510</v>
      </c>
      <c r="B539" s="147">
        <v>596.95000000000005</v>
      </c>
    </row>
    <row r="540" spans="1:2" x14ac:dyDescent="0.3">
      <c r="A540" s="81">
        <v>45509</v>
      </c>
      <c r="B540" s="147">
        <v>609.20000000000005</v>
      </c>
    </row>
    <row r="541" spans="1:2" x14ac:dyDescent="0.3">
      <c r="A541" s="81">
        <v>45506</v>
      </c>
      <c r="B541" s="147">
        <v>628.79999999999995</v>
      </c>
    </row>
    <row r="542" spans="1:2" x14ac:dyDescent="0.3">
      <c r="A542" s="81">
        <v>45505</v>
      </c>
      <c r="B542" s="147">
        <v>632.15</v>
      </c>
    </row>
    <row r="543" spans="1:2" x14ac:dyDescent="0.3">
      <c r="A543" s="81">
        <v>45504</v>
      </c>
      <c r="B543" s="147">
        <v>642.04999999999995</v>
      </c>
    </row>
    <row r="544" spans="1:2" x14ac:dyDescent="0.3">
      <c r="A544" s="81">
        <v>45503</v>
      </c>
      <c r="B544" s="147">
        <v>646.20000000000005</v>
      </c>
    </row>
    <row r="545" spans="1:2" x14ac:dyDescent="0.3">
      <c r="A545" s="81">
        <v>45502</v>
      </c>
      <c r="B545" s="147">
        <v>649.75</v>
      </c>
    </row>
    <row r="546" spans="1:2" x14ac:dyDescent="0.3">
      <c r="A546" s="81">
        <v>45499</v>
      </c>
      <c r="B546" s="147">
        <v>647</v>
      </c>
    </row>
    <row r="547" spans="1:2" x14ac:dyDescent="0.3">
      <c r="A547" s="81">
        <v>45498</v>
      </c>
      <c r="B547" s="147">
        <v>623.45000000000005</v>
      </c>
    </row>
    <row r="548" spans="1:2" x14ac:dyDescent="0.3">
      <c r="A548" s="81">
        <v>45497</v>
      </c>
      <c r="B548" s="147">
        <v>633.4</v>
      </c>
    </row>
    <row r="549" spans="1:2" x14ac:dyDescent="0.3">
      <c r="A549" s="81">
        <v>45496</v>
      </c>
      <c r="B549" s="147">
        <v>623.5</v>
      </c>
    </row>
    <row r="550" spans="1:2" x14ac:dyDescent="0.3">
      <c r="A550" s="81">
        <v>45495</v>
      </c>
      <c r="B550" s="147">
        <v>620.35</v>
      </c>
    </row>
    <row r="551" spans="1:2" x14ac:dyDescent="0.3">
      <c r="A551" s="81">
        <v>45492</v>
      </c>
      <c r="B551" s="147">
        <v>577.9</v>
      </c>
    </row>
    <row r="552" spans="1:2" x14ac:dyDescent="0.3">
      <c r="A552" s="81">
        <v>45491</v>
      </c>
      <c r="B552" s="147">
        <v>582.29999999999995</v>
      </c>
    </row>
    <row r="553" spans="1:2" x14ac:dyDescent="0.3">
      <c r="A553" s="81">
        <v>45489</v>
      </c>
      <c r="B553" s="147">
        <v>586.85</v>
      </c>
    </row>
    <row r="554" spans="1:2" x14ac:dyDescent="0.3">
      <c r="A554" s="81">
        <v>45488</v>
      </c>
      <c r="B554" s="147">
        <v>591.65</v>
      </c>
    </row>
    <row r="555" spans="1:2" x14ac:dyDescent="0.3">
      <c r="A555" s="81">
        <v>45485</v>
      </c>
      <c r="B555" s="147">
        <v>594.04999999999995</v>
      </c>
    </row>
    <row r="556" spans="1:2" x14ac:dyDescent="0.3">
      <c r="A556" s="81">
        <v>45484</v>
      </c>
      <c r="B556" s="147">
        <v>602.70000000000005</v>
      </c>
    </row>
    <row r="557" spans="1:2" x14ac:dyDescent="0.3">
      <c r="A557" s="81">
        <v>45483</v>
      </c>
      <c r="B557" s="147">
        <v>609.85</v>
      </c>
    </row>
    <row r="558" spans="1:2" x14ac:dyDescent="0.3">
      <c r="A558" s="81">
        <v>45482</v>
      </c>
      <c r="B558" s="147">
        <v>609</v>
      </c>
    </row>
    <row r="559" spans="1:2" x14ac:dyDescent="0.3">
      <c r="A559" s="81">
        <v>45481</v>
      </c>
      <c r="B559" s="147">
        <v>608.70000000000005</v>
      </c>
    </row>
    <row r="560" spans="1:2" x14ac:dyDescent="0.3">
      <c r="A560" s="81">
        <v>45478</v>
      </c>
      <c r="B560" s="147">
        <v>614.5</v>
      </c>
    </row>
    <row r="561" spans="1:2" x14ac:dyDescent="0.3">
      <c r="A561" s="81">
        <v>45477</v>
      </c>
      <c r="B561" s="147">
        <v>612.65</v>
      </c>
    </row>
    <row r="562" spans="1:2" x14ac:dyDescent="0.3">
      <c r="A562" s="81">
        <v>45476</v>
      </c>
      <c r="B562" s="147">
        <v>599.79999999999995</v>
      </c>
    </row>
    <row r="563" spans="1:2" x14ac:dyDescent="0.3">
      <c r="A563" s="81">
        <v>45475</v>
      </c>
      <c r="B563" s="147">
        <v>603.70000000000005</v>
      </c>
    </row>
    <row r="564" spans="1:2" x14ac:dyDescent="0.3">
      <c r="A564" s="81">
        <v>45474</v>
      </c>
      <c r="B564" s="147">
        <v>614.79999999999995</v>
      </c>
    </row>
    <row r="565" spans="1:2" x14ac:dyDescent="0.3">
      <c r="A565" s="81">
        <v>45471</v>
      </c>
      <c r="B565" s="147">
        <v>625.04999999999995</v>
      </c>
    </row>
    <row r="566" spans="1:2" x14ac:dyDescent="0.3">
      <c r="A566" s="81">
        <v>45470</v>
      </c>
      <c r="B566" s="147">
        <v>624.4</v>
      </c>
    </row>
    <row r="567" spans="1:2" x14ac:dyDescent="0.3">
      <c r="A567" s="81">
        <v>45469</v>
      </c>
      <c r="B567" s="147">
        <v>649.95000000000005</v>
      </c>
    </row>
    <row r="568" spans="1:2" x14ac:dyDescent="0.3">
      <c r="A568" s="81">
        <v>45468</v>
      </c>
      <c r="B568" s="147">
        <v>659.75</v>
      </c>
    </row>
    <row r="569" spans="1:2" x14ac:dyDescent="0.3">
      <c r="A569" s="81">
        <v>45467</v>
      </c>
      <c r="B569" s="147">
        <v>648.15</v>
      </c>
    </row>
    <row r="570" spans="1:2" x14ac:dyDescent="0.3">
      <c r="A570" s="81">
        <v>45464</v>
      </c>
      <c r="B570" s="147">
        <v>637.5</v>
      </c>
    </row>
    <row r="571" spans="1:2" x14ac:dyDescent="0.3">
      <c r="A571" s="81">
        <v>45463</v>
      </c>
      <c r="B571" s="147">
        <v>638.4</v>
      </c>
    </row>
    <row r="572" spans="1:2" x14ac:dyDescent="0.3">
      <c r="A572" s="81">
        <v>45462</v>
      </c>
      <c r="B572" s="147">
        <v>617.04999999999995</v>
      </c>
    </row>
    <row r="573" spans="1:2" x14ac:dyDescent="0.3">
      <c r="A573" s="81">
        <v>45461</v>
      </c>
      <c r="B573" s="147">
        <v>621.45000000000005</v>
      </c>
    </row>
    <row r="574" spans="1:2" x14ac:dyDescent="0.3">
      <c r="A574" s="81">
        <v>45457</v>
      </c>
      <c r="B574" s="147">
        <v>613.85</v>
      </c>
    </row>
    <row r="575" spans="1:2" x14ac:dyDescent="0.3">
      <c r="A575" s="81">
        <v>45456</v>
      </c>
      <c r="B575" s="147">
        <v>589.29999999999995</v>
      </c>
    </row>
    <row r="576" spans="1:2" x14ac:dyDescent="0.3">
      <c r="A576" s="81">
        <v>45455</v>
      </c>
      <c r="B576" s="147">
        <v>584.5</v>
      </c>
    </row>
    <row r="577" spans="1:2" x14ac:dyDescent="0.3">
      <c r="A577" s="81">
        <v>45454</v>
      </c>
      <c r="B577" s="147">
        <v>582.04999999999995</v>
      </c>
    </row>
    <row r="578" spans="1:2" x14ac:dyDescent="0.3">
      <c r="A578" s="81">
        <v>45453</v>
      </c>
      <c r="B578" s="147">
        <v>582.29999999999995</v>
      </c>
    </row>
    <row r="579" spans="1:2" x14ac:dyDescent="0.3">
      <c r="A579" s="81">
        <v>45450</v>
      </c>
      <c r="B579" s="147">
        <v>585.1</v>
      </c>
    </row>
    <row r="580" spans="1:2" x14ac:dyDescent="0.3">
      <c r="A580" s="81">
        <v>45449</v>
      </c>
      <c r="B580" s="147">
        <v>583.5</v>
      </c>
    </row>
    <row r="581" spans="1:2" x14ac:dyDescent="0.3">
      <c r="A581" s="81">
        <v>45448</v>
      </c>
      <c r="B581" s="147">
        <v>572.9</v>
      </c>
    </row>
    <row r="582" spans="1:2" x14ac:dyDescent="0.3">
      <c r="A582" s="81">
        <v>45447</v>
      </c>
      <c r="B582" s="147">
        <v>530.29999999999995</v>
      </c>
    </row>
    <row r="583" spans="1:2" x14ac:dyDescent="0.3">
      <c r="A583" s="81">
        <v>45446</v>
      </c>
      <c r="B583" s="147">
        <v>576.5</v>
      </c>
    </row>
    <row r="584" spans="1:2" x14ac:dyDescent="0.3">
      <c r="A584" s="81">
        <v>45443</v>
      </c>
      <c r="B584" s="147">
        <v>557.4</v>
      </c>
    </row>
    <row r="585" spans="1:2" x14ac:dyDescent="0.3">
      <c r="A585" s="81">
        <v>45442</v>
      </c>
      <c r="B585" s="147">
        <v>557.20000000000005</v>
      </c>
    </row>
    <row r="586" spans="1:2" x14ac:dyDescent="0.3">
      <c r="A586" s="81">
        <v>45441</v>
      </c>
      <c r="B586" s="147">
        <v>565.85</v>
      </c>
    </row>
    <row r="587" spans="1:2" x14ac:dyDescent="0.3">
      <c r="A587" s="81">
        <v>45440</v>
      </c>
      <c r="B587" s="147">
        <v>572.45000000000005</v>
      </c>
    </row>
    <row r="588" spans="1:2" x14ac:dyDescent="0.3">
      <c r="A588" s="81">
        <v>45439</v>
      </c>
      <c r="B588" s="147">
        <v>581.1</v>
      </c>
    </row>
    <row r="589" spans="1:2" x14ac:dyDescent="0.3">
      <c r="A589" s="81">
        <v>45436</v>
      </c>
      <c r="B589" s="147">
        <v>569.85</v>
      </c>
    </row>
    <row r="590" spans="1:2" x14ac:dyDescent="0.3">
      <c r="A590" s="81">
        <v>45435</v>
      </c>
      <c r="B590" s="147">
        <v>567.54999999999995</v>
      </c>
    </row>
    <row r="591" spans="1:2" x14ac:dyDescent="0.3">
      <c r="A591" s="81">
        <v>45434</v>
      </c>
      <c r="B591" s="147">
        <v>573.15</v>
      </c>
    </row>
    <row r="592" spans="1:2" x14ac:dyDescent="0.3">
      <c r="A592" s="81">
        <v>45433</v>
      </c>
      <c r="B592" s="147">
        <v>569.15</v>
      </c>
    </row>
    <row r="593" spans="1:2" x14ac:dyDescent="0.3">
      <c r="A593" s="81">
        <v>45430</v>
      </c>
      <c r="B593" s="147">
        <v>570.6</v>
      </c>
    </row>
    <row r="594" spans="1:2" x14ac:dyDescent="0.3">
      <c r="A594" s="81">
        <v>45429</v>
      </c>
      <c r="B594" s="147">
        <v>571.1</v>
      </c>
    </row>
    <row r="595" spans="1:2" x14ac:dyDescent="0.3">
      <c r="A595" s="81">
        <v>45428</v>
      </c>
      <c r="B595" s="147">
        <v>568.79999999999995</v>
      </c>
    </row>
    <row r="596" spans="1:2" x14ac:dyDescent="0.3">
      <c r="A596" s="81">
        <v>45427</v>
      </c>
      <c r="B596" s="147">
        <v>560.9</v>
      </c>
    </row>
    <row r="597" spans="1:2" x14ac:dyDescent="0.3">
      <c r="A597" s="81">
        <v>45426</v>
      </c>
      <c r="B597" s="147">
        <v>564.54999999999995</v>
      </c>
    </row>
    <row r="598" spans="1:2" x14ac:dyDescent="0.3">
      <c r="A598" s="81">
        <v>45425</v>
      </c>
      <c r="B598" s="147">
        <v>557.4</v>
      </c>
    </row>
    <row r="599" spans="1:2" x14ac:dyDescent="0.3">
      <c r="A599" s="81">
        <v>45422</v>
      </c>
      <c r="B599" s="147">
        <v>543.54999999999995</v>
      </c>
    </row>
    <row r="600" spans="1:2" x14ac:dyDescent="0.3">
      <c r="A600" s="81">
        <v>45421</v>
      </c>
      <c r="B600" s="147">
        <v>550.65</v>
      </c>
    </row>
    <row r="601" spans="1:2" x14ac:dyDescent="0.3">
      <c r="A601" s="81">
        <v>45420</v>
      </c>
      <c r="B601" s="147">
        <v>563.54999999999995</v>
      </c>
    </row>
    <row r="602" spans="1:2" x14ac:dyDescent="0.3">
      <c r="A602" s="81">
        <v>45419</v>
      </c>
      <c r="B602" s="147">
        <v>566.1</v>
      </c>
    </row>
    <row r="603" spans="1:2" x14ac:dyDescent="0.3">
      <c r="A603" s="81">
        <v>45418</v>
      </c>
      <c r="B603" s="147">
        <v>571.29999999999995</v>
      </c>
    </row>
    <row r="604" spans="1:2" x14ac:dyDescent="0.3">
      <c r="A604" s="81">
        <v>45415</v>
      </c>
      <c r="B604" s="147">
        <v>570.6</v>
      </c>
    </row>
    <row r="605" spans="1:2" x14ac:dyDescent="0.3">
      <c r="A605" s="81">
        <v>45414</v>
      </c>
      <c r="B605" s="147">
        <v>576.15</v>
      </c>
    </row>
    <row r="606" spans="1:2" x14ac:dyDescent="0.3">
      <c r="A606" s="81">
        <v>45412</v>
      </c>
      <c r="B606" s="147">
        <v>576.75</v>
      </c>
    </row>
    <row r="607" spans="1:2" x14ac:dyDescent="0.3">
      <c r="A607" s="81">
        <v>45411</v>
      </c>
      <c r="B607" s="147">
        <v>582.6</v>
      </c>
    </row>
    <row r="608" spans="1:2" x14ac:dyDescent="0.3">
      <c r="A608" s="81">
        <v>45408</v>
      </c>
      <c r="B608" s="147">
        <v>568.95000000000005</v>
      </c>
    </row>
    <row r="609" spans="1:2" x14ac:dyDescent="0.3">
      <c r="A609" s="81">
        <v>45407</v>
      </c>
      <c r="B609" s="147">
        <v>577.25</v>
      </c>
    </row>
    <row r="610" spans="1:2" x14ac:dyDescent="0.3">
      <c r="A610" s="81">
        <v>45406</v>
      </c>
      <c r="B610" s="147">
        <v>608</v>
      </c>
    </row>
    <row r="611" spans="1:2" x14ac:dyDescent="0.3">
      <c r="A611" s="81">
        <v>45405</v>
      </c>
      <c r="B611" s="147">
        <v>604.29999999999995</v>
      </c>
    </row>
    <row r="612" spans="1:2" x14ac:dyDescent="0.3">
      <c r="A612" s="81">
        <v>45404</v>
      </c>
      <c r="B612" s="147">
        <v>585.35</v>
      </c>
    </row>
    <row r="613" spans="1:2" x14ac:dyDescent="0.3">
      <c r="A613" s="81">
        <v>45401</v>
      </c>
      <c r="B613" s="147">
        <v>597.04999999999995</v>
      </c>
    </row>
    <row r="614" spans="1:2" x14ac:dyDescent="0.3">
      <c r="A614" s="81">
        <v>45400</v>
      </c>
      <c r="B614" s="147">
        <v>593.4</v>
      </c>
    </row>
    <row r="615" spans="1:2" x14ac:dyDescent="0.3">
      <c r="A615" s="81">
        <v>45398</v>
      </c>
      <c r="B615" s="147">
        <v>583.65</v>
      </c>
    </row>
    <row r="616" spans="1:2" x14ac:dyDescent="0.3">
      <c r="A616" s="81">
        <v>45397</v>
      </c>
      <c r="B616" s="147">
        <v>597.54999999999995</v>
      </c>
    </row>
    <row r="617" spans="1:2" x14ac:dyDescent="0.3">
      <c r="A617" s="81">
        <v>45394</v>
      </c>
      <c r="B617" s="147">
        <v>607.45000000000005</v>
      </c>
    </row>
    <row r="618" spans="1:2" x14ac:dyDescent="0.3">
      <c r="A618" s="81">
        <v>45392</v>
      </c>
      <c r="B618" s="147">
        <v>596.45000000000005</v>
      </c>
    </row>
    <row r="619" spans="1:2" x14ac:dyDescent="0.3">
      <c r="A619" s="81">
        <v>45391</v>
      </c>
      <c r="B619" s="147">
        <v>597.1</v>
      </c>
    </row>
    <row r="620" spans="1:2" x14ac:dyDescent="0.3">
      <c r="A620" s="81">
        <v>45390</v>
      </c>
      <c r="B620" s="147">
        <v>605.1</v>
      </c>
    </row>
    <row r="621" spans="1:2" x14ac:dyDescent="0.3">
      <c r="A621" s="81">
        <v>45387</v>
      </c>
      <c r="B621" s="147">
        <v>613.29999999999995</v>
      </c>
    </row>
    <row r="622" spans="1:2" x14ac:dyDescent="0.3">
      <c r="A622" s="81">
        <v>45386</v>
      </c>
      <c r="B622" s="147">
        <v>617.95000000000005</v>
      </c>
    </row>
    <row r="623" spans="1:2" x14ac:dyDescent="0.3">
      <c r="A623" s="81">
        <v>45385</v>
      </c>
      <c r="B623" s="147">
        <v>614.15</v>
      </c>
    </row>
    <row r="624" spans="1:2" x14ac:dyDescent="0.3">
      <c r="A624" s="81">
        <v>45384</v>
      </c>
      <c r="B624" s="147">
        <v>605.70000000000005</v>
      </c>
    </row>
    <row r="625" spans="1:2" x14ac:dyDescent="0.3">
      <c r="A625" s="81">
        <v>45383</v>
      </c>
      <c r="B625" s="147">
        <v>601.4</v>
      </c>
    </row>
    <row r="626" spans="1:2" x14ac:dyDescent="0.3">
      <c r="A626" s="81">
        <v>45379</v>
      </c>
      <c r="B626" s="147">
        <v>591.15</v>
      </c>
    </row>
    <row r="627" spans="1:2" x14ac:dyDescent="0.3">
      <c r="A627" s="81">
        <v>45378</v>
      </c>
      <c r="B627" s="147">
        <v>585.85</v>
      </c>
    </row>
    <row r="628" spans="1:2" x14ac:dyDescent="0.3">
      <c r="A628" s="81">
        <v>45377</v>
      </c>
      <c r="B628" s="147">
        <v>568.95000000000005</v>
      </c>
    </row>
    <row r="629" spans="1:2" x14ac:dyDescent="0.3">
      <c r="A629" s="81">
        <v>45373</v>
      </c>
      <c r="B629" s="147">
        <v>557.04999999999995</v>
      </c>
    </row>
    <row r="630" spans="1:2" x14ac:dyDescent="0.3">
      <c r="A630" s="81">
        <v>45372</v>
      </c>
      <c r="B630" s="147">
        <v>563.4</v>
      </c>
    </row>
    <row r="631" spans="1:2" x14ac:dyDescent="0.3">
      <c r="A631" s="81">
        <v>45371</v>
      </c>
      <c r="B631" s="147">
        <v>547.9</v>
      </c>
    </row>
    <row r="632" spans="1:2" x14ac:dyDescent="0.3">
      <c r="A632" s="81">
        <v>45370</v>
      </c>
      <c r="B632" s="147">
        <v>549.1</v>
      </c>
    </row>
    <row r="633" spans="1:2" x14ac:dyDescent="0.3">
      <c r="A633" s="81">
        <v>45369</v>
      </c>
      <c r="B633" s="147">
        <v>552.9</v>
      </c>
    </row>
    <row r="634" spans="1:2" x14ac:dyDescent="0.3">
      <c r="A634" s="81">
        <v>45366</v>
      </c>
      <c r="B634" s="147">
        <v>562.29999999999995</v>
      </c>
    </row>
    <row r="635" spans="1:2" x14ac:dyDescent="0.3">
      <c r="A635" s="81">
        <v>45365</v>
      </c>
      <c r="B635" s="147">
        <v>565.35</v>
      </c>
    </row>
    <row r="636" spans="1:2" x14ac:dyDescent="0.3">
      <c r="A636" s="81">
        <v>45364</v>
      </c>
      <c r="B636" s="147">
        <v>544.70000000000005</v>
      </c>
    </row>
    <row r="637" spans="1:2" x14ac:dyDescent="0.3">
      <c r="A637" s="81">
        <v>45363</v>
      </c>
      <c r="B637" s="147">
        <v>568.25</v>
      </c>
    </row>
    <row r="638" spans="1:2" x14ac:dyDescent="0.3">
      <c r="A638" s="81">
        <v>45362</v>
      </c>
      <c r="B638" s="147">
        <v>572.9</v>
      </c>
    </row>
    <row r="639" spans="1:2" x14ac:dyDescent="0.3">
      <c r="A639" s="81">
        <v>45358</v>
      </c>
      <c r="B639" s="147">
        <v>587.70000000000005</v>
      </c>
    </row>
    <row r="640" spans="1:2" x14ac:dyDescent="0.3">
      <c r="A640" s="81">
        <v>45357</v>
      </c>
      <c r="B640" s="147">
        <v>574.1</v>
      </c>
    </row>
    <row r="641" spans="1:2" x14ac:dyDescent="0.3">
      <c r="A641" s="81">
        <v>45356</v>
      </c>
      <c r="B641" s="147">
        <v>584.85</v>
      </c>
    </row>
    <row r="642" spans="1:2" x14ac:dyDescent="0.3">
      <c r="A642" s="81">
        <v>45355</v>
      </c>
      <c r="B642" s="147">
        <v>588.35</v>
      </c>
    </row>
    <row r="643" spans="1:2" x14ac:dyDescent="0.3">
      <c r="A643" s="81">
        <v>45353</v>
      </c>
      <c r="B643" s="147">
        <v>589.5</v>
      </c>
    </row>
    <row r="644" spans="1:2" x14ac:dyDescent="0.3">
      <c r="A644" s="81">
        <v>45352</v>
      </c>
      <c r="B644" s="147">
        <v>589.25</v>
      </c>
    </row>
    <row r="645" spans="1:2" x14ac:dyDescent="0.3">
      <c r="A645" s="81">
        <v>45351</v>
      </c>
      <c r="B645" s="147">
        <v>586.70000000000005</v>
      </c>
    </row>
    <row r="646" spans="1:2" x14ac:dyDescent="0.3">
      <c r="A646" s="81">
        <v>45350</v>
      </c>
      <c r="B646" s="147">
        <v>570.9</v>
      </c>
    </row>
    <row r="647" spans="1:2" x14ac:dyDescent="0.3">
      <c r="A647" s="81">
        <v>45349</v>
      </c>
      <c r="B647" s="147">
        <v>589.25</v>
      </c>
    </row>
    <row r="648" spans="1:2" x14ac:dyDescent="0.3">
      <c r="A648" s="81">
        <v>45348</v>
      </c>
      <c r="B648" s="147">
        <v>579.70000000000005</v>
      </c>
    </row>
    <row r="649" spans="1:2" x14ac:dyDescent="0.3">
      <c r="A649" s="81">
        <v>45345</v>
      </c>
      <c r="B649" s="147">
        <v>594.5</v>
      </c>
    </row>
    <row r="650" spans="1:2" x14ac:dyDescent="0.3">
      <c r="A650" s="81">
        <v>45344</v>
      </c>
      <c r="B650" s="147">
        <v>578.85</v>
      </c>
    </row>
    <row r="651" spans="1:2" x14ac:dyDescent="0.3">
      <c r="A651" s="81">
        <v>45343</v>
      </c>
      <c r="B651" s="147">
        <v>557</v>
      </c>
    </row>
    <row r="652" spans="1:2" x14ac:dyDescent="0.3">
      <c r="A652" s="81">
        <v>45342</v>
      </c>
      <c r="B652" s="147">
        <v>548.65</v>
      </c>
    </row>
    <row r="653" spans="1:2" x14ac:dyDescent="0.3">
      <c r="A653" s="81">
        <v>45341</v>
      </c>
      <c r="B653" s="147">
        <v>542.45000000000005</v>
      </c>
    </row>
    <row r="654" spans="1:2" x14ac:dyDescent="0.3">
      <c r="A654" s="81">
        <v>45338</v>
      </c>
      <c r="B654" s="147">
        <v>537.54999999999995</v>
      </c>
    </row>
    <row r="655" spans="1:2" x14ac:dyDescent="0.3">
      <c r="A655" s="81">
        <v>45337</v>
      </c>
      <c r="B655" s="147">
        <v>527.6</v>
      </c>
    </row>
    <row r="656" spans="1:2" x14ac:dyDescent="0.3">
      <c r="A656" s="81">
        <v>45336</v>
      </c>
      <c r="B656" s="147">
        <v>527.70000000000005</v>
      </c>
    </row>
    <row r="657" spans="1:2" x14ac:dyDescent="0.3">
      <c r="A657" s="81">
        <v>45335</v>
      </c>
      <c r="B657" s="147">
        <v>523.6</v>
      </c>
    </row>
    <row r="658" spans="1:2" x14ac:dyDescent="0.3">
      <c r="A658" s="81">
        <v>45334</v>
      </c>
      <c r="B658" s="147">
        <v>530.4</v>
      </c>
    </row>
    <row r="659" spans="1:2" x14ac:dyDescent="0.3">
      <c r="A659" s="81">
        <v>45331</v>
      </c>
      <c r="B659" s="147">
        <v>532.95000000000005</v>
      </c>
    </row>
    <row r="660" spans="1:2" x14ac:dyDescent="0.3">
      <c r="A660" s="81">
        <v>45330</v>
      </c>
      <c r="B660" s="147">
        <v>525.1</v>
      </c>
    </row>
    <row r="661" spans="1:2" x14ac:dyDescent="0.3">
      <c r="A661" s="81">
        <v>45329</v>
      </c>
      <c r="B661" s="147">
        <v>524.75</v>
      </c>
    </row>
    <row r="662" spans="1:2" x14ac:dyDescent="0.3">
      <c r="A662" s="81">
        <v>45328</v>
      </c>
      <c r="B662" s="147">
        <v>506.15</v>
      </c>
    </row>
    <row r="663" spans="1:2" x14ac:dyDescent="0.3">
      <c r="A663" s="81">
        <v>45327</v>
      </c>
      <c r="B663" s="147">
        <v>509.1</v>
      </c>
    </row>
    <row r="664" spans="1:2" x14ac:dyDescent="0.3">
      <c r="A664" s="81">
        <v>45324</v>
      </c>
      <c r="B664" s="147">
        <v>500</v>
      </c>
    </row>
    <row r="665" spans="1:2" x14ac:dyDescent="0.3">
      <c r="A665" s="81">
        <v>45323</v>
      </c>
      <c r="B665" s="147">
        <v>494.55</v>
      </c>
    </row>
    <row r="666" spans="1:2" x14ac:dyDescent="0.3">
      <c r="A666" s="81">
        <v>45322</v>
      </c>
      <c r="B666" s="147">
        <v>492.65</v>
      </c>
    </row>
    <row r="667" spans="1:2" x14ac:dyDescent="0.3">
      <c r="A667" s="81">
        <v>45321</v>
      </c>
      <c r="B667" s="147">
        <v>493.2</v>
      </c>
    </row>
    <row r="668" spans="1:2" x14ac:dyDescent="0.3">
      <c r="A668" s="81">
        <v>45320</v>
      </c>
      <c r="B668" s="147">
        <v>496.15</v>
      </c>
    </row>
    <row r="669" spans="1:2" x14ac:dyDescent="0.3">
      <c r="A669" s="81">
        <v>45316</v>
      </c>
      <c r="B669" s="147">
        <v>473.6</v>
      </c>
    </row>
    <row r="670" spans="1:2" x14ac:dyDescent="0.3">
      <c r="A670" s="81">
        <v>45315</v>
      </c>
      <c r="B670" s="147">
        <v>480.35</v>
      </c>
    </row>
    <row r="671" spans="1:2" x14ac:dyDescent="0.3">
      <c r="A671" s="81">
        <v>45314</v>
      </c>
      <c r="B671" s="147">
        <v>471.3</v>
      </c>
    </row>
    <row r="672" spans="1:2" x14ac:dyDescent="0.3">
      <c r="A672" s="81">
        <v>45311</v>
      </c>
      <c r="B672" s="147">
        <v>479.1</v>
      </c>
    </row>
    <row r="673" spans="1:2" x14ac:dyDescent="0.3">
      <c r="A673" s="81">
        <v>45310</v>
      </c>
      <c r="B673" s="147">
        <v>482.2</v>
      </c>
    </row>
    <row r="674" spans="1:2" x14ac:dyDescent="0.3">
      <c r="A674" s="81">
        <v>45309</v>
      </c>
      <c r="B674" s="147">
        <v>463.6</v>
      </c>
    </row>
    <row r="675" spans="1:2" x14ac:dyDescent="0.3">
      <c r="A675" s="81">
        <v>45308</v>
      </c>
      <c r="B675" s="147">
        <v>461.95</v>
      </c>
    </row>
    <row r="676" spans="1:2" x14ac:dyDescent="0.3">
      <c r="A676" s="81">
        <v>45307</v>
      </c>
      <c r="B676" s="147">
        <v>468.45</v>
      </c>
    </row>
    <row r="677" spans="1:2" x14ac:dyDescent="0.3">
      <c r="A677" s="81">
        <v>45306</v>
      </c>
      <c r="B677" s="147">
        <v>476.95</v>
      </c>
    </row>
    <row r="678" spans="1:2" x14ac:dyDescent="0.3">
      <c r="A678" s="81">
        <v>45303</v>
      </c>
      <c r="B678" s="147">
        <v>461.55</v>
      </c>
    </row>
    <row r="679" spans="1:2" x14ac:dyDescent="0.3">
      <c r="A679" s="81">
        <v>45302</v>
      </c>
      <c r="B679" s="147">
        <v>459.55</v>
      </c>
    </row>
    <row r="680" spans="1:2" x14ac:dyDescent="0.3">
      <c r="A680" s="81">
        <v>45301</v>
      </c>
      <c r="B680" s="147">
        <v>458.4</v>
      </c>
    </row>
    <row r="681" spans="1:2" x14ac:dyDescent="0.3">
      <c r="A681" s="81">
        <v>45300</v>
      </c>
      <c r="B681" s="147">
        <v>458.55</v>
      </c>
    </row>
    <row r="682" spans="1:2" x14ac:dyDescent="0.3">
      <c r="A682" s="81">
        <v>45299</v>
      </c>
      <c r="B682" s="147">
        <v>451.65</v>
      </c>
    </row>
    <row r="683" spans="1:2" x14ac:dyDescent="0.3">
      <c r="A683" s="81">
        <v>45296</v>
      </c>
      <c r="B683" s="147">
        <v>456.05</v>
      </c>
    </row>
    <row r="684" spans="1:2" x14ac:dyDescent="0.3">
      <c r="A684" s="81">
        <v>45295</v>
      </c>
      <c r="B684" s="147">
        <v>462.8</v>
      </c>
    </row>
    <row r="685" spans="1:2" x14ac:dyDescent="0.3">
      <c r="A685" s="81">
        <v>45294</v>
      </c>
      <c r="B685" s="147">
        <v>451.45</v>
      </c>
    </row>
    <row r="686" spans="1:2" x14ac:dyDescent="0.3">
      <c r="A686" s="81">
        <v>45293</v>
      </c>
      <c r="B686" s="147">
        <v>438.2</v>
      </c>
    </row>
    <row r="687" spans="1:2" x14ac:dyDescent="0.3">
      <c r="A687" s="81">
        <v>45292</v>
      </c>
      <c r="B687" s="147">
        <v>436.1</v>
      </c>
    </row>
    <row r="688" spans="1:2" x14ac:dyDescent="0.3">
      <c r="A688" s="81">
        <v>45289</v>
      </c>
      <c r="B688" s="147">
        <v>438.35</v>
      </c>
    </row>
    <row r="689" spans="1:2" x14ac:dyDescent="0.3">
      <c r="A689" s="81">
        <v>45288</v>
      </c>
      <c r="B689" s="147">
        <v>433.45</v>
      </c>
    </row>
    <row r="690" spans="1:2" x14ac:dyDescent="0.3">
      <c r="A690" s="81">
        <v>45287</v>
      </c>
      <c r="B690" s="147">
        <v>436.85</v>
      </c>
    </row>
    <row r="691" spans="1:2" x14ac:dyDescent="0.3">
      <c r="A691" s="81">
        <v>45286</v>
      </c>
      <c r="B691" s="147">
        <v>436.55</v>
      </c>
    </row>
    <row r="692" spans="1:2" x14ac:dyDescent="0.3">
      <c r="A692" s="81">
        <v>45282</v>
      </c>
      <c r="B692" s="147">
        <v>439.2</v>
      </c>
    </row>
    <row r="693" spans="1:2" x14ac:dyDescent="0.3">
      <c r="A693" s="81">
        <v>45281</v>
      </c>
      <c r="B693" s="147">
        <v>429.35</v>
      </c>
    </row>
    <row r="694" spans="1:2" x14ac:dyDescent="0.3">
      <c r="A694" s="81">
        <v>45280</v>
      </c>
      <c r="B694" s="147">
        <v>424.25</v>
      </c>
    </row>
    <row r="695" spans="1:2" x14ac:dyDescent="0.3">
      <c r="A695" s="81">
        <v>45279</v>
      </c>
      <c r="B695" s="147">
        <v>444.55</v>
      </c>
    </row>
    <row r="696" spans="1:2" x14ac:dyDescent="0.3">
      <c r="A696" s="81">
        <v>45278</v>
      </c>
      <c r="B696" s="147">
        <v>448.9</v>
      </c>
    </row>
    <row r="697" spans="1:2" x14ac:dyDescent="0.3">
      <c r="A697" s="81">
        <v>45275</v>
      </c>
      <c r="B697" s="147">
        <v>439.65</v>
      </c>
    </row>
    <row r="698" spans="1:2" x14ac:dyDescent="0.3">
      <c r="A698" s="81">
        <v>45274</v>
      </c>
      <c r="B698" s="147">
        <v>441.25</v>
      </c>
    </row>
    <row r="699" spans="1:2" x14ac:dyDescent="0.3">
      <c r="A699" s="81">
        <v>45273</v>
      </c>
      <c r="B699" s="147">
        <v>434.55</v>
      </c>
    </row>
    <row r="700" spans="1:2" x14ac:dyDescent="0.3">
      <c r="A700" s="81">
        <v>45272</v>
      </c>
      <c r="B700" s="147">
        <v>438.25</v>
      </c>
    </row>
    <row r="701" spans="1:2" x14ac:dyDescent="0.3">
      <c r="A701" s="81">
        <v>45271</v>
      </c>
      <c r="B701" s="147">
        <v>441</v>
      </c>
    </row>
    <row r="702" spans="1:2" x14ac:dyDescent="0.3">
      <c r="A702" s="81">
        <v>45268</v>
      </c>
      <c r="B702" s="147">
        <v>435.5</v>
      </c>
    </row>
    <row r="703" spans="1:2" x14ac:dyDescent="0.3">
      <c r="A703" s="81">
        <v>45267</v>
      </c>
      <c r="B703" s="147">
        <v>440.45</v>
      </c>
    </row>
    <row r="704" spans="1:2" x14ac:dyDescent="0.3">
      <c r="A704" s="81">
        <v>45266</v>
      </c>
      <c r="B704" s="147">
        <v>437.95</v>
      </c>
    </row>
    <row r="705" spans="1:2" x14ac:dyDescent="0.3">
      <c r="A705" s="81">
        <v>45265</v>
      </c>
      <c r="B705" s="147">
        <v>434.5</v>
      </c>
    </row>
    <row r="706" spans="1:2" x14ac:dyDescent="0.3">
      <c r="A706" s="81">
        <v>45264</v>
      </c>
      <c r="B706" s="147">
        <v>434</v>
      </c>
    </row>
    <row r="707" spans="1:2" x14ac:dyDescent="0.3">
      <c r="A707" s="81">
        <v>45261</v>
      </c>
      <c r="B707" s="147">
        <v>426.4</v>
      </c>
    </row>
    <row r="708" spans="1:2" x14ac:dyDescent="0.3">
      <c r="A708" s="81">
        <v>45260</v>
      </c>
      <c r="B708" s="147">
        <v>421.7</v>
      </c>
    </row>
    <row r="709" spans="1:2" x14ac:dyDescent="0.3">
      <c r="A709" s="81">
        <v>45259</v>
      </c>
      <c r="B709" s="147">
        <v>420.05</v>
      </c>
    </row>
    <row r="710" spans="1:2" x14ac:dyDescent="0.3">
      <c r="A710" s="81">
        <v>45258</v>
      </c>
      <c r="B710" s="147">
        <v>422.75</v>
      </c>
    </row>
    <row r="711" spans="1:2" x14ac:dyDescent="0.3">
      <c r="A711" s="81">
        <v>45254</v>
      </c>
      <c r="B711" s="147">
        <v>420.5</v>
      </c>
    </row>
    <row r="712" spans="1:2" x14ac:dyDescent="0.3">
      <c r="A712" s="81">
        <v>45253</v>
      </c>
      <c r="B712" s="147">
        <v>420.1</v>
      </c>
    </row>
    <row r="713" spans="1:2" x14ac:dyDescent="0.3">
      <c r="A713" s="81">
        <v>45252</v>
      </c>
      <c r="B713" s="147">
        <v>417</v>
      </c>
    </row>
    <row r="714" spans="1:2" x14ac:dyDescent="0.3">
      <c r="A714" s="81">
        <v>45251</v>
      </c>
      <c r="B714" s="147">
        <v>420.8</v>
      </c>
    </row>
    <row r="715" spans="1:2" x14ac:dyDescent="0.3">
      <c r="A715" s="81">
        <v>45250</v>
      </c>
      <c r="B715" s="147">
        <v>419.6</v>
      </c>
    </row>
    <row r="716" spans="1:2" x14ac:dyDescent="0.3">
      <c r="A716" s="81">
        <v>45247</v>
      </c>
      <c r="B716" s="147">
        <v>411.2</v>
      </c>
    </row>
    <row r="717" spans="1:2" x14ac:dyDescent="0.3">
      <c r="A717" s="81">
        <v>45246</v>
      </c>
      <c r="B717" s="147">
        <v>412.65</v>
      </c>
    </row>
    <row r="718" spans="1:2" x14ac:dyDescent="0.3">
      <c r="A718" s="81">
        <v>45245</v>
      </c>
      <c r="B718" s="147">
        <v>411.4</v>
      </c>
    </row>
    <row r="719" spans="1:2" x14ac:dyDescent="0.3">
      <c r="A719" s="81">
        <v>45243</v>
      </c>
      <c r="B719" s="147">
        <v>410.65</v>
      </c>
    </row>
    <row r="720" spans="1:2" x14ac:dyDescent="0.3">
      <c r="A720" s="81">
        <v>45242</v>
      </c>
      <c r="B720" s="147">
        <v>411.35</v>
      </c>
    </row>
    <row r="721" spans="1:2" x14ac:dyDescent="0.3">
      <c r="A721" s="81">
        <v>45240</v>
      </c>
      <c r="B721" s="147">
        <v>409.45</v>
      </c>
    </row>
    <row r="722" spans="1:2" x14ac:dyDescent="0.3">
      <c r="A722" s="81">
        <v>45239</v>
      </c>
      <c r="B722" s="147">
        <v>405.45</v>
      </c>
    </row>
    <row r="723" spans="1:2" x14ac:dyDescent="0.3">
      <c r="A723" s="81">
        <v>45238</v>
      </c>
      <c r="B723" s="147">
        <v>405.65</v>
      </c>
    </row>
    <row r="724" spans="1:2" x14ac:dyDescent="0.3">
      <c r="A724" s="81">
        <v>45237</v>
      </c>
      <c r="B724" s="147">
        <v>401.5</v>
      </c>
    </row>
    <row r="725" spans="1:2" x14ac:dyDescent="0.3">
      <c r="A725" s="81">
        <v>45236</v>
      </c>
      <c r="B725" s="147">
        <v>395.35</v>
      </c>
    </row>
    <row r="726" spans="1:2" x14ac:dyDescent="0.3">
      <c r="A726" s="81">
        <v>45233</v>
      </c>
      <c r="B726" s="147">
        <v>392.9</v>
      </c>
    </row>
    <row r="727" spans="1:2" x14ac:dyDescent="0.3">
      <c r="A727" s="81">
        <v>45232</v>
      </c>
      <c r="B727" s="147">
        <v>390.25</v>
      </c>
    </row>
    <row r="728" spans="1:2" x14ac:dyDescent="0.3">
      <c r="A728" s="81">
        <v>45231</v>
      </c>
      <c r="B728" s="147">
        <v>389.1</v>
      </c>
    </row>
    <row r="729" spans="1:2" x14ac:dyDescent="0.3">
      <c r="A729" s="81">
        <v>45230</v>
      </c>
      <c r="B729" s="147">
        <v>383.4</v>
      </c>
    </row>
    <row r="730" spans="1:2" x14ac:dyDescent="0.3">
      <c r="A730" s="81">
        <v>45229</v>
      </c>
      <c r="B730" s="147">
        <v>382.1</v>
      </c>
    </row>
    <row r="731" spans="1:2" x14ac:dyDescent="0.3">
      <c r="A731" s="81">
        <v>45226</v>
      </c>
      <c r="B731" s="147">
        <v>374.55</v>
      </c>
    </row>
    <row r="732" spans="1:2" x14ac:dyDescent="0.3">
      <c r="A732" s="81">
        <v>45225</v>
      </c>
      <c r="B732" s="147">
        <v>374.8</v>
      </c>
    </row>
    <row r="733" spans="1:2" x14ac:dyDescent="0.3">
      <c r="A733" s="81">
        <v>45224</v>
      </c>
      <c r="B733" s="147">
        <v>389.55</v>
      </c>
    </row>
    <row r="734" spans="1:2" x14ac:dyDescent="0.3">
      <c r="A734" s="81">
        <v>45222</v>
      </c>
      <c r="B734" s="147">
        <v>395.85</v>
      </c>
    </row>
    <row r="735" spans="1:2" x14ac:dyDescent="0.3">
      <c r="A735" s="81">
        <v>45219</v>
      </c>
      <c r="B735" s="147">
        <v>404.95</v>
      </c>
    </row>
    <row r="736" spans="1:2" x14ac:dyDescent="0.3">
      <c r="A736" s="81">
        <v>45218</v>
      </c>
      <c r="B736" s="147">
        <v>414</v>
      </c>
    </row>
    <row r="737" spans="1:2" x14ac:dyDescent="0.3">
      <c r="A737" s="81">
        <v>45217</v>
      </c>
      <c r="B737" s="147">
        <v>412.85</v>
      </c>
    </row>
    <row r="738" spans="1:2" x14ac:dyDescent="0.3">
      <c r="A738" s="81">
        <v>45216</v>
      </c>
      <c r="B738" s="147">
        <v>420.1</v>
      </c>
    </row>
    <row r="739" spans="1:2" x14ac:dyDescent="0.3">
      <c r="A739" s="81">
        <v>45215</v>
      </c>
      <c r="B739" s="147">
        <v>416.7</v>
      </c>
    </row>
    <row r="740" spans="1:2" x14ac:dyDescent="0.3">
      <c r="A740" s="81">
        <v>45212</v>
      </c>
      <c r="B740" s="147">
        <v>414.75</v>
      </c>
    </row>
    <row r="741" spans="1:2" x14ac:dyDescent="0.3">
      <c r="A741" s="81">
        <v>45211</v>
      </c>
      <c r="B741" s="147">
        <v>416.5</v>
      </c>
    </row>
    <row r="742" spans="1:2" x14ac:dyDescent="0.3">
      <c r="A742" s="81">
        <v>45210</v>
      </c>
      <c r="B742" s="147">
        <v>414.85</v>
      </c>
    </row>
    <row r="743" spans="1:2" x14ac:dyDescent="0.3">
      <c r="A743" s="81">
        <v>45209</v>
      </c>
      <c r="B743" s="147">
        <v>416.35</v>
      </c>
    </row>
    <row r="744" spans="1:2" x14ac:dyDescent="0.3">
      <c r="A744" s="81">
        <v>45208</v>
      </c>
      <c r="B744" s="147">
        <v>415.5</v>
      </c>
    </row>
    <row r="745" spans="1:2" x14ac:dyDescent="0.3">
      <c r="A745" s="81">
        <v>45205</v>
      </c>
      <c r="B745" s="147">
        <v>422.95</v>
      </c>
    </row>
    <row r="746" spans="1:2" x14ac:dyDescent="0.3">
      <c r="A746" s="81">
        <v>45204</v>
      </c>
      <c r="B746" s="147">
        <v>417.5</v>
      </c>
    </row>
    <row r="747" spans="1:2" x14ac:dyDescent="0.3">
      <c r="A747" s="81">
        <v>45203</v>
      </c>
      <c r="B747" s="147">
        <v>406.55</v>
      </c>
    </row>
    <row r="748" spans="1:2" x14ac:dyDescent="0.3">
      <c r="A748" s="81">
        <v>45202</v>
      </c>
      <c r="B748" s="147">
        <v>413</v>
      </c>
    </row>
    <row r="749" spans="1:2" x14ac:dyDescent="0.3">
      <c r="A749" s="81">
        <v>45198</v>
      </c>
      <c r="B749" s="147">
        <v>411.1</v>
      </c>
    </row>
    <row r="750" spans="1:2" x14ac:dyDescent="0.3">
      <c r="A750" s="81">
        <v>45197</v>
      </c>
      <c r="B750" s="147">
        <v>405.15</v>
      </c>
    </row>
    <row r="751" spans="1:2" x14ac:dyDescent="0.3">
      <c r="A751" s="81">
        <v>45196</v>
      </c>
      <c r="B751" s="147">
        <v>413.15</v>
      </c>
    </row>
    <row r="752" spans="1:2" x14ac:dyDescent="0.3">
      <c r="A752" s="81">
        <v>45195</v>
      </c>
      <c r="B752" s="147">
        <v>410.5</v>
      </c>
    </row>
    <row r="753" spans="1:2" x14ac:dyDescent="0.3">
      <c r="A753" s="81">
        <v>45194</v>
      </c>
      <c r="B753" s="147">
        <v>408.6</v>
      </c>
    </row>
    <row r="754" spans="1:2" x14ac:dyDescent="0.3">
      <c r="A754" s="81">
        <v>45191</v>
      </c>
      <c r="B754" s="147">
        <v>406.25</v>
      </c>
    </row>
    <row r="755" spans="1:2" x14ac:dyDescent="0.3">
      <c r="A755" s="81">
        <v>45190</v>
      </c>
      <c r="B755" s="147">
        <v>406.8</v>
      </c>
    </row>
    <row r="756" spans="1:2" x14ac:dyDescent="0.3">
      <c r="A756" s="81">
        <v>45189</v>
      </c>
      <c r="B756" s="147">
        <v>418</v>
      </c>
    </row>
    <row r="757" spans="1:2" x14ac:dyDescent="0.3">
      <c r="A757" s="81">
        <v>45187</v>
      </c>
      <c r="B757" s="147">
        <v>415.75</v>
      </c>
    </row>
    <row r="758" spans="1:2" x14ac:dyDescent="0.3">
      <c r="A758" s="81">
        <v>45184</v>
      </c>
      <c r="B758" s="147">
        <v>416.65</v>
      </c>
    </row>
    <row r="759" spans="1:2" x14ac:dyDescent="0.3">
      <c r="A759" s="81">
        <v>45183</v>
      </c>
      <c r="B759" s="147">
        <v>423.65</v>
      </c>
    </row>
    <row r="760" spans="1:2" x14ac:dyDescent="0.3">
      <c r="A760" s="81">
        <v>45182</v>
      </c>
      <c r="B760" s="147">
        <v>414.65</v>
      </c>
    </row>
    <row r="761" spans="1:2" x14ac:dyDescent="0.3">
      <c r="A761" s="81">
        <v>45181</v>
      </c>
      <c r="B761" s="147">
        <v>420.55</v>
      </c>
    </row>
    <row r="762" spans="1:2" x14ac:dyDescent="0.3">
      <c r="A762" s="81">
        <v>45180</v>
      </c>
      <c r="B762" s="147">
        <v>429.95</v>
      </c>
    </row>
    <row r="763" spans="1:2" x14ac:dyDescent="0.3">
      <c r="A763" s="81">
        <v>45177</v>
      </c>
      <c r="B763" s="147">
        <v>429.55</v>
      </c>
    </row>
    <row r="764" spans="1:2" x14ac:dyDescent="0.3">
      <c r="A764" s="81">
        <v>45176</v>
      </c>
      <c r="B764" s="147">
        <v>427</v>
      </c>
    </row>
    <row r="765" spans="1:2" x14ac:dyDescent="0.3">
      <c r="A765" s="81">
        <v>45175</v>
      </c>
      <c r="B765" s="147">
        <v>431.5</v>
      </c>
    </row>
    <row r="766" spans="1:2" x14ac:dyDescent="0.3">
      <c r="A766" s="81">
        <v>45174</v>
      </c>
      <c r="B766" s="147">
        <v>422.45</v>
      </c>
    </row>
    <row r="767" spans="1:2" x14ac:dyDescent="0.3">
      <c r="A767" s="81">
        <v>45173</v>
      </c>
      <c r="B767" s="147">
        <v>420.85</v>
      </c>
    </row>
    <row r="768" spans="1:2" x14ac:dyDescent="0.3">
      <c r="A768" s="81">
        <v>45170</v>
      </c>
      <c r="B768" s="147">
        <v>424.25</v>
      </c>
    </row>
    <row r="769" spans="1:2" x14ac:dyDescent="0.3">
      <c r="A769" s="81">
        <v>45169</v>
      </c>
      <c r="B769" s="147">
        <v>420.9</v>
      </c>
    </row>
    <row r="770" spans="1:2" x14ac:dyDescent="0.3">
      <c r="A770" s="81">
        <v>45168</v>
      </c>
      <c r="B770" s="147">
        <v>416.65</v>
      </c>
    </row>
    <row r="771" spans="1:2" x14ac:dyDescent="0.3">
      <c r="A771" s="81">
        <v>45167</v>
      </c>
      <c r="B771" s="147">
        <v>393.25</v>
      </c>
    </row>
    <row r="772" spans="1:2" x14ac:dyDescent="0.3">
      <c r="A772" s="81">
        <v>45166</v>
      </c>
      <c r="B772" s="147">
        <v>393.8</v>
      </c>
    </row>
    <row r="773" spans="1:2" x14ac:dyDescent="0.3">
      <c r="A773" s="81">
        <v>45163</v>
      </c>
      <c r="B773" s="147">
        <v>392</v>
      </c>
    </row>
    <row r="774" spans="1:2" x14ac:dyDescent="0.3">
      <c r="A774" s="81">
        <v>45162</v>
      </c>
      <c r="B774" s="147">
        <v>401.95</v>
      </c>
    </row>
    <row r="775" spans="1:2" x14ac:dyDescent="0.3">
      <c r="A775" s="81">
        <v>45161</v>
      </c>
      <c r="B775" s="147">
        <v>401.1</v>
      </c>
    </row>
    <row r="776" spans="1:2" x14ac:dyDescent="0.3">
      <c r="A776" s="81">
        <v>45160</v>
      </c>
      <c r="B776" s="147">
        <v>388.6</v>
      </c>
    </row>
    <row r="777" spans="1:2" x14ac:dyDescent="0.3">
      <c r="A777" s="81">
        <v>45159</v>
      </c>
      <c r="B777" s="147">
        <v>379.4</v>
      </c>
    </row>
    <row r="778" spans="1:2" x14ac:dyDescent="0.3">
      <c r="A778" s="81">
        <v>45156</v>
      </c>
      <c r="B778" s="147">
        <v>381.65</v>
      </c>
    </row>
    <row r="779" spans="1:2" x14ac:dyDescent="0.3">
      <c r="A779" s="81">
        <v>45155</v>
      </c>
      <c r="B779" s="147">
        <v>382.2</v>
      </c>
    </row>
    <row r="780" spans="1:2" x14ac:dyDescent="0.3">
      <c r="A780" s="81">
        <v>45154</v>
      </c>
      <c r="B780" s="147">
        <v>383.2</v>
      </c>
    </row>
    <row r="781" spans="1:2" x14ac:dyDescent="0.3">
      <c r="A781" s="81">
        <v>45152</v>
      </c>
      <c r="B781" s="147">
        <v>383.15</v>
      </c>
    </row>
    <row r="782" spans="1:2" x14ac:dyDescent="0.3">
      <c r="A782" s="81">
        <v>45149</v>
      </c>
      <c r="B782" s="147">
        <v>387.05</v>
      </c>
    </row>
    <row r="783" spans="1:2" x14ac:dyDescent="0.3">
      <c r="A783" s="81">
        <v>45148</v>
      </c>
      <c r="B783" s="147">
        <v>382.55</v>
      </c>
    </row>
    <row r="784" spans="1:2" x14ac:dyDescent="0.3">
      <c r="A784" s="81">
        <v>45147</v>
      </c>
      <c r="B784" s="147">
        <v>386.35</v>
      </c>
    </row>
    <row r="785" spans="1:2" x14ac:dyDescent="0.3">
      <c r="A785" s="81">
        <v>45146</v>
      </c>
      <c r="B785" s="147">
        <v>388.65</v>
      </c>
    </row>
    <row r="786" spans="1:2" x14ac:dyDescent="0.3">
      <c r="A786" s="81">
        <v>45145</v>
      </c>
      <c r="B786" s="147">
        <v>394.4</v>
      </c>
    </row>
    <row r="787" spans="1:2" x14ac:dyDescent="0.3">
      <c r="A787" s="81">
        <v>45142</v>
      </c>
      <c r="B787" s="147">
        <v>395.85</v>
      </c>
    </row>
    <row r="788" spans="1:2" x14ac:dyDescent="0.3">
      <c r="A788" s="81">
        <v>45141</v>
      </c>
      <c r="B788" s="147">
        <v>393.7</v>
      </c>
    </row>
    <row r="789" spans="1:2" x14ac:dyDescent="0.3">
      <c r="A789" s="81">
        <v>45140</v>
      </c>
      <c r="B789" s="147">
        <v>395.75</v>
      </c>
    </row>
    <row r="790" spans="1:2" x14ac:dyDescent="0.3">
      <c r="A790" s="81">
        <v>45139</v>
      </c>
      <c r="B790" s="147">
        <v>396.45</v>
      </c>
    </row>
    <row r="791" spans="1:2" x14ac:dyDescent="0.3">
      <c r="A791" s="81">
        <v>45138</v>
      </c>
      <c r="B791" s="147">
        <v>395.1</v>
      </c>
    </row>
    <row r="792" spans="1:2" x14ac:dyDescent="0.3">
      <c r="A792" s="81">
        <v>45135</v>
      </c>
      <c r="B792" s="147">
        <v>391.65</v>
      </c>
    </row>
    <row r="793" spans="1:2" x14ac:dyDescent="0.3">
      <c r="A793" s="81">
        <v>45134</v>
      </c>
      <c r="B793" s="147">
        <v>384.95</v>
      </c>
    </row>
    <row r="794" spans="1:2" x14ac:dyDescent="0.3">
      <c r="A794" s="81">
        <v>45133</v>
      </c>
      <c r="B794" s="147">
        <v>390.2</v>
      </c>
    </row>
    <row r="795" spans="1:2" x14ac:dyDescent="0.3">
      <c r="A795" s="81">
        <v>45132</v>
      </c>
      <c r="B795" s="147">
        <v>392.15</v>
      </c>
    </row>
    <row r="796" spans="1:2" x14ac:dyDescent="0.3">
      <c r="A796" s="81">
        <v>45131</v>
      </c>
      <c r="B796" s="147">
        <v>391.6</v>
      </c>
    </row>
    <row r="797" spans="1:2" x14ac:dyDescent="0.3">
      <c r="A797" s="81">
        <v>45128</v>
      </c>
      <c r="B797" s="147">
        <v>393.75</v>
      </c>
    </row>
    <row r="798" spans="1:2" x14ac:dyDescent="0.3">
      <c r="A798" s="81">
        <v>45127</v>
      </c>
      <c r="B798" s="147">
        <v>398.6</v>
      </c>
    </row>
    <row r="799" spans="1:2" x14ac:dyDescent="0.3">
      <c r="A799" s="81">
        <v>45126</v>
      </c>
      <c r="B799" s="147">
        <v>400.25</v>
      </c>
    </row>
    <row r="800" spans="1:2" x14ac:dyDescent="0.3">
      <c r="A800" s="81">
        <v>45125</v>
      </c>
      <c r="B800" s="147">
        <v>388.3</v>
      </c>
    </row>
    <row r="801" spans="1:2" x14ac:dyDescent="0.3">
      <c r="A801" s="81">
        <v>45124</v>
      </c>
      <c r="B801" s="147">
        <v>390.1</v>
      </c>
    </row>
    <row r="802" spans="1:2" x14ac:dyDescent="0.3">
      <c r="A802" s="81">
        <v>45121</v>
      </c>
      <c r="B802" s="147">
        <v>389.65</v>
      </c>
    </row>
    <row r="803" spans="1:2" x14ac:dyDescent="0.3">
      <c r="A803" s="81">
        <v>45120</v>
      </c>
      <c r="B803" s="147">
        <v>387.45</v>
      </c>
    </row>
    <row r="804" spans="1:2" x14ac:dyDescent="0.3">
      <c r="A804" s="81">
        <v>45119</v>
      </c>
      <c r="B804" s="147">
        <v>392.3</v>
      </c>
    </row>
    <row r="805" spans="1:2" x14ac:dyDescent="0.3">
      <c r="A805" s="81">
        <v>45118</v>
      </c>
      <c r="B805" s="147">
        <v>391.95</v>
      </c>
    </row>
    <row r="806" spans="1:2" x14ac:dyDescent="0.3">
      <c r="A806" s="81">
        <v>45117</v>
      </c>
      <c r="B806" s="147">
        <v>384.85</v>
      </c>
    </row>
    <row r="807" spans="1:2" x14ac:dyDescent="0.3">
      <c r="A807" s="81">
        <v>45114</v>
      </c>
      <c r="B807" s="147">
        <v>382.45</v>
      </c>
    </row>
    <row r="808" spans="1:2" x14ac:dyDescent="0.3">
      <c r="A808" s="81">
        <v>45113</v>
      </c>
      <c r="B808" s="147">
        <v>385.15</v>
      </c>
    </row>
    <row r="809" spans="1:2" x14ac:dyDescent="0.3">
      <c r="A809" s="81">
        <v>45112</v>
      </c>
      <c r="B809" s="147">
        <v>380.35</v>
      </c>
    </row>
    <row r="810" spans="1:2" x14ac:dyDescent="0.3">
      <c r="A810" s="81">
        <v>45111</v>
      </c>
      <c r="B810" s="147">
        <v>380.75</v>
      </c>
    </row>
    <row r="811" spans="1:2" x14ac:dyDescent="0.3">
      <c r="A811" s="81">
        <v>45110</v>
      </c>
      <c r="B811" s="147">
        <v>390.4</v>
      </c>
    </row>
    <row r="812" spans="1:2" x14ac:dyDescent="0.3">
      <c r="A812" s="81">
        <v>45107</v>
      </c>
      <c r="B812" s="147">
        <v>392.5</v>
      </c>
    </row>
    <row r="813" spans="1:2" x14ac:dyDescent="0.3">
      <c r="A813" s="81">
        <v>45105</v>
      </c>
      <c r="B813" s="147">
        <v>396.45</v>
      </c>
    </row>
    <row r="814" spans="1:2" x14ac:dyDescent="0.3">
      <c r="A814" s="81">
        <v>45104</v>
      </c>
      <c r="B814" s="147">
        <v>383.55</v>
      </c>
    </row>
    <row r="815" spans="1:2" x14ac:dyDescent="0.3">
      <c r="A815" s="81">
        <v>45103</v>
      </c>
      <c r="B815" s="147">
        <v>383.6</v>
      </c>
    </row>
    <row r="816" spans="1:2" x14ac:dyDescent="0.3">
      <c r="A816" s="81">
        <v>45100</v>
      </c>
      <c r="B816" s="147">
        <v>380.4</v>
      </c>
    </row>
    <row r="817" spans="1:2" x14ac:dyDescent="0.3">
      <c r="A817" s="81">
        <v>45099</v>
      </c>
      <c r="B817" s="147">
        <v>382.65</v>
      </c>
    </row>
    <row r="818" spans="1:2" x14ac:dyDescent="0.3">
      <c r="A818" s="81">
        <v>45098</v>
      </c>
      <c r="B818" s="147">
        <v>396.8</v>
      </c>
    </row>
    <row r="819" spans="1:2" x14ac:dyDescent="0.3">
      <c r="A819" s="81">
        <v>45097</v>
      </c>
      <c r="B819" s="147">
        <v>394.5</v>
      </c>
    </row>
    <row r="820" spans="1:2" x14ac:dyDescent="0.3">
      <c r="A820" s="81">
        <v>45096</v>
      </c>
      <c r="B820" s="147">
        <v>396.15</v>
      </c>
    </row>
    <row r="821" spans="1:2" x14ac:dyDescent="0.3">
      <c r="A821" s="81">
        <v>45093</v>
      </c>
      <c r="B821" s="147">
        <v>403.25</v>
      </c>
    </row>
    <row r="822" spans="1:2" x14ac:dyDescent="0.3">
      <c r="A822" s="81">
        <v>45092</v>
      </c>
      <c r="B822" s="147">
        <v>393.45</v>
      </c>
    </row>
    <row r="823" spans="1:2" x14ac:dyDescent="0.3">
      <c r="A823" s="81">
        <v>45091</v>
      </c>
      <c r="B823" s="147">
        <v>391.3</v>
      </c>
    </row>
    <row r="824" spans="1:2" x14ac:dyDescent="0.3">
      <c r="A824" s="81">
        <v>45090</v>
      </c>
      <c r="B824" s="147">
        <v>393.35</v>
      </c>
    </row>
    <row r="825" spans="1:2" x14ac:dyDescent="0.3">
      <c r="A825" s="81">
        <v>45089</v>
      </c>
      <c r="B825" s="147">
        <v>387.7</v>
      </c>
    </row>
    <row r="826" spans="1:2" x14ac:dyDescent="0.3">
      <c r="A826" s="81">
        <v>45086</v>
      </c>
      <c r="B826" s="147">
        <v>381.95</v>
      </c>
    </row>
    <row r="827" spans="1:2" x14ac:dyDescent="0.3">
      <c r="A827" s="81">
        <v>45085</v>
      </c>
      <c r="B827" s="147">
        <v>380.8</v>
      </c>
    </row>
    <row r="828" spans="1:2" x14ac:dyDescent="0.3">
      <c r="A828" s="81">
        <v>45084</v>
      </c>
      <c r="B828" s="147">
        <v>395.85</v>
      </c>
    </row>
    <row r="829" spans="1:2" x14ac:dyDescent="0.3">
      <c r="A829" s="81">
        <v>45083</v>
      </c>
      <c r="B829" s="147">
        <v>389.25</v>
      </c>
    </row>
    <row r="830" spans="1:2" x14ac:dyDescent="0.3">
      <c r="A830" s="81">
        <v>45082</v>
      </c>
      <c r="B830" s="147">
        <v>389.8</v>
      </c>
    </row>
    <row r="831" spans="1:2" x14ac:dyDescent="0.3">
      <c r="A831" s="81">
        <v>45079</v>
      </c>
      <c r="B831" s="147">
        <v>395.65</v>
      </c>
    </row>
    <row r="832" spans="1:2" x14ac:dyDescent="0.3">
      <c r="A832" s="81">
        <v>45078</v>
      </c>
      <c r="B832" s="147">
        <v>395.7</v>
      </c>
    </row>
    <row r="833" spans="1:2" x14ac:dyDescent="0.3">
      <c r="A833" s="81">
        <v>45077</v>
      </c>
      <c r="B833" s="147">
        <v>389.7</v>
      </c>
    </row>
    <row r="834" spans="1:2" x14ac:dyDescent="0.3">
      <c r="A834" s="81">
        <v>45076</v>
      </c>
      <c r="B834" s="147">
        <v>385.45</v>
      </c>
    </row>
    <row r="835" spans="1:2" x14ac:dyDescent="0.3">
      <c r="A835" s="81">
        <v>45075</v>
      </c>
      <c r="B835" s="147">
        <v>380</v>
      </c>
    </row>
    <row r="836" spans="1:2" x14ac:dyDescent="0.3">
      <c r="A836" s="81">
        <v>45072</v>
      </c>
      <c r="B836" s="147">
        <v>383.95</v>
      </c>
    </row>
    <row r="837" spans="1:2" x14ac:dyDescent="0.3">
      <c r="A837" s="81">
        <v>45071</v>
      </c>
      <c r="B837" s="147">
        <v>380.6</v>
      </c>
    </row>
    <row r="838" spans="1:2" x14ac:dyDescent="0.3">
      <c r="A838" s="81">
        <v>45070</v>
      </c>
      <c r="B838" s="147">
        <v>375.25</v>
      </c>
    </row>
    <row r="839" spans="1:2" x14ac:dyDescent="0.3">
      <c r="A839" s="81">
        <v>45069</v>
      </c>
      <c r="B839" s="147">
        <v>371</v>
      </c>
    </row>
    <row r="840" spans="1:2" x14ac:dyDescent="0.3">
      <c r="A840" s="81">
        <v>45068</v>
      </c>
      <c r="B840" s="147">
        <v>371.2</v>
      </c>
    </row>
    <row r="841" spans="1:2" x14ac:dyDescent="0.3">
      <c r="A841" s="81">
        <v>45065</v>
      </c>
      <c r="B841" s="147">
        <v>372.35</v>
      </c>
    </row>
    <row r="842" spans="1:2" x14ac:dyDescent="0.3">
      <c r="A842" s="81">
        <v>45064</v>
      </c>
      <c r="B842" s="147">
        <v>366.6</v>
      </c>
    </row>
    <row r="843" spans="1:2" x14ac:dyDescent="0.3">
      <c r="A843" s="81">
        <v>45063</v>
      </c>
      <c r="B843" s="147">
        <v>367.5</v>
      </c>
    </row>
    <row r="844" spans="1:2" x14ac:dyDescent="0.3">
      <c r="A844" s="81">
        <v>45062</v>
      </c>
      <c r="B844" s="147">
        <v>363.75</v>
      </c>
    </row>
    <row r="845" spans="1:2" x14ac:dyDescent="0.3">
      <c r="A845" s="81">
        <v>45061</v>
      </c>
      <c r="B845" s="147">
        <v>353.35</v>
      </c>
    </row>
    <row r="846" spans="1:2" x14ac:dyDescent="0.3">
      <c r="A846" s="81">
        <v>45058</v>
      </c>
      <c r="B846" s="147">
        <v>357.6</v>
      </c>
    </row>
    <row r="847" spans="1:2" x14ac:dyDescent="0.3">
      <c r="A847" s="81">
        <v>45057</v>
      </c>
      <c r="B847" s="147">
        <v>365.55</v>
      </c>
    </row>
    <row r="848" spans="1:2" x14ac:dyDescent="0.3">
      <c r="A848" s="81">
        <v>45056</v>
      </c>
      <c r="B848" s="147">
        <v>371.35</v>
      </c>
    </row>
    <row r="849" spans="1:2" x14ac:dyDescent="0.3">
      <c r="A849" s="81">
        <v>45055</v>
      </c>
      <c r="B849" s="147">
        <v>374.25</v>
      </c>
    </row>
    <row r="850" spans="1:2" x14ac:dyDescent="0.3">
      <c r="A850" s="81">
        <v>45054</v>
      </c>
      <c r="B850" s="147">
        <v>370.1</v>
      </c>
    </row>
    <row r="851" spans="1:2" x14ac:dyDescent="0.3">
      <c r="A851" s="81">
        <v>45051</v>
      </c>
      <c r="B851" s="147">
        <v>358.7</v>
      </c>
    </row>
    <row r="852" spans="1:2" x14ac:dyDescent="0.3">
      <c r="A852" s="81">
        <v>45050</v>
      </c>
      <c r="B852" s="147">
        <v>357.2</v>
      </c>
    </row>
    <row r="853" spans="1:2" x14ac:dyDescent="0.3">
      <c r="A853" s="81">
        <v>45049</v>
      </c>
      <c r="B853" s="147">
        <v>354.9</v>
      </c>
    </row>
    <row r="854" spans="1:2" x14ac:dyDescent="0.3">
      <c r="A854" s="81">
        <v>45048</v>
      </c>
      <c r="B854" s="147">
        <v>347.45</v>
      </c>
    </row>
    <row r="855" spans="1:2" x14ac:dyDescent="0.3">
      <c r="A855" s="81">
        <v>45044</v>
      </c>
      <c r="B855" s="147">
        <v>339.1</v>
      </c>
    </row>
    <row r="856" spans="1:2" x14ac:dyDescent="0.3">
      <c r="A856" s="81">
        <v>45043</v>
      </c>
      <c r="B856" s="147">
        <v>340</v>
      </c>
    </row>
    <row r="857" spans="1:2" x14ac:dyDescent="0.3">
      <c r="A857" s="81">
        <v>45042</v>
      </c>
      <c r="B857" s="147">
        <v>340.95</v>
      </c>
    </row>
    <row r="858" spans="1:2" x14ac:dyDescent="0.3">
      <c r="A858" s="81">
        <v>45041</v>
      </c>
      <c r="B858" s="147">
        <v>338.85</v>
      </c>
    </row>
    <row r="859" spans="1:2" x14ac:dyDescent="0.3">
      <c r="A859" s="81">
        <v>45040</v>
      </c>
      <c r="B859" s="147">
        <v>339</v>
      </c>
    </row>
    <row r="860" spans="1:2" x14ac:dyDescent="0.3">
      <c r="A860" s="81">
        <v>45037</v>
      </c>
      <c r="B860" s="147">
        <v>336.75</v>
      </c>
    </row>
    <row r="861" spans="1:2" x14ac:dyDescent="0.3">
      <c r="A861" s="81">
        <v>45036</v>
      </c>
      <c r="B861" s="147">
        <v>335.1</v>
      </c>
    </row>
    <row r="862" spans="1:2" x14ac:dyDescent="0.3">
      <c r="A862" s="81">
        <v>45035</v>
      </c>
      <c r="B862" s="147">
        <v>330.55</v>
      </c>
    </row>
    <row r="863" spans="1:2" x14ac:dyDescent="0.3">
      <c r="A863" s="81">
        <v>45034</v>
      </c>
      <c r="B863" s="147">
        <v>330.4</v>
      </c>
    </row>
    <row r="864" spans="1:2" x14ac:dyDescent="0.3">
      <c r="A864" s="81">
        <v>45033</v>
      </c>
      <c r="B864" s="147">
        <v>332.4</v>
      </c>
    </row>
    <row r="865" spans="1:2" x14ac:dyDescent="0.3">
      <c r="A865" s="81">
        <v>45029</v>
      </c>
      <c r="B865" s="147">
        <v>328.05</v>
      </c>
    </row>
    <row r="866" spans="1:2" x14ac:dyDescent="0.3">
      <c r="A866" s="81">
        <v>45028</v>
      </c>
      <c r="B866" s="147">
        <v>330.75</v>
      </c>
    </row>
    <row r="867" spans="1:2" x14ac:dyDescent="0.3">
      <c r="A867" s="81">
        <v>45027</v>
      </c>
      <c r="B867" s="147">
        <v>327.35000000000002</v>
      </c>
    </row>
    <row r="868" spans="1:2" x14ac:dyDescent="0.3">
      <c r="A868" s="81">
        <v>45026</v>
      </c>
      <c r="B868" s="147">
        <v>328</v>
      </c>
    </row>
    <row r="869" spans="1:2" x14ac:dyDescent="0.3">
      <c r="A869" s="81">
        <v>45022</v>
      </c>
      <c r="B869" s="147">
        <v>326.75</v>
      </c>
    </row>
    <row r="870" spans="1:2" x14ac:dyDescent="0.3">
      <c r="A870" s="81">
        <v>45021</v>
      </c>
      <c r="B870" s="147">
        <v>323.89999999999998</v>
      </c>
    </row>
    <row r="871" spans="1:2" x14ac:dyDescent="0.3">
      <c r="A871" s="81">
        <v>45019</v>
      </c>
      <c r="B871" s="147">
        <v>321.05</v>
      </c>
    </row>
    <row r="872" spans="1:2" x14ac:dyDescent="0.3">
      <c r="A872" s="81">
        <v>45016</v>
      </c>
      <c r="B872" s="147">
        <v>324.35000000000002</v>
      </c>
    </row>
    <row r="873" spans="1:2" x14ac:dyDescent="0.3">
      <c r="A873" s="81">
        <v>45014</v>
      </c>
      <c r="B873" s="147">
        <v>319.05</v>
      </c>
    </row>
    <row r="874" spans="1:2" x14ac:dyDescent="0.3">
      <c r="A874" s="81">
        <v>45013</v>
      </c>
      <c r="B874" s="147">
        <v>312.10000000000002</v>
      </c>
    </row>
    <row r="875" spans="1:2" x14ac:dyDescent="0.3">
      <c r="A875" s="81">
        <v>45012</v>
      </c>
      <c r="B875" s="147">
        <v>304.95</v>
      </c>
    </row>
    <row r="876" spans="1:2" x14ac:dyDescent="0.3">
      <c r="A876" s="81">
        <v>45009</v>
      </c>
      <c r="B876" s="147">
        <v>310.45</v>
      </c>
    </row>
    <row r="877" spans="1:2" x14ac:dyDescent="0.3">
      <c r="A877" s="81">
        <v>45008</v>
      </c>
      <c r="B877" s="147">
        <v>314.05</v>
      </c>
    </row>
    <row r="878" spans="1:2" x14ac:dyDescent="0.3">
      <c r="A878" s="81">
        <v>45007</v>
      </c>
      <c r="B878" s="147">
        <v>315.10000000000002</v>
      </c>
    </row>
    <row r="879" spans="1:2" x14ac:dyDescent="0.3">
      <c r="A879" s="81">
        <v>45006</v>
      </c>
      <c r="B879" s="147">
        <v>317.85000000000002</v>
      </c>
    </row>
    <row r="880" spans="1:2" x14ac:dyDescent="0.3">
      <c r="A880" s="81">
        <v>45005</v>
      </c>
      <c r="B880" s="147">
        <v>315.10000000000002</v>
      </c>
    </row>
    <row r="881" spans="1:2" x14ac:dyDescent="0.3">
      <c r="A881" s="81">
        <v>45002</v>
      </c>
      <c r="B881" s="147">
        <v>321.85000000000002</v>
      </c>
    </row>
    <row r="882" spans="1:2" x14ac:dyDescent="0.3">
      <c r="A882" s="81">
        <v>45001</v>
      </c>
      <c r="B882" s="147">
        <v>320.89999999999998</v>
      </c>
    </row>
    <row r="883" spans="1:2" x14ac:dyDescent="0.3">
      <c r="A883" s="81">
        <v>45000</v>
      </c>
      <c r="B883" s="147">
        <v>315.64999999999998</v>
      </c>
    </row>
    <row r="884" spans="1:2" x14ac:dyDescent="0.3">
      <c r="A884" s="81">
        <v>44999</v>
      </c>
      <c r="B884" s="147">
        <v>315.64999999999998</v>
      </c>
    </row>
    <row r="885" spans="1:2" x14ac:dyDescent="0.3">
      <c r="A885" s="81">
        <v>44998</v>
      </c>
      <c r="B885" s="147">
        <v>312.14999999999998</v>
      </c>
    </row>
    <row r="886" spans="1:2" x14ac:dyDescent="0.3">
      <c r="A886" s="81">
        <v>44995</v>
      </c>
      <c r="B886" s="147">
        <v>317.35000000000002</v>
      </c>
    </row>
    <row r="887" spans="1:2" x14ac:dyDescent="0.3">
      <c r="A887" s="81">
        <v>44994</v>
      </c>
      <c r="B887" s="147">
        <v>321.8</v>
      </c>
    </row>
    <row r="888" spans="1:2" x14ac:dyDescent="0.3">
      <c r="A888" s="81">
        <v>44993</v>
      </c>
      <c r="B888" s="147">
        <v>327</v>
      </c>
    </row>
    <row r="889" spans="1:2" x14ac:dyDescent="0.3">
      <c r="A889" s="81">
        <v>44991</v>
      </c>
      <c r="B889" s="147">
        <v>319.7</v>
      </c>
    </row>
    <row r="890" spans="1:2" x14ac:dyDescent="0.3">
      <c r="A890" s="81">
        <v>44988</v>
      </c>
      <c r="B890" s="147">
        <v>318.05</v>
      </c>
    </row>
    <row r="891" spans="1:2" x14ac:dyDescent="0.3">
      <c r="A891" s="81">
        <v>44987</v>
      </c>
      <c r="B891" s="147">
        <v>315.10000000000002</v>
      </c>
    </row>
    <row r="892" spans="1:2" x14ac:dyDescent="0.3">
      <c r="A892" s="81">
        <v>44986</v>
      </c>
      <c r="B892" s="147">
        <v>315</v>
      </c>
    </row>
    <row r="893" spans="1:2" x14ac:dyDescent="0.3">
      <c r="A893" s="81">
        <v>44985</v>
      </c>
      <c r="B893" s="147">
        <v>310.75</v>
      </c>
    </row>
    <row r="894" spans="1:2" x14ac:dyDescent="0.3">
      <c r="A894" s="81">
        <v>44984</v>
      </c>
      <c r="B894" s="147">
        <v>315.10000000000002</v>
      </c>
    </row>
    <row r="895" spans="1:2" x14ac:dyDescent="0.3">
      <c r="A895" s="81">
        <v>44981</v>
      </c>
      <c r="B895" s="147">
        <v>309.60000000000002</v>
      </c>
    </row>
    <row r="896" spans="1:2" x14ac:dyDescent="0.3">
      <c r="A896" s="81">
        <v>44980</v>
      </c>
      <c r="B896" s="147">
        <v>308.3</v>
      </c>
    </row>
    <row r="897" spans="1:2" x14ac:dyDescent="0.3">
      <c r="A897" s="81">
        <v>44979</v>
      </c>
      <c r="B897" s="147">
        <v>299.60000000000002</v>
      </c>
    </row>
    <row r="898" spans="1:2" x14ac:dyDescent="0.3">
      <c r="A898" s="81">
        <v>44978</v>
      </c>
      <c r="B898" s="147">
        <v>309.85000000000002</v>
      </c>
    </row>
    <row r="899" spans="1:2" x14ac:dyDescent="0.3">
      <c r="A899" s="81">
        <v>44977</v>
      </c>
      <c r="B899" s="147">
        <v>314.75</v>
      </c>
    </row>
    <row r="900" spans="1:2" x14ac:dyDescent="0.3">
      <c r="A900" s="81">
        <v>44974</v>
      </c>
      <c r="B900" s="147">
        <v>318.10000000000002</v>
      </c>
    </row>
    <row r="901" spans="1:2" x14ac:dyDescent="0.3">
      <c r="A901" s="81">
        <v>44973</v>
      </c>
      <c r="B901" s="147">
        <v>321.95</v>
      </c>
    </row>
    <row r="902" spans="1:2" x14ac:dyDescent="0.3">
      <c r="A902" s="81">
        <v>44972</v>
      </c>
      <c r="B902" s="147">
        <v>315.05</v>
      </c>
    </row>
    <row r="903" spans="1:2" x14ac:dyDescent="0.3">
      <c r="A903" s="81">
        <v>44971</v>
      </c>
      <c r="B903" s="147">
        <v>314.25</v>
      </c>
    </row>
    <row r="904" spans="1:2" x14ac:dyDescent="0.3">
      <c r="A904" s="81">
        <v>44970</v>
      </c>
      <c r="B904" s="147">
        <v>317.39999999999998</v>
      </c>
    </row>
    <row r="905" spans="1:2" x14ac:dyDescent="0.3">
      <c r="A905" s="81">
        <v>44967</v>
      </c>
      <c r="B905" s="147">
        <v>323.75</v>
      </c>
    </row>
    <row r="906" spans="1:2" x14ac:dyDescent="0.3">
      <c r="A906" s="81">
        <v>44966</v>
      </c>
      <c r="B906" s="147">
        <v>319.64999999999998</v>
      </c>
    </row>
    <row r="907" spans="1:2" x14ac:dyDescent="0.3">
      <c r="A907" s="81">
        <v>44965</v>
      </c>
      <c r="B907" s="147">
        <v>318.45</v>
      </c>
    </row>
    <row r="908" spans="1:2" x14ac:dyDescent="0.3">
      <c r="A908" s="81">
        <v>44964</v>
      </c>
      <c r="B908" s="147">
        <v>316.45</v>
      </c>
    </row>
    <row r="909" spans="1:2" x14ac:dyDescent="0.3">
      <c r="A909" s="81">
        <v>44963</v>
      </c>
      <c r="B909" s="147">
        <v>314.75</v>
      </c>
    </row>
    <row r="910" spans="1:2" x14ac:dyDescent="0.3">
      <c r="A910" s="81">
        <v>44960</v>
      </c>
      <c r="B910" s="147">
        <v>318.25</v>
      </c>
    </row>
    <row r="911" spans="1:2" x14ac:dyDescent="0.3">
      <c r="A911" s="81">
        <v>44959</v>
      </c>
      <c r="B911" s="147">
        <v>318</v>
      </c>
    </row>
    <row r="912" spans="1:2" x14ac:dyDescent="0.3">
      <c r="A912" s="81">
        <v>44958</v>
      </c>
      <c r="B912" s="147">
        <v>326.7</v>
      </c>
    </row>
    <row r="913" spans="1:2" x14ac:dyDescent="0.3">
      <c r="A913" s="81">
        <v>44957</v>
      </c>
      <c r="B913" s="147">
        <v>301</v>
      </c>
    </row>
    <row r="914" spans="1:2" x14ac:dyDescent="0.3">
      <c r="A914" s="81">
        <v>44956</v>
      </c>
      <c r="B914" s="147">
        <v>291.3</v>
      </c>
    </row>
    <row r="915" spans="1:2" x14ac:dyDescent="0.3">
      <c r="A915" s="81">
        <v>44953</v>
      </c>
      <c r="B915" s="147">
        <v>286.45</v>
      </c>
    </row>
    <row r="916" spans="1:2" x14ac:dyDescent="0.3">
      <c r="A916" s="81">
        <v>44951</v>
      </c>
      <c r="B916" s="147">
        <v>291.45</v>
      </c>
    </row>
    <row r="917" spans="1:2" x14ac:dyDescent="0.3">
      <c r="A917" s="81">
        <v>44950</v>
      </c>
      <c r="B917" s="147">
        <v>300.64999999999998</v>
      </c>
    </row>
    <row r="918" spans="1:2" x14ac:dyDescent="0.3">
      <c r="A918" s="81">
        <v>44949</v>
      </c>
      <c r="B918" s="147">
        <v>298.05</v>
      </c>
    </row>
    <row r="919" spans="1:2" x14ac:dyDescent="0.3">
      <c r="A919" s="81">
        <v>44946</v>
      </c>
      <c r="B919" s="147">
        <v>295.55</v>
      </c>
    </row>
    <row r="920" spans="1:2" x14ac:dyDescent="0.3">
      <c r="A920" s="81">
        <v>44945</v>
      </c>
      <c r="B920" s="147">
        <v>299.7</v>
      </c>
    </row>
    <row r="921" spans="1:2" x14ac:dyDescent="0.3">
      <c r="A921" s="81">
        <v>44944</v>
      </c>
      <c r="B921" s="147">
        <v>303.8</v>
      </c>
    </row>
    <row r="922" spans="1:2" x14ac:dyDescent="0.3">
      <c r="A922" s="81">
        <v>44943</v>
      </c>
      <c r="B922" s="147">
        <v>309.39999999999998</v>
      </c>
    </row>
    <row r="923" spans="1:2" x14ac:dyDescent="0.3">
      <c r="A923" s="81">
        <v>44942</v>
      </c>
      <c r="B923" s="147">
        <v>305.3</v>
      </c>
    </row>
    <row r="924" spans="1:2" x14ac:dyDescent="0.3">
      <c r="A924" s="81">
        <v>44939</v>
      </c>
      <c r="B924" s="147">
        <v>309.35000000000002</v>
      </c>
    </row>
    <row r="925" spans="1:2" x14ac:dyDescent="0.3">
      <c r="A925" s="81">
        <v>44938</v>
      </c>
      <c r="B925" s="147">
        <v>309.8</v>
      </c>
    </row>
    <row r="926" spans="1:2" x14ac:dyDescent="0.3">
      <c r="A926" s="81">
        <v>44937</v>
      </c>
      <c r="B926" s="147">
        <v>310.35000000000002</v>
      </c>
    </row>
    <row r="927" spans="1:2" x14ac:dyDescent="0.3">
      <c r="A927" s="81">
        <v>44936</v>
      </c>
      <c r="B927" s="147">
        <v>310.35000000000002</v>
      </c>
    </row>
    <row r="928" spans="1:2" x14ac:dyDescent="0.3">
      <c r="A928" s="81">
        <v>44935</v>
      </c>
      <c r="B928" s="147">
        <v>314.55</v>
      </c>
    </row>
    <row r="929" spans="1:2" x14ac:dyDescent="0.3">
      <c r="A929" s="81">
        <v>44932</v>
      </c>
      <c r="B929" s="147">
        <v>310.3</v>
      </c>
    </row>
    <row r="930" spans="1:2" x14ac:dyDescent="0.3">
      <c r="A930" s="81">
        <v>44931</v>
      </c>
      <c r="B930" s="147">
        <v>314.45</v>
      </c>
    </row>
    <row r="931" spans="1:2" x14ac:dyDescent="0.3">
      <c r="A931" s="81">
        <v>44930</v>
      </c>
      <c r="B931" s="147">
        <v>314.60000000000002</v>
      </c>
    </row>
    <row r="932" spans="1:2" x14ac:dyDescent="0.3">
      <c r="A932" s="81">
        <v>44929</v>
      </c>
      <c r="B932" s="147">
        <v>320.2</v>
      </c>
    </row>
    <row r="933" spans="1:2" x14ac:dyDescent="0.3">
      <c r="A933" s="81">
        <v>44928</v>
      </c>
      <c r="B933" s="147">
        <v>317.2</v>
      </c>
    </row>
    <row r="934" spans="1:2" x14ac:dyDescent="0.3">
      <c r="A934" s="81">
        <v>44925</v>
      </c>
      <c r="B934" s="147">
        <v>318.64999999999998</v>
      </c>
    </row>
    <row r="935" spans="1:2" x14ac:dyDescent="0.3">
      <c r="A935" s="81">
        <v>44924</v>
      </c>
      <c r="B935" s="147">
        <v>313.64999999999998</v>
      </c>
    </row>
    <row r="936" spans="1:2" x14ac:dyDescent="0.3">
      <c r="A936" s="81">
        <v>44923</v>
      </c>
      <c r="B936" s="147">
        <v>316.10000000000002</v>
      </c>
    </row>
    <row r="937" spans="1:2" x14ac:dyDescent="0.3">
      <c r="A937" s="81">
        <v>44922</v>
      </c>
      <c r="B937" s="147">
        <v>314.45</v>
      </c>
    </row>
    <row r="938" spans="1:2" x14ac:dyDescent="0.3">
      <c r="A938" s="81">
        <v>44921</v>
      </c>
      <c r="B938" s="147">
        <v>314.35000000000002</v>
      </c>
    </row>
    <row r="939" spans="1:2" x14ac:dyDescent="0.3">
      <c r="A939" s="81">
        <v>44918</v>
      </c>
      <c r="B939" s="147">
        <v>299.5</v>
      </c>
    </row>
    <row r="940" spans="1:2" x14ac:dyDescent="0.3">
      <c r="A940" s="81">
        <v>44917</v>
      </c>
      <c r="B940" s="147">
        <v>304.05</v>
      </c>
    </row>
    <row r="941" spans="1:2" x14ac:dyDescent="0.3">
      <c r="A941" s="81">
        <v>44916</v>
      </c>
      <c r="B941" s="147">
        <v>309.45</v>
      </c>
    </row>
    <row r="942" spans="1:2" x14ac:dyDescent="0.3">
      <c r="A942" s="81">
        <v>44915</v>
      </c>
      <c r="B942" s="147">
        <v>324.60000000000002</v>
      </c>
    </row>
    <row r="943" spans="1:2" x14ac:dyDescent="0.3">
      <c r="A943" s="81">
        <v>44914</v>
      </c>
      <c r="B943" s="147">
        <v>326.8</v>
      </c>
    </row>
    <row r="944" spans="1:2" x14ac:dyDescent="0.3">
      <c r="A944" s="81">
        <v>44911</v>
      </c>
      <c r="B944" s="147">
        <v>327.14999999999998</v>
      </c>
    </row>
    <row r="945" spans="1:2" x14ac:dyDescent="0.3">
      <c r="A945" s="81">
        <v>44910</v>
      </c>
      <c r="B945" s="147">
        <v>333.25</v>
      </c>
    </row>
    <row r="946" spans="1:2" x14ac:dyDescent="0.3">
      <c r="A946" s="81">
        <v>44909</v>
      </c>
      <c r="B946" s="147">
        <v>333.5</v>
      </c>
    </row>
    <row r="947" spans="1:2" x14ac:dyDescent="0.3">
      <c r="A947" s="81">
        <v>44908</v>
      </c>
      <c r="B947" s="147">
        <v>327.60000000000002</v>
      </c>
    </row>
    <row r="948" spans="1:2" x14ac:dyDescent="0.3">
      <c r="A948" s="81">
        <v>44907</v>
      </c>
      <c r="B948" s="147">
        <v>332.85</v>
      </c>
    </row>
    <row r="949" spans="1:2" x14ac:dyDescent="0.3">
      <c r="A949" s="81">
        <v>44904</v>
      </c>
      <c r="B949" s="147">
        <v>330.1</v>
      </c>
    </row>
    <row r="950" spans="1:2" x14ac:dyDescent="0.3">
      <c r="A950" s="81">
        <v>44903</v>
      </c>
      <c r="B950" s="147">
        <v>327.10000000000002</v>
      </c>
    </row>
    <row r="951" spans="1:2" x14ac:dyDescent="0.3">
      <c r="A951" s="81">
        <v>44902</v>
      </c>
      <c r="B951" s="147">
        <v>325.14999999999998</v>
      </c>
    </row>
    <row r="952" spans="1:2" x14ac:dyDescent="0.3">
      <c r="A952" s="81">
        <v>44901</v>
      </c>
      <c r="B952" s="147">
        <v>327.95</v>
      </c>
    </row>
    <row r="953" spans="1:2" x14ac:dyDescent="0.3">
      <c r="A953" s="81">
        <v>44900</v>
      </c>
      <c r="B953" s="147">
        <v>324.25</v>
      </c>
    </row>
    <row r="954" spans="1:2" x14ac:dyDescent="0.3">
      <c r="A954" s="81">
        <v>44897</v>
      </c>
      <c r="B954" s="147">
        <v>324.55</v>
      </c>
    </row>
    <row r="955" spans="1:2" x14ac:dyDescent="0.3">
      <c r="A955" s="81">
        <v>44896</v>
      </c>
      <c r="B955" s="147">
        <v>324</v>
      </c>
    </row>
    <row r="956" spans="1:2" x14ac:dyDescent="0.3">
      <c r="A956" s="81">
        <v>44895</v>
      </c>
      <c r="B956" s="147">
        <v>321.64999999999998</v>
      </c>
    </row>
    <row r="957" spans="1:2" x14ac:dyDescent="0.3">
      <c r="A957" s="81">
        <v>44894</v>
      </c>
      <c r="B957" s="147">
        <v>316.2</v>
      </c>
    </row>
    <row r="958" spans="1:2" x14ac:dyDescent="0.3">
      <c r="A958" s="81">
        <v>44893</v>
      </c>
      <c r="B958" s="147">
        <v>325.85000000000002</v>
      </c>
    </row>
    <row r="959" spans="1:2" x14ac:dyDescent="0.3">
      <c r="A959" s="81">
        <v>44890</v>
      </c>
      <c r="B959" s="147">
        <v>322</v>
      </c>
    </row>
    <row r="960" spans="1:2" x14ac:dyDescent="0.3">
      <c r="A960" s="81">
        <v>44889</v>
      </c>
      <c r="B960" s="147">
        <v>317.75</v>
      </c>
    </row>
    <row r="961" spans="1:2" x14ac:dyDescent="0.3">
      <c r="A961" s="81">
        <v>44888</v>
      </c>
      <c r="B961" s="147">
        <v>318.3</v>
      </c>
    </row>
    <row r="962" spans="1:2" x14ac:dyDescent="0.3">
      <c r="A962" s="81">
        <v>44887</v>
      </c>
      <c r="B962" s="147">
        <v>318.3</v>
      </c>
    </row>
    <row r="963" spans="1:2" x14ac:dyDescent="0.3">
      <c r="A963" s="81">
        <v>44886</v>
      </c>
      <c r="B963" s="147">
        <v>316.5</v>
      </c>
    </row>
    <row r="964" spans="1:2" x14ac:dyDescent="0.3">
      <c r="A964" s="81">
        <v>44883</v>
      </c>
      <c r="B964" s="147">
        <v>313.89999999999998</v>
      </c>
    </row>
    <row r="965" spans="1:2" x14ac:dyDescent="0.3">
      <c r="A965" s="81">
        <v>44882</v>
      </c>
      <c r="B965" s="147">
        <v>315.60000000000002</v>
      </c>
    </row>
    <row r="966" spans="1:2" x14ac:dyDescent="0.3">
      <c r="A966" s="81">
        <v>44881</v>
      </c>
      <c r="B966" s="147">
        <v>310.3</v>
      </c>
    </row>
    <row r="967" spans="1:2" x14ac:dyDescent="0.3">
      <c r="A967" s="81">
        <v>44880</v>
      </c>
      <c r="B967" s="147">
        <v>312</v>
      </c>
    </row>
    <row r="968" spans="1:2" x14ac:dyDescent="0.3">
      <c r="A968" s="81">
        <v>44879</v>
      </c>
      <c r="B968" s="147">
        <v>312.64999999999998</v>
      </c>
    </row>
    <row r="969" spans="1:2" x14ac:dyDescent="0.3">
      <c r="A969" s="81">
        <v>44876</v>
      </c>
      <c r="B969" s="147">
        <v>315.35000000000002</v>
      </c>
    </row>
    <row r="970" spans="1:2" x14ac:dyDescent="0.3">
      <c r="A970" s="81">
        <v>44875</v>
      </c>
      <c r="B970" s="147">
        <v>338.7</v>
      </c>
    </row>
    <row r="971" spans="1:2" x14ac:dyDescent="0.3">
      <c r="A971" s="81">
        <v>44874</v>
      </c>
      <c r="B971" s="147">
        <v>337.5</v>
      </c>
    </row>
    <row r="972" spans="1:2" x14ac:dyDescent="0.3">
      <c r="A972" s="81">
        <v>44872</v>
      </c>
      <c r="B972" s="147">
        <v>343.75</v>
      </c>
    </row>
    <row r="973" spans="1:2" x14ac:dyDescent="0.3">
      <c r="A973" s="81">
        <v>44869</v>
      </c>
      <c r="B973" s="147">
        <v>334.75</v>
      </c>
    </row>
    <row r="974" spans="1:2" x14ac:dyDescent="0.3">
      <c r="A974" s="81">
        <v>44868</v>
      </c>
      <c r="B974" s="147">
        <v>339.95</v>
      </c>
    </row>
    <row r="975" spans="1:2" x14ac:dyDescent="0.3">
      <c r="A975" s="81">
        <v>44867</v>
      </c>
      <c r="B975" s="147">
        <v>342.4</v>
      </c>
    </row>
    <row r="976" spans="1:2" x14ac:dyDescent="0.3">
      <c r="A976" s="81">
        <v>44866</v>
      </c>
      <c r="B976" s="147">
        <v>341.4</v>
      </c>
    </row>
    <row r="977" spans="1:2" x14ac:dyDescent="0.3">
      <c r="A977" s="81">
        <v>44865</v>
      </c>
      <c r="B977" s="147">
        <v>333.8</v>
      </c>
    </row>
    <row r="978" spans="1:2" x14ac:dyDescent="0.3">
      <c r="A978" s="81">
        <v>44862</v>
      </c>
      <c r="B978" s="147">
        <v>322.25</v>
      </c>
    </row>
    <row r="979" spans="1:2" x14ac:dyDescent="0.3">
      <c r="A979" s="81">
        <v>44861</v>
      </c>
      <c r="B979" s="147">
        <v>322</v>
      </c>
    </row>
    <row r="980" spans="1:2" x14ac:dyDescent="0.3">
      <c r="A980" s="81">
        <v>44859</v>
      </c>
      <c r="B980" s="147">
        <v>319.75</v>
      </c>
    </row>
    <row r="981" spans="1:2" x14ac:dyDescent="0.3">
      <c r="A981" s="81">
        <v>44858</v>
      </c>
      <c r="B981" s="147">
        <v>316.14999999999998</v>
      </c>
    </row>
    <row r="982" spans="1:2" x14ac:dyDescent="0.3">
      <c r="A982" s="81">
        <v>44855</v>
      </c>
      <c r="B982" s="147">
        <v>313.60000000000002</v>
      </c>
    </row>
    <row r="983" spans="1:2" x14ac:dyDescent="0.3">
      <c r="A983" s="81">
        <v>44854</v>
      </c>
      <c r="B983" s="147">
        <v>313.7</v>
      </c>
    </row>
    <row r="984" spans="1:2" x14ac:dyDescent="0.3">
      <c r="A984" s="81">
        <v>44853</v>
      </c>
      <c r="B984" s="147">
        <v>321.2</v>
      </c>
    </row>
    <row r="985" spans="1:2" x14ac:dyDescent="0.3">
      <c r="A985" s="81">
        <v>44852</v>
      </c>
      <c r="B985" s="147">
        <v>323.39999999999998</v>
      </c>
    </row>
    <row r="986" spans="1:2" x14ac:dyDescent="0.3">
      <c r="A986" s="81">
        <v>44851</v>
      </c>
      <c r="B986" s="147">
        <v>318.25</v>
      </c>
    </row>
    <row r="987" spans="1:2" x14ac:dyDescent="0.3">
      <c r="A987" s="81">
        <v>44848</v>
      </c>
      <c r="B987" s="147">
        <v>309.75</v>
      </c>
    </row>
    <row r="988" spans="1:2" x14ac:dyDescent="0.3">
      <c r="A988" s="81">
        <v>44847</v>
      </c>
      <c r="B988" s="147">
        <v>317.14999999999998</v>
      </c>
    </row>
    <row r="989" spans="1:2" x14ac:dyDescent="0.3">
      <c r="A989" s="81">
        <v>44846</v>
      </c>
      <c r="B989" s="147">
        <v>330.5</v>
      </c>
    </row>
    <row r="990" spans="1:2" x14ac:dyDescent="0.3">
      <c r="A990" s="81">
        <v>44845</v>
      </c>
      <c r="B990" s="147">
        <v>330.35</v>
      </c>
    </row>
    <row r="991" spans="1:2" x14ac:dyDescent="0.3">
      <c r="A991" s="81">
        <v>44844</v>
      </c>
      <c r="B991" s="147">
        <v>337.15</v>
      </c>
    </row>
    <row r="992" spans="1:2" x14ac:dyDescent="0.3">
      <c r="A992" s="81">
        <v>44841</v>
      </c>
      <c r="B992" s="147">
        <v>341.35</v>
      </c>
    </row>
    <row r="993" spans="1:2" x14ac:dyDescent="0.3">
      <c r="A993" s="81"/>
      <c r="B993" s="147"/>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F0B3-28AD-4F9F-92D2-F4E0C9AA68AA}">
  <dimension ref="A3:I60"/>
  <sheetViews>
    <sheetView showGridLines="0" tabSelected="1" topLeftCell="A25" workbookViewId="0">
      <selection activeCell="D31" sqref="D31"/>
    </sheetView>
  </sheetViews>
  <sheetFormatPr defaultRowHeight="14.4" x14ac:dyDescent="0.3"/>
  <cols>
    <col min="2" max="2" width="10.21875" bestFit="1" customWidth="1"/>
    <col min="3" max="3" width="24.77734375" bestFit="1" customWidth="1"/>
    <col min="5" max="5" width="18.44140625" bestFit="1" customWidth="1"/>
  </cols>
  <sheetData>
    <row r="3" spans="1:9" x14ac:dyDescent="0.3">
      <c r="F3" t="s">
        <v>450</v>
      </c>
    </row>
    <row r="4" spans="1:9" x14ac:dyDescent="0.3">
      <c r="F4">
        <v>2024</v>
      </c>
      <c r="G4" t="s">
        <v>451</v>
      </c>
      <c r="H4" t="s">
        <v>452</v>
      </c>
      <c r="I4" t="s">
        <v>453</v>
      </c>
    </row>
    <row r="5" spans="1:9" x14ac:dyDescent="0.3">
      <c r="E5" t="s">
        <v>454</v>
      </c>
      <c r="F5">
        <v>5.8</v>
      </c>
      <c r="G5">
        <v>4.0999999999999996</v>
      </c>
      <c r="H5">
        <v>4.4000000000000004</v>
      </c>
      <c r="I5">
        <v>3.7</v>
      </c>
    </row>
    <row r="6" spans="1:9" x14ac:dyDescent="0.3">
      <c r="E6" t="s">
        <v>437</v>
      </c>
      <c r="F6">
        <v>2.6</v>
      </c>
      <c r="G6">
        <v>2.5</v>
      </c>
      <c r="H6">
        <v>2.8</v>
      </c>
      <c r="I6">
        <v>2.2000000000000002</v>
      </c>
    </row>
    <row r="7" spans="1:9" x14ac:dyDescent="0.3">
      <c r="E7" t="s">
        <v>455</v>
      </c>
      <c r="F7">
        <v>8</v>
      </c>
      <c r="G7">
        <v>5.2</v>
      </c>
      <c r="H7">
        <v>5.5</v>
      </c>
      <c r="I7">
        <v>4.5999999999999996</v>
      </c>
    </row>
    <row r="8" spans="1:9" x14ac:dyDescent="0.3">
      <c r="E8" t="s">
        <v>456</v>
      </c>
      <c r="F8">
        <v>3</v>
      </c>
      <c r="G8">
        <v>2.7</v>
      </c>
      <c r="H8">
        <v>3.2</v>
      </c>
      <c r="I8">
        <v>2.1</v>
      </c>
    </row>
    <row r="9" spans="1:9" x14ac:dyDescent="0.3">
      <c r="E9" t="s">
        <v>457</v>
      </c>
      <c r="F9">
        <v>2.5</v>
      </c>
      <c r="G9">
        <v>3.4</v>
      </c>
      <c r="H9">
        <v>3.2</v>
      </c>
      <c r="I9">
        <v>2.4</v>
      </c>
    </row>
    <row r="10" spans="1:9" x14ac:dyDescent="0.3">
      <c r="E10" t="s">
        <v>160</v>
      </c>
      <c r="F10">
        <v>4.5999999999999996</v>
      </c>
      <c r="G10">
        <v>2.1</v>
      </c>
      <c r="H10">
        <v>4.7</v>
      </c>
      <c r="I10">
        <v>4</v>
      </c>
    </row>
    <row r="11" spans="1:9" x14ac:dyDescent="0.3">
      <c r="E11" t="s">
        <v>444</v>
      </c>
      <c r="F11">
        <v>0.2</v>
      </c>
      <c r="G11">
        <v>0</v>
      </c>
      <c r="H11">
        <v>1.2</v>
      </c>
      <c r="I11">
        <v>1.5</v>
      </c>
    </row>
    <row r="12" spans="1:9" x14ac:dyDescent="0.3">
      <c r="E12" t="s">
        <v>440</v>
      </c>
      <c r="F12">
        <v>2.7</v>
      </c>
      <c r="G12">
        <v>3.2</v>
      </c>
      <c r="H12">
        <v>2.2000000000000002</v>
      </c>
      <c r="I12">
        <v>2.2999999999999998</v>
      </c>
    </row>
    <row r="14" spans="1:9" x14ac:dyDescent="0.3">
      <c r="A14" t="s">
        <v>147</v>
      </c>
      <c r="B14" t="s">
        <v>458</v>
      </c>
      <c r="C14" t="s">
        <v>459</v>
      </c>
      <c r="D14" t="s">
        <v>460</v>
      </c>
    </row>
    <row r="15" spans="1:9" x14ac:dyDescent="0.3">
      <c r="A15">
        <v>2019</v>
      </c>
      <c r="B15">
        <v>109.3</v>
      </c>
      <c r="C15">
        <v>69.8</v>
      </c>
      <c r="D15">
        <v>179.1</v>
      </c>
    </row>
    <row r="16" spans="1:9" x14ac:dyDescent="0.3">
      <c r="A16">
        <v>2020</v>
      </c>
      <c r="B16">
        <v>27.4</v>
      </c>
      <c r="C16">
        <v>35.9</v>
      </c>
      <c r="D16">
        <v>63.3</v>
      </c>
    </row>
    <row r="17" spans="1:9" x14ac:dyDescent="0.3">
      <c r="A17">
        <v>2021</v>
      </c>
      <c r="B17">
        <v>15.2</v>
      </c>
      <c r="C17">
        <v>54.8</v>
      </c>
      <c r="D17">
        <v>70</v>
      </c>
    </row>
    <row r="18" spans="1:9" x14ac:dyDescent="0.3">
      <c r="A18">
        <v>2022</v>
      </c>
      <c r="B18">
        <v>64.400000000000006</v>
      </c>
      <c r="C18">
        <v>78.900000000000006</v>
      </c>
      <c r="D18">
        <v>143.30000000000001</v>
      </c>
    </row>
    <row r="19" spans="1:9" x14ac:dyDescent="0.3">
      <c r="A19">
        <v>2023</v>
      </c>
      <c r="B19">
        <v>95.1</v>
      </c>
      <c r="C19">
        <v>93.8</v>
      </c>
      <c r="D19">
        <v>188.9</v>
      </c>
    </row>
    <row r="20" spans="1:9" x14ac:dyDescent="0.3">
      <c r="A20">
        <v>2024</v>
      </c>
      <c r="B20">
        <v>99.5</v>
      </c>
      <c r="C20">
        <v>106.2</v>
      </c>
      <c r="D20">
        <v>205.7</v>
      </c>
    </row>
    <row r="21" spans="1:9" x14ac:dyDescent="0.3">
      <c r="A21">
        <v>2025</v>
      </c>
      <c r="B21">
        <v>91.5</v>
      </c>
      <c r="C21">
        <v>110.7</v>
      </c>
      <c r="D21">
        <v>202.2</v>
      </c>
    </row>
    <row r="24" spans="1:9" x14ac:dyDescent="0.3">
      <c r="C24" t="s">
        <v>466</v>
      </c>
    </row>
    <row r="25" spans="1:9" x14ac:dyDescent="0.3">
      <c r="A25" t="s">
        <v>467</v>
      </c>
      <c r="B25" t="s">
        <v>468</v>
      </c>
      <c r="C25" t="s">
        <v>469</v>
      </c>
      <c r="D25" t="s">
        <v>470</v>
      </c>
      <c r="E25" t="s">
        <v>471</v>
      </c>
      <c r="F25" t="s">
        <v>472</v>
      </c>
      <c r="G25" t="s">
        <v>474</v>
      </c>
      <c r="H25" t="s">
        <v>475</v>
      </c>
      <c r="I25" t="s">
        <v>473</v>
      </c>
    </row>
    <row r="26" spans="1:9" x14ac:dyDescent="0.3">
      <c r="A26" t="s">
        <v>476</v>
      </c>
      <c r="B26" s="14">
        <v>9148766</v>
      </c>
      <c r="C26" s="30">
        <v>0.1169</v>
      </c>
      <c r="D26" s="30">
        <v>0.32890000000000003</v>
      </c>
      <c r="E26" s="30">
        <v>0.39279999999999998</v>
      </c>
      <c r="F26" s="30">
        <v>5.5399999999999998E-2</v>
      </c>
      <c r="G26" s="30">
        <v>4.0000000000000002E-4</v>
      </c>
      <c r="H26" s="30">
        <v>7.3000000000000001E-3</v>
      </c>
      <c r="I26" s="30">
        <f>9.22%+0.6%</f>
        <v>9.820000000000001E-2</v>
      </c>
    </row>
    <row r="30" spans="1:9" x14ac:dyDescent="0.3">
      <c r="A30" t="s">
        <v>147</v>
      </c>
    </row>
    <row r="31" spans="1:9" x14ac:dyDescent="0.3">
      <c r="A31" t="s">
        <v>479</v>
      </c>
    </row>
    <row r="32" spans="1:9" x14ac:dyDescent="0.3">
      <c r="A32" t="s">
        <v>479</v>
      </c>
      <c r="B32" t="s">
        <v>480</v>
      </c>
    </row>
    <row r="33" spans="1:2" x14ac:dyDescent="0.3">
      <c r="A33">
        <v>1991</v>
      </c>
      <c r="B33" s="14">
        <v>4318</v>
      </c>
    </row>
    <row r="34" spans="1:2" x14ac:dyDescent="0.3">
      <c r="A34">
        <v>2001</v>
      </c>
      <c r="B34" s="14">
        <v>15083</v>
      </c>
    </row>
    <row r="35" spans="1:2" x14ac:dyDescent="0.3">
      <c r="A35">
        <v>2011</v>
      </c>
      <c r="B35" s="14">
        <v>83037</v>
      </c>
    </row>
    <row r="36" spans="1:2" x14ac:dyDescent="0.3">
      <c r="A36">
        <v>2012</v>
      </c>
      <c r="B36" s="14">
        <v>95060</v>
      </c>
    </row>
    <row r="37" spans="1:2" x14ac:dyDescent="0.3">
      <c r="A37">
        <v>2013</v>
      </c>
      <c r="B37" s="14">
        <v>107563</v>
      </c>
    </row>
    <row r="38" spans="1:2" x14ac:dyDescent="0.3">
      <c r="A38">
        <v>2014</v>
      </c>
      <c r="B38" s="14">
        <v>120366</v>
      </c>
    </row>
    <row r="39" spans="1:2" x14ac:dyDescent="0.3">
      <c r="A39">
        <v>2015</v>
      </c>
      <c r="B39" s="14">
        <v>134843</v>
      </c>
    </row>
    <row r="40" spans="1:2" x14ac:dyDescent="0.3">
      <c r="A40">
        <v>2016</v>
      </c>
      <c r="B40" s="14">
        <v>150750</v>
      </c>
    </row>
    <row r="41" spans="1:2" x14ac:dyDescent="0.3">
      <c r="A41">
        <v>2017</v>
      </c>
      <c r="B41" s="14">
        <v>178189</v>
      </c>
    </row>
    <row r="42" spans="1:2" x14ac:dyDescent="0.3">
      <c r="A42">
        <v>2018</v>
      </c>
      <c r="B42" s="14">
        <v>195312</v>
      </c>
    </row>
    <row r="43" spans="1:2" x14ac:dyDescent="0.3">
      <c r="A43">
        <v>2019</v>
      </c>
      <c r="B43" s="14">
        <v>216467</v>
      </c>
    </row>
    <row r="44" spans="1:2" x14ac:dyDescent="0.3">
      <c r="A44">
        <v>2020</v>
      </c>
      <c r="B44" s="14">
        <v>95738</v>
      </c>
    </row>
    <row r="45" spans="1:2" x14ac:dyDescent="0.3">
      <c r="A45">
        <v>2021</v>
      </c>
      <c r="B45" s="14">
        <v>63978</v>
      </c>
    </row>
    <row r="46" spans="1:2" x14ac:dyDescent="0.3">
      <c r="A46">
        <v>2022</v>
      </c>
      <c r="B46" s="14">
        <v>169917</v>
      </c>
    </row>
    <row r="47" spans="1:2" x14ac:dyDescent="0.3">
      <c r="A47">
        <v>2023</v>
      </c>
      <c r="B47" s="14">
        <v>266045</v>
      </c>
    </row>
    <row r="48" spans="1:2" x14ac:dyDescent="0.3">
      <c r="A48">
        <v>2024</v>
      </c>
      <c r="B48" s="14">
        <v>293033</v>
      </c>
    </row>
    <row r="49" spans="1:3" x14ac:dyDescent="0.3">
      <c r="A49">
        <v>2025</v>
      </c>
      <c r="B49" s="14">
        <v>276831</v>
      </c>
    </row>
    <row r="52" spans="1:3" x14ac:dyDescent="0.3">
      <c r="B52" t="s">
        <v>481</v>
      </c>
    </row>
    <row r="53" spans="1:3" x14ac:dyDescent="0.3">
      <c r="A53" t="s">
        <v>147</v>
      </c>
      <c r="B53" t="s">
        <v>482</v>
      </c>
      <c r="C53" t="s">
        <v>483</v>
      </c>
    </row>
    <row r="54" spans="1:3" x14ac:dyDescent="0.3">
      <c r="A54">
        <v>2019</v>
      </c>
      <c r="B54" s="30">
        <v>0.25259999999999999</v>
      </c>
      <c r="C54" s="30">
        <v>8.8599999999999998E-2</v>
      </c>
    </row>
    <row r="55" spans="1:3" x14ac:dyDescent="0.3">
      <c r="A55">
        <v>2020</v>
      </c>
      <c r="B55" s="30">
        <v>-0.73719999999999997</v>
      </c>
      <c r="C55" s="30">
        <v>-0.77170000000000005</v>
      </c>
    </row>
    <row r="56" spans="1:3" x14ac:dyDescent="0.3">
      <c r="A56">
        <v>2021</v>
      </c>
      <c r="B56" s="30">
        <v>0.1105</v>
      </c>
      <c r="C56" s="30">
        <v>-0.85289999999999999</v>
      </c>
    </row>
    <row r="57" spans="1:3" x14ac:dyDescent="0.3">
      <c r="A57">
        <v>2022</v>
      </c>
      <c r="B57" s="30">
        <v>1.5545</v>
      </c>
      <c r="C57" s="30">
        <v>7.1425999999999998</v>
      </c>
    </row>
    <row r="58" spans="1:3" x14ac:dyDescent="0.3">
      <c r="A58">
        <v>2023</v>
      </c>
      <c r="B58" s="30">
        <v>0.44929999999999998</v>
      </c>
      <c r="C58" s="30">
        <v>1.2405999999999999</v>
      </c>
    </row>
    <row r="59" spans="1:3" x14ac:dyDescent="0.3">
      <c r="A59">
        <v>2024</v>
      </c>
      <c r="B59" s="30">
        <v>0.17399999999999999</v>
      </c>
      <c r="C59" s="30">
        <v>8.2199999999999995E-2</v>
      </c>
    </row>
    <row r="60" spans="1:3" x14ac:dyDescent="0.3">
      <c r="A60">
        <v>2025</v>
      </c>
      <c r="B60" s="30">
        <v>0.4551</v>
      </c>
      <c r="C60" s="30">
        <v>0.21629999999999999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Teaser</vt:lpstr>
      <vt:lpstr>Global, Indian And Industry </vt:lpstr>
      <vt:lpstr>Financials&gt;&gt;</vt:lpstr>
      <vt:lpstr>Historicial Financials</vt:lpstr>
      <vt:lpstr>Common Size Statement</vt:lpstr>
      <vt:lpstr>Ratio Analysis</vt:lpstr>
      <vt:lpstr>Forecasting</vt:lpstr>
      <vt:lpstr>Beta &amp; WACC Inputs</vt:lpstr>
      <vt:lpstr>WACC</vt:lpstr>
      <vt:lpstr>Intrinsic Growth</vt:lpstr>
      <vt:lpstr>DCF</vt:lpstr>
      <vt:lpstr>Relative Comps</vt:lpstr>
      <vt:lpstr>Football Field Analysis</vt:lpstr>
      <vt:lpstr>Historical VAR</vt:lpstr>
      <vt:lpstr>MonteCarlo VAR</vt:lpstr>
      <vt:lpstr>Data &gt;&gt;</vt:lpstr>
      <vt:lpstr>Data Sheet</vt:lpstr>
      <vt:lpstr>Profit and Loss</vt:lpstr>
      <vt:lpstr>Data for IG</vt:lpstr>
      <vt:lpstr>Cashflow</vt:lpstr>
      <vt:lpstr>Data_Relative Comps</vt:lpstr>
      <vt:lpstr>Data_One Pager</vt:lpstr>
      <vt:lpstr>Economic One pager Input</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pilumk@outlook.com</cp:lastModifiedBy>
  <cp:lastPrinted>2026-08-17T15:45:03Z</cp:lastPrinted>
  <dcterms:created xsi:type="dcterms:W3CDTF">2012-08-17T09:55:37Z</dcterms:created>
  <dcterms:modified xsi:type="dcterms:W3CDTF">2026-10-08T09:04:52Z</dcterms:modified>
</cp:coreProperties>
</file>