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yanshi\Downloads\Learnings\"/>
    </mc:Choice>
  </mc:AlternateContent>
  <xr:revisionPtr revIDLastSave="0" documentId="13_ncr:1_{FE9F3FE5-FEA7-47B5-8BAD-75960356863A}" xr6:coauthVersionLast="47" xr6:coauthVersionMax="47" xr10:uidLastSave="{00000000-0000-0000-0000-000000000000}"/>
  <bookViews>
    <workbookView xWindow="-108" yWindow="-108" windowWidth="23256" windowHeight="12456" firstSheet="10" activeTab="10" xr2:uid="{00000000-000D-0000-FFFF-FFFF00000000}"/>
  </bookViews>
  <sheets>
    <sheet name="Financials&gt;&gt;" sheetId="9" r:id="rId1"/>
    <sheet name="Historicial Financials" sheetId="8" r:id="rId2"/>
    <sheet name="Common Size Statement" sheetId="15" r:id="rId3"/>
    <sheet name="Ratio Analysis" sheetId="11" r:id="rId4"/>
    <sheet name="Forecasting" sheetId="12" r:id="rId5"/>
    <sheet name="WACC" sheetId="13" r:id="rId6"/>
    <sheet name="Beta" sheetId="14" r:id="rId7"/>
    <sheet name="Intrinsic Growth" sheetId="17" r:id="rId8"/>
    <sheet name="DCF" sheetId="18" r:id="rId9"/>
    <sheet name="Relative Comps" sheetId="19" r:id="rId10"/>
    <sheet name="Football Field Analysis" sheetId="21" r:id="rId11"/>
    <sheet name="Data &gt;&gt;" sheetId="7" r:id="rId12"/>
    <sheet name="Data Sheet" sheetId="6" r:id="rId13"/>
    <sheet name="Data for IG" sheetId="16" r:id="rId14"/>
    <sheet name="Cashflow" sheetId="10" r:id="rId15"/>
    <sheet name="Data_Relative Comps" sheetId="20" r:id="rId1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8" i="21" l="1"/>
  <c r="D8" i="21"/>
  <c r="F7" i="21"/>
  <c r="D7" i="21"/>
  <c r="F6" i="21"/>
  <c r="D6" i="21"/>
  <c r="F5" i="21"/>
  <c r="D5" i="21"/>
  <c r="F4" i="21"/>
  <c r="D4" i="21"/>
  <c r="I45" i="17"/>
  <c r="I46" i="17"/>
  <c r="I29" i="16"/>
  <c r="C61" i="17"/>
  <c r="C60" i="17"/>
  <c r="D32" i="17"/>
  <c r="E32" i="17"/>
  <c r="F32" i="17"/>
  <c r="G32" i="17"/>
  <c r="H32" i="17"/>
  <c r="I32" i="17"/>
  <c r="C32" i="17"/>
  <c r="E6" i="18"/>
  <c r="F6" i="18" s="1"/>
  <c r="G6" i="18" s="1"/>
  <c r="H6" i="18" s="1"/>
  <c r="I6" i="18" s="1"/>
  <c r="D6" i="18"/>
  <c r="L8" i="19"/>
  <c r="L9" i="19"/>
  <c r="L10" i="19"/>
  <c r="L11" i="19"/>
  <c r="L12" i="19"/>
  <c r="L13" i="19"/>
  <c r="L7" i="19"/>
  <c r="M8" i="19"/>
  <c r="M9" i="19"/>
  <c r="M10" i="19"/>
  <c r="M11" i="19"/>
  <c r="M12" i="19"/>
  <c r="M13" i="19"/>
  <c r="M7" i="19"/>
  <c r="K8" i="19"/>
  <c r="K9" i="19"/>
  <c r="K10" i="19"/>
  <c r="K11" i="19"/>
  <c r="K12" i="19"/>
  <c r="O12" i="19" s="1"/>
  <c r="K13" i="19"/>
  <c r="K7" i="19"/>
  <c r="G8" i="19"/>
  <c r="G9" i="19"/>
  <c r="G10" i="19"/>
  <c r="G11" i="19"/>
  <c r="G12" i="19"/>
  <c r="G13" i="19"/>
  <c r="G7" i="19"/>
  <c r="Q24" i="19" s="1"/>
  <c r="I3" i="20"/>
  <c r="I4" i="20"/>
  <c r="I5" i="20"/>
  <c r="I6" i="20"/>
  <c r="I7" i="20"/>
  <c r="I8" i="20"/>
  <c r="I2" i="20"/>
  <c r="E8" i="19"/>
  <c r="E9" i="19"/>
  <c r="E10" i="19"/>
  <c r="F10" i="19" s="1"/>
  <c r="H10" i="19" s="1"/>
  <c r="E11" i="19"/>
  <c r="F11" i="19" s="1"/>
  <c r="H11" i="19" s="1"/>
  <c r="E12" i="19"/>
  <c r="F12" i="19" s="1"/>
  <c r="H12" i="19" s="1"/>
  <c r="E13" i="19"/>
  <c r="E7" i="19"/>
  <c r="Q26" i="19" s="1"/>
  <c r="D8" i="19"/>
  <c r="D9" i="19"/>
  <c r="D10" i="19"/>
  <c r="D11" i="19"/>
  <c r="D12" i="19"/>
  <c r="D13" i="19"/>
  <c r="D7" i="19"/>
  <c r="B12" i="19"/>
  <c r="B13" i="19"/>
  <c r="B8" i="19"/>
  <c r="B9" i="19"/>
  <c r="B10" i="19"/>
  <c r="B11" i="19"/>
  <c r="B7" i="19"/>
  <c r="F3" i="20"/>
  <c r="J3" i="20" s="1"/>
  <c r="F4" i="20"/>
  <c r="J4" i="20" s="1"/>
  <c r="F5" i="20"/>
  <c r="J5" i="20" s="1"/>
  <c r="F6" i="20"/>
  <c r="J6" i="20" s="1"/>
  <c r="F7" i="20"/>
  <c r="J7" i="20" s="1"/>
  <c r="F8" i="20"/>
  <c r="J8" i="20" s="1"/>
  <c r="F2" i="20"/>
  <c r="J2" i="20" s="1"/>
  <c r="E38" i="17"/>
  <c r="F38" i="17"/>
  <c r="G38" i="17"/>
  <c r="H38" i="17"/>
  <c r="I38" i="17"/>
  <c r="D38" i="17"/>
  <c r="C29" i="17"/>
  <c r="D29" i="17"/>
  <c r="E29" i="17"/>
  <c r="F29" i="17"/>
  <c r="G29" i="17"/>
  <c r="H29" i="17"/>
  <c r="I29" i="17"/>
  <c r="C21" i="17"/>
  <c r="D21" i="17"/>
  <c r="E21" i="17"/>
  <c r="F21" i="17"/>
  <c r="G21" i="17"/>
  <c r="H21" i="17"/>
  <c r="I21" i="17"/>
  <c r="C22" i="17"/>
  <c r="D22" i="17"/>
  <c r="E22" i="17"/>
  <c r="F22" i="17"/>
  <c r="G22" i="17"/>
  <c r="H22" i="17"/>
  <c r="I22" i="17"/>
  <c r="C23" i="17"/>
  <c r="D23" i="17"/>
  <c r="E23" i="17"/>
  <c r="F23" i="17"/>
  <c r="G23" i="17"/>
  <c r="H23" i="17"/>
  <c r="I23" i="17"/>
  <c r="C24" i="17"/>
  <c r="D24" i="17"/>
  <c r="E24" i="17"/>
  <c r="F24" i="17"/>
  <c r="G24" i="17"/>
  <c r="H24" i="17"/>
  <c r="I24" i="17"/>
  <c r="C25" i="17"/>
  <c r="D25" i="17"/>
  <c r="E25" i="17"/>
  <c r="F25" i="17"/>
  <c r="G25" i="17"/>
  <c r="H25" i="17"/>
  <c r="I25" i="17"/>
  <c r="C26" i="17"/>
  <c r="D26" i="17"/>
  <c r="E26" i="17"/>
  <c r="F26" i="17"/>
  <c r="G26" i="17"/>
  <c r="H26" i="17"/>
  <c r="I26" i="17"/>
  <c r="C27" i="17"/>
  <c r="D27" i="17"/>
  <c r="E27" i="17"/>
  <c r="F27" i="17"/>
  <c r="G27" i="17"/>
  <c r="H27" i="17"/>
  <c r="I27" i="17"/>
  <c r="C28" i="17"/>
  <c r="D28" i="17"/>
  <c r="E28" i="17"/>
  <c r="F28" i="17"/>
  <c r="G28" i="17"/>
  <c r="H28" i="17"/>
  <c r="I28" i="17"/>
  <c r="D20" i="17"/>
  <c r="E20" i="17"/>
  <c r="F20" i="17"/>
  <c r="G20" i="17"/>
  <c r="H20" i="17"/>
  <c r="I20" i="17"/>
  <c r="C20" i="17"/>
  <c r="D12" i="17"/>
  <c r="E12" i="17"/>
  <c r="F12" i="17"/>
  <c r="G12" i="17"/>
  <c r="H12" i="17"/>
  <c r="I12" i="17"/>
  <c r="C12" i="17"/>
  <c r="C6" i="17"/>
  <c r="D6" i="17"/>
  <c r="E6" i="17"/>
  <c r="F6" i="17"/>
  <c r="G6" i="17"/>
  <c r="H6" i="17"/>
  <c r="I6" i="17"/>
  <c r="C7" i="17"/>
  <c r="D7" i="17"/>
  <c r="E7" i="17"/>
  <c r="F7" i="17"/>
  <c r="G7" i="17"/>
  <c r="H7" i="17"/>
  <c r="I7" i="17"/>
  <c r="C8" i="17"/>
  <c r="D8" i="17"/>
  <c r="E8" i="17"/>
  <c r="F8" i="17"/>
  <c r="G8" i="17"/>
  <c r="H8" i="17"/>
  <c r="I8" i="17"/>
  <c r="D5" i="17"/>
  <c r="E5" i="17"/>
  <c r="F5" i="17"/>
  <c r="G5" i="17"/>
  <c r="H5" i="17"/>
  <c r="I5" i="17"/>
  <c r="C5" i="17"/>
  <c r="D29" i="16"/>
  <c r="E29" i="16"/>
  <c r="F29" i="16"/>
  <c r="G29" i="16"/>
  <c r="H29" i="16"/>
  <c r="C29" i="16"/>
  <c r="I12" i="13"/>
  <c r="AK7" i="14"/>
  <c r="N10" i="14"/>
  <c r="AG8" i="14"/>
  <c r="AG13" i="14" s="1"/>
  <c r="AG11" i="14"/>
  <c r="AD9" i="14"/>
  <c r="AD10" i="14"/>
  <c r="AD11" i="14"/>
  <c r="AD12" i="14"/>
  <c r="AD13" i="14"/>
  <c r="AD14" i="14"/>
  <c r="AD15" i="14"/>
  <c r="AD16" i="14"/>
  <c r="AD17" i="14"/>
  <c r="AD18" i="14"/>
  <c r="AD19" i="14"/>
  <c r="AD20" i="14"/>
  <c r="AD21" i="14"/>
  <c r="AD22" i="14"/>
  <c r="AD23" i="14"/>
  <c r="AD24" i="14"/>
  <c r="AD25" i="14"/>
  <c r="AD26" i="14"/>
  <c r="AD27" i="14"/>
  <c r="AD28" i="14"/>
  <c r="AD29" i="14"/>
  <c r="AD30" i="14"/>
  <c r="AD31" i="14"/>
  <c r="AD32" i="14"/>
  <c r="AD33" i="14"/>
  <c r="AD34" i="14"/>
  <c r="AD35" i="14"/>
  <c r="AD36" i="14"/>
  <c r="AD37" i="14"/>
  <c r="AD38" i="14"/>
  <c r="AD39" i="14"/>
  <c r="AD40" i="14"/>
  <c r="AD41" i="14"/>
  <c r="AD42" i="14"/>
  <c r="AD43" i="14"/>
  <c r="AD44" i="14"/>
  <c r="AD45" i="14"/>
  <c r="AD46" i="14"/>
  <c r="AD47" i="14"/>
  <c r="AD48" i="14"/>
  <c r="AD49" i="14"/>
  <c r="AD50" i="14"/>
  <c r="AD51" i="14"/>
  <c r="AD52" i="14"/>
  <c r="AD53" i="14"/>
  <c r="AD54" i="14"/>
  <c r="AD55" i="14"/>
  <c r="AD56" i="14"/>
  <c r="AD57" i="14"/>
  <c r="AD58" i="14"/>
  <c r="AD59" i="14"/>
  <c r="AD60" i="14"/>
  <c r="AD61" i="14"/>
  <c r="AD62" i="14"/>
  <c r="AD63" i="14"/>
  <c r="AD64" i="14"/>
  <c r="AD65" i="14"/>
  <c r="AD66" i="14"/>
  <c r="AD67" i="14"/>
  <c r="AD68" i="14"/>
  <c r="AD69" i="14"/>
  <c r="AD70" i="14"/>
  <c r="AD71" i="14"/>
  <c r="AD72" i="14"/>
  <c r="AD73" i="14"/>
  <c r="AD74" i="14"/>
  <c r="AD75" i="14"/>
  <c r="AD76" i="14"/>
  <c r="AD77" i="14"/>
  <c r="AD78" i="14"/>
  <c r="AD79" i="14"/>
  <c r="AD80" i="14"/>
  <c r="AD81" i="14"/>
  <c r="AD82" i="14"/>
  <c r="AD83" i="14"/>
  <c r="AD84" i="14"/>
  <c r="AD85" i="14"/>
  <c r="AD86" i="14"/>
  <c r="AD87" i="14"/>
  <c r="AD88" i="14"/>
  <c r="AD89" i="14"/>
  <c r="AD8" i="14"/>
  <c r="C21" i="13"/>
  <c r="O26" i="19" l="1"/>
  <c r="P26" i="19"/>
  <c r="P12" i="19"/>
  <c r="O11" i="19"/>
  <c r="O10" i="19"/>
  <c r="F9" i="19"/>
  <c r="F8" i="19"/>
  <c r="Q11" i="19"/>
  <c r="O24" i="19"/>
  <c r="Q10" i="19"/>
  <c r="P24" i="19"/>
  <c r="F7" i="19"/>
  <c r="P11" i="19"/>
  <c r="F13" i="19"/>
  <c r="P10" i="19"/>
  <c r="Q12" i="19"/>
  <c r="K8" i="14"/>
  <c r="K13" i="14" s="1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H12" i="13"/>
  <c r="H11" i="13"/>
  <c r="G12" i="13"/>
  <c r="J12" i="13" s="1"/>
  <c r="G11" i="13"/>
  <c r="D36" i="8"/>
  <c r="E36" i="8"/>
  <c r="F36" i="8"/>
  <c r="G36" i="8"/>
  <c r="H36" i="8"/>
  <c r="I36" i="8"/>
  <c r="C36" i="8"/>
  <c r="C38" i="8"/>
  <c r="C6" i="8"/>
  <c r="C38" i="18"/>
  <c r="C37" i="18"/>
  <c r="D2" i="18"/>
  <c r="E2" i="18"/>
  <c r="F2" i="18" s="1"/>
  <c r="G2" i="18" s="1"/>
  <c r="H2" i="18" s="1"/>
  <c r="I2" i="18" s="1"/>
  <c r="C27" i="18"/>
  <c r="F14" i="18"/>
  <c r="G14" i="18" s="1"/>
  <c r="B8" i="18"/>
  <c r="B6" i="18"/>
  <c r="B4" i="18"/>
  <c r="D51" i="17"/>
  <c r="E51" i="17"/>
  <c r="F51" i="17"/>
  <c r="G51" i="17"/>
  <c r="H51" i="17"/>
  <c r="I51" i="17"/>
  <c r="C51" i="17"/>
  <c r="D36" i="17"/>
  <c r="E36" i="17"/>
  <c r="F36" i="17"/>
  <c r="G36" i="17"/>
  <c r="H36" i="17"/>
  <c r="I36" i="17"/>
  <c r="C36" i="17"/>
  <c r="C2" i="17"/>
  <c r="B29" i="17"/>
  <c r="C13" i="17"/>
  <c r="D13" i="17"/>
  <c r="E13" i="17"/>
  <c r="F13" i="17"/>
  <c r="G13" i="17"/>
  <c r="H13" i="17"/>
  <c r="I13" i="17"/>
  <c r="B8" i="17"/>
  <c r="B7" i="17"/>
  <c r="B6" i="17"/>
  <c r="B5" i="17"/>
  <c r="B13" i="17"/>
  <c r="B12" i="17"/>
  <c r="D2" i="17"/>
  <c r="E2" i="17"/>
  <c r="F2" i="17"/>
  <c r="G2" i="17"/>
  <c r="H2" i="17"/>
  <c r="I2" i="17"/>
  <c r="B2" i="14"/>
  <c r="B2" i="15"/>
  <c r="B23" i="15"/>
  <c r="C27" i="15"/>
  <c r="C39" i="15"/>
  <c r="D39" i="15"/>
  <c r="E39" i="15"/>
  <c r="F39" i="15"/>
  <c r="G39" i="15"/>
  <c r="H39" i="15"/>
  <c r="I39" i="15"/>
  <c r="C40" i="15"/>
  <c r="D40" i="15"/>
  <c r="E40" i="15"/>
  <c r="F40" i="15"/>
  <c r="G40" i="15"/>
  <c r="H40" i="15"/>
  <c r="I40" i="15"/>
  <c r="D38" i="15"/>
  <c r="E38" i="15"/>
  <c r="F38" i="15"/>
  <c r="G38" i="15"/>
  <c r="H38" i="15"/>
  <c r="I38" i="15"/>
  <c r="C38" i="15"/>
  <c r="C35" i="15"/>
  <c r="D35" i="15"/>
  <c r="E35" i="15"/>
  <c r="F35" i="15"/>
  <c r="G35" i="15"/>
  <c r="H35" i="15"/>
  <c r="I35" i="15"/>
  <c r="C36" i="15"/>
  <c r="D36" i="15"/>
  <c r="E36" i="15"/>
  <c r="F36" i="15"/>
  <c r="G36" i="15"/>
  <c r="H36" i="15"/>
  <c r="I36" i="15"/>
  <c r="C37" i="15"/>
  <c r="D37" i="15"/>
  <c r="E37" i="15"/>
  <c r="F37" i="15"/>
  <c r="G37" i="15"/>
  <c r="H37" i="15"/>
  <c r="I37" i="15"/>
  <c r="D34" i="15"/>
  <c r="E34" i="15"/>
  <c r="F34" i="15"/>
  <c r="G34" i="15"/>
  <c r="H34" i="15"/>
  <c r="I34" i="15"/>
  <c r="C34" i="15"/>
  <c r="D33" i="15"/>
  <c r="E33" i="15"/>
  <c r="F33" i="15"/>
  <c r="G33" i="15"/>
  <c r="H33" i="15"/>
  <c r="I33" i="15"/>
  <c r="C33" i="15"/>
  <c r="C29" i="15"/>
  <c r="D29" i="15"/>
  <c r="E29" i="15"/>
  <c r="F29" i="15"/>
  <c r="G29" i="15"/>
  <c r="H29" i="15"/>
  <c r="I29" i="15"/>
  <c r="C30" i="15"/>
  <c r="D30" i="15"/>
  <c r="E30" i="15"/>
  <c r="F30" i="15"/>
  <c r="G30" i="15"/>
  <c r="H30" i="15"/>
  <c r="I30" i="15"/>
  <c r="C31" i="15"/>
  <c r="D31" i="15"/>
  <c r="E31" i="15"/>
  <c r="F31" i="15"/>
  <c r="G31" i="15"/>
  <c r="H31" i="15"/>
  <c r="I31" i="15"/>
  <c r="D28" i="15"/>
  <c r="E28" i="15"/>
  <c r="F28" i="15"/>
  <c r="G28" i="15"/>
  <c r="H28" i="15"/>
  <c r="I28" i="15"/>
  <c r="C28" i="15"/>
  <c r="D27" i="15"/>
  <c r="E27" i="15"/>
  <c r="F27" i="15"/>
  <c r="G27" i="15"/>
  <c r="H27" i="15"/>
  <c r="I27" i="15"/>
  <c r="D25" i="15"/>
  <c r="E25" i="15"/>
  <c r="F25" i="15"/>
  <c r="G25" i="15"/>
  <c r="H25" i="15"/>
  <c r="I25" i="15"/>
  <c r="C25" i="15"/>
  <c r="C4" i="15"/>
  <c r="C7" i="15"/>
  <c r="D7" i="15"/>
  <c r="E7" i="15"/>
  <c r="F7" i="15"/>
  <c r="G7" i="15"/>
  <c r="H7" i="15"/>
  <c r="I7" i="15"/>
  <c r="C8" i="15"/>
  <c r="D8" i="15"/>
  <c r="E8" i="15"/>
  <c r="F8" i="15"/>
  <c r="G8" i="15"/>
  <c r="H8" i="15"/>
  <c r="I8" i="15"/>
  <c r="C9" i="15"/>
  <c r="D9" i="15"/>
  <c r="E9" i="15"/>
  <c r="F9" i="15"/>
  <c r="G9" i="15"/>
  <c r="H9" i="15"/>
  <c r="I9" i="15"/>
  <c r="C10" i="15"/>
  <c r="D10" i="15"/>
  <c r="E10" i="15"/>
  <c r="F10" i="15"/>
  <c r="G10" i="15"/>
  <c r="H10" i="15"/>
  <c r="I10" i="15"/>
  <c r="C11" i="15"/>
  <c r="D11" i="15"/>
  <c r="E11" i="15"/>
  <c r="F11" i="15"/>
  <c r="G11" i="15"/>
  <c r="H11" i="15"/>
  <c r="I11" i="15"/>
  <c r="C12" i="15"/>
  <c r="D12" i="15"/>
  <c r="E12" i="15"/>
  <c r="F12" i="15"/>
  <c r="G12" i="15"/>
  <c r="H12" i="15"/>
  <c r="I12" i="15"/>
  <c r="C13" i="15"/>
  <c r="D13" i="15"/>
  <c r="E13" i="15"/>
  <c r="F13" i="15"/>
  <c r="G13" i="15"/>
  <c r="H13" i="15"/>
  <c r="I13" i="15"/>
  <c r="C14" i="15"/>
  <c r="D14" i="15"/>
  <c r="E14" i="15"/>
  <c r="F14" i="15"/>
  <c r="G14" i="15"/>
  <c r="H14" i="15"/>
  <c r="I14" i="15"/>
  <c r="C15" i="15"/>
  <c r="D15" i="15"/>
  <c r="E15" i="15"/>
  <c r="F15" i="15"/>
  <c r="G15" i="15"/>
  <c r="H15" i="15"/>
  <c r="I15" i="15"/>
  <c r="C16" i="15"/>
  <c r="D16" i="15"/>
  <c r="E16" i="15"/>
  <c r="F16" i="15"/>
  <c r="G16" i="15"/>
  <c r="H16" i="15"/>
  <c r="I16" i="15"/>
  <c r="C17" i="15"/>
  <c r="D17" i="15"/>
  <c r="E17" i="15"/>
  <c r="F17" i="15"/>
  <c r="G17" i="15"/>
  <c r="H17" i="15"/>
  <c r="I17" i="15"/>
  <c r="C18" i="15"/>
  <c r="D18" i="15"/>
  <c r="E18" i="15"/>
  <c r="F18" i="15"/>
  <c r="G18" i="15"/>
  <c r="H18" i="15"/>
  <c r="I18" i="15"/>
  <c r="C19" i="15"/>
  <c r="D19" i="15"/>
  <c r="E19" i="15"/>
  <c r="F19" i="15"/>
  <c r="G19" i="15"/>
  <c r="H19" i="15"/>
  <c r="I19" i="15"/>
  <c r="C20" i="15"/>
  <c r="D20" i="15"/>
  <c r="E20" i="15"/>
  <c r="F20" i="15"/>
  <c r="G20" i="15"/>
  <c r="H20" i="15"/>
  <c r="I20" i="15"/>
  <c r="D6" i="15"/>
  <c r="E6" i="15"/>
  <c r="F6" i="15"/>
  <c r="G6" i="15"/>
  <c r="H6" i="15"/>
  <c r="I6" i="15"/>
  <c r="C6" i="15"/>
  <c r="I4" i="15"/>
  <c r="H4" i="15"/>
  <c r="G4" i="15"/>
  <c r="F4" i="15"/>
  <c r="E4" i="15"/>
  <c r="D4" i="15"/>
  <c r="B2" i="8"/>
  <c r="Y7" i="14"/>
  <c r="Y9" i="14" s="1"/>
  <c r="I22" i="13" s="1"/>
  <c r="C31" i="13"/>
  <c r="C30" i="13"/>
  <c r="K11" i="14"/>
  <c r="H8" i="19" l="1"/>
  <c r="Q8" i="19"/>
  <c r="H9" i="19"/>
  <c r="Q9" i="19"/>
  <c r="H13" i="19"/>
  <c r="Q13" i="19"/>
  <c r="H7" i="19"/>
  <c r="Q7" i="19"/>
  <c r="I14" i="17"/>
  <c r="C14" i="17"/>
  <c r="F14" i="17"/>
  <c r="H14" i="17"/>
  <c r="G14" i="17"/>
  <c r="H14" i="18"/>
  <c r="I14" i="18" s="1"/>
  <c r="E14" i="17"/>
  <c r="D14" i="17"/>
  <c r="C9" i="17"/>
  <c r="C16" i="17" s="1"/>
  <c r="C31" i="17" s="1"/>
  <c r="D9" i="17"/>
  <c r="I9" i="17"/>
  <c r="H9" i="17"/>
  <c r="G9" i="17"/>
  <c r="F9" i="17"/>
  <c r="E9" i="17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8" i="14"/>
  <c r="Q20" i="19" l="1"/>
  <c r="Q17" i="19"/>
  <c r="Q16" i="19"/>
  <c r="Q18" i="19"/>
  <c r="Q25" i="19" s="1"/>
  <c r="Q15" i="19"/>
  <c r="Q19" i="19"/>
  <c r="O9" i="19"/>
  <c r="P9" i="19"/>
  <c r="O8" i="19"/>
  <c r="P8" i="19"/>
  <c r="O7" i="19"/>
  <c r="P7" i="19"/>
  <c r="O13" i="19"/>
  <c r="P13" i="19"/>
  <c r="F16" i="17"/>
  <c r="F31" i="17" s="1"/>
  <c r="G16" i="17"/>
  <c r="G31" i="17" s="1"/>
  <c r="H16" i="17"/>
  <c r="I16" i="17"/>
  <c r="I31" i="17" s="1"/>
  <c r="I34" i="17" s="1"/>
  <c r="N8" i="14"/>
  <c r="N7" i="14"/>
  <c r="I11" i="13" s="1"/>
  <c r="J11" i="13" s="1"/>
  <c r="E16" i="17"/>
  <c r="D16" i="17"/>
  <c r="D39" i="17" s="1"/>
  <c r="D45" i="17" s="1"/>
  <c r="J31" i="13"/>
  <c r="C32" i="13"/>
  <c r="D31" i="13" s="1"/>
  <c r="F15" i="13"/>
  <c r="F14" i="13"/>
  <c r="C22" i="13" s="1"/>
  <c r="C23" i="13" s="1"/>
  <c r="I37" i="13" s="1"/>
  <c r="D4" i="12" a="1"/>
  <c r="D5" i="12" s="1"/>
  <c r="P20" i="19" l="1"/>
  <c r="P17" i="19"/>
  <c r="P16" i="19"/>
  <c r="P18" i="19"/>
  <c r="P23" i="19" s="1"/>
  <c r="P25" i="19" s="1"/>
  <c r="P27" i="19" s="1"/>
  <c r="P15" i="19"/>
  <c r="P19" i="19"/>
  <c r="O20" i="19"/>
  <c r="O19" i="19"/>
  <c r="O18" i="19"/>
  <c r="O23" i="19" s="1"/>
  <c r="O25" i="19" s="1"/>
  <c r="O27" i="19" s="1"/>
  <c r="O17" i="19"/>
  <c r="O16" i="19"/>
  <c r="O15" i="19"/>
  <c r="Q23" i="19"/>
  <c r="Q27" i="19"/>
  <c r="H39" i="17"/>
  <c r="H45" i="17" s="1"/>
  <c r="H31" i="17"/>
  <c r="G39" i="17"/>
  <c r="G45" i="17" s="1"/>
  <c r="I39" i="17"/>
  <c r="I14" i="13"/>
  <c r="D31" i="17"/>
  <c r="E31" i="17"/>
  <c r="E39" i="17"/>
  <c r="E45" i="17" s="1"/>
  <c r="F39" i="17"/>
  <c r="F45" i="17" s="1"/>
  <c r="I15" i="13"/>
  <c r="D30" i="13"/>
  <c r="D35" i="13" s="1"/>
  <c r="G15" i="13"/>
  <c r="G14" i="13"/>
  <c r="H14" i="13"/>
  <c r="H15" i="13"/>
  <c r="E30" i="13" s="1"/>
  <c r="J37" i="13" s="1"/>
  <c r="D10" i="12"/>
  <c r="D9" i="12"/>
  <c r="D8" i="12"/>
  <c r="D7" i="12"/>
  <c r="D6" i="12"/>
  <c r="H4" i="12"/>
  <c r="H5" i="12" s="1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C4" i="12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G5" i="12"/>
  <c r="G6" i="12" s="1"/>
  <c r="G7" i="12" s="1"/>
  <c r="G8" i="12" s="1"/>
  <c r="G9" i="12" s="1"/>
  <c r="G10" i="12" s="1"/>
  <c r="G11" i="12" s="1"/>
  <c r="G2" i="12"/>
  <c r="B2" i="12"/>
  <c r="Q29" i="19" l="1"/>
  <c r="P29" i="19"/>
  <c r="O29" i="19"/>
  <c r="E31" i="13"/>
  <c r="D32" i="13"/>
  <c r="J14" i="13"/>
  <c r="J15" i="13"/>
  <c r="J29" i="13" s="1"/>
  <c r="G12" i="12"/>
  <c r="E32" i="13" l="1"/>
  <c r="J38" i="13"/>
  <c r="E35" i="13"/>
  <c r="J30" i="13" s="1"/>
  <c r="J32" i="13" s="1"/>
  <c r="I23" i="13" s="1"/>
  <c r="G13" i="12"/>
  <c r="I24" i="13" l="1"/>
  <c r="I38" i="13" s="1"/>
  <c r="J39" i="13" s="1"/>
  <c r="D21" i="18" s="1"/>
  <c r="G14" i="12"/>
  <c r="C3" i="8"/>
  <c r="C4" i="11" s="1"/>
  <c r="E6" i="12"/>
  <c r="E7" i="12"/>
  <c r="E8" i="12"/>
  <c r="E9" i="12"/>
  <c r="E10" i="12"/>
  <c r="B5" i="12"/>
  <c r="B6" i="12" s="1"/>
  <c r="B7" i="12" s="1"/>
  <c r="B8" i="12" s="1"/>
  <c r="B9" i="12" s="1"/>
  <c r="B10" i="12" s="1"/>
  <c r="B11" i="12" s="1"/>
  <c r="C33" i="11"/>
  <c r="D32" i="11"/>
  <c r="G32" i="11"/>
  <c r="H32" i="11"/>
  <c r="G31" i="11"/>
  <c r="G37" i="11" s="1"/>
  <c r="H31" i="11"/>
  <c r="H37" i="11" s="1"/>
  <c r="I31" i="11"/>
  <c r="I37" i="11" s="1"/>
  <c r="G29" i="11"/>
  <c r="G35" i="11" s="1"/>
  <c r="E10" i="11"/>
  <c r="F10" i="11"/>
  <c r="G10" i="11"/>
  <c r="H10" i="11"/>
  <c r="I10" i="11"/>
  <c r="D10" i="11"/>
  <c r="K10" i="11" s="1"/>
  <c r="D3" i="8"/>
  <c r="D4" i="11" s="1"/>
  <c r="E3" i="8"/>
  <c r="E4" i="11" s="1"/>
  <c r="F3" i="8"/>
  <c r="F4" i="11" s="1"/>
  <c r="G3" i="8"/>
  <c r="G4" i="11" s="1"/>
  <c r="H3" i="8"/>
  <c r="H4" i="11" s="1"/>
  <c r="I3" i="8"/>
  <c r="I4" i="11" s="1"/>
  <c r="C93" i="8"/>
  <c r="D93" i="8"/>
  <c r="E93" i="8"/>
  <c r="F93" i="8"/>
  <c r="G93" i="8"/>
  <c r="H93" i="8"/>
  <c r="I93" i="8"/>
  <c r="C94" i="8"/>
  <c r="D94" i="8"/>
  <c r="E94" i="8"/>
  <c r="F94" i="8"/>
  <c r="G94" i="8"/>
  <c r="H94" i="8"/>
  <c r="I94" i="8"/>
  <c r="C95" i="8"/>
  <c r="D95" i="8"/>
  <c r="E95" i="8"/>
  <c r="F95" i="8"/>
  <c r="G95" i="8"/>
  <c r="H95" i="8"/>
  <c r="I95" i="8"/>
  <c r="C96" i="8"/>
  <c r="D96" i="8"/>
  <c r="E96" i="8"/>
  <c r="F96" i="8"/>
  <c r="G96" i="8"/>
  <c r="H96" i="8"/>
  <c r="I96" i="8"/>
  <c r="C97" i="8"/>
  <c r="D97" i="8"/>
  <c r="E97" i="8"/>
  <c r="F97" i="8"/>
  <c r="G97" i="8"/>
  <c r="H97" i="8"/>
  <c r="I97" i="8"/>
  <c r="C98" i="8"/>
  <c r="D98" i="8"/>
  <c r="E98" i="8"/>
  <c r="F98" i="8"/>
  <c r="G98" i="8"/>
  <c r="H98" i="8"/>
  <c r="I98" i="8"/>
  <c r="D92" i="8"/>
  <c r="E92" i="8"/>
  <c r="F92" i="8"/>
  <c r="G92" i="8"/>
  <c r="H92" i="8"/>
  <c r="I92" i="8"/>
  <c r="C92" i="8"/>
  <c r="C80" i="8"/>
  <c r="D80" i="8"/>
  <c r="E80" i="8"/>
  <c r="F80" i="8"/>
  <c r="G80" i="8"/>
  <c r="H80" i="8"/>
  <c r="I80" i="8"/>
  <c r="C81" i="8"/>
  <c r="D81" i="8"/>
  <c r="E81" i="8"/>
  <c r="F81" i="8"/>
  <c r="G81" i="8"/>
  <c r="H81" i="8"/>
  <c r="I81" i="8"/>
  <c r="C82" i="8"/>
  <c r="D82" i="8"/>
  <c r="E82" i="8"/>
  <c r="F82" i="8"/>
  <c r="G82" i="8"/>
  <c r="H82" i="8"/>
  <c r="I82" i="8"/>
  <c r="C83" i="8"/>
  <c r="D83" i="8"/>
  <c r="E83" i="8"/>
  <c r="F83" i="8"/>
  <c r="G83" i="8"/>
  <c r="H83" i="8"/>
  <c r="I83" i="8"/>
  <c r="C84" i="8"/>
  <c r="D84" i="8"/>
  <c r="E84" i="8"/>
  <c r="F84" i="8"/>
  <c r="G84" i="8"/>
  <c r="H84" i="8"/>
  <c r="I84" i="8"/>
  <c r="C85" i="8"/>
  <c r="D85" i="8"/>
  <c r="E85" i="8"/>
  <c r="F85" i="8"/>
  <c r="G85" i="8"/>
  <c r="H85" i="8"/>
  <c r="I85" i="8"/>
  <c r="C86" i="8"/>
  <c r="D86" i="8"/>
  <c r="E86" i="8"/>
  <c r="F86" i="8"/>
  <c r="G86" i="8"/>
  <c r="H86" i="8"/>
  <c r="I86" i="8"/>
  <c r="C87" i="8"/>
  <c r="D87" i="8"/>
  <c r="E87" i="8"/>
  <c r="F87" i="8"/>
  <c r="G87" i="8"/>
  <c r="H87" i="8"/>
  <c r="I87" i="8"/>
  <c r="C88" i="8"/>
  <c r="D88" i="8"/>
  <c r="E88" i="8"/>
  <c r="F88" i="8"/>
  <c r="G88" i="8"/>
  <c r="H88" i="8"/>
  <c r="I88" i="8"/>
  <c r="D79" i="8"/>
  <c r="E79" i="8"/>
  <c r="F79" i="8"/>
  <c r="G79" i="8"/>
  <c r="H79" i="8"/>
  <c r="I79" i="8"/>
  <c r="C79" i="8"/>
  <c r="C69" i="8"/>
  <c r="D69" i="8"/>
  <c r="E69" i="8"/>
  <c r="F69" i="8"/>
  <c r="G69" i="8"/>
  <c r="H69" i="8"/>
  <c r="I69" i="8"/>
  <c r="C70" i="8"/>
  <c r="D70" i="8"/>
  <c r="E70" i="8"/>
  <c r="F70" i="8"/>
  <c r="G70" i="8"/>
  <c r="H70" i="8"/>
  <c r="I70" i="8"/>
  <c r="C71" i="8"/>
  <c r="D71" i="8"/>
  <c r="E71" i="8"/>
  <c r="F71" i="8"/>
  <c r="G71" i="8"/>
  <c r="H71" i="8"/>
  <c r="I71" i="8"/>
  <c r="C72" i="8"/>
  <c r="D72" i="8"/>
  <c r="E72" i="8"/>
  <c r="F72" i="8"/>
  <c r="G72" i="8"/>
  <c r="H72" i="8"/>
  <c r="I72" i="8"/>
  <c r="C73" i="8"/>
  <c r="D73" i="8"/>
  <c r="E73" i="8"/>
  <c r="F73" i="8"/>
  <c r="G73" i="8"/>
  <c r="H73" i="8"/>
  <c r="I73" i="8"/>
  <c r="C74" i="8"/>
  <c r="D74" i="8"/>
  <c r="E74" i="8"/>
  <c r="F74" i="8"/>
  <c r="G74" i="8"/>
  <c r="H74" i="8"/>
  <c r="I74" i="8"/>
  <c r="C75" i="8"/>
  <c r="D75" i="8"/>
  <c r="E75" i="8"/>
  <c r="F75" i="8"/>
  <c r="G75" i="8"/>
  <c r="H75" i="8"/>
  <c r="I75" i="8"/>
  <c r="D68" i="8"/>
  <c r="E68" i="8"/>
  <c r="F68" i="8"/>
  <c r="G68" i="8"/>
  <c r="H68" i="8"/>
  <c r="I68" i="8"/>
  <c r="C68" i="8"/>
  <c r="I67" i="8"/>
  <c r="D67" i="8"/>
  <c r="E67" i="8"/>
  <c r="F67" i="8"/>
  <c r="G67" i="8"/>
  <c r="H67" i="8"/>
  <c r="C67" i="8"/>
  <c r="D56" i="8"/>
  <c r="E56" i="8"/>
  <c r="F56" i="8"/>
  <c r="G56" i="8"/>
  <c r="H56" i="8"/>
  <c r="I56" i="8"/>
  <c r="C56" i="8"/>
  <c r="C60" i="8"/>
  <c r="D60" i="8"/>
  <c r="E60" i="8"/>
  <c r="F60" i="8"/>
  <c r="G60" i="8"/>
  <c r="H60" i="8"/>
  <c r="I60" i="8"/>
  <c r="C61" i="8"/>
  <c r="D61" i="8"/>
  <c r="E61" i="8"/>
  <c r="F61" i="8"/>
  <c r="G61" i="8"/>
  <c r="H61" i="8"/>
  <c r="I61" i="8"/>
  <c r="D59" i="8"/>
  <c r="E59" i="8"/>
  <c r="F59" i="8"/>
  <c r="G59" i="8"/>
  <c r="H59" i="8"/>
  <c r="I59" i="8"/>
  <c r="C59" i="8"/>
  <c r="C54" i="8"/>
  <c r="D54" i="8"/>
  <c r="E54" i="8"/>
  <c r="F54" i="8"/>
  <c r="G54" i="8"/>
  <c r="H54" i="8"/>
  <c r="I54" i="8"/>
  <c r="C55" i="8"/>
  <c r="D55" i="8"/>
  <c r="E55" i="8"/>
  <c r="F55" i="8"/>
  <c r="G55" i="8"/>
  <c r="H55" i="8"/>
  <c r="I55" i="8"/>
  <c r="D53" i="8"/>
  <c r="E53" i="8"/>
  <c r="F53" i="8"/>
  <c r="G53" i="8"/>
  <c r="H53" i="8"/>
  <c r="I53" i="8"/>
  <c r="C53" i="8"/>
  <c r="C48" i="8"/>
  <c r="D48" i="8"/>
  <c r="E48" i="8"/>
  <c r="F48" i="8"/>
  <c r="G48" i="8"/>
  <c r="G33" i="11" s="1"/>
  <c r="H48" i="8"/>
  <c r="H33" i="11" s="1"/>
  <c r="I48" i="8"/>
  <c r="I33" i="11" s="1"/>
  <c r="C49" i="8"/>
  <c r="D49" i="8"/>
  <c r="E49" i="8"/>
  <c r="F49" i="8"/>
  <c r="G49" i="8"/>
  <c r="H49" i="8"/>
  <c r="I49" i="8"/>
  <c r="C50" i="8"/>
  <c r="D50" i="8"/>
  <c r="E50" i="8"/>
  <c r="F50" i="8"/>
  <c r="G50" i="8"/>
  <c r="H50" i="8"/>
  <c r="I50" i="8"/>
  <c r="D47" i="8"/>
  <c r="E47" i="8"/>
  <c r="F47" i="8"/>
  <c r="G47" i="8"/>
  <c r="H47" i="8"/>
  <c r="I47" i="8"/>
  <c r="C47" i="8"/>
  <c r="C24" i="8"/>
  <c r="C30" i="8"/>
  <c r="E30" i="8"/>
  <c r="D30" i="8"/>
  <c r="F30" i="8"/>
  <c r="G30" i="8"/>
  <c r="H30" i="8"/>
  <c r="I30" i="8"/>
  <c r="J30" i="8"/>
  <c r="J24" i="8"/>
  <c r="D24" i="8"/>
  <c r="E24" i="8"/>
  <c r="F24" i="8"/>
  <c r="G24" i="8"/>
  <c r="H24" i="8"/>
  <c r="I24" i="8"/>
  <c r="J21" i="8"/>
  <c r="D21" i="8"/>
  <c r="E21" i="8"/>
  <c r="F21" i="8"/>
  <c r="G21" i="8"/>
  <c r="H21" i="8"/>
  <c r="I21" i="8"/>
  <c r="C21" i="8"/>
  <c r="J18" i="8"/>
  <c r="D15" i="8"/>
  <c r="E15" i="8"/>
  <c r="F15" i="8"/>
  <c r="G15" i="8"/>
  <c r="H15" i="8"/>
  <c r="I15" i="8"/>
  <c r="C15" i="8"/>
  <c r="J9" i="8"/>
  <c r="D9" i="8"/>
  <c r="E9" i="8"/>
  <c r="F9" i="8"/>
  <c r="G9" i="8"/>
  <c r="H9" i="8"/>
  <c r="I9" i="8"/>
  <c r="C9" i="8"/>
  <c r="D6" i="8"/>
  <c r="E6" i="8"/>
  <c r="F6" i="8"/>
  <c r="G6" i="8"/>
  <c r="G30" i="11" s="1"/>
  <c r="G36" i="11" s="1"/>
  <c r="H6" i="8"/>
  <c r="H29" i="11" s="1"/>
  <c r="H35" i="11" s="1"/>
  <c r="I6" i="8"/>
  <c r="I29" i="11" s="1"/>
  <c r="I35" i="11" s="1"/>
  <c r="D4" i="12"/>
  <c r="E5" i="12" s="1"/>
  <c r="J6" i="8"/>
  <c r="B6" i="6"/>
  <c r="C40" i="18" s="1"/>
  <c r="E1" i="6"/>
  <c r="H76" i="8" l="1"/>
  <c r="G76" i="8"/>
  <c r="G40" i="11" s="1"/>
  <c r="E76" i="8"/>
  <c r="E42" i="11" s="1"/>
  <c r="F76" i="8"/>
  <c r="F42" i="11" s="1"/>
  <c r="I89" i="8"/>
  <c r="G99" i="8"/>
  <c r="H89" i="8"/>
  <c r="F99" i="8"/>
  <c r="H99" i="8"/>
  <c r="H101" i="8" s="1"/>
  <c r="C99" i="8"/>
  <c r="C101" i="8" s="1"/>
  <c r="I99" i="8"/>
  <c r="E32" i="11"/>
  <c r="E30" i="11"/>
  <c r="E36" i="11" s="1"/>
  <c r="E33" i="11"/>
  <c r="E31" i="11"/>
  <c r="E37" i="11" s="1"/>
  <c r="E38" i="11" s="1"/>
  <c r="D76" i="8"/>
  <c r="D30" i="11"/>
  <c r="D33" i="11"/>
  <c r="D31" i="11"/>
  <c r="D37" i="11" s="1"/>
  <c r="L37" i="11" s="1"/>
  <c r="D29" i="11"/>
  <c r="I76" i="8"/>
  <c r="E99" i="8"/>
  <c r="E89" i="8"/>
  <c r="E29" i="11"/>
  <c r="E35" i="11" s="1"/>
  <c r="C76" i="8"/>
  <c r="C89" i="8"/>
  <c r="H40" i="11"/>
  <c r="H42" i="11"/>
  <c r="H41" i="11"/>
  <c r="F7" i="8"/>
  <c r="F6" i="11" s="1"/>
  <c r="F32" i="11"/>
  <c r="L32" i="11" s="1"/>
  <c r="F30" i="11"/>
  <c r="F36" i="11" s="1"/>
  <c r="F38" i="11" s="1"/>
  <c r="F33" i="11"/>
  <c r="F31" i="11"/>
  <c r="F37" i="11" s="1"/>
  <c r="G89" i="8"/>
  <c r="F89" i="8"/>
  <c r="D99" i="8"/>
  <c r="D89" i="8"/>
  <c r="F29" i="11"/>
  <c r="F35" i="11" s="1"/>
  <c r="C30" i="11"/>
  <c r="C36" i="11" s="1"/>
  <c r="I30" i="11"/>
  <c r="I36" i="11" s="1"/>
  <c r="H30" i="11"/>
  <c r="H36" i="11" s="1"/>
  <c r="C32" i="11"/>
  <c r="K32" i="11" s="1"/>
  <c r="C22" i="8"/>
  <c r="I32" i="11"/>
  <c r="L10" i="11"/>
  <c r="C29" i="11"/>
  <c r="C35" i="11" s="1"/>
  <c r="C26" i="18"/>
  <c r="F15" i="18"/>
  <c r="G15" i="18"/>
  <c r="E15" i="18"/>
  <c r="H15" i="18"/>
  <c r="I15" i="18"/>
  <c r="C31" i="11"/>
  <c r="C37" i="11" s="1"/>
  <c r="K37" i="11" s="1"/>
  <c r="I38" i="11"/>
  <c r="H38" i="11"/>
  <c r="G38" i="11"/>
  <c r="D36" i="11"/>
  <c r="G15" i="12"/>
  <c r="D11" i="12"/>
  <c r="E11" i="12" s="1"/>
  <c r="B12" i="12"/>
  <c r="F51" i="8"/>
  <c r="E51" i="8"/>
  <c r="E7" i="8"/>
  <c r="E6" i="11" s="1"/>
  <c r="D57" i="8"/>
  <c r="G62" i="8"/>
  <c r="D51" i="8"/>
  <c r="I62" i="8"/>
  <c r="H62" i="8"/>
  <c r="C51" i="8"/>
  <c r="C57" i="8"/>
  <c r="I51" i="8"/>
  <c r="H51" i="8"/>
  <c r="G51" i="8"/>
  <c r="F62" i="8"/>
  <c r="F63" i="8" s="1"/>
  <c r="E62" i="8"/>
  <c r="E63" i="8" s="1"/>
  <c r="C62" i="8"/>
  <c r="D62" i="8"/>
  <c r="D63" i="8" s="1"/>
  <c r="I57" i="8"/>
  <c r="H57" i="8"/>
  <c r="G57" i="8"/>
  <c r="I63" i="8"/>
  <c r="H63" i="8"/>
  <c r="F57" i="8"/>
  <c r="E57" i="8"/>
  <c r="H25" i="8"/>
  <c r="H20" i="11" s="1"/>
  <c r="G25" i="8"/>
  <c r="G20" i="11" s="1"/>
  <c r="L20" i="11" s="1"/>
  <c r="D16" i="8"/>
  <c r="D19" i="11" s="1"/>
  <c r="L19" i="11" s="1"/>
  <c r="C16" i="8"/>
  <c r="C19" i="11" s="1"/>
  <c r="C10" i="8"/>
  <c r="C25" i="8"/>
  <c r="C20" i="11" s="1"/>
  <c r="H16" i="8"/>
  <c r="H19" i="11" s="1"/>
  <c r="I7" i="8"/>
  <c r="I6" i="11" s="1"/>
  <c r="D12" i="8"/>
  <c r="D13" i="8" s="1"/>
  <c r="D12" i="11" s="1"/>
  <c r="J25" i="8"/>
  <c r="I22" i="8"/>
  <c r="H22" i="8"/>
  <c r="I16" i="8"/>
  <c r="I19" i="11" s="1"/>
  <c r="D22" i="8"/>
  <c r="I10" i="8"/>
  <c r="H12" i="8"/>
  <c r="H13" i="8" s="1"/>
  <c r="H12" i="11" s="1"/>
  <c r="I25" i="8"/>
  <c r="I20" i="11" s="1"/>
  <c r="J27" i="8"/>
  <c r="J31" i="8" s="1"/>
  <c r="G16" i="8"/>
  <c r="G19" i="11" s="1"/>
  <c r="F22" i="8"/>
  <c r="E16" i="8"/>
  <c r="E19" i="11" s="1"/>
  <c r="J22" i="8"/>
  <c r="G12" i="8"/>
  <c r="G18" i="8" s="1"/>
  <c r="D7" i="8"/>
  <c r="D6" i="11" s="1"/>
  <c r="L6" i="11" s="1"/>
  <c r="F10" i="8"/>
  <c r="D10" i="8"/>
  <c r="J16" i="8"/>
  <c r="D25" i="8"/>
  <c r="D20" i="11" s="1"/>
  <c r="F16" i="8"/>
  <c r="F19" i="11" s="1"/>
  <c r="E22" i="8"/>
  <c r="F25" i="8"/>
  <c r="F20" i="11" s="1"/>
  <c r="C12" i="8"/>
  <c r="C18" i="8" s="1"/>
  <c r="I4" i="12" s="1" a="1"/>
  <c r="E10" i="8"/>
  <c r="G22" i="8"/>
  <c r="E25" i="8"/>
  <c r="E20" i="11" s="1"/>
  <c r="H7" i="8"/>
  <c r="H6" i="11" s="1"/>
  <c r="E12" i="8"/>
  <c r="E13" i="8" s="1"/>
  <c r="E12" i="11" s="1"/>
  <c r="J12" i="8"/>
  <c r="J13" i="8" s="1"/>
  <c r="J19" i="8"/>
  <c r="G7" i="8"/>
  <c r="G6" i="11" s="1"/>
  <c r="I12" i="8"/>
  <c r="H10" i="8"/>
  <c r="G10" i="8"/>
  <c r="F12" i="8"/>
  <c r="F41" i="11" l="1"/>
  <c r="G42" i="11"/>
  <c r="F40" i="11"/>
  <c r="E41" i="11"/>
  <c r="G101" i="8"/>
  <c r="F101" i="8"/>
  <c r="E40" i="11"/>
  <c r="I5" i="12"/>
  <c r="I10" i="12"/>
  <c r="J10" i="12" s="1"/>
  <c r="I9" i="12"/>
  <c r="I6" i="12"/>
  <c r="J6" i="12" s="1"/>
  <c r="I7" i="12"/>
  <c r="J7" i="12" s="1"/>
  <c r="I8" i="12"/>
  <c r="J8" i="12" s="1"/>
  <c r="I40" i="11"/>
  <c r="I42" i="11"/>
  <c r="I41" i="11"/>
  <c r="I101" i="8"/>
  <c r="L31" i="11"/>
  <c r="K30" i="11"/>
  <c r="D101" i="8"/>
  <c r="C42" i="11"/>
  <c r="C41" i="11"/>
  <c r="C40" i="11"/>
  <c r="K31" i="11"/>
  <c r="K29" i="11"/>
  <c r="D35" i="11"/>
  <c r="K6" i="11"/>
  <c r="L33" i="11"/>
  <c r="G21" i="15"/>
  <c r="G15" i="11"/>
  <c r="G21" i="11" s="1"/>
  <c r="G23" i="11"/>
  <c r="G27" i="11"/>
  <c r="L30" i="11"/>
  <c r="K33" i="11"/>
  <c r="D41" i="11"/>
  <c r="D40" i="11"/>
  <c r="D42" i="11"/>
  <c r="C21" i="15"/>
  <c r="I4" i="12"/>
  <c r="I15" i="12" s="1"/>
  <c r="C15" i="11"/>
  <c r="C23" i="11"/>
  <c r="C27" i="11"/>
  <c r="G63" i="8"/>
  <c r="G41" i="11" s="1"/>
  <c r="K20" i="11"/>
  <c r="K19" i="11"/>
  <c r="L29" i="11"/>
  <c r="E101" i="8"/>
  <c r="C38" i="11"/>
  <c r="K36" i="11"/>
  <c r="D38" i="11"/>
  <c r="L38" i="11" s="1"/>
  <c r="L36" i="11"/>
  <c r="D12" i="12"/>
  <c r="E12" i="12" s="1"/>
  <c r="B13" i="12"/>
  <c r="D18" i="8"/>
  <c r="C63" i="8"/>
  <c r="H18" i="8"/>
  <c r="J33" i="8"/>
  <c r="J28" i="8"/>
  <c r="C13" i="8"/>
  <c r="C12" i="11" s="1"/>
  <c r="K12" i="11" s="1"/>
  <c r="E18" i="8"/>
  <c r="G13" i="8"/>
  <c r="G12" i="11" s="1"/>
  <c r="L12" i="11" s="1"/>
  <c r="E19" i="8"/>
  <c r="E27" i="8"/>
  <c r="I13" i="8"/>
  <c r="I12" i="11" s="1"/>
  <c r="I18" i="8"/>
  <c r="D19" i="8"/>
  <c r="D27" i="8"/>
  <c r="G19" i="8"/>
  <c r="G27" i="8"/>
  <c r="F13" i="8"/>
  <c r="F12" i="11" s="1"/>
  <c r="F18" i="8"/>
  <c r="C27" i="8"/>
  <c r="C33" i="8" s="1"/>
  <c r="C25" i="11" s="1"/>
  <c r="C19" i="8"/>
  <c r="L42" i="11" l="1"/>
  <c r="L40" i="11"/>
  <c r="L41" i="11"/>
  <c r="K42" i="11"/>
  <c r="J9" i="12"/>
  <c r="C21" i="11"/>
  <c r="J5" i="12"/>
  <c r="I11" i="12"/>
  <c r="J11" i="12" s="1"/>
  <c r="I12" i="12"/>
  <c r="J12" i="12" s="1"/>
  <c r="I13" i="12"/>
  <c r="J13" i="12" s="1"/>
  <c r="I14" i="12"/>
  <c r="K35" i="11"/>
  <c r="L35" i="11"/>
  <c r="L27" i="11"/>
  <c r="E33" i="8"/>
  <c r="E8" i="11"/>
  <c r="E14" i="11"/>
  <c r="E13" i="11"/>
  <c r="C14" i="11"/>
  <c r="C13" i="11"/>
  <c r="G41" i="17"/>
  <c r="G43" i="17" s="1"/>
  <c r="G46" i="17" s="1"/>
  <c r="G53" i="17" s="1"/>
  <c r="G34" i="17"/>
  <c r="G54" i="17" s="1"/>
  <c r="E21" i="15"/>
  <c r="E23" i="11"/>
  <c r="E27" i="11"/>
  <c r="E7" i="11"/>
  <c r="E15" i="11"/>
  <c r="E21" i="11" s="1"/>
  <c r="C41" i="17"/>
  <c r="C43" i="17" s="1"/>
  <c r="C34" i="17"/>
  <c r="F21" i="15"/>
  <c r="F23" i="11"/>
  <c r="F27" i="11"/>
  <c r="F7" i="11"/>
  <c r="F15" i="11"/>
  <c r="F21" i="11" s="1"/>
  <c r="G33" i="8"/>
  <c r="G13" i="11"/>
  <c r="G14" i="11"/>
  <c r="H27" i="8"/>
  <c r="H21" i="15"/>
  <c r="H15" i="11"/>
  <c r="H21" i="11" s="1"/>
  <c r="H23" i="11"/>
  <c r="H27" i="11"/>
  <c r="H7" i="11"/>
  <c r="D33" i="8"/>
  <c r="D8" i="11"/>
  <c r="D14" i="11"/>
  <c r="D13" i="11"/>
  <c r="D21" i="15"/>
  <c r="D23" i="11"/>
  <c r="D27" i="11"/>
  <c r="K27" i="11" s="1"/>
  <c r="D15" i="11"/>
  <c r="D7" i="11"/>
  <c r="I21" i="15"/>
  <c r="I15" i="11"/>
  <c r="I21" i="11" s="1"/>
  <c r="I23" i="11"/>
  <c r="I27" i="11"/>
  <c r="I7" i="11"/>
  <c r="K41" i="11"/>
  <c r="G7" i="11"/>
  <c r="K40" i="11"/>
  <c r="K38" i="11"/>
  <c r="D13" i="12"/>
  <c r="E13" i="12" s="1"/>
  <c r="B14" i="12"/>
  <c r="J34" i="8"/>
  <c r="H19" i="8"/>
  <c r="E38" i="8"/>
  <c r="E34" i="8"/>
  <c r="E17" i="11" s="1"/>
  <c r="C34" i="8"/>
  <c r="C17" i="11" s="1"/>
  <c r="E28" i="8"/>
  <c r="E16" i="11" s="1"/>
  <c r="E31" i="8"/>
  <c r="G28" i="8"/>
  <c r="G16" i="11" s="1"/>
  <c r="G31" i="8"/>
  <c r="D28" i="8"/>
  <c r="D16" i="11" s="1"/>
  <c r="D31" i="8"/>
  <c r="C28" i="8"/>
  <c r="C16" i="11" s="1"/>
  <c r="C31" i="8"/>
  <c r="F19" i="8"/>
  <c r="F27" i="8"/>
  <c r="I27" i="8"/>
  <c r="I19" i="8"/>
  <c r="I13" i="11" l="1"/>
  <c r="I14" i="11"/>
  <c r="G25" i="11"/>
  <c r="G9" i="11"/>
  <c r="I33" i="8"/>
  <c r="I8" i="11"/>
  <c r="D25" i="11"/>
  <c r="D9" i="11"/>
  <c r="E41" i="17"/>
  <c r="E43" i="17" s="1"/>
  <c r="E46" i="17" s="1"/>
  <c r="E53" i="17" s="1"/>
  <c r="E34" i="17"/>
  <c r="F33" i="8"/>
  <c r="F8" i="11"/>
  <c r="H13" i="11"/>
  <c r="H14" i="11"/>
  <c r="K7" i="11"/>
  <c r="F14" i="11"/>
  <c r="K14" i="11" s="1"/>
  <c r="F13" i="11"/>
  <c r="K13" i="11" s="1"/>
  <c r="I41" i="17"/>
  <c r="I54" i="17"/>
  <c r="J14" i="12"/>
  <c r="J15" i="12"/>
  <c r="L15" i="11"/>
  <c r="D21" i="11"/>
  <c r="K21" i="11" s="1"/>
  <c r="L21" i="11"/>
  <c r="F41" i="17"/>
  <c r="F43" i="17" s="1"/>
  <c r="F46" i="17" s="1"/>
  <c r="F53" i="17" s="1"/>
  <c r="F34" i="17"/>
  <c r="F54" i="17" s="1"/>
  <c r="G56" i="17"/>
  <c r="K16" i="11"/>
  <c r="L16" i="11"/>
  <c r="L23" i="11"/>
  <c r="H41" i="17"/>
  <c r="H43" i="17" s="1"/>
  <c r="H46" i="17" s="1"/>
  <c r="H53" i="17" s="1"/>
  <c r="H34" i="17"/>
  <c r="H54" i="17" s="1"/>
  <c r="D34" i="8"/>
  <c r="D17" i="11" s="1"/>
  <c r="H33" i="8"/>
  <c r="H8" i="11"/>
  <c r="K15" i="11"/>
  <c r="D38" i="8"/>
  <c r="E39" i="8" s="1"/>
  <c r="D41" i="17"/>
  <c r="D43" i="17" s="1"/>
  <c r="D46" i="17" s="1"/>
  <c r="D34" i="17"/>
  <c r="D54" i="17" s="1"/>
  <c r="L14" i="11"/>
  <c r="H31" i="8"/>
  <c r="G34" i="8"/>
  <c r="G17" i="11" s="1"/>
  <c r="L7" i="11"/>
  <c r="K23" i="11"/>
  <c r="H28" i="8"/>
  <c r="H16" i="11" s="1"/>
  <c r="G38" i="8"/>
  <c r="G42" i="8" s="1"/>
  <c r="G44" i="8" s="1"/>
  <c r="G24" i="11" s="1"/>
  <c r="G26" i="11" s="1"/>
  <c r="G8" i="11"/>
  <c r="K8" i="11" s="1"/>
  <c r="E25" i="11"/>
  <c r="E9" i="11"/>
  <c r="D14" i="12"/>
  <c r="E14" i="12" s="1"/>
  <c r="B15" i="12"/>
  <c r="D15" i="12" s="1"/>
  <c r="C42" i="8"/>
  <c r="C44" i="8" s="1"/>
  <c r="C24" i="11" s="1"/>
  <c r="E42" i="8"/>
  <c r="E44" i="8" s="1"/>
  <c r="E24" i="11" s="1"/>
  <c r="E26" i="11" s="1"/>
  <c r="D42" i="8"/>
  <c r="D39" i="8"/>
  <c r="F38" i="8"/>
  <c r="F34" i="8"/>
  <c r="F17" i="11" s="1"/>
  <c r="I38" i="8"/>
  <c r="F28" i="8"/>
  <c r="F16" i="11" s="1"/>
  <c r="F31" i="8"/>
  <c r="I28" i="8"/>
  <c r="I16" i="11" s="1"/>
  <c r="I31" i="8"/>
  <c r="E54" i="17" l="1"/>
  <c r="C59" i="17"/>
  <c r="F56" i="17"/>
  <c r="C26" i="11"/>
  <c r="D53" i="17"/>
  <c r="D56" i="17" s="1"/>
  <c r="L9" i="11"/>
  <c r="D44" i="8"/>
  <c r="D24" i="11" s="1"/>
  <c r="E56" i="17"/>
  <c r="L8" i="11"/>
  <c r="L17" i="11"/>
  <c r="H56" i="17"/>
  <c r="I43" i="17"/>
  <c r="I53" i="17" s="1"/>
  <c r="I56" i="17" s="1"/>
  <c r="D4" i="18"/>
  <c r="I25" i="11"/>
  <c r="I9" i="11"/>
  <c r="H25" i="11"/>
  <c r="H9" i="11"/>
  <c r="K9" i="11" s="1"/>
  <c r="H34" i="8"/>
  <c r="H17" i="11" s="1"/>
  <c r="H38" i="8"/>
  <c r="L13" i="11"/>
  <c r="I34" i="8"/>
  <c r="I17" i="11" s="1"/>
  <c r="F25" i="11"/>
  <c r="K25" i="11" s="1"/>
  <c r="F9" i="11"/>
  <c r="E15" i="12"/>
  <c r="I42" i="8"/>
  <c r="I44" i="8" s="1"/>
  <c r="I24" i="11" s="1"/>
  <c r="I26" i="11" s="1"/>
  <c r="F39" i="8"/>
  <c r="F42" i="8"/>
  <c r="F44" i="8" s="1"/>
  <c r="F24" i="11" s="1"/>
  <c r="F26" i="11" s="1"/>
  <c r="G39" i="8"/>
  <c r="C63" i="17" l="1"/>
  <c r="D10" i="18" s="1"/>
  <c r="E10" i="18" s="1"/>
  <c r="C62" i="17"/>
  <c r="I10" i="18" s="1"/>
  <c r="I49" i="17"/>
  <c r="I48" i="17"/>
  <c r="K17" i="11"/>
  <c r="H39" i="8"/>
  <c r="H42" i="8"/>
  <c r="H44" i="8" s="1"/>
  <c r="H24" i="11" s="1"/>
  <c r="I39" i="8"/>
  <c r="L25" i="11"/>
  <c r="E4" i="18"/>
  <c r="D8" i="18"/>
  <c r="D26" i="11"/>
  <c r="F10" i="18" l="1"/>
  <c r="G10" i="18" s="1"/>
  <c r="H10" i="18" s="1"/>
  <c r="D12" i="18"/>
  <c r="H26" i="11"/>
  <c r="K26" i="11" s="1"/>
  <c r="K24" i="11"/>
  <c r="L24" i="11"/>
  <c r="L26" i="11"/>
  <c r="F4" i="18"/>
  <c r="E8" i="18"/>
  <c r="E12" i="18" l="1"/>
  <c r="E17" i="18" s="1"/>
  <c r="G4" i="18"/>
  <c r="F8" i="18"/>
  <c r="F12" i="18" s="1"/>
  <c r="F17" i="18" s="1"/>
  <c r="H4" i="18" l="1"/>
  <c r="G8" i="18"/>
  <c r="G12" i="18" s="1"/>
  <c r="G17" i="18" s="1"/>
  <c r="I4" i="18" l="1"/>
  <c r="I8" i="18" s="1"/>
  <c r="I12" i="18" s="1"/>
  <c r="H8" i="18"/>
  <c r="H12" i="18" s="1"/>
  <c r="H17" i="18" s="1"/>
  <c r="I17" i="18" l="1"/>
  <c r="C33" i="18" s="1"/>
  <c r="C25" i="18"/>
  <c r="C29" i="18" s="1"/>
  <c r="C34" i="18" l="1"/>
  <c r="C35" i="18" s="1"/>
  <c r="C39" i="18" l="1"/>
  <c r="C42" i="18" s="1"/>
  <c r="K24" i="18"/>
  <c r="C45" i="18" l="1"/>
  <c r="K35" i="18"/>
</calcChain>
</file>

<file path=xl/sharedStrings.xml><?xml version="1.0" encoding="utf-8"?>
<sst xmlns="http://schemas.openxmlformats.org/spreadsheetml/2006/main" count="562" uniqueCount="402">
  <si>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</si>
  <si>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</si>
  <si>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</si>
  <si>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</si>
  <si>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</si>
  <si>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</si>
  <si>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</si>
  <si>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</si>
  <si>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</si>
  <si>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</si>
  <si>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</si>
  <si>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</si>
  <si>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</si>
  <si>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</si>
  <si>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</si>
  <si>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</si>
  <si>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</si>
  <si>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</si>
  <si>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</si>
  <si>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</si>
  <si>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</si>
  <si>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</si>
  <si>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</si>
  <si>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</si>
  <si>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</si>
  <si>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</si>
  <si>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</si>
  <si>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</si>
  <si>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</si>
  <si>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</si>
  <si>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</si>
  <si>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</si>
  <si>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LATEST VERSION</t>
  </si>
  <si>
    <t>CURRENT VERSION</t>
  </si>
  <si>
    <t>AVENUE SUPERMARTS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</si>
  <si>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</si>
  <si>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</si>
  <si>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</si>
  <si>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</si>
  <si>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</si>
  <si>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</si>
  <si>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</si>
  <si>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</si>
  <si>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</si>
  <si>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</si>
  <si>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</si>
  <si>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</si>
  <si>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</si>
  <si>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</si>
  <si>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</si>
  <si>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</si>
  <si>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</si>
  <si>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</si>
  <si>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</si>
  <si>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</si>
  <si>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</si>
  <si>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</si>
  <si>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</si>
  <si>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Income Statements</t>
  </si>
  <si>
    <t>#</t>
  </si>
  <si>
    <t>-</t>
  </si>
  <si>
    <t>COGS</t>
  </si>
  <si>
    <t>COGS % Sales</t>
  </si>
  <si>
    <t>Gross Profit</t>
  </si>
  <si>
    <t>Gross Margin</t>
  </si>
  <si>
    <t>Selling &amp; General Expenses</t>
  </si>
  <si>
    <t>S&amp;G Exp.</t>
  </si>
  <si>
    <t>EBITDA</t>
  </si>
  <si>
    <t>EBITDA Margin</t>
  </si>
  <si>
    <t>Interest % Sales</t>
  </si>
  <si>
    <t>Depreciation % Sales</t>
  </si>
  <si>
    <t>EBT</t>
  </si>
  <si>
    <t>EBT % Sales</t>
  </si>
  <si>
    <t xml:space="preserve">Tax </t>
  </si>
  <si>
    <t>Effective Tax Rate</t>
  </si>
  <si>
    <t>Net Profit</t>
  </si>
  <si>
    <t>Net Margin</t>
  </si>
  <si>
    <t>Dividend per share</t>
  </si>
  <si>
    <t>Retained Earnings</t>
  </si>
  <si>
    <t>EPS Growth</t>
  </si>
  <si>
    <t>Dividend payout ratio</t>
  </si>
  <si>
    <t>Balance Sheet</t>
  </si>
  <si>
    <t>Total Liabilities</t>
  </si>
  <si>
    <t>Fixed Assets Net Block</t>
  </si>
  <si>
    <t>Total Non Current Assets</t>
  </si>
  <si>
    <t>Total Current Assets</t>
  </si>
  <si>
    <t>Cash from Operating Activity -</t>
  </si>
  <si>
    <t>Profit from operations</t>
  </si>
  <si>
    <t>Payables</t>
  </si>
  <si>
    <t>Other WC items</t>
  </si>
  <si>
    <t>Working capital changes</t>
  </si>
  <si>
    <t>Interest paid</t>
  </si>
  <si>
    <t>Direct taxes</t>
  </si>
  <si>
    <t>Exceptional CF items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</si>
  <si>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</si>
  <si>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</si>
  <si>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</si>
  <si>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</si>
  <si>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</si>
  <si>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</si>
  <si>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</si>
  <si>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</si>
  <si>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</si>
  <si>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</si>
  <si>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</si>
  <si>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Cash from Financing Activity -</t>
  </si>
  <si>
    <t>Proceeds from shares</t>
  </si>
  <si>
    <t>Proceeds from debentures</t>
  </si>
  <si>
    <t>Proceeds from borrowings</t>
  </si>
  <si>
    <t>Repayment of borrowings</t>
  </si>
  <si>
    <t>Interest paid fin</t>
  </si>
  <si>
    <t>Financial liabilities</t>
  </si>
  <si>
    <t>Other financing items</t>
  </si>
  <si>
    <t>Free Cash Flow</t>
  </si>
  <si>
    <t>Cash Flow  Statements</t>
  </si>
  <si>
    <t>Cash From Operating Activities</t>
  </si>
  <si>
    <t>Cash From Investing Activities</t>
  </si>
  <si>
    <t>Cash From Financing Activities</t>
  </si>
  <si>
    <t>Operating Activities</t>
  </si>
  <si>
    <t>Investing Activities</t>
  </si>
  <si>
    <t>Financing Activities</t>
  </si>
  <si>
    <t>Total Assets</t>
  </si>
  <si>
    <t>Historical Financial Statement-SWIGGY LTD</t>
  </si>
  <si>
    <t>SalesGrowth</t>
  </si>
  <si>
    <t>EBITDA Growth</t>
  </si>
  <si>
    <t>Net Profit Growth</t>
  </si>
  <si>
    <t>Dividend Growth</t>
  </si>
  <si>
    <t>Operating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</si>
  <si>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</si>
  <si>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</si>
  <si>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</si>
  <si>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</si>
  <si>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</si>
  <si>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</si>
  <si>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Retained Earnings%</t>
  </si>
  <si>
    <t>Self Sustained Growth Rate</t>
  </si>
  <si>
    <t>Interest Coverage Ratio</t>
  </si>
  <si>
    <t>Debtor Turnover Ratio</t>
  </si>
  <si>
    <t>Creditor Turnover Ratio</t>
  </si>
  <si>
    <t>Inventory Turnover Ratio</t>
  </si>
  <si>
    <t>Fixed Assets Turnover Ratio</t>
  </si>
  <si>
    <t>Capital Turnover Ratio</t>
  </si>
  <si>
    <t>Debtor Days</t>
  </si>
  <si>
    <t>Payable Days</t>
  </si>
  <si>
    <t>Inventory Days</t>
  </si>
  <si>
    <t>Cash Conversion Cycle</t>
  </si>
  <si>
    <t>CFO/Sales</t>
  </si>
  <si>
    <t>CFO/Total Asset</t>
  </si>
  <si>
    <t>CFO/Total Debt</t>
  </si>
  <si>
    <t>EBT Growth</t>
  </si>
  <si>
    <t>Return on Capital Employed</t>
  </si>
  <si>
    <t>Mean</t>
  </si>
  <si>
    <t>Median</t>
  </si>
  <si>
    <t>Trend</t>
  </si>
  <si>
    <t>Year Weight</t>
  </si>
  <si>
    <t>Year</t>
  </si>
  <si>
    <t xml:space="preserve">Weighted Average Cost of  Capital </t>
  </si>
  <si>
    <t>All figures are in INR unless stated otherwise</t>
  </si>
  <si>
    <t>Peer Comps</t>
  </si>
  <si>
    <t>Name of Company</t>
  </si>
  <si>
    <t>Country</t>
  </si>
  <si>
    <t>Total Debt</t>
  </si>
  <si>
    <t>Total Equity</t>
  </si>
  <si>
    <t>Debt/</t>
  </si>
  <si>
    <t>Equity</t>
  </si>
  <si>
    <t>Capital</t>
  </si>
  <si>
    <t xml:space="preserve">Levered </t>
  </si>
  <si>
    <t xml:space="preserve">Unlevered </t>
  </si>
  <si>
    <t>India</t>
  </si>
  <si>
    <t>Average</t>
  </si>
  <si>
    <t>Cost of Debt</t>
  </si>
  <si>
    <t>Pre Tax Cost of Debt</t>
  </si>
  <si>
    <t>Tax Rate</t>
  </si>
  <si>
    <t>Post Tax Cost of Debt</t>
  </si>
  <si>
    <t>Cost of Equity</t>
  </si>
  <si>
    <t>Risk Free Rate</t>
  </si>
  <si>
    <t>Equity Risk Premium</t>
  </si>
  <si>
    <t>Capital Structure</t>
  </si>
  <si>
    <t>Current</t>
  </si>
  <si>
    <t>Target</t>
  </si>
  <si>
    <t>Total Capital</t>
  </si>
  <si>
    <t>Levered Beta</t>
  </si>
  <si>
    <t>Comps Median Unlevered Beta</t>
  </si>
  <si>
    <t>Target Debt/Equity</t>
  </si>
  <si>
    <t>Debt/Equity</t>
  </si>
  <si>
    <t>Weighted Average Cost of Capital</t>
  </si>
  <si>
    <t>Debt</t>
  </si>
  <si>
    <t>Total Cost</t>
  </si>
  <si>
    <t>Total Weight</t>
  </si>
  <si>
    <t>Note:</t>
  </si>
  <si>
    <t>1. Tax Rate Consider as Marginal Tax Rate for the company</t>
  </si>
  <si>
    <t>2. Levered Beta is based on 5 year montly data</t>
  </si>
  <si>
    <t>Date</t>
  </si>
  <si>
    <t>Weekly Return</t>
  </si>
  <si>
    <t>Nifty Weekly Return</t>
  </si>
  <si>
    <t>Beta 1</t>
  </si>
  <si>
    <t>Beta 2</t>
  </si>
  <si>
    <t>Beta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</si>
  <si>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</si>
  <si>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</si>
  <si>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</si>
  <si>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</si>
  <si>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</si>
  <si>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</si>
  <si>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</si>
  <si>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</si>
  <si>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</si>
  <si>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</si>
  <si>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</si>
  <si>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</si>
  <si>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</si>
  <si>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</si>
  <si>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</si>
  <si>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</si>
  <si>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</si>
  <si>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</si>
  <si>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</si>
  <si>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</si>
  <si>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</si>
  <si>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</si>
  <si>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</si>
  <si>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</si>
  <si>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 Drifting</t>
  </si>
  <si>
    <t>Levered Raw Beta</t>
  </si>
  <si>
    <t>Raw Beta Weight</t>
  </si>
  <si>
    <t>Market Beta</t>
  </si>
  <si>
    <t>Market Beta Weight</t>
  </si>
  <si>
    <t>Adjusted Beta</t>
  </si>
  <si>
    <t>Beta</t>
  </si>
  <si>
    <t xml:space="preserve"> </t>
  </si>
  <si>
    <t>Taken from 10 yrs yield of govt. bond</t>
  </si>
  <si>
    <t>Annual</t>
  </si>
  <si>
    <t>Average Return</t>
  </si>
  <si>
    <t>Dividend Yield</t>
  </si>
  <si>
    <t>Total Market Return</t>
  </si>
  <si>
    <t>Rm Calulation</t>
  </si>
  <si>
    <t>Particular</t>
  </si>
  <si>
    <r>
      <t>1.30</t>
    </r>
    <r>
      <rPr>
        <vertAlign val="superscript"/>
        <sz val="18"/>
        <color theme="1"/>
        <rFont val="Calibri"/>
        <family val="2"/>
        <scheme val="minor"/>
      </rPr>
      <t xml:space="preserve"> 1</t>
    </r>
  </si>
  <si>
    <r>
      <t xml:space="preserve">Tax Rate </t>
    </r>
    <r>
      <rPr>
        <vertAlign val="superscript"/>
        <sz val="18"/>
        <color theme="1"/>
        <rFont val="Calibri"/>
        <family val="2"/>
        <scheme val="minor"/>
      </rPr>
      <t>1</t>
    </r>
  </si>
  <si>
    <r>
      <t xml:space="preserve">Beta </t>
    </r>
    <r>
      <rPr>
        <vertAlign val="superscript"/>
        <sz val="18"/>
        <color theme="1"/>
        <rFont val="Calibri"/>
        <family val="2"/>
        <scheme val="minor"/>
      </rPr>
      <t>2</t>
    </r>
  </si>
  <si>
    <r>
      <t xml:space="preserve">Beta </t>
    </r>
    <r>
      <rPr>
        <vertAlign val="superscript"/>
        <sz val="18"/>
        <color theme="1"/>
        <rFont val="Calibri"/>
        <family val="2"/>
        <scheme val="minor"/>
      </rPr>
      <t>3</t>
    </r>
  </si>
  <si>
    <r>
      <t xml:space="preserve">Levered Beta </t>
    </r>
    <r>
      <rPr>
        <vertAlign val="superscript"/>
        <sz val="18"/>
        <color theme="1"/>
        <rFont val="Calibri"/>
        <family val="2"/>
        <scheme val="minor"/>
      </rPr>
      <t>4</t>
    </r>
  </si>
  <si>
    <r>
      <t>Return on Equity</t>
    </r>
    <r>
      <rPr>
        <strike/>
        <sz val="16"/>
        <color theme="1"/>
        <rFont val="Calibri"/>
        <family val="2"/>
        <scheme val="minor"/>
      </rPr>
      <t>%</t>
    </r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</si>
  <si>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</si>
  <si>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</si>
  <si>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</si>
  <si>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</si>
  <si>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</si>
  <si>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</si>
  <si>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</si>
  <si>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Trade Payables</t>
  </si>
  <si>
    <t>Other liability items</t>
  </si>
  <si>
    <t>Fixed Assets -</t>
  </si>
  <si>
    <t>Building</t>
  </si>
  <si>
    <t>Plant Machinery</t>
  </si>
  <si>
    <t>Equipments</t>
  </si>
  <si>
    <t>Computers</t>
  </si>
  <si>
    <t>Furniture n fittings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</si>
  <si>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</si>
  <si>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</si>
  <si>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</si>
  <si>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</si>
  <si>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</si>
  <si>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</si>
  <si>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</si>
  <si>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</si>
  <si>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</si>
  <si>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</si>
  <si>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</si>
  <si>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Particulars</t>
  </si>
  <si>
    <t>Calculation of ROIC</t>
  </si>
  <si>
    <t>Current Assets</t>
  </si>
  <si>
    <t>Current Liabilites</t>
  </si>
  <si>
    <t>Total Current Liabilities</t>
  </si>
  <si>
    <t>Net Working Capital</t>
  </si>
  <si>
    <t>Non current Asset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</si>
  <si>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</si>
  <si>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</si>
  <si>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</si>
  <si>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</si>
  <si>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</si>
  <si>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</si>
  <si>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</si>
  <si>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EBIT(1-TR)</t>
  </si>
  <si>
    <t xml:space="preserve">Reinvestment </t>
  </si>
  <si>
    <t>Reinvestment Rate</t>
  </si>
  <si>
    <t>Calculation of Growth Rate</t>
  </si>
  <si>
    <t xml:space="preserve">Intrinsic Growth </t>
  </si>
  <si>
    <t>5 year Average</t>
  </si>
  <si>
    <t>5 year Median</t>
  </si>
  <si>
    <t>Calculation of PV of FCFF</t>
  </si>
  <si>
    <t>Less: Reinvesment Rate</t>
  </si>
  <si>
    <t>Free Cash Flow to Firm</t>
  </si>
  <si>
    <t>Mid Year Convention</t>
  </si>
  <si>
    <t>Discounting Factor</t>
  </si>
  <si>
    <t>PV of FCFF</t>
  </si>
  <si>
    <t>Expected Growth</t>
  </si>
  <si>
    <t>Terminal Growth</t>
  </si>
  <si>
    <t>WACC</t>
  </si>
  <si>
    <t>Retail (Online)</t>
  </si>
  <si>
    <t>$35.31</t>
  </si>
  <si>
    <t>$47.83</t>
  </si>
  <si>
    <t>$26.27</t>
  </si>
  <si>
    <t>$0.43</t>
  </si>
  <si>
    <t>NA</t>
  </si>
  <si>
    <t>Industry Name</t>
  </si>
  <si>
    <t>Number of Firms</t>
  </si>
  <si>
    <t>Capital Expenditures</t>
  </si>
  <si>
    <t xml:space="preserve">Depreciation &amp; Amort </t>
  </si>
  <si>
    <t>CapEx/Deprecn</t>
  </si>
  <si>
    <t>Acquisitions</t>
  </si>
  <si>
    <t xml:space="preserve">Net R&amp;D </t>
  </si>
  <si>
    <t>Net Cap Ex/Sales</t>
  </si>
  <si>
    <t>Net Cap Ex/ EBIT (1-t)</t>
  </si>
  <si>
    <t>Sales/ Invested Capital</t>
  </si>
  <si>
    <t>Expected EBIT Growth</t>
  </si>
  <si>
    <t>Calculation of Terminal Value</t>
  </si>
  <si>
    <t>FCFF(N+1)</t>
  </si>
  <si>
    <t>Terminal Growth Rate</t>
  </si>
  <si>
    <t>Terminal Value</t>
  </si>
  <si>
    <t>Calculation of Equity Value</t>
  </si>
  <si>
    <t>PV of Terminal Value</t>
  </si>
  <si>
    <t>Value  of Operating Asset</t>
  </si>
  <si>
    <t>Add: Cash</t>
  </si>
  <si>
    <t>Less: Debt</t>
  </si>
  <si>
    <t>Value of Equity</t>
  </si>
  <si>
    <t>No. of Share</t>
  </si>
  <si>
    <t>Equity Value per share</t>
  </si>
  <si>
    <t>Share Price</t>
  </si>
  <si>
    <t>Discount/Premium</t>
  </si>
  <si>
    <t>Avenue Super.</t>
  </si>
  <si>
    <t>Vishal Mega Mart</t>
  </si>
  <si>
    <t>Avenue Weekly Return</t>
  </si>
  <si>
    <t>Price</t>
  </si>
  <si>
    <t>Vishal Mega Mart Weekly Return</t>
  </si>
  <si>
    <t>Non controlling int</t>
  </si>
  <si>
    <t>Land</t>
  </si>
  <si>
    <t>Vehicles</t>
  </si>
  <si>
    <t>Loans Advances</t>
  </si>
  <si>
    <t>Operating investments</t>
  </si>
  <si>
    <t>Investment income</t>
  </si>
  <si>
    <t>Dividends received</t>
  </si>
  <si>
    <t>Redemption of debentures</t>
  </si>
  <si>
    <t>Share application money</t>
  </si>
  <si>
    <t>Application money refund</t>
  </si>
  <si>
    <t>CFO/OP</t>
  </si>
  <si>
    <t>Net Capex = Ending PPE - Open. PPE +Depr.</t>
  </si>
  <si>
    <t>Comparable Company Valuation</t>
  </si>
  <si>
    <t xml:space="preserve">Company </t>
  </si>
  <si>
    <t>Ticker</t>
  </si>
  <si>
    <t>Share O/S</t>
  </si>
  <si>
    <t>Equity Value</t>
  </si>
  <si>
    <t>Net Debt</t>
  </si>
  <si>
    <t>Enterprise Value</t>
  </si>
  <si>
    <t>Market Data</t>
  </si>
  <si>
    <t>Revenue</t>
  </si>
  <si>
    <t>Net Income</t>
  </si>
  <si>
    <t>Valuation</t>
  </si>
  <si>
    <t>Financials</t>
  </si>
  <si>
    <t>S.No.</t>
  </si>
  <si>
    <t>Name</t>
  </si>
  <si>
    <t>CMP Rs.</t>
  </si>
  <si>
    <t>No. Eq. Shares Cr.</t>
  </si>
  <si>
    <t>Debt Rs.Cr.</t>
  </si>
  <si>
    <t>Cash End Rs.Cr.</t>
  </si>
  <si>
    <t>EV Rs.Cr.</t>
  </si>
  <si>
    <t>Sales Rs.Cr.</t>
  </si>
  <si>
    <t>NP 12M Rs.Cr.</t>
  </si>
  <si>
    <t>V-Mart Retail</t>
  </si>
  <si>
    <t>Electronics Mart</t>
  </si>
  <si>
    <t>Shoppers Stop</t>
  </si>
  <si>
    <t>Keto Motors</t>
  </si>
  <si>
    <t>Patel Retail</t>
  </si>
  <si>
    <t>Market Cap</t>
  </si>
  <si>
    <t>EV</t>
  </si>
  <si>
    <t>EV/Revenue</t>
  </si>
  <si>
    <t>EV/EBITDA</t>
  </si>
  <si>
    <t>P/E</t>
  </si>
  <si>
    <t>High</t>
  </si>
  <si>
    <t>Q3</t>
  </si>
  <si>
    <t>Q1</t>
  </si>
  <si>
    <t>Low</t>
  </si>
  <si>
    <t>Implied Enterprise Value</t>
  </si>
  <si>
    <t>Implied Market Value</t>
  </si>
  <si>
    <t>Share Outstanding</t>
  </si>
  <si>
    <t>Implied Value Per Share</t>
  </si>
  <si>
    <t>Amt. In Crores</t>
  </si>
  <si>
    <t xml:space="preserve">Normalised ROIC </t>
  </si>
  <si>
    <t>Forward looking Reinvestment Rate</t>
  </si>
  <si>
    <t>Forecast Growth</t>
  </si>
  <si>
    <t>Reinvestment Rate (Based on expected Growth)</t>
  </si>
  <si>
    <t>Reinvestment Rate (Based on TerminalGrowth)</t>
  </si>
  <si>
    <t>Football Field Analysis</t>
  </si>
  <si>
    <t>Sensitivity Analysis Of Value of Operating Assest</t>
  </si>
  <si>
    <t>Sensitivity Analysis Of Share Price</t>
  </si>
  <si>
    <t>Comps</t>
  </si>
  <si>
    <t>DCF Bear</t>
  </si>
  <si>
    <t>DCF Bull</t>
  </si>
  <si>
    <t>52W H/L</t>
  </si>
  <si>
    <t>Open Low</t>
  </si>
  <si>
    <t>Open High</t>
  </si>
  <si>
    <t>DCF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</si>
</sst>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0;\(#,##0.00\)"/>
    <numFmt numFmtId="167" formatCode="#,##0.00&quot;x&quot;;\(#,##0.00\)&quot;x&quot;"/>
    <numFmt numFmtId="168" formatCode="#,##0\ &quot;days&quot;;\(#,##0\)\ &quot;days&quot;"/>
    <numFmt numFmtId="169" formatCode="yyyy&quot;A&quot;"/>
    <numFmt numFmtId="170" formatCode="yyyy&quot;E&quot;"/>
    <numFmt numFmtId="171" formatCode="#,##0.00;\(#,##0.00\);\-"/>
    <numFmt numFmtId="172" formatCode="0.0%"/>
    <numFmt numFmtId="173" formatCode="mmm/yy&quot;A&quot;"/>
    <numFmt numFmtId="174" formatCode="mmm/yy&quot;E&quot;"/>
    <numFmt numFmtId="175" formatCode="0.000"/>
    <numFmt numFmtId="176" formatCode="0.00&quot;x&quot;"/>
    <numFmt numFmtId="177" formatCode="mmm\ dd\,yyyy"/>
    <numFmt numFmtId="178" formatCode="0.00\x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rgb="FF606F7B"/>
      <name val="Arial"/>
      <family val="2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vertAlign val="superscript"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8"/>
      <color rgb="FF3333FF"/>
      <name val="Calibri"/>
      <family val="2"/>
      <scheme val="minor"/>
    </font>
    <font>
      <sz val="18"/>
      <name val="Calibri"/>
      <family val="2"/>
      <scheme val="minor"/>
    </font>
    <font>
      <sz val="16"/>
      <color theme="1"/>
      <name val="Calibri"/>
      <family val="2"/>
      <scheme val="minor"/>
    </font>
    <font>
      <strike/>
      <sz val="16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Calibri"/>
      <family val="2"/>
      <scheme val="minor"/>
    </font>
    <font>
      <sz val="18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hair">
        <color theme="7" tint="-0.499984740745262"/>
      </top>
      <bottom style="hair">
        <color theme="7" tint="-0.499984740745262"/>
      </bottom>
      <diagonal/>
    </border>
    <border>
      <left/>
      <right/>
      <top style="hair">
        <color theme="7" tint="-0.499984740745262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189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166" fontId="0" fillId="0" borderId="0" xfId="0" applyNumberFormat="1"/>
    <xf numFmtId="0" fontId="7" fillId="0" borderId="0" xfId="0" applyFont="1"/>
    <xf numFmtId="10" fontId="7" fillId="0" borderId="0" xfId="4" applyNumberFormat="1" applyFont="1"/>
    <xf numFmtId="166" fontId="7" fillId="0" borderId="0" xfId="0" applyNumberFormat="1" applyFont="1"/>
    <xf numFmtId="0" fontId="1" fillId="5" borderId="0" xfId="0" applyFont="1" applyFill="1"/>
    <xf numFmtId="0" fontId="0" fillId="5" borderId="0" xfId="0" applyFill="1"/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2" fillId="4" borderId="0" xfId="0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3" fontId="0" fillId="0" borderId="0" xfId="0" applyNumberFormat="1"/>
    <xf numFmtId="17" fontId="8" fillId="6" borderId="1" xfId="0" applyNumberFormat="1" applyFont="1" applyFill="1" applyBorder="1" applyAlignment="1">
      <alignment horizontal="right" vertical="center" wrapText="1"/>
    </xf>
    <xf numFmtId="3" fontId="1" fillId="0" borderId="0" xfId="0" applyNumberFormat="1" applyFont="1"/>
    <xf numFmtId="0" fontId="1" fillId="0" borderId="2" xfId="0" applyFont="1" applyBorder="1"/>
    <xf numFmtId="166" fontId="1" fillId="0" borderId="2" xfId="0" applyNumberFormat="1" applyFont="1" applyBorder="1"/>
    <xf numFmtId="166" fontId="0" fillId="0" borderId="2" xfId="0" applyNumberFormat="1" applyBorder="1"/>
    <xf numFmtId="10" fontId="0" fillId="0" borderId="0" xfId="4" applyNumberFormat="1" applyFont="1"/>
    <xf numFmtId="0" fontId="0" fillId="9" borderId="0" xfId="0" applyFill="1"/>
    <xf numFmtId="0" fontId="2" fillId="9" borderId="0" xfId="0" applyFont="1" applyFill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9" fillId="0" borderId="7" xfId="0" applyFont="1" applyBorder="1"/>
    <xf numFmtId="0" fontId="10" fillId="4" borderId="10" xfId="0" applyFont="1" applyFill="1" applyBorder="1"/>
    <xf numFmtId="0" fontId="10" fillId="0" borderId="0" xfId="0" applyFont="1"/>
    <xf numFmtId="0" fontId="10" fillId="4" borderId="0" xfId="0" applyFont="1" applyFill="1"/>
    <xf numFmtId="2" fontId="9" fillId="0" borderId="0" xfId="0" applyNumberFormat="1" applyFont="1"/>
    <xf numFmtId="0" fontId="9" fillId="0" borderId="10" xfId="0" applyFont="1" applyBorder="1"/>
    <xf numFmtId="10" fontId="9" fillId="0" borderId="10" xfId="4" applyNumberFormat="1" applyFont="1" applyBorder="1"/>
    <xf numFmtId="10" fontId="9" fillId="0" borderId="0" xfId="0" applyNumberFormat="1" applyFont="1"/>
    <xf numFmtId="10" fontId="9" fillId="0" borderId="0" xfId="4" applyNumberFormat="1" applyFont="1" applyBorder="1"/>
    <xf numFmtId="2" fontId="9" fillId="0" borderId="0" xfId="4" applyNumberFormat="1" applyFont="1" applyBorder="1"/>
    <xf numFmtId="0" fontId="12" fillId="0" borderId="0" xfId="0" applyFont="1"/>
    <xf numFmtId="10" fontId="12" fillId="0" borderId="0" xfId="0" applyNumberFormat="1" applyFont="1"/>
    <xf numFmtId="10" fontId="9" fillId="7" borderId="0" xfId="4" applyNumberFormat="1" applyFont="1" applyFill="1" applyBorder="1"/>
    <xf numFmtId="2" fontId="9" fillId="7" borderId="0" xfId="4" applyNumberFormat="1" applyFont="1" applyFill="1" applyBorder="1"/>
    <xf numFmtId="0" fontId="9" fillId="0" borderId="5" xfId="0" applyFont="1" applyBorder="1"/>
    <xf numFmtId="0" fontId="13" fillId="0" borderId="0" xfId="0" applyFont="1"/>
    <xf numFmtId="0" fontId="9" fillId="0" borderId="4" xfId="0" applyFont="1" applyBorder="1"/>
    <xf numFmtId="0" fontId="15" fillId="0" borderId="0" xfId="0" applyFont="1"/>
    <xf numFmtId="166" fontId="15" fillId="0" borderId="0" xfId="0" applyNumberFormat="1" applyFont="1"/>
    <xf numFmtId="10" fontId="15" fillId="0" borderId="0" xfId="4" applyNumberFormat="1" applyFont="1"/>
    <xf numFmtId="2" fontId="16" fillId="0" borderId="0" xfId="0" applyNumberFormat="1" applyFont="1"/>
    <xf numFmtId="2" fontId="9" fillId="8" borderId="0" xfId="0" applyNumberFormat="1" applyFont="1" applyFill="1"/>
    <xf numFmtId="0" fontId="12" fillId="0" borderId="6" xfId="0" applyFont="1" applyBorder="1"/>
    <xf numFmtId="10" fontId="9" fillId="0" borderId="6" xfId="0" applyNumberFormat="1" applyFont="1" applyBorder="1"/>
    <xf numFmtId="2" fontId="9" fillId="0" borderId="6" xfId="0" applyNumberFormat="1" applyFont="1" applyBorder="1"/>
    <xf numFmtId="2" fontId="9" fillId="0" borderId="6" xfId="4" applyNumberFormat="1" applyFont="1" applyBorder="1"/>
    <xf numFmtId="0" fontId="12" fillId="0" borderId="7" xfId="0" applyFont="1" applyBorder="1"/>
    <xf numFmtId="10" fontId="9" fillId="0" borderId="7" xfId="0" applyNumberFormat="1" applyFont="1" applyBorder="1"/>
    <xf numFmtId="2" fontId="9" fillId="0" borderId="7" xfId="0" applyNumberFormat="1" applyFont="1" applyBorder="1"/>
    <xf numFmtId="2" fontId="9" fillId="0" borderId="7" xfId="4" applyNumberFormat="1" applyFont="1" applyBorder="1"/>
    <xf numFmtId="10" fontId="16" fillId="0" borderId="0" xfId="0" applyNumberFormat="1" applyFont="1"/>
    <xf numFmtId="10" fontId="15" fillId="0" borderId="0" xfId="0" applyNumberFormat="1" applyFont="1"/>
    <xf numFmtId="9" fontId="16" fillId="0" borderId="0" xfId="0" applyNumberFormat="1" applyFont="1"/>
    <xf numFmtId="0" fontId="9" fillId="0" borderId="8" xfId="0" applyFont="1" applyBorder="1"/>
    <xf numFmtId="10" fontId="9" fillId="8" borderId="8" xfId="0" applyNumberFormat="1" applyFont="1" applyFill="1" applyBorder="1"/>
    <xf numFmtId="0" fontId="12" fillId="0" borderId="7" xfId="0" applyFont="1" applyBorder="1" applyAlignment="1">
      <alignment horizontal="center"/>
    </xf>
    <xf numFmtId="166" fontId="16" fillId="0" borderId="0" xfId="0" applyNumberFormat="1" applyFont="1"/>
    <xf numFmtId="10" fontId="9" fillId="0" borderId="0" xfId="4" applyNumberFormat="1" applyFont="1"/>
    <xf numFmtId="10" fontId="9" fillId="0" borderId="8" xfId="4" applyNumberFormat="1" applyFont="1" applyBorder="1"/>
    <xf numFmtId="2" fontId="9" fillId="8" borderId="8" xfId="0" applyNumberFormat="1" applyFont="1" applyFill="1" applyBorder="1"/>
    <xf numFmtId="10" fontId="9" fillId="8" borderId="0" xfId="0" applyNumberFormat="1" applyFont="1" applyFill="1"/>
    <xf numFmtId="0" fontId="12" fillId="0" borderId="9" xfId="0" applyFont="1" applyBorder="1"/>
    <xf numFmtId="0" fontId="12" fillId="8" borderId="8" xfId="0" applyFont="1" applyFill="1" applyBorder="1"/>
    <xf numFmtId="10" fontId="12" fillId="8" borderId="8" xfId="4" applyNumberFormat="1" applyFont="1" applyFill="1" applyBorder="1"/>
    <xf numFmtId="0" fontId="9" fillId="0" borderId="0" xfId="0" applyFont="1" applyAlignment="1">
      <alignment horizontal="left"/>
    </xf>
    <xf numFmtId="169" fontId="9" fillId="0" borderId="0" xfId="0" applyNumberFormat="1" applyFont="1"/>
    <xf numFmtId="0" fontId="9" fillId="7" borderId="0" xfId="0" applyFont="1" applyFill="1" applyAlignment="1">
      <alignment horizontal="left"/>
    </xf>
    <xf numFmtId="170" fontId="9" fillId="7" borderId="0" xfId="0" applyNumberFormat="1" applyFont="1" applyFill="1"/>
    <xf numFmtId="166" fontId="16" fillId="7" borderId="0" xfId="0" applyNumberFormat="1" applyFont="1" applyFill="1"/>
    <xf numFmtId="10" fontId="9" fillId="7" borderId="0" xfId="4" applyNumberFormat="1" applyFont="1" applyFill="1"/>
    <xf numFmtId="0" fontId="17" fillId="0" borderId="0" xfId="0" applyFont="1"/>
    <xf numFmtId="0" fontId="17" fillId="0" borderId="3" xfId="0" applyFont="1" applyBorder="1"/>
    <xf numFmtId="10" fontId="17" fillId="0" borderId="3" xfId="4" applyNumberFormat="1" applyFont="1" applyBorder="1"/>
    <xf numFmtId="10" fontId="17" fillId="0" borderId="0" xfId="4" applyNumberFormat="1" applyFont="1"/>
    <xf numFmtId="0" fontId="17" fillId="0" borderId="2" xfId="0" applyFont="1" applyBorder="1"/>
    <xf numFmtId="167" fontId="17" fillId="0" borderId="0" xfId="0" applyNumberFormat="1" applyFont="1"/>
    <xf numFmtId="167" fontId="17" fillId="0" borderId="3" xfId="0" applyNumberFormat="1" applyFont="1" applyBorder="1"/>
    <xf numFmtId="168" fontId="17" fillId="0" borderId="0" xfId="0" applyNumberFormat="1" applyFont="1"/>
    <xf numFmtId="168" fontId="17" fillId="0" borderId="3" xfId="0" applyNumberFormat="1" applyFont="1" applyBorder="1"/>
    <xf numFmtId="0" fontId="20" fillId="4" borderId="0" xfId="0" applyFont="1" applyFill="1" applyAlignment="1">
      <alignment vertical="center"/>
    </xf>
    <xf numFmtId="165" fontId="20" fillId="4" borderId="0" xfId="0" applyNumberFormat="1" applyFont="1" applyFill="1" applyAlignment="1">
      <alignment vertical="center"/>
    </xf>
    <xf numFmtId="165" fontId="20" fillId="4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0" borderId="12" xfId="0" applyFont="1" applyBorder="1"/>
    <xf numFmtId="171" fontId="0" fillId="0" borderId="0" xfId="0" applyNumberFormat="1"/>
    <xf numFmtId="171" fontId="1" fillId="0" borderId="12" xfId="0" applyNumberFormat="1" applyFont="1" applyBorder="1"/>
    <xf numFmtId="171" fontId="0" fillId="0" borderId="8" xfId="0" applyNumberFormat="1" applyBorder="1"/>
    <xf numFmtId="171" fontId="1" fillId="0" borderId="0" xfId="0" applyNumberFormat="1" applyFont="1"/>
    <xf numFmtId="171" fontId="0" fillId="0" borderId="13" xfId="0" applyNumberFormat="1" applyBorder="1"/>
    <xf numFmtId="171" fontId="0" fillId="0" borderId="12" xfId="0" applyNumberFormat="1" applyBorder="1"/>
    <xf numFmtId="0" fontId="10" fillId="4" borderId="0" xfId="0" applyFont="1" applyFill="1" applyAlignment="1">
      <alignment vertical="center"/>
    </xf>
    <xf numFmtId="165" fontId="10" fillId="4" borderId="0" xfId="0" applyNumberFormat="1" applyFont="1" applyFill="1" applyAlignment="1">
      <alignment vertical="center"/>
    </xf>
    <xf numFmtId="0" fontId="9" fillId="0" borderId="12" xfId="0" applyFont="1" applyBorder="1"/>
    <xf numFmtId="171" fontId="9" fillId="0" borderId="12" xfId="0" applyNumberFormat="1" applyFont="1" applyBorder="1"/>
    <xf numFmtId="171" fontId="9" fillId="0" borderId="8" xfId="0" applyNumberFormat="1" applyFont="1" applyBorder="1"/>
    <xf numFmtId="0" fontId="12" fillId="0" borderId="4" xfId="0" applyFont="1" applyBorder="1"/>
    <xf numFmtId="171" fontId="12" fillId="0" borderId="4" xfId="0" applyNumberFormat="1" applyFont="1" applyBorder="1"/>
    <xf numFmtId="0" fontId="12" fillId="0" borderId="14" xfId="0" applyFont="1" applyBorder="1"/>
    <xf numFmtId="4" fontId="12" fillId="0" borderId="14" xfId="0" applyNumberFormat="1" applyFont="1" applyBorder="1"/>
    <xf numFmtId="0" fontId="12" fillId="0" borderId="12" xfId="0" applyFont="1" applyBorder="1"/>
    <xf numFmtId="171" fontId="12" fillId="0" borderId="12" xfId="0" applyNumberFormat="1" applyFont="1" applyBorder="1"/>
    <xf numFmtId="171" fontId="9" fillId="0" borderId="0" xfId="0" applyNumberFormat="1" applyFont="1"/>
    <xf numFmtId="172" fontId="12" fillId="0" borderId="14" xfId="4" applyNumberFormat="1" applyFont="1" applyBorder="1"/>
    <xf numFmtId="9" fontId="22" fillId="0" borderId="12" xfId="4" applyFont="1" applyBorder="1"/>
    <xf numFmtId="0" fontId="9" fillId="0" borderId="15" xfId="0" applyFont="1" applyBorder="1"/>
    <xf numFmtId="172" fontId="9" fillId="0" borderId="0" xfId="4" applyNumberFormat="1" applyFont="1"/>
    <xf numFmtId="172" fontId="12" fillId="0" borderId="0" xfId="0" applyNumberFormat="1" applyFont="1"/>
    <xf numFmtId="173" fontId="2" fillId="4" borderId="0" xfId="0" applyNumberFormat="1" applyFont="1" applyFill="1" applyAlignment="1">
      <alignment vertical="center"/>
    </xf>
    <xf numFmtId="174" fontId="2" fillId="4" borderId="0" xfId="0" applyNumberFormat="1" applyFont="1" applyFill="1" applyAlignment="1">
      <alignment vertical="center"/>
    </xf>
    <xf numFmtId="172" fontId="6" fillId="0" borderId="0" xfId="4" applyNumberFormat="1" applyFont="1" applyBorder="1"/>
    <xf numFmtId="10" fontId="6" fillId="0" borderId="0" xfId="4" applyNumberFormat="1" applyFont="1" applyBorder="1"/>
    <xf numFmtId="0" fontId="1" fillId="0" borderId="14" xfId="0" applyFont="1" applyBorder="1"/>
    <xf numFmtId="10" fontId="0" fillId="0" borderId="0" xfId="0" applyNumberFormat="1"/>
    <xf numFmtId="9" fontId="0" fillId="0" borderId="0" xfId="0" applyNumberFormat="1"/>
    <xf numFmtId="172" fontId="0" fillId="0" borderId="0" xfId="0" applyNumberFormat="1"/>
    <xf numFmtId="0" fontId="0" fillId="7" borderId="0" xfId="0" applyFill="1"/>
    <xf numFmtId="172" fontId="23" fillId="7" borderId="0" xfId="0" applyNumberFormat="1" applyFont="1" applyFill="1"/>
    <xf numFmtId="10" fontId="0" fillId="7" borderId="0" xfId="0" applyNumberFormat="1" applyFill="1"/>
    <xf numFmtId="171" fontId="0" fillId="8" borderId="0" xfId="0" applyNumberFormat="1" applyFill="1"/>
    <xf numFmtId="172" fontId="23" fillId="8" borderId="0" xfId="4" applyNumberFormat="1" applyFont="1" applyFill="1" applyBorder="1"/>
    <xf numFmtId="0" fontId="0" fillId="8" borderId="0" xfId="0" applyFill="1"/>
    <xf numFmtId="0" fontId="1" fillId="8" borderId="14" xfId="0" applyFont="1" applyFill="1" applyBorder="1"/>
    <xf numFmtId="175" fontId="0" fillId="0" borderId="0" xfId="0" applyNumberFormat="1"/>
    <xf numFmtId="2" fontId="0" fillId="0" borderId="0" xfId="0" applyNumberFormat="1"/>
    <xf numFmtId="2" fontId="1" fillId="0" borderId="14" xfId="0" applyNumberFormat="1" applyFont="1" applyBorder="1"/>
    <xf numFmtId="0" fontId="0" fillId="4" borderId="0" xfId="0" applyFill="1"/>
    <xf numFmtId="2" fontId="1" fillId="0" borderId="0" xfId="0" applyNumberFormat="1" applyFont="1"/>
    <xf numFmtId="176" fontId="0" fillId="0" borderId="0" xfId="0" applyNumberFormat="1"/>
    <xf numFmtId="10" fontId="16" fillId="0" borderId="0" xfId="4" applyNumberFormat="1" applyFont="1"/>
    <xf numFmtId="4" fontId="9" fillId="0" borderId="10" xfId="0" applyNumberFormat="1" applyFont="1" applyBorder="1"/>
    <xf numFmtId="177" fontId="9" fillId="0" borderId="10" xfId="0" applyNumberFormat="1" applyFont="1" applyBorder="1" applyAlignment="1">
      <alignment horizontal="center"/>
    </xf>
    <xf numFmtId="0" fontId="10" fillId="4" borderId="10" xfId="0" applyFont="1" applyFill="1" applyBorder="1" applyAlignment="1">
      <alignment wrapText="1"/>
    </xf>
    <xf numFmtId="0" fontId="0" fillId="0" borderId="5" xfId="0" applyBorder="1"/>
    <xf numFmtId="0" fontId="24" fillId="0" borderId="11" xfId="0" applyFont="1" applyBorder="1" applyAlignment="1">
      <alignment horizontal="center"/>
    </xf>
    <xf numFmtId="0" fontId="24" fillId="0" borderId="11" xfId="0" applyFont="1" applyBorder="1" applyAlignment="1">
      <alignment horizontal="centerContinuous"/>
    </xf>
    <xf numFmtId="175" fontId="0" fillId="0" borderId="5" xfId="0" applyNumberFormat="1" applyBorder="1"/>
    <xf numFmtId="10" fontId="22" fillId="0" borderId="0" xfId="0" applyNumberFormat="1" applyFont="1"/>
    <xf numFmtId="171" fontId="1" fillId="0" borderId="6" xfId="0" applyNumberFormat="1" applyFont="1" applyBorder="1"/>
    <xf numFmtId="0" fontId="1" fillId="0" borderId="6" xfId="0" applyFont="1" applyBorder="1"/>
    <xf numFmtId="0" fontId="1" fillId="0" borderId="16" xfId="0" applyFont="1" applyBorder="1"/>
    <xf numFmtId="0" fontId="25" fillId="0" borderId="0" xfId="0" applyFont="1"/>
    <xf numFmtId="0" fontId="2" fillId="4" borderId="0" xfId="0" applyFont="1" applyFill="1" applyAlignment="1">
      <alignment vertical="center" wrapText="1"/>
    </xf>
    <xf numFmtId="0" fontId="2" fillId="4" borderId="18" xfId="0" applyFont="1" applyFill="1" applyBorder="1" applyAlignment="1">
      <alignment vertical="center"/>
    </xf>
    <xf numFmtId="0" fontId="0" fillId="7" borderId="12" xfId="0" applyFill="1" applyBorder="1"/>
    <xf numFmtId="171" fontId="0" fillId="7" borderId="12" xfId="0" applyNumberFormat="1" applyFill="1" applyBorder="1"/>
    <xf numFmtId="178" fontId="0" fillId="7" borderId="12" xfId="0" applyNumberFormat="1" applyFill="1" applyBorder="1"/>
    <xf numFmtId="0" fontId="0" fillId="0" borderId="12" xfId="0" applyBorder="1"/>
    <xf numFmtId="178" fontId="0" fillId="0" borderId="12" xfId="0" applyNumberFormat="1" applyBorder="1"/>
    <xf numFmtId="0" fontId="0" fillId="0" borderId="8" xfId="0" applyBorder="1"/>
    <xf numFmtId="178" fontId="0" fillId="0" borderId="8" xfId="0" applyNumberFormat="1" applyBorder="1"/>
    <xf numFmtId="0" fontId="2" fillId="4" borderId="0" xfId="0" applyFont="1" applyFill="1"/>
    <xf numFmtId="0" fontId="1" fillId="7" borderId="9" xfId="0" applyFont="1" applyFill="1" applyBorder="1"/>
    <xf numFmtId="171" fontId="1" fillId="7" borderId="9" xfId="0" applyNumberFormat="1" applyFont="1" applyFill="1" applyBorder="1"/>
    <xf numFmtId="0" fontId="24" fillId="0" borderId="0" xfId="0" applyFont="1"/>
    <xf numFmtId="0" fontId="1" fillId="7" borderId="12" xfId="0" applyFont="1" applyFill="1" applyBorder="1"/>
    <xf numFmtId="178" fontId="1" fillId="7" borderId="12" xfId="0" applyNumberFormat="1" applyFont="1" applyFill="1" applyBorder="1"/>
    <xf numFmtId="2" fontId="27" fillId="0" borderId="0" xfId="0" applyNumberFormat="1" applyFont="1"/>
    <xf numFmtId="10" fontId="1" fillId="0" borderId="19" xfId="0" applyNumberFormat="1" applyFont="1" applyBorder="1"/>
    <xf numFmtId="9" fontId="1" fillId="0" borderId="5" xfId="0" applyNumberFormat="1" applyFont="1" applyBorder="1"/>
    <xf numFmtId="171" fontId="0" fillId="0" borderId="20" xfId="0" applyNumberFormat="1" applyBorder="1"/>
    <xf numFmtId="171" fontId="0" fillId="0" borderId="21" xfId="0" applyNumberFormat="1" applyBorder="1"/>
    <xf numFmtId="171" fontId="0" fillId="0" borderId="22" xfId="0" applyNumberFormat="1" applyBorder="1"/>
    <xf numFmtId="171" fontId="0" fillId="0" borderId="23" xfId="0" applyNumberFormat="1" applyBorder="1"/>
    <xf numFmtId="171" fontId="0" fillId="0" borderId="24" xfId="0" applyNumberFormat="1" applyBorder="1"/>
    <xf numFmtId="171" fontId="0" fillId="0" borderId="10" xfId="0" applyNumberFormat="1" applyBorder="1"/>
    <xf numFmtId="172" fontId="9" fillId="0" borderId="0" xfId="0" applyNumberFormat="1" applyFont="1"/>
    <xf numFmtId="10" fontId="6" fillId="8" borderId="0" xfId="4" applyNumberFormat="1" applyFont="1" applyFill="1" applyBorder="1"/>
    <xf numFmtId="0" fontId="2" fillId="4" borderId="1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0" fontId="0" fillId="0" borderId="0" xfId="0" applyAlignment="1">
      <alignment horizontal="center"/>
    </xf>
    <xf numFmtId="171" fontId="0" fillId="0" borderId="25" xfId="0" applyNumberFormat="1" applyBorder="1"/>
    <xf numFmtId="171" fontId="0" fillId="0" borderId="26" xfId="0" applyNumberFormat="1" applyBorder="1"/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3333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4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baseline="0">
                <a:solidFill>
                  <a:schemeClr val="accent4">
                    <a:lumMod val="50000"/>
                  </a:schemeClr>
                </a:solidFill>
              </a:rPr>
              <a:t>Football Field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4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Analysis'!$B$4:$B$8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Analysis'!$C$4:$C$8</c:f>
              <c:numCache>
                <c:formatCode>#,##0.00;\(#,##0.00\);\-</c:formatCode>
                <c:ptCount val="5"/>
                <c:pt idx="0">
                  <c:v>1270.1453014058548</c:v>
                </c:pt>
                <c:pt idx="1">
                  <c:v>332.79609214522446</c:v>
                </c:pt>
                <c:pt idx="2">
                  <c:v>-1669.5420763781915</c:v>
                </c:pt>
                <c:pt idx="3">
                  <c:v>-1669.5420763781915</c:v>
                </c:pt>
                <c:pt idx="4">
                  <c:v>3403.95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6A-463E-886F-3B73DAB63967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Analysis'!$B$4:$B$8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Analysis'!$D$4:$D$8</c:f>
              <c:numCache>
                <c:formatCode>#,##0.00;\(#,##0.00\);\-</c:formatCode>
                <c:ptCount val="5"/>
                <c:pt idx="0">
                  <c:v>1270.1453014058548</c:v>
                </c:pt>
                <c:pt idx="1">
                  <c:v>332.79609214522446</c:v>
                </c:pt>
                <c:pt idx="2">
                  <c:v>-1669.5420763781915</c:v>
                </c:pt>
                <c:pt idx="3">
                  <c:v>-1669.5420763781915</c:v>
                </c:pt>
                <c:pt idx="4">
                  <c:v>3403.95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6A-463E-886F-3B73DAB63967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Analysis'!$B$4:$B$8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Analysis'!$E$4:$E$8</c:f>
              <c:numCache>
                <c:formatCode>#,##0.00;\(#,##0.00\);\-</c:formatCode>
                <c:ptCount val="5"/>
                <c:pt idx="0">
                  <c:v>1962.5904496859146</c:v>
                </c:pt>
                <c:pt idx="1">
                  <c:v>1190.9410215124028</c:v>
                </c:pt>
                <c:pt idx="2">
                  <c:v>5481.6656683483043</c:v>
                </c:pt>
                <c:pt idx="3">
                  <c:v>5481.6656683482888</c:v>
                </c:pt>
                <c:pt idx="4">
                  <c:v>5320.55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6A-463E-886F-3B73DAB63967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Analysis'!$B$4:$B$8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Analysis'!$F$4:$F$8</c:f>
              <c:numCache>
                <c:formatCode>#,##0.00;\(#,##0.00\);\-</c:formatCode>
                <c:ptCount val="5"/>
                <c:pt idx="0">
                  <c:v>1962.5904496859146</c:v>
                </c:pt>
                <c:pt idx="1">
                  <c:v>1190.9410215124028</c:v>
                </c:pt>
                <c:pt idx="2">
                  <c:v>5481.6656683483043</c:v>
                </c:pt>
                <c:pt idx="3">
                  <c:v>5481.6656683482888</c:v>
                </c:pt>
                <c:pt idx="4">
                  <c:v>5320.55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6A-463E-886F-3B73DAB63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accent4">
                  <a:lumMod val="50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765110528"/>
        <c:axId val="824228560"/>
      </c:stockChart>
      <c:catAx>
        <c:axId val="17651105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228560"/>
        <c:crosses val="autoZero"/>
        <c:auto val="1"/>
        <c:lblAlgn val="ctr"/>
        <c:lblOffset val="100"/>
        <c:noMultiLvlLbl val="0"/>
      </c:catAx>
      <c:valAx>
        <c:axId val="82422856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11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411480</xdr:colOff>
      <xdr:row>2</xdr:row>
      <xdr:rowOff>148590</xdr:rowOff>
    </xdr:from>
    <xdr:to>
      <xdr:col>14</xdr:col>
      <xdr:colOff>106680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51A6FB-069C-C066-74DB-AD3C89104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D521-E629-429A-B04A-98FB89A9CB9A}">
  <dimension ref="A1"/>
  <sheetViews>
    <sheetView workbookViewId="0">
      <selection activeCell="E28" sqref="E28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85AD-42C4-4260-93EA-7256B0BA4481}">
  <dimension ref="A2:J101"/>
  <sheetViews>
    <sheetView showGridLines="0" zoomScale="81" workbookViewId="0">
      <pane ySplit="3" topLeftCell="A11" activePane="bottomLeft" state="frozen"/>
      <selection pane="bottomLeft" activeCell="C24" sqref="C24"/>
    </sheetView>
  </sheetViews>
  <sheetFormatPr defaultRowHeight="14.4" x14ac:dyDescent="0.3"/>
  <cols>
    <col min="1" max="1" width="2.33203125" customWidth="1"/>
    <col min="2" max="2" width="27" bestFit="1" customWidth="1"/>
    <col min="3" max="3" width="11.109375" bestFit="1" customWidth="1"/>
    <col min="4" max="4" width="9.5546875" bestFit="1" customWidth="1"/>
    <col min="5" max="7" width="10.6640625" bestFit="1" customWidth="1"/>
    <col min="8" max="8" width="11.6640625" bestFit="1" customWidth="1"/>
    <col min="9" max="9" width="10.6640625" bestFit="1" customWidth="1"/>
    <col min="10" max="10" width="10.44140625" bestFit="1" customWidth="1"/>
  </cols>
  <sheetData>
    <row r="2" spans="1:10" x14ac:dyDescent="0.3">
      <c r="B2" s="178" t="str">
        <f>"Historical Financial Statement-"&amp;'Data Sheet'!B1</f>
        <v>Historical Financial Statement-AVENUE SUPERMARTS LTD</v>
      </c>
      <c r="C2" s="178"/>
      <c r="D2" s="178"/>
      <c r="E2" s="178"/>
      <c r="F2" s="178"/>
      <c r="G2" s="178"/>
      <c r="H2" s="178"/>
      <c r="I2" s="178"/>
      <c r="J2" s="178"/>
    </row>
    <row r="3" spans="1:10" x14ac:dyDescent="0.3">
      <c r="B3" s="17" t="s">
        <v>56</v>
      </c>
      <c r="C3" s="18">
        <f>'Data Sheet'!E16</f>
        <v>43921</v>
      </c>
      <c r="D3" s="18">
        <f>'Data Sheet'!F16</f>
        <v>44286</v>
      </c>
      <c r="E3" s="18">
        <f>'Data Sheet'!G16</f>
        <v>44651</v>
      </c>
      <c r="F3" s="18">
        <f>'Data Sheet'!H16</f>
        <v>45016</v>
      </c>
      <c r="G3" s="18">
        <f>'Data Sheet'!I16</f>
        <v>45382</v>
      </c>
      <c r="H3" s="18">
        <f>'Data Sheet'!J16</f>
        <v>45747</v>
      </c>
      <c r="I3" s="18">
        <f>'Data Sheet'!K16</f>
        <v>46112</v>
      </c>
      <c r="J3" s="18" t="s">
        <v>57</v>
      </c>
    </row>
    <row r="4" spans="1:10" x14ac:dyDescent="0.3">
      <c r="B4" s="15"/>
      <c r="C4" s="16"/>
      <c r="D4" s="16"/>
      <c r="E4" s="16"/>
      <c r="F4" s="16"/>
      <c r="G4" s="16"/>
      <c r="H4" s="16"/>
      <c r="I4" s="16"/>
      <c r="J4" s="16"/>
    </row>
    <row r="5" spans="1:10" x14ac:dyDescent="0.3">
      <c r="A5" s="2" t="s">
        <v>59</v>
      </c>
      <c r="B5" s="13" t="s">
        <v>58</v>
      </c>
      <c r="C5" s="14"/>
      <c r="D5" s="14"/>
      <c r="E5" s="14"/>
      <c r="F5" s="14"/>
      <c r="G5" s="14"/>
      <c r="H5" s="14"/>
      <c r="I5" s="14"/>
      <c r="J5" s="14"/>
    </row>
    <row r="6" spans="1:10" x14ac:dyDescent="0.3">
      <c r="B6" t="s">
        <v>1</v>
      </c>
      <c r="C6" s="9">
        <f>IFERROR('Data Sheet'!E17,0)</f>
        <v>24870.2</v>
      </c>
      <c r="D6" s="9">
        <f>IFERROR('Data Sheet'!F17,0)</f>
        <v>24143.06</v>
      </c>
      <c r="E6" s="9">
        <f>IFERROR('Data Sheet'!G17,0)</f>
        <v>30976.27</v>
      </c>
      <c r="F6" s="9">
        <f>IFERROR('Data Sheet'!H17,0)</f>
        <v>42839.56</v>
      </c>
      <c r="G6" s="9">
        <f>IFERROR('Data Sheet'!I17,0)</f>
        <v>50788.83</v>
      </c>
      <c r="H6" s="9">
        <f>IFERROR('Data Sheet'!J17,0)</f>
        <v>59358.05</v>
      </c>
      <c r="I6" s="9">
        <f>IFERROR('Data Sheet'!K17,0)</f>
        <v>68820.740000000005</v>
      </c>
      <c r="J6" s="9">
        <f>IFERROR(SUM(#REF!),0)</f>
        <v>0</v>
      </c>
    </row>
    <row r="7" spans="1:10" x14ac:dyDescent="0.3">
      <c r="B7" s="10" t="s">
        <v>10</v>
      </c>
      <c r="C7" s="10" t="s">
        <v>60</v>
      </c>
      <c r="D7" s="11">
        <f>IFERROR(D6/C6-1,0)</f>
        <v>-2.9237400583831175E-2</v>
      </c>
      <c r="E7" s="11">
        <f t="shared" ref="E7:I7" si="0">IFERROR(E6/D6-1,0)</f>
        <v>0.28302998874210639</v>
      </c>
      <c r="F7" s="11">
        <f t="shared" si="0"/>
        <v>0.38297993915987938</v>
      </c>
      <c r="G7" s="11">
        <f t="shared" si="0"/>
        <v>0.18555909537819737</v>
      </c>
      <c r="H7" s="11">
        <f t="shared" si="0"/>
        <v>0.16872253210007004</v>
      </c>
      <c r="I7" s="11">
        <f t="shared" si="0"/>
        <v>0.15941713044818684</v>
      </c>
      <c r="J7" s="10"/>
    </row>
    <row r="9" spans="1:10" x14ac:dyDescent="0.3">
      <c r="B9" t="s">
        <v>61</v>
      </c>
      <c r="C9" s="9">
        <f>IFERROR(SUM('Data Sheet'!E18,'Data Sheet'!E20,'Data Sheet'!E20:E22)-1*'Data Sheet'!E19,0)</f>
        <v>22582.510000000002</v>
      </c>
      <c r="D9" s="9">
        <f>IFERROR(SUM('Data Sheet'!F18,'Data Sheet'!F20,'Data Sheet'!F20:F22)-1*'Data Sheet'!F19,0)</f>
        <v>22187.090000000004</v>
      </c>
      <c r="E9" s="9">
        <f>IFERROR(SUM('Data Sheet'!G18,'Data Sheet'!G20,'Data Sheet'!G20:G22)-1*'Data Sheet'!G19,0)</f>
        <v>28236.32</v>
      </c>
      <c r="F9" s="9">
        <f>IFERROR(SUM('Data Sheet'!H18,'Data Sheet'!H20,'Data Sheet'!H20:H22)-1*'Data Sheet'!H19,0)</f>
        <v>38877.910000000003</v>
      </c>
      <c r="G9" s="9">
        <f>IFERROR(SUM('Data Sheet'!I18,'Data Sheet'!I20,'Data Sheet'!I20:I22)-1*'Data Sheet'!I19,0)</f>
        <v>46258.969999999994</v>
      </c>
      <c r="H9" s="9">
        <f>IFERROR(SUM('Data Sheet'!J18,'Data Sheet'!J20,'Data Sheet'!J20:J22)-1*'Data Sheet'!J19,0)</f>
        <v>54366.520000000004</v>
      </c>
      <c r="I9" s="9">
        <f>IFERROR(SUM('Data Sheet'!K18,'Data Sheet'!K20,'Data Sheet'!K20:K22)-1*'Data Sheet'!K19,0)</f>
        <v>60001.21</v>
      </c>
      <c r="J9" s="9">
        <f>IFERROR(SUM('Data Sheet'!H43:K43),0)</f>
        <v>65868.679999999993</v>
      </c>
    </row>
    <row r="10" spans="1:10" x14ac:dyDescent="0.3">
      <c r="B10" s="10" t="s">
        <v>62</v>
      </c>
      <c r="C10" s="11">
        <f>IFERROR(C9/C6,0)</f>
        <v>0.90801481290862163</v>
      </c>
      <c r="D10" s="11">
        <f t="shared" ref="D10:I10" si="1">IFERROR(D9/D6,0)</f>
        <v>0.91898417184897041</v>
      </c>
      <c r="E10" s="11">
        <f t="shared" si="1"/>
        <v>0.9115468066361766</v>
      </c>
      <c r="F10" s="11">
        <f t="shared" si="1"/>
        <v>0.90752355999921586</v>
      </c>
      <c r="G10" s="11">
        <f t="shared" si="1"/>
        <v>0.91080991627489727</v>
      </c>
      <c r="H10" s="11">
        <f t="shared" si="1"/>
        <v>0.91590812029707847</v>
      </c>
      <c r="I10" s="11">
        <f t="shared" si="1"/>
        <v>0.87184778890782044</v>
      </c>
      <c r="J10" s="12"/>
    </row>
    <row r="12" spans="1:10" x14ac:dyDescent="0.3">
      <c r="B12" s="22" t="s">
        <v>63</v>
      </c>
      <c r="C12" s="23">
        <f>IFERROR(C6-C9,0)</f>
        <v>2287.6899999999987</v>
      </c>
      <c r="D12" s="23">
        <f t="shared" ref="D12:J12" si="2">IFERROR(D6-D9,0)</f>
        <v>1955.9699999999975</v>
      </c>
      <c r="E12" s="23">
        <f t="shared" si="2"/>
        <v>2739.9500000000007</v>
      </c>
      <c r="F12" s="23">
        <f t="shared" si="2"/>
        <v>3961.6499999999942</v>
      </c>
      <c r="G12" s="23">
        <f t="shared" si="2"/>
        <v>4529.8600000000079</v>
      </c>
      <c r="H12" s="23">
        <f t="shared" si="2"/>
        <v>4991.5299999999988</v>
      </c>
      <c r="I12" s="23">
        <f t="shared" si="2"/>
        <v>8819.5300000000061</v>
      </c>
      <c r="J12" s="23">
        <f t="shared" si="2"/>
        <v>-65868.679999999993</v>
      </c>
    </row>
    <row r="13" spans="1:10" x14ac:dyDescent="0.3">
      <c r="B13" s="10" t="s">
        <v>64</v>
      </c>
      <c r="C13" s="11">
        <f>IFERROR(C12/C6,0)</f>
        <v>9.1985187091378387E-2</v>
      </c>
      <c r="D13" s="11">
        <f t="shared" ref="D13:J13" si="3">IFERROR(D12/D6,0)</f>
        <v>8.1015828151029631E-2</v>
      </c>
      <c r="E13" s="11">
        <f t="shared" si="3"/>
        <v>8.845319336382336E-2</v>
      </c>
      <c r="F13" s="11">
        <f t="shared" si="3"/>
        <v>9.2476440000784185E-2</v>
      </c>
      <c r="G13" s="11">
        <f t="shared" si="3"/>
        <v>8.9190083725102703E-2</v>
      </c>
      <c r="H13" s="11">
        <f t="shared" si="3"/>
        <v>8.4091879702921479E-2</v>
      </c>
      <c r="I13" s="11">
        <f t="shared" si="3"/>
        <v>0.12815221109217956</v>
      </c>
      <c r="J13" s="11">
        <f t="shared" si="3"/>
        <v>0</v>
      </c>
    </row>
    <row r="15" spans="1:10" x14ac:dyDescent="0.3">
      <c r="B15" t="s">
        <v>65</v>
      </c>
      <c r="C15" s="9">
        <f>IFERROR(SUM('Data Sheet'!E23:E24),0)</f>
        <v>347.62</v>
      </c>
      <c r="D15" s="9">
        <f>IFERROR(SUM('Data Sheet'!F23:F24),0)</f>
        <v>385.34</v>
      </c>
      <c r="E15" s="9">
        <f>IFERROR(SUM('Data Sheet'!G23:G24),0)</f>
        <v>445.46000000000004</v>
      </c>
      <c r="F15" s="9">
        <f>IFERROR(SUM('Data Sheet'!H23:H24),0)</f>
        <v>637.5</v>
      </c>
      <c r="G15" s="9">
        <f>IFERROR(SUM('Data Sheet'!I23:I24),0)</f>
        <v>800.81</v>
      </c>
      <c r="H15" s="9">
        <f>IFERROR(SUM('Data Sheet'!J23:J24),0)</f>
        <v>944.77</v>
      </c>
      <c r="I15" s="9">
        <f>IFERROR(SUM('Data Sheet'!K23:K24),0)</f>
        <v>3632.94</v>
      </c>
      <c r="J15" s="9"/>
    </row>
    <row r="16" spans="1:10" x14ac:dyDescent="0.3">
      <c r="B16" s="10" t="s">
        <v>66</v>
      </c>
      <c r="C16" s="11">
        <f>C15/C6</f>
        <v>1.3977370507675852E-2</v>
      </c>
      <c r="D16" s="11">
        <f t="shared" ref="D16:J16" si="4">D15/D6</f>
        <v>1.5960694294757993E-2</v>
      </c>
      <c r="E16" s="11">
        <f t="shared" si="4"/>
        <v>1.438068560223681E-2</v>
      </c>
      <c r="F16" s="11">
        <f t="shared" si="4"/>
        <v>1.4881105221435514E-2</v>
      </c>
      <c r="G16" s="11">
        <f t="shared" si="4"/>
        <v>1.5767443353193997E-2</v>
      </c>
      <c r="H16" s="11">
        <f t="shared" si="4"/>
        <v>1.5916459519812392E-2</v>
      </c>
      <c r="I16" s="11">
        <f t="shared" si="4"/>
        <v>5.2788447203561017E-2</v>
      </c>
      <c r="J16" s="11" t="e">
        <f t="shared" si="4"/>
        <v>#DIV/0!</v>
      </c>
    </row>
    <row r="18" spans="2:10" x14ac:dyDescent="0.3">
      <c r="B18" s="22" t="s">
        <v>67</v>
      </c>
      <c r="C18" s="23">
        <f>IFERROR(C12-C15,0)</f>
        <v>1940.0699999999988</v>
      </c>
      <c r="D18" s="23">
        <f t="shared" ref="D18:I18" si="5">IFERROR(D12-D15,0)</f>
        <v>1570.6299999999976</v>
      </c>
      <c r="E18" s="23">
        <f t="shared" si="5"/>
        <v>2294.4900000000007</v>
      </c>
      <c r="F18" s="23">
        <f t="shared" si="5"/>
        <v>3324.1499999999942</v>
      </c>
      <c r="G18" s="23">
        <f t="shared" si="5"/>
        <v>3729.0500000000079</v>
      </c>
      <c r="H18" s="23">
        <f t="shared" si="5"/>
        <v>4046.7599999999989</v>
      </c>
      <c r="I18" s="23">
        <f t="shared" si="5"/>
        <v>5186.5900000000056</v>
      </c>
      <c r="J18" s="23">
        <f>IFERROR(SUM('Data Sheet'!H50:K50),0)</f>
        <v>5386.89</v>
      </c>
    </row>
    <row r="19" spans="2:10" x14ac:dyDescent="0.3">
      <c r="B19" s="10" t="s">
        <v>68</v>
      </c>
      <c r="C19" s="11">
        <f>C18/C6</f>
        <v>7.8007816583702538E-2</v>
      </c>
      <c r="D19" s="11">
        <f t="shared" ref="D19:J19" si="6">D18/D6</f>
        <v>6.5055133856271638E-2</v>
      </c>
      <c r="E19" s="11">
        <f t="shared" si="6"/>
        <v>7.4072507761586553E-2</v>
      </c>
      <c r="F19" s="11">
        <f t="shared" si="6"/>
        <v>7.7595334779348671E-2</v>
      </c>
      <c r="G19" s="11">
        <f t="shared" si="6"/>
        <v>7.3422640371908696E-2</v>
      </c>
      <c r="H19" s="11">
        <f t="shared" si="6"/>
        <v>6.8175420183109098E-2</v>
      </c>
      <c r="I19" s="11">
        <f t="shared" si="6"/>
        <v>7.536376388861854E-2</v>
      </c>
      <c r="J19" s="11" t="e">
        <f t="shared" si="6"/>
        <v>#DIV/0!</v>
      </c>
    </row>
    <row r="21" spans="2:10" x14ac:dyDescent="0.3">
      <c r="B21" t="s">
        <v>6</v>
      </c>
      <c r="C21" s="9">
        <f>IFERROR('Data Sheet'!E27,0)</f>
        <v>69.12</v>
      </c>
      <c r="D21" s="9">
        <f>IFERROR('Data Sheet'!F27,0)</f>
        <v>41.65</v>
      </c>
      <c r="E21" s="9">
        <f>IFERROR('Data Sheet'!G27,0)</f>
        <v>53.79</v>
      </c>
      <c r="F21" s="9">
        <f>IFERROR('Data Sheet'!H27,0)</f>
        <v>67.41</v>
      </c>
      <c r="G21" s="9">
        <f>IFERROR('Data Sheet'!I27,0)</f>
        <v>58.13</v>
      </c>
      <c r="H21" s="9">
        <f>IFERROR('Data Sheet'!J27,0)</f>
        <v>69.45</v>
      </c>
      <c r="I21" s="9">
        <f>IFERROR('Data Sheet'!K27,0)</f>
        <v>142.05000000000001</v>
      </c>
      <c r="J21" s="9">
        <f>IFERROR(SUM('Data Sheet'!H46:K46),0)</f>
        <v>167.03</v>
      </c>
    </row>
    <row r="22" spans="2:10" x14ac:dyDescent="0.3">
      <c r="B22" s="10" t="s">
        <v>69</v>
      </c>
      <c r="C22" s="11">
        <f>IFERROR(C21/C6,0)</f>
        <v>2.7792297609186899E-3</v>
      </c>
      <c r="D22" s="11">
        <f t="shared" ref="D22:I22" si="7">IFERROR(D21/D6,0)</f>
        <v>1.7251334337900829E-3</v>
      </c>
      <c r="E22" s="11">
        <f t="shared" si="7"/>
        <v>1.7364905458274996E-3</v>
      </c>
      <c r="F22" s="11">
        <f t="shared" si="7"/>
        <v>1.5735455732972048E-3</v>
      </c>
      <c r="G22" s="11">
        <f t="shared" si="7"/>
        <v>1.1445430028610621E-3</v>
      </c>
      <c r="H22" s="11">
        <f t="shared" si="7"/>
        <v>1.170018219938155E-3</v>
      </c>
      <c r="I22" s="11">
        <f t="shared" si="7"/>
        <v>2.0640580150692945E-3</v>
      </c>
      <c r="J22" s="11">
        <f>IFERROR(J21/J6,0)</f>
        <v>0</v>
      </c>
    </row>
    <row r="24" spans="2:10" x14ac:dyDescent="0.3">
      <c r="B24" t="s">
        <v>5</v>
      </c>
      <c r="C24" s="9">
        <f>IFERROR('Data Sheet'!E26,0)</f>
        <v>374.41</v>
      </c>
      <c r="D24" s="9">
        <f>IFERROR('Data Sheet'!F26,0)</f>
        <v>414.16</v>
      </c>
      <c r="E24" s="9">
        <f>IFERROR('Data Sheet'!G26,0)</f>
        <v>498.08</v>
      </c>
      <c r="F24" s="9">
        <f>IFERROR('Data Sheet'!H26,0)</f>
        <v>638.87</v>
      </c>
      <c r="G24" s="9">
        <f>IFERROR('Data Sheet'!I26,0)</f>
        <v>730.76</v>
      </c>
      <c r="H24" s="9">
        <f>IFERROR('Data Sheet'!J26,0)</f>
        <v>869.52</v>
      </c>
      <c r="I24" s="9">
        <f>IFERROR('Data Sheet'!K26,0)</f>
        <v>1037.02</v>
      </c>
      <c r="J24" s="9">
        <f>IFERROR(SUM('Data Sheet'!H45:K45),0)</f>
        <v>1093.02</v>
      </c>
    </row>
    <row r="25" spans="2:10" x14ac:dyDescent="0.3">
      <c r="B25" s="11" t="s">
        <v>70</v>
      </c>
      <c r="C25" s="11">
        <f>IFERROR(C24/C6,0)</f>
        <v>1.5054563292615258E-2</v>
      </c>
      <c r="D25" s="11">
        <f t="shared" ref="D25:J25" si="8">IFERROR(D24/D6,0)</f>
        <v>1.7154412075354161E-2</v>
      </c>
      <c r="E25" s="11">
        <f t="shared" si="8"/>
        <v>1.6079405299605148E-2</v>
      </c>
      <c r="F25" s="11">
        <f t="shared" si="8"/>
        <v>1.4913085008342757E-2</v>
      </c>
      <c r="G25" s="11">
        <f t="shared" si="8"/>
        <v>1.4388203075361254E-2</v>
      </c>
      <c r="H25" s="11">
        <f t="shared" si="8"/>
        <v>1.4648729195113383E-2</v>
      </c>
      <c r="I25" s="11">
        <f t="shared" si="8"/>
        <v>1.5068422687695598E-2</v>
      </c>
      <c r="J25" s="11">
        <f t="shared" si="8"/>
        <v>0</v>
      </c>
    </row>
    <row r="27" spans="2:10" x14ac:dyDescent="0.3">
      <c r="B27" s="22" t="s">
        <v>71</v>
      </c>
      <c r="C27" s="23">
        <f>IFERROR(C18-SUM(C21,C24),0)</f>
        <v>1496.5399999999988</v>
      </c>
      <c r="D27" s="23">
        <f>IFERROR(D18-SUM(D21,D24),0)</f>
        <v>1114.8199999999977</v>
      </c>
      <c r="E27" s="23">
        <f t="shared" ref="E27:J27" si="9">IFERROR(E18-SUM(E21,E24),0)</f>
        <v>1742.6200000000008</v>
      </c>
      <c r="F27" s="23">
        <f t="shared" si="9"/>
        <v>2617.8699999999944</v>
      </c>
      <c r="G27" s="23">
        <f t="shared" si="9"/>
        <v>2940.160000000008</v>
      </c>
      <c r="H27" s="23">
        <f t="shared" si="9"/>
        <v>3107.7899999999991</v>
      </c>
      <c r="I27" s="23">
        <f t="shared" si="9"/>
        <v>4007.5200000000059</v>
      </c>
      <c r="J27" s="23">
        <f t="shared" si="9"/>
        <v>4126.84</v>
      </c>
    </row>
    <row r="28" spans="2:10" x14ac:dyDescent="0.3">
      <c r="B28" s="11" t="s">
        <v>72</v>
      </c>
      <c r="C28" s="11">
        <f t="shared" ref="C28:J28" si="10">IFERROR(C27/C6,0)</f>
        <v>6.017402353016859E-2</v>
      </c>
      <c r="D28" s="11">
        <f t="shared" si="10"/>
        <v>4.61755883471274E-2</v>
      </c>
      <c r="E28" s="11">
        <f t="shared" si="10"/>
        <v>5.6256611916153908E-2</v>
      </c>
      <c r="F28" s="11">
        <f t="shared" si="10"/>
        <v>6.1108704197708717E-2</v>
      </c>
      <c r="G28" s="11">
        <f t="shared" si="10"/>
        <v>5.7889894293686385E-2</v>
      </c>
      <c r="H28" s="11">
        <f t="shared" si="10"/>
        <v>5.2356672768057555E-2</v>
      </c>
      <c r="I28" s="11">
        <f t="shared" si="10"/>
        <v>5.8231283185853647E-2</v>
      </c>
      <c r="J28" s="11">
        <f t="shared" si="10"/>
        <v>0</v>
      </c>
    </row>
    <row r="30" spans="2:10" x14ac:dyDescent="0.3">
      <c r="B30" t="s">
        <v>73</v>
      </c>
      <c r="C30" s="9">
        <f>IFERROR('Data Sheet'!E30-'Data Sheet'!E28,0)</f>
        <v>-443.69000000000005</v>
      </c>
      <c r="D30" s="9">
        <f>IFERROR('Data Sheet'!F30-'Data Sheet'!F28,0)</f>
        <v>-383.96000000000004</v>
      </c>
      <c r="E30" s="9">
        <f>IFERROR('Data Sheet'!G30-'Data Sheet'!G28,0)</f>
        <v>-571.56999999999994</v>
      </c>
      <c r="F30" s="9">
        <f>IFERROR('Data Sheet'!H30-'Data Sheet'!H28,0)</f>
        <v>-681.57999999999993</v>
      </c>
      <c r="G30" s="9">
        <f>IFERROR('Data Sheet'!I30-'Data Sheet'!I28,0)</f>
        <v>-925.15999999999985</v>
      </c>
      <c r="H30" s="9">
        <f>IFERROR('Data Sheet'!J30-'Data Sheet'!J28,0)</f>
        <v>-964.65000000000009</v>
      </c>
      <c r="I30" s="9">
        <f>IFERROR('Data Sheet'!K30-'Data Sheet'!K28,0)</f>
        <v>-1111.1300000000001</v>
      </c>
      <c r="J30" s="9">
        <f>IFERROR('Data Sheet'!L30-'Data Sheet'!L28,0)</f>
        <v>0</v>
      </c>
    </row>
    <row r="31" spans="2:10" x14ac:dyDescent="0.3">
      <c r="B31" s="11" t="s">
        <v>74</v>
      </c>
      <c r="C31" s="11">
        <f>IFERROR(C30/C27,0)</f>
        <v>-0.29647720742512756</v>
      </c>
      <c r="D31" s="11">
        <f t="shared" ref="D31:J31" si="11">IFERROR(D30/D27,0)</f>
        <v>-0.34441434491666889</v>
      </c>
      <c r="E31" s="11">
        <f t="shared" si="11"/>
        <v>-0.32799462877735802</v>
      </c>
      <c r="F31" s="11">
        <f t="shared" si="11"/>
        <v>-0.26035670220446444</v>
      </c>
      <c r="G31" s="11">
        <f t="shared" si="11"/>
        <v>-0.31466314758380404</v>
      </c>
      <c r="H31" s="11">
        <f t="shared" si="11"/>
        <v>-0.31039742067514225</v>
      </c>
      <c r="I31" s="11">
        <f t="shared" si="11"/>
        <v>-0.27726124885215758</v>
      </c>
      <c r="J31" s="11">
        <f t="shared" si="11"/>
        <v>0</v>
      </c>
    </row>
    <row r="33" spans="1:10" x14ac:dyDescent="0.3">
      <c r="B33" s="22" t="s">
        <v>75</v>
      </c>
      <c r="C33" s="23">
        <f>IFERROR(C27-C30,0)</f>
        <v>1940.2299999999989</v>
      </c>
      <c r="D33" s="23">
        <f t="shared" ref="D33:J33" si="12">IFERROR(D27-D30,0)</f>
        <v>1498.7799999999977</v>
      </c>
      <c r="E33" s="23">
        <f t="shared" si="12"/>
        <v>2314.1900000000005</v>
      </c>
      <c r="F33" s="23">
        <f t="shared" si="12"/>
        <v>3299.4499999999944</v>
      </c>
      <c r="G33" s="23">
        <f t="shared" si="12"/>
        <v>3865.3200000000079</v>
      </c>
      <c r="H33" s="23">
        <f t="shared" si="12"/>
        <v>4072.4399999999991</v>
      </c>
      <c r="I33" s="23">
        <f t="shared" si="12"/>
        <v>5118.650000000006</v>
      </c>
      <c r="J33" s="23">
        <f t="shared" si="12"/>
        <v>4126.84</v>
      </c>
    </row>
    <row r="34" spans="1:10" x14ac:dyDescent="0.3">
      <c r="B34" s="11" t="s">
        <v>76</v>
      </c>
      <c r="C34" s="11">
        <f>IFERROR(C33/C6,0)</f>
        <v>7.801424998592689E-2</v>
      </c>
      <c r="D34" s="11">
        <f t="shared" ref="D34:J34" si="13">IFERROR(D33/D6,0)</f>
        <v>6.2079123358845051E-2</v>
      </c>
      <c r="E34" s="11">
        <f t="shared" si="13"/>
        <v>7.4708478457864699E-2</v>
      </c>
      <c r="F34" s="11">
        <f t="shared" si="13"/>
        <v>7.7018764898612271E-2</v>
      </c>
      <c r="G34" s="11">
        <f t="shared" si="13"/>
        <v>7.6105710645431437E-2</v>
      </c>
      <c r="H34" s="11">
        <f t="shared" si="13"/>
        <v>6.8608048950395087E-2</v>
      </c>
      <c r="I34" s="11">
        <f t="shared" si="13"/>
        <v>7.4376561484227069E-2</v>
      </c>
      <c r="J34" s="11">
        <f t="shared" si="13"/>
        <v>0</v>
      </c>
    </row>
    <row r="36" spans="1:10" x14ac:dyDescent="0.3">
      <c r="B36" t="s">
        <v>40</v>
      </c>
      <c r="C36">
        <f>IFERROR('Data Sheet'!E93,0)</f>
        <v>64.78</v>
      </c>
      <c r="D36">
        <f>IFERROR('Data Sheet'!F93,0)</f>
        <v>64.78</v>
      </c>
      <c r="E36">
        <f>IFERROR('Data Sheet'!G93,0)</f>
        <v>64.78</v>
      </c>
      <c r="F36">
        <f>IFERROR('Data Sheet'!H93,0)</f>
        <v>64.83</v>
      </c>
      <c r="G36">
        <f>IFERROR('Data Sheet'!I93,0)</f>
        <v>65.069999999999993</v>
      </c>
      <c r="H36">
        <f>IFERROR('Data Sheet'!J93,0)</f>
        <v>65.069999999999993</v>
      </c>
      <c r="I36">
        <f>IFERROR('Data Sheet'!K93,0)</f>
        <v>65.2</v>
      </c>
    </row>
    <row r="38" spans="1:10" x14ac:dyDescent="0.3">
      <c r="B38" t="s">
        <v>31</v>
      </c>
      <c r="C38" s="9">
        <f>IFERROR(C33/C36,0)</f>
        <v>29.951065143562811</v>
      </c>
      <c r="D38" s="9">
        <f t="shared" ref="D38:I38" si="14">IFERROR(D33/D36,0)</f>
        <v>23.136461870947787</v>
      </c>
      <c r="E38" s="9">
        <f t="shared" si="14"/>
        <v>35.723834516826187</v>
      </c>
      <c r="F38" s="9">
        <f t="shared" si="14"/>
        <v>50.893876291840115</v>
      </c>
      <c r="G38" s="9">
        <f t="shared" si="14"/>
        <v>59.402489626556147</v>
      </c>
      <c r="H38" s="9">
        <f t="shared" si="14"/>
        <v>62.585523282618709</v>
      </c>
      <c r="I38" s="9">
        <f t="shared" si="14"/>
        <v>78.506901840490883</v>
      </c>
      <c r="J38" s="9"/>
    </row>
    <row r="39" spans="1:10" x14ac:dyDescent="0.3">
      <c r="B39" s="11" t="s">
        <v>79</v>
      </c>
      <c r="C39" s="11"/>
      <c r="D39" s="11">
        <f>IFERROR(D38/C38-1,0)</f>
        <v>-0.22752457182911379</v>
      </c>
      <c r="E39" s="11">
        <f t="shared" ref="E39:I39" si="15">IFERROR(E38/D38-1,0)</f>
        <v>0.54404915998345582</v>
      </c>
      <c r="F39" s="11">
        <f t="shared" si="15"/>
        <v>0.42464763316123655</v>
      </c>
      <c r="G39" s="11">
        <f t="shared" si="15"/>
        <v>0.16718344041874889</v>
      </c>
      <c r="H39" s="11">
        <f t="shared" si="15"/>
        <v>5.3584179317621938E-2</v>
      </c>
      <c r="I39" s="11">
        <f t="shared" si="15"/>
        <v>0.25439395123334974</v>
      </c>
      <c r="J39" s="11"/>
    </row>
    <row r="41" spans="1:10" x14ac:dyDescent="0.3">
      <c r="B41" t="s">
        <v>77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10" x14ac:dyDescent="0.3">
      <c r="B42" s="11" t="s">
        <v>80</v>
      </c>
      <c r="C42" s="11">
        <f>IFERROR(C41/C38,0)</f>
        <v>0</v>
      </c>
      <c r="D42" s="11">
        <f t="shared" ref="D42:I42" si="16">IFERROR(D41/D38,0)</f>
        <v>0</v>
      </c>
      <c r="E42" s="11">
        <f t="shared" si="16"/>
        <v>0</v>
      </c>
      <c r="F42" s="11">
        <f t="shared" si="16"/>
        <v>0</v>
      </c>
      <c r="G42" s="11">
        <f t="shared" si="16"/>
        <v>0</v>
      </c>
      <c r="H42" s="11">
        <f t="shared" si="16"/>
        <v>0</v>
      </c>
      <c r="I42" s="11">
        <f t="shared" si="16"/>
        <v>0</v>
      </c>
      <c r="J42" s="11"/>
    </row>
    <row r="44" spans="1:10" x14ac:dyDescent="0.3">
      <c r="B44" t="s">
        <v>78</v>
      </c>
      <c r="C44">
        <f>IFERROR(IF(C38&gt;C41,1-C42,0),0)</f>
        <v>1</v>
      </c>
      <c r="D44">
        <f t="shared" ref="D44:I44" si="17">IFERROR(IF(D38&gt;D41,1-D42,0),0)</f>
        <v>1</v>
      </c>
      <c r="E44">
        <f t="shared" si="17"/>
        <v>1</v>
      </c>
      <c r="F44">
        <f t="shared" si="17"/>
        <v>1</v>
      </c>
      <c r="G44">
        <f t="shared" si="17"/>
        <v>1</v>
      </c>
      <c r="H44">
        <f t="shared" si="17"/>
        <v>1</v>
      </c>
      <c r="I44">
        <f t="shared" si="17"/>
        <v>1</v>
      </c>
    </row>
    <row r="46" spans="1:10" x14ac:dyDescent="0.3">
      <c r="A46" s="2" t="s">
        <v>59</v>
      </c>
      <c r="B46" s="13" t="s">
        <v>81</v>
      </c>
      <c r="C46" s="14"/>
      <c r="D46" s="14"/>
      <c r="E46" s="14"/>
      <c r="F46" s="14"/>
      <c r="G46" s="14"/>
      <c r="H46" s="14"/>
      <c r="I46" s="14"/>
      <c r="J46" s="14"/>
    </row>
    <row r="47" spans="1:10" x14ac:dyDescent="0.3">
      <c r="B47" t="s">
        <v>11</v>
      </c>
      <c r="C47" s="9">
        <f>IFERROR('Data Sheet'!E57,0)</f>
        <v>647.77</v>
      </c>
      <c r="D47" s="9">
        <f>IFERROR('Data Sheet'!F57,0)</f>
        <v>647.77</v>
      </c>
      <c r="E47" s="9">
        <f>IFERROR('Data Sheet'!G57,0)</f>
        <v>647.77</v>
      </c>
      <c r="F47" s="9">
        <f>IFERROR('Data Sheet'!H57,0)</f>
        <v>648.26</v>
      </c>
      <c r="G47" s="9">
        <f>IFERROR('Data Sheet'!I57,0)</f>
        <v>650.73</v>
      </c>
      <c r="H47" s="9">
        <f>IFERROR('Data Sheet'!J57,0)</f>
        <v>650.73</v>
      </c>
      <c r="I47" s="9">
        <f>IFERROR('Data Sheet'!K57,0)</f>
        <v>651.96</v>
      </c>
    </row>
    <row r="48" spans="1:10" x14ac:dyDescent="0.3">
      <c r="B48" t="s">
        <v>12</v>
      </c>
      <c r="C48" s="9">
        <f>IFERROR('Data Sheet'!E58,0)</f>
        <v>10431.969999999999</v>
      </c>
      <c r="D48" s="9">
        <f>IFERROR('Data Sheet'!F58,0)</f>
        <v>11535.94</v>
      </c>
      <c r="E48" s="9">
        <f>IFERROR('Data Sheet'!G58,0)</f>
        <v>13029.87</v>
      </c>
      <c r="F48" s="9">
        <f>IFERROR('Data Sheet'!H58,0)</f>
        <v>15430.44</v>
      </c>
      <c r="G48" s="9">
        <f>IFERROR('Data Sheet'!I58,0)</f>
        <v>18047.09</v>
      </c>
      <c r="H48" s="9">
        <f>IFERROR('Data Sheet'!J58,0)</f>
        <v>20777.02</v>
      </c>
      <c r="I48" s="9">
        <f>IFERROR('Data Sheet'!K58,0)</f>
        <v>23812.080000000002</v>
      </c>
    </row>
    <row r="49" spans="2:9" x14ac:dyDescent="0.3">
      <c r="B49" t="s">
        <v>37</v>
      </c>
      <c r="C49" s="9">
        <f>IFERROR('Data Sheet'!E59,0)</f>
        <v>333.19</v>
      </c>
      <c r="D49" s="9">
        <f>IFERROR('Data Sheet'!F59,0)</f>
        <v>392.71</v>
      </c>
      <c r="E49" s="9">
        <f>IFERROR('Data Sheet'!G59,0)</f>
        <v>646.94000000000005</v>
      </c>
      <c r="F49" s="9">
        <f>IFERROR('Data Sheet'!H59,0)</f>
        <v>642.98</v>
      </c>
      <c r="G49" s="9">
        <f>IFERROR('Data Sheet'!I59,0)</f>
        <v>592.16</v>
      </c>
      <c r="H49" s="9">
        <f>IFERROR('Data Sheet'!J59,0)</f>
        <v>819.62</v>
      </c>
      <c r="I49" s="9">
        <f>IFERROR('Data Sheet'!K59,0)</f>
        <v>2424.9899999999998</v>
      </c>
    </row>
    <row r="50" spans="2:9" x14ac:dyDescent="0.3">
      <c r="B50" t="s">
        <v>38</v>
      </c>
      <c r="C50" s="9">
        <f>IFERROR('Data Sheet'!E60,0)</f>
        <v>663.23</v>
      </c>
      <c r="D50" s="9">
        <f>IFERROR('Data Sheet'!F60,0)</f>
        <v>1078.6300000000001</v>
      </c>
      <c r="E50" s="9">
        <f>IFERROR('Data Sheet'!G60,0)</f>
        <v>1146.4000000000001</v>
      </c>
      <c r="F50" s="9">
        <f>IFERROR('Data Sheet'!H60,0)</f>
        <v>1382.84</v>
      </c>
      <c r="G50" s="9">
        <f>IFERROR('Data Sheet'!I60,0)</f>
        <v>1882.5</v>
      </c>
      <c r="H50" s="9">
        <f>IFERROR('Data Sheet'!J60,0)</f>
        <v>2065.41</v>
      </c>
      <c r="I50" s="9">
        <f>IFERROR('Data Sheet'!K60,0)</f>
        <v>2635.23</v>
      </c>
    </row>
    <row r="51" spans="2:9" x14ac:dyDescent="0.3">
      <c r="B51" s="22" t="s">
        <v>82</v>
      </c>
      <c r="C51" s="23">
        <f>IFERROR(SUM(C47:C50),0)</f>
        <v>12076.16</v>
      </c>
      <c r="D51" s="23">
        <f t="shared" ref="D51:I51" si="18">IFERROR(SUM(D47:D50),0)</f>
        <v>13655.05</v>
      </c>
      <c r="E51" s="23">
        <f t="shared" si="18"/>
        <v>15470.980000000001</v>
      </c>
      <c r="F51" s="23">
        <f t="shared" si="18"/>
        <v>18104.52</v>
      </c>
      <c r="G51" s="23">
        <f t="shared" si="18"/>
        <v>21172.48</v>
      </c>
      <c r="H51" s="23">
        <f t="shared" si="18"/>
        <v>24312.78</v>
      </c>
      <c r="I51" s="23">
        <f t="shared" si="18"/>
        <v>29524.26</v>
      </c>
    </row>
    <row r="52" spans="2:9" x14ac:dyDescent="0.3">
      <c r="C52" s="9"/>
      <c r="D52" s="9"/>
      <c r="E52" s="9"/>
      <c r="F52" s="9"/>
      <c r="G52" s="9"/>
      <c r="H52" s="9"/>
      <c r="I52" s="9"/>
    </row>
    <row r="53" spans="2:9" x14ac:dyDescent="0.3">
      <c r="B53" t="s">
        <v>83</v>
      </c>
      <c r="C53" s="9">
        <f>IFERROR('Data Sheet'!E62,0)</f>
        <v>5948.03</v>
      </c>
      <c r="D53" s="9">
        <f>IFERROR('Data Sheet'!F62,0)</f>
        <v>7008.8</v>
      </c>
      <c r="E53" s="9">
        <f>IFERROR('Data Sheet'!G62,0)</f>
        <v>9260.02</v>
      </c>
      <c r="F53" s="9">
        <f>IFERROR('Data Sheet'!H62,0)</f>
        <v>11340.48</v>
      </c>
      <c r="G53" s="9">
        <f>IFERROR('Data Sheet'!I62,0)</f>
        <v>13415</v>
      </c>
      <c r="H53" s="9">
        <f>IFERROR('Data Sheet'!J62,0)</f>
        <v>16206.46</v>
      </c>
      <c r="I53" s="9">
        <f>IFERROR('Data Sheet'!K62,0)</f>
        <v>20090.310000000001</v>
      </c>
    </row>
    <row r="54" spans="2:9" x14ac:dyDescent="0.3">
      <c r="B54" t="s">
        <v>15</v>
      </c>
      <c r="C54" s="9">
        <f>IFERROR('Data Sheet'!E63,0)</f>
        <v>364.4</v>
      </c>
      <c r="D54" s="9">
        <f>IFERROR('Data Sheet'!F63,0)</f>
        <v>1019.59</v>
      </c>
      <c r="E54" s="9">
        <f>IFERROR('Data Sheet'!G63,0)</f>
        <v>1129.3399999999999</v>
      </c>
      <c r="F54" s="9">
        <f>IFERROR('Data Sheet'!H63,0)</f>
        <v>829.16</v>
      </c>
      <c r="G54" s="9">
        <f>IFERROR('Data Sheet'!I63,0)</f>
        <v>935.22</v>
      </c>
      <c r="H54" s="9">
        <f>IFERROR('Data Sheet'!J63,0)</f>
        <v>1099.3499999999999</v>
      </c>
      <c r="I54" s="9">
        <f>IFERROR('Data Sheet'!K63,0)</f>
        <v>1299.96</v>
      </c>
    </row>
    <row r="55" spans="2:9" x14ac:dyDescent="0.3">
      <c r="B55" t="s">
        <v>16</v>
      </c>
      <c r="C55" s="9">
        <f>IFERROR('Data Sheet'!E64,0)</f>
        <v>14.68</v>
      </c>
      <c r="D55" s="9">
        <f>IFERROR('Data Sheet'!F64,0)</f>
        <v>2.95</v>
      </c>
      <c r="E55" s="9">
        <f>IFERROR('Data Sheet'!G64,0)</f>
        <v>5.94</v>
      </c>
      <c r="F55" s="9">
        <f>IFERROR('Data Sheet'!H64,0)</f>
        <v>202.2</v>
      </c>
      <c r="G55" s="9">
        <f>IFERROR('Data Sheet'!I64,0)</f>
        <v>106.67</v>
      </c>
      <c r="H55" s="9">
        <f>IFERROR('Data Sheet'!J64,0)</f>
        <v>3.26</v>
      </c>
      <c r="I55" s="9">
        <f>IFERROR('Data Sheet'!K64,0)</f>
        <v>4.01</v>
      </c>
    </row>
    <row r="56" spans="2:9" x14ac:dyDescent="0.3">
      <c r="B56" t="s">
        <v>39</v>
      </c>
      <c r="C56" s="9">
        <f>IFERROR('Data Sheet'!E65-SUM('Data Sheet'!E67:E69),0)</f>
        <v>3674.2200000000003</v>
      </c>
      <c r="D56" s="9">
        <f>IFERROR('Data Sheet'!F65-SUM('Data Sheet'!F67:F69),0)</f>
        <v>1886.27</v>
      </c>
      <c r="E56" s="9">
        <f>IFERROR('Data Sheet'!G65-SUM('Data Sheet'!G67:G69),0)</f>
        <v>1967.5500000000006</v>
      </c>
      <c r="F56" s="9">
        <f>IFERROR('Data Sheet'!H65-SUM('Data Sheet'!H67:H69),0)</f>
        <v>1018.7100000000009</v>
      </c>
      <c r="G56" s="9">
        <f>IFERROR('Data Sheet'!I65-SUM('Data Sheet'!I67:I69),0)</f>
        <v>1983.7300000000005</v>
      </c>
      <c r="H56" s="9">
        <f>IFERROR('Data Sheet'!J65-SUM('Data Sheet'!J67:J69),0)</f>
        <v>1447.3500000000004</v>
      </c>
      <c r="I56" s="9">
        <f>IFERROR('Data Sheet'!K65-SUM('Data Sheet'!K67:K69),0)</f>
        <v>1776.2199999999993</v>
      </c>
    </row>
    <row r="57" spans="2:9" x14ac:dyDescent="0.3">
      <c r="B57" s="2" t="s">
        <v>84</v>
      </c>
      <c r="C57" s="9">
        <f>IFERROR(SUM(C53:C56),0)</f>
        <v>10001.33</v>
      </c>
      <c r="D57" s="9">
        <f t="shared" ref="D57:I57" si="19">IFERROR(SUM(D53:D56),0)</f>
        <v>9917.61</v>
      </c>
      <c r="E57" s="9">
        <f t="shared" si="19"/>
        <v>12362.850000000002</v>
      </c>
      <c r="F57" s="9">
        <f t="shared" si="19"/>
        <v>13390.550000000001</v>
      </c>
      <c r="G57" s="9">
        <f t="shared" si="19"/>
        <v>16440.62</v>
      </c>
      <c r="H57" s="9">
        <f t="shared" si="19"/>
        <v>18756.419999999998</v>
      </c>
      <c r="I57" s="9">
        <f t="shared" si="19"/>
        <v>23170.5</v>
      </c>
    </row>
    <row r="58" spans="2:9" x14ac:dyDescent="0.3">
      <c r="C58" s="9"/>
      <c r="D58" s="9"/>
      <c r="E58" s="9"/>
      <c r="F58" s="9"/>
      <c r="G58" s="9"/>
      <c r="H58" s="9"/>
      <c r="I58" s="9"/>
    </row>
    <row r="59" spans="2:9" x14ac:dyDescent="0.3">
      <c r="B59" t="s">
        <v>44</v>
      </c>
      <c r="C59" s="9">
        <f>IFERROR('Data Sheet'!E67,0)</f>
        <v>19.55</v>
      </c>
      <c r="D59" s="9">
        <f>IFERROR('Data Sheet'!F67,0)</f>
        <v>43.58</v>
      </c>
      <c r="E59" s="9">
        <f>IFERROR('Data Sheet'!G67,0)</f>
        <v>66.89</v>
      </c>
      <c r="F59" s="9">
        <f>IFERROR('Data Sheet'!H67,0)</f>
        <v>62.16</v>
      </c>
      <c r="G59" s="9">
        <f>IFERROR('Data Sheet'!I67,0)</f>
        <v>166.37</v>
      </c>
      <c r="H59" s="9">
        <f>IFERROR('Data Sheet'!J67,0)</f>
        <v>153.79</v>
      </c>
      <c r="I59" s="9">
        <f>IFERROR('Data Sheet'!K67,0)</f>
        <v>149.34</v>
      </c>
    </row>
    <row r="60" spans="2:9" x14ac:dyDescent="0.3">
      <c r="B60" t="s">
        <v>30</v>
      </c>
      <c r="C60" s="9">
        <f>IFERROR('Data Sheet'!E68,0)</f>
        <v>1947.4</v>
      </c>
      <c r="D60" s="9">
        <f>IFERROR('Data Sheet'!F68,0)</f>
        <v>2248.2800000000002</v>
      </c>
      <c r="E60" s="9">
        <f>IFERROR('Data Sheet'!G68,0)</f>
        <v>2742.66</v>
      </c>
      <c r="F60" s="9">
        <f>IFERROR('Data Sheet'!H68,0)</f>
        <v>3243.48</v>
      </c>
      <c r="G60" s="9">
        <f>IFERROR('Data Sheet'!I68,0)</f>
        <v>3927.31</v>
      </c>
      <c r="H60" s="9">
        <f>IFERROR('Data Sheet'!J68,0)</f>
        <v>5044.37</v>
      </c>
      <c r="I60" s="9">
        <f>IFERROR('Data Sheet'!K68,0)</f>
        <v>5900.64</v>
      </c>
    </row>
    <row r="61" spans="2:9" x14ac:dyDescent="0.3">
      <c r="B61" t="s">
        <v>53</v>
      </c>
      <c r="C61" s="9">
        <f>IFERROR('Data Sheet'!E69,0)</f>
        <v>107.88</v>
      </c>
      <c r="D61" s="9">
        <f>IFERROR('Data Sheet'!F69,0)</f>
        <v>1445.58</v>
      </c>
      <c r="E61" s="9">
        <f>IFERROR('Data Sheet'!G69,0)</f>
        <v>298.58</v>
      </c>
      <c r="F61" s="9">
        <f>IFERROR('Data Sheet'!H69,0)</f>
        <v>1408.33</v>
      </c>
      <c r="G61" s="9">
        <f>IFERROR('Data Sheet'!I69,0)</f>
        <v>638.17999999999995</v>
      </c>
      <c r="H61" s="9">
        <f>IFERROR('Data Sheet'!J69,0)</f>
        <v>358.2</v>
      </c>
      <c r="I61" s="9">
        <f>IFERROR('Data Sheet'!K69,0)</f>
        <v>303.77999999999997</v>
      </c>
    </row>
    <row r="62" spans="2:9" x14ac:dyDescent="0.3">
      <c r="B62" s="2" t="s">
        <v>85</v>
      </c>
      <c r="C62" s="9">
        <f>IFERROR(SUM(C59:C61),0)</f>
        <v>2074.83</v>
      </c>
      <c r="D62" s="9">
        <f t="shared" ref="D62:I62" si="20">IFERROR(SUM(D59:D61),0)</f>
        <v>3737.44</v>
      </c>
      <c r="E62" s="9">
        <f t="shared" si="20"/>
        <v>3108.1299999999997</v>
      </c>
      <c r="F62" s="9">
        <f t="shared" si="20"/>
        <v>4713.9699999999993</v>
      </c>
      <c r="G62" s="9">
        <f t="shared" si="20"/>
        <v>4731.8599999999997</v>
      </c>
      <c r="H62" s="9">
        <f t="shared" si="20"/>
        <v>5556.36</v>
      </c>
      <c r="I62" s="9">
        <f t="shared" si="20"/>
        <v>6353.76</v>
      </c>
    </row>
    <row r="63" spans="2:9" x14ac:dyDescent="0.3">
      <c r="B63" s="22" t="s">
        <v>121</v>
      </c>
      <c r="C63" s="23">
        <f>IFERROR(SUM(C62,C57),0)</f>
        <v>12076.16</v>
      </c>
      <c r="D63" s="23">
        <f t="shared" ref="D63:I63" si="21">IFERROR(SUM(D62,D57),0)</f>
        <v>13655.050000000001</v>
      </c>
      <c r="E63" s="23">
        <f t="shared" si="21"/>
        <v>15470.980000000001</v>
      </c>
      <c r="F63" s="23">
        <f t="shared" si="21"/>
        <v>18104.52</v>
      </c>
      <c r="G63" s="23">
        <f t="shared" si="21"/>
        <v>21172.48</v>
      </c>
      <c r="H63" s="23">
        <f t="shared" si="21"/>
        <v>24312.78</v>
      </c>
      <c r="I63" s="23">
        <f t="shared" si="21"/>
        <v>29524.260000000002</v>
      </c>
    </row>
    <row r="65" spans="1:10" x14ac:dyDescent="0.3">
      <c r="A65" s="2" t="s">
        <v>59</v>
      </c>
      <c r="B65" s="13" t="s">
        <v>114</v>
      </c>
      <c r="C65" s="14"/>
      <c r="D65" s="14"/>
      <c r="E65" s="14"/>
      <c r="F65" s="14"/>
      <c r="G65" s="14"/>
      <c r="H65" s="14"/>
      <c r="I65" s="14"/>
      <c r="J65" s="14"/>
    </row>
    <row r="66" spans="1:10" x14ac:dyDescent="0.3">
      <c r="B66" s="2" t="s">
        <v>118</v>
      </c>
    </row>
    <row r="67" spans="1:10" x14ac:dyDescent="0.3">
      <c r="B67" t="s">
        <v>87</v>
      </c>
      <c r="C67" s="9">
        <f>IFERROR(Cashflow!C3,0)</f>
        <v>2149</v>
      </c>
      <c r="D67" s="9">
        <f>IFERROR(Cashflow!D3,0)</f>
        <v>1764</v>
      </c>
      <c r="E67" s="9">
        <f>IFERROR(Cashflow!E3,0)</f>
        <v>2515</v>
      </c>
      <c r="F67" s="9">
        <f>IFERROR(Cashflow!F3,0)</f>
        <v>3659</v>
      </c>
      <c r="G67" s="9">
        <f>IFERROR(Cashflow!G3,0)</f>
        <v>4131</v>
      </c>
      <c r="H67" s="9">
        <f>IFERROR(Cashflow!H3,0)</f>
        <v>4535</v>
      </c>
      <c r="I67" s="9">
        <f>IFERROR(Cashflow!I3,0)</f>
        <v>5233</v>
      </c>
    </row>
    <row r="68" spans="1:10" x14ac:dyDescent="0.3">
      <c r="B68" t="s">
        <v>44</v>
      </c>
      <c r="C68" s="9">
        <f>IFERROR(Cashflow!C4,0)</f>
        <v>45</v>
      </c>
      <c r="D68" s="9">
        <f>IFERROR(Cashflow!D4,0)</f>
        <v>-24</v>
      </c>
      <c r="E68" s="9">
        <f>IFERROR(Cashflow!E4,0)</f>
        <v>-23</v>
      </c>
      <c r="F68" s="9">
        <f>IFERROR(Cashflow!F4,0)</f>
        <v>5</v>
      </c>
      <c r="G68" s="9">
        <f>IFERROR(Cashflow!G4,0)</f>
        <v>-104</v>
      </c>
      <c r="H68" s="9">
        <f>IFERROR(Cashflow!H4,0)</f>
        <v>13</v>
      </c>
      <c r="I68" s="9">
        <f>IFERROR(Cashflow!I4,0)</f>
        <v>4</v>
      </c>
    </row>
    <row r="69" spans="1:10" x14ac:dyDescent="0.3">
      <c r="B69" t="s">
        <v>30</v>
      </c>
      <c r="C69" s="9">
        <f>IFERROR(Cashflow!C5,0)</f>
        <v>-339</v>
      </c>
      <c r="D69" s="9">
        <f>IFERROR(Cashflow!D5,0)</f>
        <v>-301</v>
      </c>
      <c r="E69" s="9">
        <f>IFERROR(Cashflow!E5,0)</f>
        <v>-494</v>
      </c>
      <c r="F69" s="9">
        <f>IFERROR(Cashflow!F5,0)</f>
        <v>-501</v>
      </c>
      <c r="G69" s="9">
        <f>IFERROR(Cashflow!G5,0)</f>
        <v>-684</v>
      </c>
      <c r="H69" s="9">
        <f>IFERROR(Cashflow!H5,0)</f>
        <v>-1117</v>
      </c>
      <c r="I69" s="9">
        <f>IFERROR(Cashflow!I5,0)</f>
        <v>-856</v>
      </c>
    </row>
    <row r="70" spans="1:10" x14ac:dyDescent="0.3">
      <c r="B70" t="s">
        <v>88</v>
      </c>
      <c r="C70" s="9">
        <f>IFERROR(Cashflow!C6,0)</f>
        <v>-30</v>
      </c>
      <c r="D70" s="9">
        <f>IFERROR(Cashflow!D6,0)</f>
        <v>145</v>
      </c>
      <c r="E70" s="9">
        <f>IFERROR(Cashflow!E6,0)</f>
        <v>11</v>
      </c>
      <c r="F70" s="9">
        <f>IFERROR(Cashflow!F6,0)</f>
        <v>165</v>
      </c>
      <c r="G70" s="9">
        <f>IFERROR(Cashflow!G6,0)</f>
        <v>231</v>
      </c>
      <c r="H70" s="9">
        <f>IFERROR(Cashflow!H6,0)</f>
        <v>86</v>
      </c>
      <c r="I70" s="9">
        <f>IFERROR(Cashflow!I6,0)</f>
        <v>267</v>
      </c>
    </row>
    <row r="71" spans="1:10" x14ac:dyDescent="0.3">
      <c r="B71" t="s">
        <v>89</v>
      </c>
      <c r="C71" s="9">
        <f>IFERROR(Cashflow!C7,0)</f>
        <v>0</v>
      </c>
      <c r="D71" s="9">
        <f>IFERROR(Cashflow!D7,0)</f>
        <v>0</v>
      </c>
      <c r="E71" s="9">
        <f>IFERROR(Cashflow!E7,0)</f>
        <v>0</v>
      </c>
      <c r="F71" s="9">
        <f>IFERROR(Cashflow!F7,0)</f>
        <v>0</v>
      </c>
      <c r="G71" s="9">
        <f>IFERROR(Cashflow!G7,0)</f>
        <v>0</v>
      </c>
      <c r="H71" s="9">
        <f>IFERROR(Cashflow!H7,0)</f>
        <v>0</v>
      </c>
      <c r="I71" s="9">
        <f>IFERROR(Cashflow!I7,0)</f>
        <v>0</v>
      </c>
    </row>
    <row r="72" spans="1:10" x14ac:dyDescent="0.3">
      <c r="B72" t="s">
        <v>90</v>
      </c>
      <c r="C72" s="9">
        <f>IFERROR(Cashflow!C8,0)</f>
        <v>2</v>
      </c>
      <c r="D72" s="9">
        <f>IFERROR(Cashflow!D8,0)</f>
        <v>12</v>
      </c>
      <c r="E72" s="9">
        <f>IFERROR(Cashflow!E8,0)</f>
        <v>-3</v>
      </c>
      <c r="F72" s="9">
        <f>IFERROR(Cashflow!F8,0)</f>
        <v>0</v>
      </c>
      <c r="G72" s="9">
        <f>IFERROR(Cashflow!G8,0)</f>
        <v>0</v>
      </c>
      <c r="H72" s="9">
        <f>IFERROR(Cashflow!H8,0)</f>
        <v>0</v>
      </c>
      <c r="I72" s="9">
        <f>IFERROR(Cashflow!I8,0)</f>
        <v>0</v>
      </c>
    </row>
    <row r="73" spans="1:10" x14ac:dyDescent="0.3">
      <c r="B73" t="s">
        <v>91</v>
      </c>
      <c r="C73" s="9">
        <f>IFERROR(Cashflow!C9,0)</f>
        <v>-54</v>
      </c>
      <c r="D73" s="9">
        <f>IFERROR(Cashflow!D9,0)</f>
        <v>41</v>
      </c>
      <c r="E73" s="9">
        <f>IFERROR(Cashflow!E9,0)</f>
        <v>-73</v>
      </c>
      <c r="F73" s="9">
        <f>IFERROR(Cashflow!F9,0)</f>
        <v>12</v>
      </c>
      <c r="G73" s="9">
        <f>IFERROR(Cashflow!G9,0)</f>
        <v>-87</v>
      </c>
      <c r="H73" s="9">
        <f>IFERROR(Cashflow!H9,0)</f>
        <v>-94</v>
      </c>
      <c r="I73" s="9">
        <f>IFERROR(Cashflow!I9,0)</f>
        <v>-114</v>
      </c>
    </row>
    <row r="74" spans="1:10" x14ac:dyDescent="0.3">
      <c r="B74" t="s">
        <v>92</v>
      </c>
      <c r="C74" s="9">
        <f>IFERROR(Cashflow!C10,0)</f>
        <v>-376</v>
      </c>
      <c r="D74" s="9">
        <f>IFERROR(Cashflow!D10,0)</f>
        <v>-127</v>
      </c>
      <c r="E74" s="9">
        <f>IFERROR(Cashflow!E10,0)</f>
        <v>-582</v>
      </c>
      <c r="F74" s="9">
        <f>IFERROR(Cashflow!F10,0)</f>
        <v>-320</v>
      </c>
      <c r="G74" s="9">
        <f>IFERROR(Cashflow!G10,0)</f>
        <v>-644</v>
      </c>
      <c r="H74" s="9">
        <f>IFERROR(Cashflow!H10,0)</f>
        <v>-1113</v>
      </c>
      <c r="I74" s="9">
        <f>IFERROR(Cashflow!I10,0)</f>
        <v>-699</v>
      </c>
    </row>
    <row r="75" spans="1:10" x14ac:dyDescent="0.3">
      <c r="B75" t="s">
        <v>93</v>
      </c>
      <c r="C75" s="9">
        <f>IFERROR(Cashflow!C11,0)</f>
        <v>-492</v>
      </c>
      <c r="D75" s="9">
        <f>IFERROR(Cashflow!D11,0)</f>
        <v>-262</v>
      </c>
      <c r="E75" s="9">
        <f>IFERROR(Cashflow!E11,0)</f>
        <v>-560</v>
      </c>
      <c r="F75" s="9">
        <f>IFERROR(Cashflow!F11,0)</f>
        <v>-709</v>
      </c>
      <c r="G75" s="9">
        <f>IFERROR(Cashflow!G11,0)</f>
        <v>-742</v>
      </c>
      <c r="H75" s="9">
        <f>IFERROR(Cashflow!H11,0)</f>
        <v>-959</v>
      </c>
      <c r="I75" s="9">
        <f>IFERROR(Cashflow!I11,0)</f>
        <v>-1068</v>
      </c>
    </row>
    <row r="76" spans="1:10" x14ac:dyDescent="0.3">
      <c r="B76" s="22" t="s">
        <v>115</v>
      </c>
      <c r="C76" s="24">
        <f>IFERROR(SUM(C67:C75),0)</f>
        <v>905</v>
      </c>
      <c r="D76" s="24">
        <f t="shared" ref="D76:I76" si="22">IFERROR(SUM(D67:D75),0)</f>
        <v>1248</v>
      </c>
      <c r="E76" s="24">
        <f t="shared" si="22"/>
        <v>791</v>
      </c>
      <c r="F76" s="24">
        <f t="shared" si="22"/>
        <v>2311</v>
      </c>
      <c r="G76" s="24">
        <f t="shared" si="22"/>
        <v>2101</v>
      </c>
      <c r="H76" s="24">
        <f t="shared" si="22"/>
        <v>1351</v>
      </c>
      <c r="I76" s="24">
        <f t="shared" si="22"/>
        <v>2767</v>
      </c>
    </row>
    <row r="77" spans="1:10" x14ac:dyDescent="0.3">
      <c r="C77" s="9"/>
      <c r="D77" s="9"/>
      <c r="E77" s="9"/>
      <c r="F77" s="9"/>
      <c r="G77" s="9"/>
      <c r="H77" s="9"/>
      <c r="I77" s="9"/>
    </row>
    <row r="78" spans="1:10" x14ac:dyDescent="0.3">
      <c r="B78" s="2" t="s">
        <v>119</v>
      </c>
    </row>
    <row r="79" spans="1:10" x14ac:dyDescent="0.3">
      <c r="B79" t="s">
        <v>95</v>
      </c>
      <c r="C79" s="9">
        <f>IFERROR(Cashflow!C13,0)</f>
        <v>-1712</v>
      </c>
      <c r="D79" s="9">
        <f>IFERROR(Cashflow!D13,0)</f>
        <v>-2029</v>
      </c>
      <c r="E79" s="9">
        <f>IFERROR(Cashflow!E13,0)</f>
        <v>-2410</v>
      </c>
      <c r="F79" s="9">
        <f>IFERROR(Cashflow!F13,0)</f>
        <v>-2212</v>
      </c>
      <c r="G79" s="9">
        <f>IFERROR(Cashflow!G13,0)</f>
        <v>-2731</v>
      </c>
      <c r="H79" s="9">
        <f>IFERROR(Cashflow!H13,0)</f>
        <v>-3423</v>
      </c>
      <c r="I79" s="9">
        <f>IFERROR(Cashflow!I13,0)</f>
        <v>-4113</v>
      </c>
    </row>
    <row r="80" spans="1:10" x14ac:dyDescent="0.3">
      <c r="B80" t="s">
        <v>96</v>
      </c>
      <c r="C80" s="9">
        <f>IFERROR(Cashflow!C14,0)</f>
        <v>6</v>
      </c>
      <c r="D80" s="9">
        <f>IFERROR(Cashflow!D14,0)</f>
        <v>2</v>
      </c>
      <c r="E80" s="9">
        <f>IFERROR(Cashflow!E14,0)</f>
        <v>21</v>
      </c>
      <c r="F80" s="9">
        <f>IFERROR(Cashflow!F14,0)</f>
        <v>5</v>
      </c>
      <c r="G80" s="9">
        <f>IFERROR(Cashflow!G14,0)</f>
        <v>9</v>
      </c>
      <c r="H80" s="9">
        <f>IFERROR(Cashflow!H14,0)</f>
        <v>6</v>
      </c>
      <c r="I80" s="9">
        <f>IFERROR(Cashflow!I14,0)</f>
        <v>0</v>
      </c>
    </row>
    <row r="81" spans="2:9" x14ac:dyDescent="0.3">
      <c r="B81" t="s">
        <v>97</v>
      </c>
      <c r="C81" s="9">
        <f>IFERROR(Cashflow!C15,0)</f>
        <v>0</v>
      </c>
      <c r="D81" s="9">
        <f>IFERROR(Cashflow!D15,0)</f>
        <v>0</v>
      </c>
      <c r="E81" s="9">
        <f>IFERROR(Cashflow!E15,0)</f>
        <v>0</v>
      </c>
      <c r="F81" s="9">
        <f>IFERROR(Cashflow!F15,0)</f>
        <v>-193</v>
      </c>
      <c r="G81" s="9">
        <f>IFERROR(Cashflow!G15,0)</f>
        <v>-4201</v>
      </c>
      <c r="H81" s="9">
        <f>IFERROR(Cashflow!H15,0)</f>
        <v>-4948</v>
      </c>
      <c r="I81" s="9">
        <f>IFERROR(Cashflow!I15,0)</f>
        <v>-3119</v>
      </c>
    </row>
    <row r="82" spans="2:9" x14ac:dyDescent="0.3">
      <c r="B82" t="s">
        <v>98</v>
      </c>
      <c r="C82" s="9">
        <f>IFERROR(Cashflow!C16,0)</f>
        <v>232</v>
      </c>
      <c r="D82" s="9">
        <f>IFERROR(Cashflow!D16,0)</f>
        <v>3</v>
      </c>
      <c r="E82" s="9">
        <f>IFERROR(Cashflow!E16,0)</f>
        <v>4</v>
      </c>
      <c r="F82" s="9">
        <f>IFERROR(Cashflow!F16,0)</f>
        <v>6</v>
      </c>
      <c r="G82" s="9">
        <f>IFERROR(Cashflow!G16,0)</f>
        <v>4324</v>
      </c>
      <c r="H82" s="9">
        <f>IFERROR(Cashflow!H16,0)</f>
        <v>5074</v>
      </c>
      <c r="I82" s="9">
        <f>IFERROR(Cashflow!I16,0)</f>
        <v>3123</v>
      </c>
    </row>
    <row r="83" spans="2:9" x14ac:dyDescent="0.3">
      <c r="B83" t="s">
        <v>99</v>
      </c>
      <c r="C83" s="9">
        <f>IFERROR(Cashflow!C17,0)</f>
        <v>0</v>
      </c>
      <c r="D83" s="9">
        <f>IFERROR(Cashflow!D17,0)</f>
        <v>0</v>
      </c>
      <c r="E83" s="9">
        <f>IFERROR(Cashflow!E17,0)</f>
        <v>0</v>
      </c>
      <c r="F83" s="9">
        <f>IFERROR(Cashflow!F17,0)</f>
        <v>0</v>
      </c>
      <c r="G83" s="9">
        <f>IFERROR(Cashflow!G17,0)</f>
        <v>0</v>
      </c>
      <c r="H83" s="9">
        <f>IFERROR(Cashflow!H17,0)</f>
        <v>0</v>
      </c>
      <c r="I83" s="9">
        <f>IFERROR(Cashflow!I17,0)</f>
        <v>0</v>
      </c>
    </row>
    <row r="84" spans="2:9" x14ac:dyDescent="0.3">
      <c r="B84" t="s">
        <v>100</v>
      </c>
      <c r="C84" s="9">
        <f>IFERROR(Cashflow!C18,0)</f>
        <v>12</v>
      </c>
      <c r="D84" s="9">
        <f>IFERROR(Cashflow!D18,0)</f>
        <v>129</v>
      </c>
      <c r="E84" s="9">
        <f>IFERROR(Cashflow!E18,0)</f>
        <v>43</v>
      </c>
      <c r="F84" s="9">
        <f>IFERROR(Cashflow!F18,0)</f>
        <v>39</v>
      </c>
      <c r="G84" s="9">
        <f>IFERROR(Cashflow!G18,0)</f>
        <v>262</v>
      </c>
      <c r="H84" s="9">
        <f>IFERROR(Cashflow!H18,0)</f>
        <v>103</v>
      </c>
      <c r="I84" s="9">
        <f>IFERROR(Cashflow!I18,0)</f>
        <v>44</v>
      </c>
    </row>
    <row r="85" spans="2:9" x14ac:dyDescent="0.3">
      <c r="B85" t="s">
        <v>101</v>
      </c>
      <c r="C85" s="9">
        <f>IFERROR(Cashflow!C19,0)</f>
        <v>0</v>
      </c>
      <c r="D85" s="9">
        <f>IFERROR(Cashflow!D19,0)</f>
        <v>0</v>
      </c>
      <c r="E85" s="9">
        <f>IFERROR(Cashflow!E19,0)</f>
        <v>0</v>
      </c>
      <c r="F85" s="9">
        <f>IFERROR(Cashflow!F19,0)</f>
        <v>0</v>
      </c>
      <c r="G85" s="9">
        <f>IFERROR(Cashflow!G19,0)</f>
        <v>0</v>
      </c>
      <c r="H85" s="9">
        <f>IFERROR(Cashflow!H19,0)</f>
        <v>0</v>
      </c>
      <c r="I85" s="9">
        <f>IFERROR(Cashflow!I19,0)</f>
        <v>0</v>
      </c>
    </row>
    <row r="86" spans="2:9" x14ac:dyDescent="0.3">
      <c r="B86" t="s">
        <v>102</v>
      </c>
      <c r="C86" s="9">
        <f>IFERROR(Cashflow!#REF!,0)</f>
        <v>0</v>
      </c>
      <c r="D86" s="9">
        <f>IFERROR(Cashflow!#REF!,0)</f>
        <v>0</v>
      </c>
      <c r="E86" s="9">
        <f>IFERROR(Cashflow!#REF!,0)</f>
        <v>0</v>
      </c>
      <c r="F86" s="9">
        <f>IFERROR(Cashflow!#REF!,0)</f>
        <v>0</v>
      </c>
      <c r="G86" s="9">
        <f>IFERROR(Cashflow!#REF!,0)</f>
        <v>0</v>
      </c>
      <c r="H86" s="9">
        <f>IFERROR(Cashflow!#REF!,0)</f>
        <v>0</v>
      </c>
      <c r="I86" s="9">
        <f>IFERROR(Cashflow!#REF!,0)</f>
        <v>0</v>
      </c>
    </row>
    <row r="87" spans="2:9" x14ac:dyDescent="0.3">
      <c r="B87" t="s">
        <v>103</v>
      </c>
      <c r="C87" s="9">
        <f>IFERROR(Cashflow!#REF!,0)</f>
        <v>0</v>
      </c>
      <c r="D87" s="9">
        <f>IFERROR(Cashflow!#REF!,0)</f>
        <v>0</v>
      </c>
      <c r="E87" s="9">
        <f>IFERROR(Cashflow!#REF!,0)</f>
        <v>0</v>
      </c>
      <c r="F87" s="9">
        <f>IFERROR(Cashflow!#REF!,0)</f>
        <v>0</v>
      </c>
      <c r="G87" s="9">
        <f>IFERROR(Cashflow!#REF!,0)</f>
        <v>0</v>
      </c>
      <c r="H87" s="9">
        <f>IFERROR(Cashflow!#REF!,0)</f>
        <v>0</v>
      </c>
      <c r="I87" s="9">
        <f>IFERROR(Cashflow!#REF!,0)</f>
        <v>0</v>
      </c>
    </row>
    <row r="88" spans="2:9" x14ac:dyDescent="0.3">
      <c r="B88" t="s">
        <v>104</v>
      </c>
      <c r="C88" s="9">
        <f>IFERROR(Cashflow!#REF!,0)</f>
        <v>0</v>
      </c>
      <c r="D88" s="9">
        <f>IFERROR(Cashflow!#REF!,0)</f>
        <v>0</v>
      </c>
      <c r="E88" s="9">
        <f>IFERROR(Cashflow!#REF!,0)</f>
        <v>0</v>
      </c>
      <c r="F88" s="9">
        <f>IFERROR(Cashflow!#REF!,0)</f>
        <v>0</v>
      </c>
      <c r="G88" s="9">
        <f>IFERROR(Cashflow!#REF!,0)</f>
        <v>0</v>
      </c>
      <c r="H88" s="9">
        <f>IFERROR(Cashflow!#REF!,0)</f>
        <v>0</v>
      </c>
      <c r="I88" s="9">
        <f>IFERROR(Cashflow!#REF!,0)</f>
        <v>0</v>
      </c>
    </row>
    <row r="89" spans="2:9" x14ac:dyDescent="0.3">
      <c r="B89" s="22" t="s">
        <v>116</v>
      </c>
      <c r="C89" s="24">
        <f>IFERROR(SUM(C79:C88),0)</f>
        <v>-1462</v>
      </c>
      <c r="D89" s="24">
        <f t="shared" ref="D89:I89" si="23">IFERROR(SUM(D79:D88),0)</f>
        <v>-1895</v>
      </c>
      <c r="E89" s="24">
        <f t="shared" si="23"/>
        <v>-2342</v>
      </c>
      <c r="F89" s="24">
        <f t="shared" si="23"/>
        <v>-2355</v>
      </c>
      <c r="G89" s="24">
        <f t="shared" si="23"/>
        <v>-2337</v>
      </c>
      <c r="H89" s="24">
        <f t="shared" si="23"/>
        <v>-3188</v>
      </c>
      <c r="I89" s="24">
        <f t="shared" si="23"/>
        <v>-4065</v>
      </c>
    </row>
    <row r="90" spans="2:9" x14ac:dyDescent="0.3">
      <c r="C90" s="9"/>
      <c r="D90" s="9"/>
      <c r="E90" s="9"/>
      <c r="F90" s="9"/>
      <c r="G90" s="9"/>
      <c r="H90" s="9"/>
      <c r="I90" s="9"/>
    </row>
    <row r="91" spans="2:9" x14ac:dyDescent="0.3">
      <c r="B91" s="2" t="s">
        <v>120</v>
      </c>
    </row>
    <row r="92" spans="2:9" x14ac:dyDescent="0.3">
      <c r="B92" t="s">
        <v>106</v>
      </c>
      <c r="C92" s="9">
        <f>IFERROR(Cashflow!C24,0)</f>
        <v>110</v>
      </c>
      <c r="D92" s="9">
        <f>IFERROR(Cashflow!D24,0)</f>
        <v>0</v>
      </c>
      <c r="E92" s="9">
        <f>IFERROR(Cashflow!E24,0)</f>
        <v>0</v>
      </c>
      <c r="F92" s="9">
        <f>IFERROR(Cashflow!F24,0)</f>
        <v>15</v>
      </c>
      <c r="G92" s="9">
        <f>IFERROR(Cashflow!G24,0)</f>
        <v>75</v>
      </c>
      <c r="H92" s="9">
        <f>IFERROR(Cashflow!H24,0)</f>
        <v>0</v>
      </c>
      <c r="I92" s="9">
        <f>IFERROR(Cashflow!I24,0)</f>
        <v>37</v>
      </c>
    </row>
    <row r="93" spans="2:9" x14ac:dyDescent="0.3">
      <c r="B93" t="s">
        <v>107</v>
      </c>
      <c r="C93" s="9">
        <f>IFERROR(Cashflow!C25,0)</f>
        <v>300</v>
      </c>
      <c r="D93" s="9">
        <f>IFERROR(Cashflow!D25,0)</f>
        <v>0</v>
      </c>
      <c r="E93" s="9">
        <f>IFERROR(Cashflow!E25,0)</f>
        <v>0</v>
      </c>
      <c r="F93" s="9">
        <f>IFERROR(Cashflow!F25,0)</f>
        <v>0</v>
      </c>
      <c r="G93" s="9">
        <f>IFERROR(Cashflow!G25,0)</f>
        <v>0</v>
      </c>
      <c r="H93" s="9">
        <f>IFERROR(Cashflow!H25,0)</f>
        <v>0</v>
      </c>
      <c r="I93" s="9">
        <f>IFERROR(Cashflow!I25,0)</f>
        <v>0</v>
      </c>
    </row>
    <row r="94" spans="2:9" x14ac:dyDescent="0.3">
      <c r="B94" t="s">
        <v>108</v>
      </c>
      <c r="C94" s="9">
        <f>IFERROR(Cashflow!C26,0)</f>
        <v>-512</v>
      </c>
      <c r="D94" s="9">
        <f>IFERROR(Cashflow!D26,0)</f>
        <v>-34</v>
      </c>
      <c r="E94" s="9">
        <f>IFERROR(Cashflow!E26,0)</f>
        <v>0</v>
      </c>
      <c r="F94" s="9">
        <f>IFERROR(Cashflow!F26,0)</f>
        <v>0</v>
      </c>
      <c r="G94" s="9">
        <f>IFERROR(Cashflow!G26,0)</f>
        <v>0</v>
      </c>
      <c r="H94" s="9">
        <f>IFERROR(Cashflow!H26,0)</f>
        <v>0</v>
      </c>
      <c r="I94" s="9">
        <f>IFERROR(Cashflow!I26,0)</f>
        <v>0</v>
      </c>
    </row>
    <row r="95" spans="2:9" x14ac:dyDescent="0.3">
      <c r="B95" t="s">
        <v>109</v>
      </c>
      <c r="C95" s="9">
        <f>IFERROR(Cashflow!C27,0)</f>
        <v>1100</v>
      </c>
      <c r="D95" s="9">
        <f>IFERROR(Cashflow!D27,0)</f>
        <v>200</v>
      </c>
      <c r="E95" s="9">
        <f>IFERROR(Cashflow!E27,0)</f>
        <v>248</v>
      </c>
      <c r="F95" s="9">
        <f>IFERROR(Cashflow!F27,0)</f>
        <v>0</v>
      </c>
      <c r="G95" s="9">
        <f>IFERROR(Cashflow!G27,0)</f>
        <v>0</v>
      </c>
      <c r="H95" s="9">
        <f>IFERROR(Cashflow!H27,0)</f>
        <v>0</v>
      </c>
      <c r="I95" s="9">
        <f>IFERROR(Cashflow!I27,0)</f>
        <v>1588</v>
      </c>
    </row>
    <row r="96" spans="2:9" x14ac:dyDescent="0.3">
      <c r="B96" t="s">
        <v>110</v>
      </c>
      <c r="C96" s="9">
        <f>IFERROR(Cashflow!C28,0)</f>
        <v>-1550</v>
      </c>
      <c r="D96" s="9">
        <f>IFERROR(Cashflow!D28,0)</f>
        <v>-204</v>
      </c>
      <c r="E96" s="9">
        <f>IFERROR(Cashflow!E28,0)</f>
        <v>-248</v>
      </c>
      <c r="F96" s="9">
        <f>IFERROR(Cashflow!F28,0)</f>
        <v>0</v>
      </c>
      <c r="G96" s="9">
        <f>IFERROR(Cashflow!G28,0)</f>
        <v>0</v>
      </c>
      <c r="H96" s="9">
        <f>IFERROR(Cashflow!H28,0)</f>
        <v>0</v>
      </c>
      <c r="I96" s="9">
        <f>IFERROR(Cashflow!I28,0)</f>
        <v>-1003</v>
      </c>
    </row>
    <row r="97" spans="2:9" x14ac:dyDescent="0.3">
      <c r="B97" t="s">
        <v>111</v>
      </c>
      <c r="C97" s="9">
        <f>IFERROR(Cashflow!C29,0)</f>
        <v>-68</v>
      </c>
      <c r="D97" s="9">
        <f>IFERROR(Cashflow!D29,0)</f>
        <v>-44</v>
      </c>
      <c r="E97" s="9">
        <f>IFERROR(Cashflow!E29,0)</f>
        <v>-54</v>
      </c>
      <c r="F97" s="9">
        <f>IFERROR(Cashflow!F29,0)</f>
        <v>-67</v>
      </c>
      <c r="G97" s="9">
        <f>IFERROR(Cashflow!G29,0)</f>
        <v>-58</v>
      </c>
      <c r="H97" s="9">
        <f>IFERROR(Cashflow!H29,0)</f>
        <v>-69</v>
      </c>
      <c r="I97" s="9">
        <f>IFERROR(Cashflow!I29,0)</f>
        <v>-141</v>
      </c>
    </row>
    <row r="98" spans="2:9" x14ac:dyDescent="0.3">
      <c r="B98" t="s">
        <v>112</v>
      </c>
      <c r="C98" s="9">
        <f>IFERROR(Cashflow!C30,0)</f>
        <v>-100</v>
      </c>
      <c r="D98" s="9">
        <f>IFERROR(Cashflow!D30,0)</f>
        <v>-98</v>
      </c>
      <c r="E98" s="9">
        <f>IFERROR(Cashflow!E30,0)</f>
        <v>-125</v>
      </c>
      <c r="F98" s="9">
        <f>IFERROR(Cashflow!F30,0)</f>
        <v>-153</v>
      </c>
      <c r="G98" s="9">
        <f>IFERROR(Cashflow!G30,0)</f>
        <v>-164</v>
      </c>
      <c r="H98" s="9">
        <f>IFERROR(Cashflow!H30,0)</f>
        <v>-190</v>
      </c>
      <c r="I98" s="9">
        <f>IFERROR(Cashflow!I30,0)</f>
        <v>-194</v>
      </c>
    </row>
    <row r="99" spans="2:9" x14ac:dyDescent="0.3">
      <c r="B99" s="22" t="s">
        <v>117</v>
      </c>
      <c r="C99" s="24">
        <f>IFERROR(SUM(C92:C98),0)</f>
        <v>-720</v>
      </c>
      <c r="D99" s="24">
        <f t="shared" ref="D99:I99" si="24">IFERROR(SUM(D92:D98),0)</f>
        <v>-180</v>
      </c>
      <c r="E99" s="24">
        <f t="shared" si="24"/>
        <v>-179</v>
      </c>
      <c r="F99" s="24">
        <f t="shared" si="24"/>
        <v>-205</v>
      </c>
      <c r="G99" s="24">
        <f t="shared" si="24"/>
        <v>-147</v>
      </c>
      <c r="H99" s="24">
        <f t="shared" si="24"/>
        <v>-259</v>
      </c>
      <c r="I99" s="24">
        <f t="shared" si="24"/>
        <v>287</v>
      </c>
    </row>
    <row r="101" spans="2:9" x14ac:dyDescent="0.3">
      <c r="B101" s="22" t="s">
        <v>21</v>
      </c>
      <c r="C101" s="23">
        <f>IFERROR(SUM(C99,C89,C76),0)</f>
        <v>-1277</v>
      </c>
      <c r="D101" s="23">
        <f t="shared" ref="D101:I101" si="25">IFERROR(SUM(D99,D89,D76),0)</f>
        <v>-827</v>
      </c>
      <c r="E101" s="23">
        <f t="shared" si="25"/>
        <v>-1730</v>
      </c>
      <c r="F101" s="23">
        <f t="shared" si="25"/>
        <v>-249</v>
      </c>
      <c r="G101" s="23">
        <f t="shared" si="25"/>
        <v>-383</v>
      </c>
      <c r="H101" s="23">
        <f t="shared" si="25"/>
        <v>-2096</v>
      </c>
      <c r="I101" s="23">
        <f t="shared" si="25"/>
        <v>-1011</v>
      </c>
    </row>
  </sheetData>
  <mergeCells count="1">
    <mergeCell ref="B2:J2"/>
  </mergeCells>
  <pageMargins left="0.7" right="0.7" top="0.75" bottom="0.75" header="0.3" footer="0.3"/>
  <ignoredErrors>
    <ignoredError sqref="J9 C15:I15 J18 J2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40CC-565A-4218-930A-197CAFB512C2}">
  <dimension ref="A2:I40"/>
  <sheetViews>
    <sheetView showGridLines="0" topLeftCell="A22" zoomScale="94" workbookViewId="0">
      <selection activeCell="C27" sqref="C27"/>
    </sheetView>
  </sheetViews>
  <sheetFormatPr defaultRowHeight="14.4" x14ac:dyDescent="0.3"/>
  <cols>
    <col min="1" max="1" width="2.33203125" customWidth="1"/>
    <col min="2" max="2" width="21" bestFit="1" customWidth="1"/>
    <col min="3" max="3" width="10" bestFit="1" customWidth="1"/>
    <col min="4" max="4" width="9.21875" bestFit="1" customWidth="1"/>
    <col min="5" max="5" width="10" bestFit="1" customWidth="1"/>
    <col min="6" max="7" width="11" bestFit="1" customWidth="1"/>
    <col min="8" max="8" width="13.109375" bestFit="1" customWidth="1"/>
    <col min="9" max="9" width="9.21875" bestFit="1" customWidth="1"/>
  </cols>
  <sheetData>
    <row r="2" spans="1:9" x14ac:dyDescent="0.3">
      <c r="A2" t="s">
        <v>59</v>
      </c>
      <c r="B2" s="180" t="str">
        <f>"Common Size P&amp;L Statement-"&amp;'Data Sheet'!B1</f>
        <v>Common Size P&amp;L Statement-AVENUE SUPERMARTS LTD</v>
      </c>
      <c r="C2" s="180"/>
      <c r="D2" s="180"/>
      <c r="E2" s="180"/>
      <c r="F2" s="180"/>
      <c r="G2" s="180"/>
      <c r="H2" s="180"/>
      <c r="I2" s="180"/>
    </row>
    <row r="3" spans="1:9" s="26" customFormat="1" x14ac:dyDescent="0.3">
      <c r="B3" s="27"/>
      <c r="C3" s="27"/>
      <c r="D3" s="27"/>
      <c r="E3" s="27"/>
      <c r="F3" s="27"/>
      <c r="G3" s="27"/>
      <c r="H3" s="27"/>
      <c r="I3" s="27"/>
    </row>
    <row r="4" spans="1:9" x14ac:dyDescent="0.3">
      <c r="B4" s="17" t="s">
        <v>236</v>
      </c>
      <c r="C4" s="18">
        <f>'Data Sheet'!E16</f>
        <v>43921</v>
      </c>
      <c r="D4" s="18">
        <f>'Data Sheet'!F16</f>
        <v>44286</v>
      </c>
      <c r="E4" s="18">
        <f>'Data Sheet'!G16</f>
        <v>44651</v>
      </c>
      <c r="F4" s="18">
        <f>'Data Sheet'!H16</f>
        <v>45016</v>
      </c>
      <c r="G4" s="18">
        <f>'Data Sheet'!I16</f>
        <v>45382</v>
      </c>
      <c r="H4" s="18">
        <f>'Data Sheet'!J16</f>
        <v>45747</v>
      </c>
      <c r="I4" s="18">
        <f>'Data Sheet'!K16</f>
        <v>46112</v>
      </c>
    </row>
    <row r="6" spans="1:9" x14ac:dyDescent="0.3">
      <c r="B6" t="s">
        <v>1</v>
      </c>
      <c r="C6" s="25">
        <f>'Data Sheet'!E17/'Data Sheet'!E$17</f>
        <v>1</v>
      </c>
      <c r="D6" s="25">
        <f>'Data Sheet'!F17/'Data Sheet'!F$17</f>
        <v>1</v>
      </c>
      <c r="E6" s="25">
        <f>'Data Sheet'!G17/'Data Sheet'!G$17</f>
        <v>1</v>
      </c>
      <c r="F6" s="25">
        <f>'Data Sheet'!H17/'Data Sheet'!H$17</f>
        <v>1</v>
      </c>
      <c r="G6" s="25">
        <f>'Data Sheet'!I17/'Data Sheet'!I$17</f>
        <v>1</v>
      </c>
      <c r="H6" s="25">
        <f>'Data Sheet'!J17/'Data Sheet'!J$17</f>
        <v>1</v>
      </c>
      <c r="I6" s="25">
        <f>'Data Sheet'!K17/'Data Sheet'!K$17</f>
        <v>1</v>
      </c>
    </row>
    <row r="7" spans="1:9" x14ac:dyDescent="0.3">
      <c r="B7" t="s">
        <v>46</v>
      </c>
      <c r="C7" s="25">
        <f>'Data Sheet'!E18/'Data Sheet'!E$17</f>
        <v>0.86214344878609739</v>
      </c>
      <c r="D7" s="25">
        <f>'Data Sheet'!F18/'Data Sheet'!F$17</f>
        <v>0.86383250507599285</v>
      </c>
      <c r="E7" s="25">
        <f>'Data Sheet'!G18/'Data Sheet'!G$17</f>
        <v>0.86814099954578139</v>
      </c>
      <c r="F7" s="25">
        <f>'Data Sheet'!H18/'Data Sheet'!H$17</f>
        <v>0.86099787206031053</v>
      </c>
      <c r="G7" s="25">
        <f>'Data Sheet'!I18/'Data Sheet'!I$17</f>
        <v>0.86551137326849226</v>
      </c>
      <c r="H7" s="25">
        <f>'Data Sheet'!J18/'Data Sheet'!J$17</f>
        <v>0.87045918792817489</v>
      </c>
      <c r="I7" s="25">
        <f>'Data Sheet'!K18/'Data Sheet'!K$17</f>
        <v>0.86189119733382691</v>
      </c>
    </row>
    <row r="8" spans="1:9" x14ac:dyDescent="0.3">
      <c r="B8" t="s">
        <v>47</v>
      </c>
      <c r="C8" s="25">
        <f>'Data Sheet'!E19/'Data Sheet'!E$17</f>
        <v>1.3620718771863514E-2</v>
      </c>
      <c r="D8" s="25">
        <f>'Data Sheet'!F19/'Data Sheet'!F$17</f>
        <v>1.2462380493607686E-2</v>
      </c>
      <c r="E8" s="25">
        <f>'Data Sheet'!G19/'Data Sheet'!G$17</f>
        <v>1.5959959026700117E-2</v>
      </c>
      <c r="F8" s="25">
        <f>'Data Sheet'!H19/'Data Sheet'!H$17</f>
        <v>1.169059626195974E-2</v>
      </c>
      <c r="G8" s="25">
        <f>'Data Sheet'!I19/'Data Sheet'!I$17</f>
        <v>1.3462999639881446E-2</v>
      </c>
      <c r="H8" s="25">
        <f>'Data Sheet'!J19/'Data Sheet'!J$17</f>
        <v>1.8819014438648168E-2</v>
      </c>
      <c r="I8" s="25">
        <f>'Data Sheet'!K19/'Data Sheet'!K$17</f>
        <v>1.2441888884077677E-2</v>
      </c>
    </row>
    <row r="9" spans="1:9" x14ac:dyDescent="0.3">
      <c r="B9" t="s">
        <v>48</v>
      </c>
      <c r="C9" s="25">
        <f>'Data Sheet'!E20/'Data Sheet'!E$17</f>
        <v>7.5688977169463857E-3</v>
      </c>
      <c r="D9" s="25">
        <f>'Data Sheet'!F20/'Data Sheet'!F$17</f>
        <v>7.2153239895854119E-3</v>
      </c>
      <c r="E9" s="25">
        <f>'Data Sheet'!G20/'Data Sheet'!G$17</f>
        <v>6.7102979151460141E-3</v>
      </c>
      <c r="F9" s="25">
        <f>'Data Sheet'!H20/'Data Sheet'!H$17</f>
        <v>7.3441463917930071E-3</v>
      </c>
      <c r="G9" s="25">
        <f>'Data Sheet'!I20/'Data Sheet'!I$17</f>
        <v>7.4148193608712777E-3</v>
      </c>
      <c r="H9" s="25">
        <f>'Data Sheet'!J20/'Data Sheet'!J$17</f>
        <v>7.5432060183917762E-3</v>
      </c>
      <c r="I9" s="25">
        <f>'Data Sheet'!K20/'Data Sheet'!K$17</f>
        <v>0</v>
      </c>
    </row>
    <row r="10" spans="1:9" x14ac:dyDescent="0.3">
      <c r="B10" t="s">
        <v>49</v>
      </c>
      <c r="C10" s="25">
        <f>'Data Sheet'!E21/'Data Sheet'!E$17</f>
        <v>2.5973253130252269E-2</v>
      </c>
      <c r="D10" s="25">
        <f>'Data Sheet'!F21/'Data Sheet'!F$17</f>
        <v>3.0916959159278067E-2</v>
      </c>
      <c r="E10" s="25">
        <f>'Data Sheet'!G21/'Data Sheet'!G$17</f>
        <v>2.6015075410951674E-2</v>
      </c>
      <c r="F10" s="25">
        <f>'Data Sheet'!H21/'Data Sheet'!H$17</f>
        <v>2.6063759758503589E-2</v>
      </c>
      <c r="G10" s="25">
        <f>'Data Sheet'!I21/'Data Sheet'!I$17</f>
        <v>2.6057501226155435E-2</v>
      </c>
      <c r="H10" s="25">
        <f>'Data Sheet'!J21/'Data Sheet'!J$17</f>
        <v>2.9513267366431339E-2</v>
      </c>
      <c r="I10" s="25">
        <f>'Data Sheet'!K21/'Data Sheet'!K$17</f>
        <v>0</v>
      </c>
    </row>
    <row r="11" spans="1:9" x14ac:dyDescent="0.3">
      <c r="B11" t="s">
        <v>50</v>
      </c>
      <c r="C11" s="25">
        <f>'Data Sheet'!E22/'Data Sheet'!E$17</f>
        <v>1.8381034330242619E-2</v>
      </c>
      <c r="D11" s="25">
        <f>'Data Sheet'!F22/'Data Sheet'!F$17</f>
        <v>2.2266440128136201E-2</v>
      </c>
      <c r="E11" s="25">
        <f>'Data Sheet'!G22/'Data Sheet'!G$17</f>
        <v>1.9930094875851741E-2</v>
      </c>
      <c r="F11" s="25">
        <f>'Data Sheet'!H22/'Data Sheet'!H$17</f>
        <v>1.7464231658775208E-2</v>
      </c>
      <c r="G11" s="25">
        <f>'Data Sheet'!I22/'Data Sheet'!I$17</f>
        <v>1.7874402698388601E-2</v>
      </c>
      <c r="H11" s="25">
        <f>'Data Sheet'!J22/'Data Sheet'!J$17</f>
        <v>1.96682674043369E-2</v>
      </c>
      <c r="I11" s="25">
        <f>'Data Sheet'!K22/'Data Sheet'!K$17</f>
        <v>2.2398480458071215E-2</v>
      </c>
    </row>
    <row r="12" spans="1:9" x14ac:dyDescent="0.3">
      <c r="B12" t="s">
        <v>51</v>
      </c>
      <c r="C12" s="25">
        <f>'Data Sheet'!E23/'Data Sheet'!E$17</f>
        <v>2.6698619231047601E-3</v>
      </c>
      <c r="D12" s="25">
        <f>'Data Sheet'!F23/'Data Sheet'!F$17</f>
        <v>4.5019148359818515E-3</v>
      </c>
      <c r="E12" s="25">
        <f>'Data Sheet'!G23/'Data Sheet'!G$17</f>
        <v>4.6296729722461738E-3</v>
      </c>
      <c r="F12" s="25">
        <f>'Data Sheet'!H23/'Data Sheet'!H$17</f>
        <v>4.9496306684755865E-3</v>
      </c>
      <c r="G12" s="25">
        <f>'Data Sheet'!I23/'Data Sheet'!I$17</f>
        <v>5.4033534538992138E-3</v>
      </c>
      <c r="H12" s="25">
        <f>'Data Sheet'!J23/'Data Sheet'!J$17</f>
        <v>5.26432387856407E-3</v>
      </c>
      <c r="I12" s="25">
        <f>'Data Sheet'!K23/'Data Sheet'!K$17</f>
        <v>0</v>
      </c>
    </row>
    <row r="13" spans="1:9" x14ac:dyDescent="0.3">
      <c r="B13" t="s">
        <v>52</v>
      </c>
      <c r="C13" s="25">
        <f>'Data Sheet'!E24/'Data Sheet'!E$17</f>
        <v>1.1307508584571094E-2</v>
      </c>
      <c r="D13" s="25">
        <f>'Data Sheet'!F24/'Data Sheet'!F$17</f>
        <v>1.1458779458776144E-2</v>
      </c>
      <c r="E13" s="25">
        <f>'Data Sheet'!G24/'Data Sheet'!G$17</f>
        <v>9.7510126299906342E-3</v>
      </c>
      <c r="F13" s="25">
        <f>'Data Sheet'!H24/'Data Sheet'!H$17</f>
        <v>9.931474552959927E-3</v>
      </c>
      <c r="G13" s="25">
        <f>'Data Sheet'!I24/'Data Sheet'!I$17</f>
        <v>1.0364089899294786E-2</v>
      </c>
      <c r="H13" s="25">
        <f>'Data Sheet'!J24/'Data Sheet'!J$17</f>
        <v>1.0652135641248322E-2</v>
      </c>
      <c r="I13" s="25">
        <f>'Data Sheet'!K24/'Data Sheet'!K$17</f>
        <v>5.2788447203561017E-2</v>
      </c>
    </row>
    <row r="14" spans="1:9" x14ac:dyDescent="0.3">
      <c r="B14" t="s">
        <v>4</v>
      </c>
      <c r="C14" s="25">
        <f>'Data Sheet'!E25/'Data Sheet'!E$17</f>
        <v>2.4121237464917854E-3</v>
      </c>
      <c r="D14" s="25">
        <f>'Data Sheet'!F25/'Data Sheet'!F$17</f>
        <v>8.0532459431405957E-3</v>
      </c>
      <c r="E14" s="25">
        <f>'Data Sheet'!G25/'Data Sheet'!G$17</f>
        <v>3.6686147170075672E-3</v>
      </c>
      <c r="F14" s="25">
        <f>'Data Sheet'!H25/'Data Sheet'!H$17</f>
        <v>2.9785553353022299E-3</v>
      </c>
      <c r="G14" s="25">
        <f>'Data Sheet'!I25/'Data Sheet'!I$17</f>
        <v>2.8466889274669253E-3</v>
      </c>
      <c r="H14" s="25">
        <f>'Data Sheet'!J25/'Data Sheet'!J$17</f>
        <v>1.9732791087308291E-3</v>
      </c>
      <c r="I14" s="25">
        <f>'Data Sheet'!K25/'Data Sheet'!K$17</f>
        <v>1.0767103056433277E-3</v>
      </c>
    </row>
    <row r="15" spans="1:9" x14ac:dyDescent="0.3">
      <c r="B15" t="s">
        <v>5</v>
      </c>
      <c r="C15" s="25">
        <f>'Data Sheet'!E26/'Data Sheet'!E$17</f>
        <v>1.5054563292615258E-2</v>
      </c>
      <c r="D15" s="25">
        <f>'Data Sheet'!F26/'Data Sheet'!F$17</f>
        <v>1.7154412075354161E-2</v>
      </c>
      <c r="E15" s="25">
        <f>'Data Sheet'!G26/'Data Sheet'!G$17</f>
        <v>1.6079405299605148E-2</v>
      </c>
      <c r="F15" s="25">
        <f>'Data Sheet'!H26/'Data Sheet'!H$17</f>
        <v>1.4913085008342757E-2</v>
      </c>
      <c r="G15" s="25">
        <f>'Data Sheet'!I26/'Data Sheet'!I$17</f>
        <v>1.4388203075361254E-2</v>
      </c>
      <c r="H15" s="25">
        <f>'Data Sheet'!J26/'Data Sheet'!J$17</f>
        <v>1.4648729195113383E-2</v>
      </c>
      <c r="I15" s="25">
        <f>'Data Sheet'!K26/'Data Sheet'!K$17</f>
        <v>1.5068422687695598E-2</v>
      </c>
    </row>
    <row r="16" spans="1:9" x14ac:dyDescent="0.3">
      <c r="B16" t="s">
        <v>6</v>
      </c>
      <c r="C16" s="25">
        <f>'Data Sheet'!E27/'Data Sheet'!E$17</f>
        <v>2.7792297609186899E-3</v>
      </c>
      <c r="D16" s="25">
        <f>'Data Sheet'!F27/'Data Sheet'!F$17</f>
        <v>1.7251334337900829E-3</v>
      </c>
      <c r="E16" s="25">
        <f>'Data Sheet'!G27/'Data Sheet'!G$17</f>
        <v>1.7364905458274996E-3</v>
      </c>
      <c r="F16" s="25">
        <f>'Data Sheet'!H27/'Data Sheet'!H$17</f>
        <v>1.5735455732972048E-3</v>
      </c>
      <c r="G16" s="25">
        <f>'Data Sheet'!I27/'Data Sheet'!I$17</f>
        <v>1.1445430028610621E-3</v>
      </c>
      <c r="H16" s="25">
        <f>'Data Sheet'!J27/'Data Sheet'!J$17</f>
        <v>1.170018219938155E-3</v>
      </c>
      <c r="I16" s="25">
        <f>'Data Sheet'!K27/'Data Sheet'!K$17</f>
        <v>2.0640580150692945E-3</v>
      </c>
    </row>
    <row r="17" spans="1:9" x14ac:dyDescent="0.3">
      <c r="B17" t="s">
        <v>7</v>
      </c>
      <c r="C17" s="25">
        <f>'Data Sheet'!E28/'Data Sheet'!E$17</f>
        <v>7.0155044993606808E-2</v>
      </c>
      <c r="D17" s="25">
        <f>'Data Sheet'!F28/'Data Sheet'!F$17</f>
        <v>6.1444158279853507E-2</v>
      </c>
      <c r="E17" s="25">
        <f>'Data Sheet'!G28/'Data Sheet'!G$17</f>
        <v>6.6635524548307457E-2</v>
      </c>
      <c r="F17" s="25">
        <f>'Data Sheet'!H28/'Data Sheet'!H$17</f>
        <v>7.1431405924804084E-2</v>
      </c>
      <c r="G17" s="25">
        <f>'Data Sheet'!I28/'Data Sheet'!I$17</f>
        <v>6.8151402582024428E-2</v>
      </c>
      <c r="H17" s="25">
        <f>'Data Sheet'!J28/'Data Sheet'!J$17</f>
        <v>6.1873157895180178E-2</v>
      </c>
      <c r="I17" s="25">
        <f>'Data Sheet'!K28/'Data Sheet'!K$17</f>
        <v>5.9307993491496888E-2</v>
      </c>
    </row>
    <row r="18" spans="1:9" x14ac:dyDescent="0.3">
      <c r="B18" t="s">
        <v>8</v>
      </c>
      <c r="C18" s="25">
        <f>'Data Sheet'!E29/'Data Sheet'!E$17</f>
        <v>1.7844247332148514E-2</v>
      </c>
      <c r="D18" s="25">
        <f>'Data Sheet'!F29/'Data Sheet'!F$17</f>
        <v>1.5906020197936795E-2</v>
      </c>
      <c r="E18" s="25">
        <f>'Data Sheet'!G29/'Data Sheet'!G$17</f>
        <v>1.8456708958179923E-2</v>
      </c>
      <c r="F18" s="25">
        <f>'Data Sheet'!H29/'Data Sheet'!H$17</f>
        <v>1.5914028995629274E-2</v>
      </c>
      <c r="G18" s="25">
        <f>'Data Sheet'!I29/'Data Sheet'!I$17</f>
        <v>1.8226842398220238E-2</v>
      </c>
      <c r="H18" s="25">
        <f>'Data Sheet'!J29/'Data Sheet'!J$17</f>
        <v>1.6260978923667471E-2</v>
      </c>
      <c r="I18" s="25">
        <f>'Data Sheet'!K29/'Data Sheet'!K$17</f>
        <v>1.6154432515546911E-2</v>
      </c>
    </row>
    <row r="19" spans="1:9" x14ac:dyDescent="0.3">
      <c r="B19" t="s">
        <v>9</v>
      </c>
      <c r="C19" s="25">
        <f>'Data Sheet'!E30/'Data Sheet'!E$17</f>
        <v>5.2314818537848508E-2</v>
      </c>
      <c r="D19" s="25">
        <f>'Data Sheet'!F30/'Data Sheet'!F$17</f>
        <v>4.5540623268135849E-2</v>
      </c>
      <c r="E19" s="25">
        <f>'Data Sheet'!G30/'Data Sheet'!G$17</f>
        <v>4.8183658006596658E-2</v>
      </c>
      <c r="F19" s="25">
        <f>'Data Sheet'!H30/'Data Sheet'!H$17</f>
        <v>5.5521345223900537E-2</v>
      </c>
      <c r="G19" s="25">
        <f>'Data Sheet'!I30/'Data Sheet'!I$17</f>
        <v>4.9935586230279376E-2</v>
      </c>
      <c r="H19" s="25">
        <f>'Data Sheet'!J30/'Data Sheet'!J$17</f>
        <v>4.5621781712842653E-2</v>
      </c>
      <c r="I19" s="25">
        <f>'Data Sheet'!K30/'Data Sheet'!K$17</f>
        <v>4.3162715193123459E-2</v>
      </c>
    </row>
    <row r="20" spans="1:9" x14ac:dyDescent="0.3">
      <c r="B20" t="s">
        <v>36</v>
      </c>
      <c r="C20" s="25">
        <f>'Data Sheet'!E31/'Data Sheet'!E$17</f>
        <v>0</v>
      </c>
      <c r="D20" s="25">
        <f>'Data Sheet'!F31/'Data Sheet'!F$17</f>
        <v>0</v>
      </c>
      <c r="E20" s="25">
        <f>'Data Sheet'!G31/'Data Sheet'!G$17</f>
        <v>0</v>
      </c>
      <c r="F20" s="25">
        <f>'Data Sheet'!H31/'Data Sheet'!H$17</f>
        <v>0</v>
      </c>
      <c r="G20" s="25">
        <f>'Data Sheet'!I31/'Data Sheet'!I$17</f>
        <v>0</v>
      </c>
      <c r="H20" s="25">
        <f>'Data Sheet'!J31/'Data Sheet'!J$17</f>
        <v>0</v>
      </c>
      <c r="I20" s="25">
        <f>'Data Sheet'!K31/'Data Sheet'!K$17</f>
        <v>0</v>
      </c>
    </row>
    <row r="21" spans="1:9" x14ac:dyDescent="0.3">
      <c r="B21" t="s">
        <v>67</v>
      </c>
      <c r="C21" s="25">
        <f>'Historicial Financials'!C18/'Historicial Financials'!C$6</f>
        <v>7.8007816583702538E-2</v>
      </c>
      <c r="D21" s="25">
        <f>'Historicial Financials'!D18/'Historicial Financials'!D$6</f>
        <v>6.5055133856271638E-2</v>
      </c>
      <c r="E21" s="25">
        <f>'Historicial Financials'!E18/'Historicial Financials'!E$6</f>
        <v>7.4072507761586553E-2</v>
      </c>
      <c r="F21" s="25">
        <f>'Historicial Financials'!F18/'Historicial Financials'!F$6</f>
        <v>7.7595334779348671E-2</v>
      </c>
      <c r="G21" s="25">
        <f>'Historicial Financials'!G18/'Historicial Financials'!G$6</f>
        <v>7.3422640371908696E-2</v>
      </c>
      <c r="H21" s="25">
        <f>'Historicial Financials'!H18/'Historicial Financials'!H$6</f>
        <v>6.8175420183109098E-2</v>
      </c>
      <c r="I21" s="25">
        <f>'Historicial Financials'!I18/'Historicial Financials'!I$6</f>
        <v>7.536376388861854E-2</v>
      </c>
    </row>
    <row r="23" spans="1:9" x14ac:dyDescent="0.3">
      <c r="A23" t="s">
        <v>59</v>
      </c>
      <c r="B23" s="180" t="str">
        <f>"Common Size Balance sheet Statement-"&amp;'Data Sheet'!B1</f>
        <v>Common Size Balance sheet Statement-AVENUE SUPERMARTS LTD</v>
      </c>
      <c r="C23" s="180"/>
      <c r="D23" s="180"/>
      <c r="E23" s="180"/>
      <c r="F23" s="180"/>
      <c r="G23" s="180"/>
      <c r="H23" s="180"/>
      <c r="I23" s="180"/>
    </row>
    <row r="24" spans="1:9" s="26" customFormat="1" x14ac:dyDescent="0.3">
      <c r="B24" s="27"/>
      <c r="C24" s="27"/>
      <c r="D24" s="27"/>
      <c r="E24" s="27"/>
      <c r="F24" s="27"/>
      <c r="G24" s="27"/>
      <c r="H24" s="27"/>
      <c r="I24" s="27"/>
    </row>
    <row r="25" spans="1:9" x14ac:dyDescent="0.3">
      <c r="B25" s="17" t="s">
        <v>236</v>
      </c>
      <c r="C25" s="18">
        <f>'Data Sheet'!E16</f>
        <v>43921</v>
      </c>
      <c r="D25" s="18">
        <f>'Data Sheet'!F16</f>
        <v>44286</v>
      </c>
      <c r="E25" s="18">
        <f>'Data Sheet'!G16</f>
        <v>44651</v>
      </c>
      <c r="F25" s="18">
        <f>'Data Sheet'!H16</f>
        <v>45016</v>
      </c>
      <c r="G25" s="18">
        <f>'Data Sheet'!I16</f>
        <v>45382</v>
      </c>
      <c r="H25" s="18">
        <f>'Data Sheet'!J16</f>
        <v>45747</v>
      </c>
      <c r="I25" s="18">
        <f>'Data Sheet'!K16</f>
        <v>46112</v>
      </c>
    </row>
    <row r="27" spans="1:9" x14ac:dyDescent="0.3">
      <c r="B27" s="2" t="s">
        <v>82</v>
      </c>
      <c r="C27" s="25">
        <f>'Data Sheet'!E61/'Data Sheet'!E$61</f>
        <v>1</v>
      </c>
      <c r="D27" s="25">
        <f>'Data Sheet'!F61/'Data Sheet'!F$61</f>
        <v>1</v>
      </c>
      <c r="E27" s="25">
        <f>'Data Sheet'!G61/'Data Sheet'!G$61</f>
        <v>1</v>
      </c>
      <c r="F27" s="25">
        <f>'Data Sheet'!H61/'Data Sheet'!H$61</f>
        <v>1</v>
      </c>
      <c r="G27" s="25">
        <f>'Data Sheet'!I61/'Data Sheet'!I$61</f>
        <v>1</v>
      </c>
      <c r="H27" s="25">
        <f>'Data Sheet'!J61/'Data Sheet'!J$61</f>
        <v>1</v>
      </c>
      <c r="I27" s="25">
        <f>'Data Sheet'!K61/'Data Sheet'!K$61</f>
        <v>1</v>
      </c>
    </row>
    <row r="28" spans="1:9" x14ac:dyDescent="0.3">
      <c r="B28" t="s">
        <v>11</v>
      </c>
      <c r="C28" s="25">
        <f>'Data Sheet'!E57/'Data Sheet'!E$61</f>
        <v>5.3640395622449523E-2</v>
      </c>
      <c r="D28" s="25">
        <f>'Data Sheet'!F57/'Data Sheet'!F$61</f>
        <v>4.7438127286242089E-2</v>
      </c>
      <c r="E28" s="25">
        <f>'Data Sheet'!G57/'Data Sheet'!G$61</f>
        <v>4.1870004356543672E-2</v>
      </c>
      <c r="F28" s="25">
        <f>'Data Sheet'!H57/'Data Sheet'!H$61</f>
        <v>3.5806527872597561E-2</v>
      </c>
      <c r="G28" s="25">
        <f>'Data Sheet'!I57/'Data Sheet'!I$61</f>
        <v>3.0734708451726017E-2</v>
      </c>
      <c r="H28" s="25">
        <f>'Data Sheet'!J57/'Data Sheet'!J$61</f>
        <v>2.6764935971945621E-2</v>
      </c>
      <c r="I28" s="25">
        <f>'Data Sheet'!K57/'Data Sheet'!K$61</f>
        <v>2.2082179197717405E-2</v>
      </c>
    </row>
    <row r="29" spans="1:9" x14ac:dyDescent="0.3">
      <c r="B29" t="s">
        <v>12</v>
      </c>
      <c r="C29" s="25">
        <f>'Data Sheet'!E58/'Data Sheet'!E$61</f>
        <v>0.86384827627325234</v>
      </c>
      <c r="D29" s="25">
        <f>'Data Sheet'!F58/'Data Sheet'!F$61</f>
        <v>0.84481126030296494</v>
      </c>
      <c r="E29" s="25">
        <f>'Data Sheet'!G58/'Data Sheet'!G$61</f>
        <v>0.84221361542707707</v>
      </c>
      <c r="F29" s="25">
        <f>'Data Sheet'!H58/'Data Sheet'!H$61</f>
        <v>0.852297658264345</v>
      </c>
      <c r="G29" s="25">
        <f>'Data Sheet'!I58/'Data Sheet'!I$61</f>
        <v>0.85238432153436916</v>
      </c>
      <c r="H29" s="25">
        <f>'Data Sheet'!J58/'Data Sheet'!J$61</f>
        <v>0.85457195762886851</v>
      </c>
      <c r="I29" s="25">
        <f>'Data Sheet'!K58/'Data Sheet'!K$61</f>
        <v>0.80652588752436138</v>
      </c>
    </row>
    <row r="30" spans="1:9" x14ac:dyDescent="0.3">
      <c r="B30" t="s">
        <v>37</v>
      </c>
      <c r="C30" s="25">
        <f>'Data Sheet'!E59/'Data Sheet'!E$61</f>
        <v>2.7590724203720388E-2</v>
      </c>
      <c r="D30" s="25">
        <f>'Data Sheet'!F59/'Data Sheet'!F$61</f>
        <v>2.875932347373316E-2</v>
      </c>
      <c r="E30" s="25">
        <f>'Data Sheet'!G59/'Data Sheet'!G$61</f>
        <v>4.1816355524989371E-2</v>
      </c>
      <c r="F30" s="25">
        <f>'Data Sheet'!H59/'Data Sheet'!H$61</f>
        <v>3.5514887994821186E-2</v>
      </c>
      <c r="G30" s="25">
        <f>'Data Sheet'!I59/'Data Sheet'!I$61</f>
        <v>2.7968381597243214E-2</v>
      </c>
      <c r="H30" s="25">
        <f>'Data Sheet'!J59/'Data Sheet'!J$61</f>
        <v>3.3711488361265148E-2</v>
      </c>
      <c r="I30" s="25">
        <f>'Data Sheet'!K59/'Data Sheet'!K$61</f>
        <v>8.2135504835684284E-2</v>
      </c>
    </row>
    <row r="31" spans="1:9" x14ac:dyDescent="0.3">
      <c r="B31" t="s">
        <v>38</v>
      </c>
      <c r="C31" s="25">
        <f>'Data Sheet'!E60/'Data Sheet'!E$61</f>
        <v>5.4920603900577666E-2</v>
      </c>
      <c r="D31" s="25">
        <f>'Data Sheet'!F60/'Data Sheet'!F$61</f>
        <v>7.8991288937059922E-2</v>
      </c>
      <c r="E31" s="25">
        <f>'Data Sheet'!G60/'Data Sheet'!G$61</f>
        <v>7.4100024691389946E-2</v>
      </c>
      <c r="F31" s="25">
        <f>'Data Sheet'!H60/'Data Sheet'!H$61</f>
        <v>7.6380925868236207E-2</v>
      </c>
      <c r="G31" s="25">
        <f>'Data Sheet'!I60/'Data Sheet'!I$61</f>
        <v>8.8912588416661636E-2</v>
      </c>
      <c r="H31" s="25">
        <f>'Data Sheet'!J60/'Data Sheet'!J$61</f>
        <v>8.4951618037920798E-2</v>
      </c>
      <c r="I31" s="25">
        <f>'Data Sheet'!K60/'Data Sheet'!K$61</f>
        <v>8.9256428442236996E-2</v>
      </c>
    </row>
    <row r="32" spans="1:9" x14ac:dyDescent="0.3">
      <c r="C32" s="25"/>
      <c r="D32" s="25"/>
      <c r="E32" s="25"/>
      <c r="F32" s="25"/>
      <c r="G32" s="25"/>
      <c r="H32" s="25"/>
      <c r="I32" s="25"/>
    </row>
    <row r="33" spans="2:9" x14ac:dyDescent="0.3">
      <c r="B33" s="2" t="s">
        <v>121</v>
      </c>
      <c r="C33" s="25">
        <f>'Data Sheet'!E61/'Data Sheet'!E$61</f>
        <v>1</v>
      </c>
      <c r="D33" s="25">
        <f>'Data Sheet'!F61/'Data Sheet'!F$61</f>
        <v>1</v>
      </c>
      <c r="E33" s="25">
        <f>'Data Sheet'!G61/'Data Sheet'!G$61</f>
        <v>1</v>
      </c>
      <c r="F33" s="25">
        <f>'Data Sheet'!H61/'Data Sheet'!H$61</f>
        <v>1</v>
      </c>
      <c r="G33" s="25">
        <f>'Data Sheet'!I61/'Data Sheet'!I$61</f>
        <v>1</v>
      </c>
      <c r="H33" s="25">
        <f>'Data Sheet'!J61/'Data Sheet'!J$61</f>
        <v>1</v>
      </c>
      <c r="I33" s="25">
        <f>'Data Sheet'!K61/'Data Sheet'!K$61</f>
        <v>1</v>
      </c>
    </row>
    <row r="34" spans="2:9" x14ac:dyDescent="0.3">
      <c r="B34" t="s">
        <v>83</v>
      </c>
      <c r="C34" s="25">
        <f>'Data Sheet'!E62/'Data Sheet'!E$61</f>
        <v>0.49254315941491333</v>
      </c>
      <c r="D34" s="25">
        <f>'Data Sheet'!F62/'Data Sheet'!F$61</f>
        <v>0.513275308402386</v>
      </c>
      <c r="E34" s="25">
        <f>'Data Sheet'!G62/'Data Sheet'!G$61</f>
        <v>0.59854126887889458</v>
      </c>
      <c r="F34" s="25">
        <f>'Data Sheet'!H62/'Data Sheet'!H$61</f>
        <v>0.62638943203133801</v>
      </c>
      <c r="G34" s="25">
        <f>'Data Sheet'!I62/'Data Sheet'!I$61</f>
        <v>0.63360551054954362</v>
      </c>
      <c r="H34" s="25">
        <f>'Data Sheet'!J62/'Data Sheet'!J$61</f>
        <v>0.66658193756534634</v>
      </c>
      <c r="I34" s="25">
        <f>'Data Sheet'!K62/'Data Sheet'!K$61</f>
        <v>0.68046785931298537</v>
      </c>
    </row>
    <row r="35" spans="2:9" x14ac:dyDescent="0.3">
      <c r="B35" t="s">
        <v>15</v>
      </c>
      <c r="C35" s="25">
        <f>'Data Sheet'!E63/'Data Sheet'!E$61</f>
        <v>3.0175155016164076E-2</v>
      </c>
      <c r="D35" s="25">
        <f>'Data Sheet'!F63/'Data Sheet'!F$61</f>
        <v>7.466761381320465E-2</v>
      </c>
      <c r="E35" s="25">
        <f>'Data Sheet'!G63/'Data Sheet'!G$61</f>
        <v>7.299731497293642E-2</v>
      </c>
      <c r="F35" s="25">
        <f>'Data Sheet'!H63/'Data Sheet'!H$61</f>
        <v>4.5798507775958709E-2</v>
      </c>
      <c r="G35" s="25">
        <f>'Data Sheet'!I63/'Data Sheet'!I$61</f>
        <v>4.4171490538661512E-2</v>
      </c>
      <c r="H35" s="25">
        <f>'Data Sheet'!J63/'Data Sheet'!J$61</f>
        <v>4.521695996920138E-2</v>
      </c>
      <c r="I35" s="25">
        <f>'Data Sheet'!K63/'Data Sheet'!K$61</f>
        <v>4.4030231409694948E-2</v>
      </c>
    </row>
    <row r="36" spans="2:9" x14ac:dyDescent="0.3">
      <c r="B36" t="s">
        <v>16</v>
      </c>
      <c r="C36" s="25">
        <f>'Data Sheet'!E64/'Data Sheet'!E$61</f>
        <v>1.2156182097620436E-3</v>
      </c>
      <c r="D36" s="25">
        <f>'Data Sheet'!F64/'Data Sheet'!F$61</f>
        <v>2.1603729023328367E-4</v>
      </c>
      <c r="E36" s="25">
        <f>'Data Sheet'!G64/'Data Sheet'!G$61</f>
        <v>3.8394464991875114E-4</v>
      </c>
      <c r="F36" s="25">
        <f>'Data Sheet'!H64/'Data Sheet'!H$61</f>
        <v>1.1168481683027221E-2</v>
      </c>
      <c r="G36" s="25">
        <f>'Data Sheet'!I64/'Data Sheet'!I$61</f>
        <v>5.0381438546641677E-3</v>
      </c>
      <c r="H36" s="25">
        <f>'Data Sheet'!J64/'Data Sheet'!J$61</f>
        <v>1.3408585937107974E-4</v>
      </c>
      <c r="I36" s="25">
        <f>'Data Sheet'!K64/'Data Sheet'!K$61</f>
        <v>1.3582050828708322E-4</v>
      </c>
    </row>
    <row r="37" spans="2:9" x14ac:dyDescent="0.3">
      <c r="B37" t="s">
        <v>39</v>
      </c>
      <c r="C37" s="25">
        <f>'Data Sheet'!E65/'Data Sheet'!E$61</f>
        <v>0.47606606735916057</v>
      </c>
      <c r="D37" s="25">
        <f>'Data Sheet'!F65/'Data Sheet'!F$61</f>
        <v>0.41184104049417619</v>
      </c>
      <c r="E37" s="25">
        <f>'Data Sheet'!G65/'Data Sheet'!G$61</f>
        <v>0.32807747149825028</v>
      </c>
      <c r="F37" s="25">
        <f>'Data Sheet'!H65/'Data Sheet'!H$61</f>
        <v>0.31664357850967606</v>
      </c>
      <c r="G37" s="25">
        <f>'Data Sheet'!I65/'Data Sheet'!I$61</f>
        <v>0.31718485505713079</v>
      </c>
      <c r="H37" s="25">
        <f>'Data Sheet'!J65/'Data Sheet'!J$61</f>
        <v>0.28806701660608125</v>
      </c>
      <c r="I37" s="25">
        <f>'Data Sheet'!K65/'Data Sheet'!K$61</f>
        <v>0.27536608876903268</v>
      </c>
    </row>
    <row r="38" spans="2:9" x14ac:dyDescent="0.3">
      <c r="B38" t="s">
        <v>44</v>
      </c>
      <c r="C38" s="25">
        <f>'Data Sheet'!E67/'Data Sheet'!E$61</f>
        <v>1.6188920981504056E-3</v>
      </c>
      <c r="D38" s="25">
        <f>'Data Sheet'!F67/'Data Sheet'!F$61</f>
        <v>3.1914932570733905E-3</v>
      </c>
      <c r="E38" s="25">
        <f>'Data Sheet'!G67/'Data Sheet'!G$61</f>
        <v>4.3235787261052634E-3</v>
      </c>
      <c r="F38" s="25">
        <f>'Data Sheet'!H67/'Data Sheet'!H$61</f>
        <v>3.4333967429128194E-3</v>
      </c>
      <c r="G38" s="25">
        <f>'Data Sheet'!I67/'Data Sheet'!I$61</f>
        <v>7.8578418777582974E-3</v>
      </c>
      <c r="H38" s="25">
        <f>'Data Sheet'!J67/'Data Sheet'!J$61</f>
        <v>6.3254798505148323E-3</v>
      </c>
      <c r="I38" s="25">
        <f>'Data Sheet'!K67/'Data Sheet'!K$61</f>
        <v>5.0582131440381579E-3</v>
      </c>
    </row>
    <row r="39" spans="2:9" x14ac:dyDescent="0.3">
      <c r="B39" t="s">
        <v>30</v>
      </c>
      <c r="C39" s="25">
        <f>'Data Sheet'!E68/'Data Sheet'!E$61</f>
        <v>0.16125987068737083</v>
      </c>
      <c r="D39" s="25">
        <f>'Data Sheet'!F68/'Data Sheet'!F$61</f>
        <v>0.16464824369006339</v>
      </c>
      <c r="E39" s="25">
        <f>'Data Sheet'!G68/'Data Sheet'!G$61</f>
        <v>0.17727771608521245</v>
      </c>
      <c r="F39" s="25">
        <f>'Data Sheet'!H68/'Data Sheet'!H$61</f>
        <v>0.17915305128222123</v>
      </c>
      <c r="G39" s="25">
        <f>'Data Sheet'!I68/'Data Sheet'!I$61</f>
        <v>0.1854912603530621</v>
      </c>
      <c r="H39" s="25">
        <f>'Data Sheet'!J68/'Data Sheet'!J$61</f>
        <v>0.20747812467352561</v>
      </c>
      <c r="I39" s="25">
        <f>'Data Sheet'!K68/'Data Sheet'!K$61</f>
        <v>0.19985733766062216</v>
      </c>
    </row>
    <row r="40" spans="2:9" x14ac:dyDescent="0.3">
      <c r="B40" t="s">
        <v>53</v>
      </c>
      <c r="C40" s="25">
        <f>'Data Sheet'!E69/'Data Sheet'!E$61</f>
        <v>8.9333033017118015E-3</v>
      </c>
      <c r="D40" s="25">
        <f>'Data Sheet'!F69/'Data Sheet'!F$61</f>
        <v>0.1058641308526882</v>
      </c>
      <c r="E40" s="25">
        <f>'Data Sheet'!G69/'Data Sheet'!G$61</f>
        <v>1.9299359187330084E-2</v>
      </c>
      <c r="F40" s="25">
        <f>'Data Sheet'!H69/'Data Sheet'!H$61</f>
        <v>7.7788861566061948E-2</v>
      </c>
      <c r="G40" s="25">
        <f>'Data Sheet'!I69/'Data Sheet'!I$61</f>
        <v>3.0141957862281601E-2</v>
      </c>
      <c r="H40" s="25">
        <f>'Data Sheet'!J69/'Data Sheet'!J$61</f>
        <v>1.4732992278135203E-2</v>
      </c>
      <c r="I40" s="25">
        <f>'Data Sheet'!K69/'Data Sheet'!K$61</f>
        <v>1.0289165587892803E-2</v>
      </c>
    </row>
  </sheetData>
  <mergeCells count="2">
    <mergeCell ref="B2:I2"/>
    <mergeCell ref="B23:I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A7E5-C844-4641-A68F-3BE4FC8B7500}">
  <dimension ref="B2:M47"/>
  <sheetViews>
    <sheetView showGridLines="0" zoomScale="67" workbookViewId="0">
      <pane ySplit="4" topLeftCell="A5" activePane="bottomLeft" state="frozen"/>
      <selection pane="bottomLeft" activeCell="M13" sqref="M13"/>
    </sheetView>
  </sheetViews>
  <sheetFormatPr defaultRowHeight="14.4" x14ac:dyDescent="0.3"/>
  <cols>
    <col min="1" max="1" width="2.33203125" customWidth="1"/>
    <col min="2" max="2" width="24.33203125" bestFit="1" customWidth="1"/>
    <col min="3" max="3" width="14.44140625" bestFit="1" customWidth="1"/>
    <col min="4" max="7" width="12.88671875" bestFit="1" customWidth="1"/>
    <col min="8" max="9" width="12.77734375" bestFit="1" customWidth="1"/>
    <col min="10" max="10" width="13.33203125" customWidth="1"/>
    <col min="11" max="11" width="12.77734375" bestFit="1" customWidth="1"/>
    <col min="12" max="12" width="12.33203125" bestFit="1" customWidth="1"/>
  </cols>
  <sheetData>
    <row r="2" spans="2:13" ht="28.8" x14ac:dyDescent="0.3">
      <c r="B2" s="181" t="s">
        <v>122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</row>
    <row r="3" spans="2:13" ht="28.8" x14ac:dyDescent="0.3"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</row>
    <row r="4" spans="2:13" s="80" customFormat="1" ht="21" x14ac:dyDescent="0.4">
      <c r="B4" s="89" t="s">
        <v>56</v>
      </c>
      <c r="C4" s="90">
        <f>'Historicial Financials'!C3</f>
        <v>43921</v>
      </c>
      <c r="D4" s="90">
        <f>'Historicial Financials'!D3</f>
        <v>44286</v>
      </c>
      <c r="E4" s="90">
        <f>'Historicial Financials'!E3</f>
        <v>44651</v>
      </c>
      <c r="F4" s="90">
        <f>'Historicial Financials'!F3</f>
        <v>45016</v>
      </c>
      <c r="G4" s="90">
        <f>'Historicial Financials'!G3</f>
        <v>45382</v>
      </c>
      <c r="H4" s="90">
        <f>'Historicial Financials'!H3</f>
        <v>45747</v>
      </c>
      <c r="I4" s="90">
        <f>'Historicial Financials'!I3</f>
        <v>46112</v>
      </c>
      <c r="J4" s="91" t="s">
        <v>153</v>
      </c>
      <c r="K4" s="90" t="s">
        <v>151</v>
      </c>
      <c r="L4" s="90" t="s">
        <v>152</v>
      </c>
    </row>
    <row r="5" spans="2:13" ht="21" x14ac:dyDescent="0.4"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</row>
    <row r="6" spans="2:13" ht="21" x14ac:dyDescent="0.4">
      <c r="B6" s="81" t="s">
        <v>123</v>
      </c>
      <c r="C6" s="81"/>
      <c r="D6" s="82">
        <f>IFERROR('Historicial Financials'!D7,0)</f>
        <v>-2.9237400583831175E-2</v>
      </c>
      <c r="E6" s="82">
        <f>IFERROR('Historicial Financials'!E7,0)</f>
        <v>0.28302998874210639</v>
      </c>
      <c r="F6" s="82">
        <f>IFERROR('Historicial Financials'!F7,0)</f>
        <v>0.38297993915987938</v>
      </c>
      <c r="G6" s="82">
        <f>IFERROR('Historicial Financials'!G7,0)</f>
        <v>0.18555909537819737</v>
      </c>
      <c r="H6" s="82">
        <f>IFERROR('Historicial Financials'!H7,0)</f>
        <v>0.16872253210007004</v>
      </c>
      <c r="I6" s="82">
        <f>IFERROR('Historicial Financials'!I7,0)</f>
        <v>0.15941713044818684</v>
      </c>
      <c r="J6" s="81"/>
      <c r="K6" s="82">
        <f>IFERROR(AVERAGE(D6:I6),0)</f>
        <v>0.19174521420743482</v>
      </c>
      <c r="L6" s="82">
        <f>IFERROR(MEDIAN(D6:I6),0)</f>
        <v>0.17714081373913371</v>
      </c>
      <c r="M6" s="80"/>
    </row>
    <row r="7" spans="2:13" ht="21" x14ac:dyDescent="0.4">
      <c r="B7" s="80" t="s">
        <v>124</v>
      </c>
      <c r="C7" s="80"/>
      <c r="D7" s="83">
        <f>IFERROR('Historicial Financials'!D18/'Historicial Financials'!C18-1,0)</f>
        <v>-0.1904261186452042</v>
      </c>
      <c r="E7" s="83">
        <f>IFERROR('Historicial Financials'!E18/'Historicial Financials'!D18-1,0)</f>
        <v>0.46087238878666792</v>
      </c>
      <c r="F7" s="83">
        <f>IFERROR('Historicial Financials'!F18/'Historicial Financials'!E18-1,0)</f>
        <v>0.44875331773073457</v>
      </c>
      <c r="G7" s="83">
        <f>IFERROR('Historicial Financials'!G18/'Historicial Financials'!F18-1,0)</f>
        <v>0.12180557435735895</v>
      </c>
      <c r="H7" s="83">
        <f>IFERROR('Historicial Financials'!H18/'Historicial Financials'!G18-1,0)</f>
        <v>8.5198643086038084E-2</v>
      </c>
      <c r="I7" s="83">
        <f>IFERROR('Historicial Financials'!I18/'Historicial Financials'!H18-1,0)</f>
        <v>0.2816648380432758</v>
      </c>
      <c r="J7" s="80"/>
      <c r="K7" s="83">
        <f t="shared" ref="K7:K10" si="0">IFERROR(AVERAGE(D7:I7),0)</f>
        <v>0.20131144055981184</v>
      </c>
      <c r="L7" s="83">
        <f t="shared" ref="L7:L42" si="1">IFERROR(MEDIAN(D7:I7),0)</f>
        <v>0.20173520620031737</v>
      </c>
      <c r="M7" s="80"/>
    </row>
    <row r="8" spans="2:13" ht="21" x14ac:dyDescent="0.4">
      <c r="B8" s="80" t="s">
        <v>149</v>
      </c>
      <c r="C8" s="80"/>
      <c r="D8" s="83">
        <f>IFERROR('Historicial Financials'!D27/'Historicial Financials'!C27-1,0)</f>
        <v>-0.2550683576783791</v>
      </c>
      <c r="E8" s="83">
        <f>IFERROR('Historicial Financials'!E27/'Historicial Financials'!D27-1,0)</f>
        <v>0.5631402378859407</v>
      </c>
      <c r="F8" s="83">
        <f>IFERROR('Historicial Financials'!F27/'Historicial Financials'!E27-1,0)</f>
        <v>0.50226096337698012</v>
      </c>
      <c r="G8" s="83">
        <f>IFERROR('Historicial Financials'!G27/'Historicial Financials'!F27-1,0)</f>
        <v>0.12311153724211454</v>
      </c>
      <c r="H8" s="83">
        <f>IFERROR('Historicial Financials'!H27/'Historicial Financials'!G27-1,0)</f>
        <v>5.7013904005220883E-2</v>
      </c>
      <c r="I8" s="83">
        <f>IFERROR('Historicial Financials'!I27/'Historicial Financials'!H27-1,0)</f>
        <v>0.28950797833830699</v>
      </c>
      <c r="J8" s="80"/>
      <c r="K8" s="83">
        <f t="shared" si="0"/>
        <v>0.21332771052836405</v>
      </c>
      <c r="L8" s="83">
        <f t="shared" si="1"/>
        <v>0.20630975779021077</v>
      </c>
      <c r="M8" s="80"/>
    </row>
    <row r="9" spans="2:13" ht="21" x14ac:dyDescent="0.4">
      <c r="B9" s="80" t="s">
        <v>125</v>
      </c>
      <c r="C9" s="80"/>
      <c r="D9" s="83">
        <f>IFERROR('Historicial Financials'!D33/'Historicial Financials'!C33-1,0)</f>
        <v>-0.22752457182911379</v>
      </c>
      <c r="E9" s="83">
        <f>IFERROR('Historicial Financials'!E33/'Historicial Financials'!D33-1,0)</f>
        <v>0.54404915998345582</v>
      </c>
      <c r="F9" s="83">
        <f>IFERROR('Historicial Financials'!F33/'Historicial Financials'!E33-1,0)</f>
        <v>0.42574723769439582</v>
      </c>
      <c r="G9" s="83">
        <f>IFERROR('Historicial Financials'!G33/'Historicial Financials'!F33-1,0)</f>
        <v>0.17150434163270067</v>
      </c>
      <c r="H9" s="83">
        <f>IFERROR('Historicial Financials'!H33/'Historicial Financials'!G33-1,0)</f>
        <v>5.3584179317621938E-2</v>
      </c>
      <c r="I9" s="83">
        <f>IFERROR('Historicial Financials'!I33/'Historicial Financials'!H33-1,0)</f>
        <v>0.25690004027069935</v>
      </c>
      <c r="J9" s="80"/>
      <c r="K9" s="83">
        <f t="shared" si="0"/>
        <v>0.20404339784495998</v>
      </c>
      <c r="L9" s="83">
        <f t="shared" si="1"/>
        <v>0.21420219095170001</v>
      </c>
      <c r="M9" s="80"/>
    </row>
    <row r="10" spans="2:13" ht="21" x14ac:dyDescent="0.4">
      <c r="B10" s="80" t="s">
        <v>126</v>
      </c>
      <c r="C10" s="80"/>
      <c r="D10" s="83">
        <f>IFERROR('Historicial Financials'!D41/'Historicial Financials'!D41-1,0)</f>
        <v>0</v>
      </c>
      <c r="E10" s="83">
        <f>IFERROR('Historicial Financials'!E41/'Historicial Financials'!E41-1,0)</f>
        <v>0</v>
      </c>
      <c r="F10" s="83">
        <f>IFERROR('Historicial Financials'!F41/'Historicial Financials'!F41-1,0)</f>
        <v>0</v>
      </c>
      <c r="G10" s="83">
        <f>IFERROR('Historicial Financials'!G41/'Historicial Financials'!G41-1,0)</f>
        <v>0</v>
      </c>
      <c r="H10" s="83">
        <f>IFERROR('Historicial Financials'!H41/'Historicial Financials'!H41-1,0)</f>
        <v>0</v>
      </c>
      <c r="I10" s="83">
        <f>IFERROR('Historicial Financials'!I41/'Historicial Financials'!I41-1,0)</f>
        <v>0</v>
      </c>
      <c r="J10" s="80"/>
      <c r="K10" s="83">
        <f t="shared" si="0"/>
        <v>0</v>
      </c>
      <c r="L10" s="83">
        <f t="shared" si="1"/>
        <v>0</v>
      </c>
      <c r="M10" s="80"/>
    </row>
    <row r="11" spans="2:13" ht="21" x14ac:dyDescent="0.4">
      <c r="B11" s="84"/>
      <c r="C11" s="84"/>
      <c r="D11" s="84"/>
      <c r="E11" s="84"/>
      <c r="F11" s="84"/>
      <c r="G11" s="84"/>
      <c r="H11" s="84"/>
      <c r="I11" s="84"/>
      <c r="J11" s="81"/>
      <c r="K11" s="81"/>
      <c r="L11" s="82"/>
      <c r="M11" s="80"/>
    </row>
    <row r="12" spans="2:13" ht="21" x14ac:dyDescent="0.4">
      <c r="B12" s="80" t="s">
        <v>64</v>
      </c>
      <c r="C12" s="83">
        <f>IFERROR('Historicial Financials'!C13,0)</f>
        <v>9.1985187091378387E-2</v>
      </c>
      <c r="D12" s="83">
        <f>IFERROR('Historicial Financials'!D13,0)</f>
        <v>8.1015828151029631E-2</v>
      </c>
      <c r="E12" s="83">
        <f>IFERROR('Historicial Financials'!E13,0)</f>
        <v>8.845319336382336E-2</v>
      </c>
      <c r="F12" s="83">
        <f>IFERROR('Historicial Financials'!F13,0)</f>
        <v>9.2476440000784185E-2</v>
      </c>
      <c r="G12" s="83">
        <f>IFERROR('Historicial Financials'!G13,0)</f>
        <v>8.9190083725102703E-2</v>
      </c>
      <c r="H12" s="83">
        <f>IFERROR('Historicial Financials'!H13,0)</f>
        <v>8.4091879702921479E-2</v>
      </c>
      <c r="I12" s="83">
        <f>IFERROR('Historicial Financials'!I13,0)</f>
        <v>0.12815221109217956</v>
      </c>
      <c r="J12" s="81"/>
      <c r="K12" s="82">
        <f>IFERROR(AVERAGE(C12:I12),0)</f>
        <v>9.3623546161031329E-2</v>
      </c>
      <c r="L12" s="82">
        <f t="shared" si="1"/>
        <v>8.8821638544463039E-2</v>
      </c>
      <c r="M12" s="80"/>
    </row>
    <row r="13" spans="2:13" ht="21" x14ac:dyDescent="0.4">
      <c r="B13" s="80" t="s">
        <v>127</v>
      </c>
      <c r="C13" s="83">
        <f>IFERROR('Historicial Financials'!C19,0)</f>
        <v>7.8007816583702538E-2</v>
      </c>
      <c r="D13" s="83">
        <f>IFERROR('Historicial Financials'!D19,0)</f>
        <v>6.5055133856271638E-2</v>
      </c>
      <c r="E13" s="83">
        <f>IFERROR('Historicial Financials'!E19,0)</f>
        <v>7.4072507761586553E-2</v>
      </c>
      <c r="F13" s="83">
        <f>IFERROR('Historicial Financials'!F19,0)</f>
        <v>7.7595334779348671E-2</v>
      </c>
      <c r="G13" s="83">
        <f>IFERROR('Historicial Financials'!G19,0)</f>
        <v>7.3422640371908696E-2</v>
      </c>
      <c r="H13" s="83">
        <f>IFERROR('Historicial Financials'!H19,0)</f>
        <v>6.8175420183109098E-2</v>
      </c>
      <c r="I13" s="83">
        <f>IFERROR('Historicial Financials'!I19,0)</f>
        <v>7.536376388861854E-2</v>
      </c>
      <c r="J13" s="80"/>
      <c r="K13" s="83">
        <f t="shared" ref="K13:K42" si="2">IFERROR(AVERAGE(C13:I13),0)</f>
        <v>7.3098945346363672E-2</v>
      </c>
      <c r="L13" s="83">
        <f t="shared" si="1"/>
        <v>7.3747574066747618E-2</v>
      </c>
      <c r="M13" s="80"/>
    </row>
    <row r="14" spans="2:13" ht="21" x14ac:dyDescent="0.4">
      <c r="B14" s="80" t="s">
        <v>68</v>
      </c>
      <c r="C14" s="83">
        <f>IFERROR('Historicial Financials'!C19,0)</f>
        <v>7.8007816583702538E-2</v>
      </c>
      <c r="D14" s="83">
        <f>IFERROR('Historicial Financials'!D19,0)</f>
        <v>6.5055133856271638E-2</v>
      </c>
      <c r="E14" s="83">
        <f>IFERROR('Historicial Financials'!E19,0)</f>
        <v>7.4072507761586553E-2</v>
      </c>
      <c r="F14" s="83">
        <f>IFERROR('Historicial Financials'!F19,0)</f>
        <v>7.7595334779348671E-2</v>
      </c>
      <c r="G14" s="83">
        <f>IFERROR('Historicial Financials'!G19,0)</f>
        <v>7.3422640371908696E-2</v>
      </c>
      <c r="H14" s="83">
        <f>IFERROR('Historicial Financials'!H19,0)</f>
        <v>6.8175420183109098E-2</v>
      </c>
      <c r="I14" s="83">
        <f>IFERROR('Historicial Financials'!I19,0)</f>
        <v>7.536376388861854E-2</v>
      </c>
      <c r="J14" s="80"/>
      <c r="K14" s="83">
        <f t="shared" si="2"/>
        <v>7.3098945346363672E-2</v>
      </c>
      <c r="L14" s="83">
        <f t="shared" si="1"/>
        <v>7.3747574066747618E-2</v>
      </c>
      <c r="M14" s="80"/>
    </row>
    <row r="15" spans="2:13" ht="21" x14ac:dyDescent="0.4">
      <c r="B15" s="80" t="s">
        <v>128</v>
      </c>
      <c r="C15" s="83">
        <f>IFERROR(('Historicial Financials'!C18-'Historicial Financials'!C24)/'Historicial Financials'!C6,0)</f>
        <v>6.2953253291087266E-2</v>
      </c>
      <c r="D15" s="83">
        <f>IFERROR(('Historicial Financials'!D18-'Historicial Financials'!D24)/'Historicial Financials'!D6,0)</f>
        <v>4.7900721780917477E-2</v>
      </c>
      <c r="E15" s="83">
        <f>IFERROR(('Historicial Financials'!E18-'Historicial Financials'!E24)/'Historicial Financials'!E6,0)</f>
        <v>5.7993102461981402E-2</v>
      </c>
      <c r="F15" s="83">
        <f>IFERROR(('Historicial Financials'!F18-'Historicial Financials'!F24)/'Historicial Financials'!F6,0)</f>
        <v>6.2682249771005921E-2</v>
      </c>
      <c r="G15" s="83">
        <f>IFERROR(('Historicial Financials'!G18-'Historicial Financials'!G24)/'Historicial Financials'!G6,0)</f>
        <v>5.9034437296547448E-2</v>
      </c>
      <c r="H15" s="83">
        <f>IFERROR(('Historicial Financials'!H18-'Historicial Financials'!H24)/'Historicial Financials'!H6,0)</f>
        <v>5.3526690987995708E-2</v>
      </c>
      <c r="I15" s="83">
        <f>IFERROR(('Historicial Financials'!I18-'Historicial Financials'!I24)/'Historicial Financials'!I6,0)</f>
        <v>6.0295341200922933E-2</v>
      </c>
      <c r="J15" s="80"/>
      <c r="K15" s="83">
        <f t="shared" si="2"/>
        <v>5.7769399541494029E-2</v>
      </c>
      <c r="L15" s="83">
        <f t="shared" si="1"/>
        <v>5.8513769879264425E-2</v>
      </c>
      <c r="M15" s="80"/>
    </row>
    <row r="16" spans="2:13" ht="21" x14ac:dyDescent="0.4">
      <c r="B16" s="80" t="s">
        <v>129</v>
      </c>
      <c r="C16" s="83">
        <f>IFERROR('Historicial Financials'!C28,0)</f>
        <v>6.017402353016859E-2</v>
      </c>
      <c r="D16" s="83">
        <f>IFERROR('Historicial Financials'!D28,0)</f>
        <v>4.61755883471274E-2</v>
      </c>
      <c r="E16" s="83">
        <f>IFERROR('Historicial Financials'!E28,0)</f>
        <v>5.6256611916153908E-2</v>
      </c>
      <c r="F16" s="83">
        <f>IFERROR('Historicial Financials'!F28,0)</f>
        <v>6.1108704197708717E-2</v>
      </c>
      <c r="G16" s="83">
        <f>IFERROR('Historicial Financials'!G28,0)</f>
        <v>5.7889894293686385E-2</v>
      </c>
      <c r="H16" s="83">
        <f>IFERROR('Historicial Financials'!H28,0)</f>
        <v>5.2356672768057555E-2</v>
      </c>
      <c r="I16" s="83">
        <f>IFERROR('Historicial Financials'!I28,0)</f>
        <v>5.8231283185853647E-2</v>
      </c>
      <c r="J16" s="80"/>
      <c r="K16" s="83">
        <f t="shared" si="2"/>
        <v>5.6027539748393744E-2</v>
      </c>
      <c r="L16" s="83">
        <f t="shared" si="1"/>
        <v>5.7073253104920146E-2</v>
      </c>
      <c r="M16" s="80"/>
    </row>
    <row r="17" spans="2:13" ht="21" x14ac:dyDescent="0.4">
      <c r="B17" s="80" t="s">
        <v>130</v>
      </c>
      <c r="C17" s="83">
        <f>IFERROR('Historicial Financials'!C34,0)</f>
        <v>7.801424998592689E-2</v>
      </c>
      <c r="D17" s="83">
        <f>IFERROR('Historicial Financials'!D34,0)</f>
        <v>6.2079123358845051E-2</v>
      </c>
      <c r="E17" s="83">
        <f>IFERROR('Historicial Financials'!E34,0)</f>
        <v>7.4708478457864699E-2</v>
      </c>
      <c r="F17" s="83">
        <f>IFERROR('Historicial Financials'!F34,0)</f>
        <v>7.7018764898612271E-2</v>
      </c>
      <c r="G17" s="83">
        <f>IFERROR('Historicial Financials'!G34,0)</f>
        <v>7.6105710645431437E-2</v>
      </c>
      <c r="H17" s="83">
        <f>IFERROR('Historicial Financials'!H34,0)</f>
        <v>6.8608048950395087E-2</v>
      </c>
      <c r="I17" s="83">
        <f>IFERROR('Historicial Financials'!I34,0)</f>
        <v>7.4376561484227069E-2</v>
      </c>
      <c r="J17" s="80"/>
      <c r="K17" s="83">
        <f t="shared" si="2"/>
        <v>7.2987276825900352E-2</v>
      </c>
      <c r="L17" s="83">
        <f t="shared" si="1"/>
        <v>7.4542519971045884E-2</v>
      </c>
      <c r="M17" s="80"/>
    </row>
    <row r="18" spans="2:13" ht="21" x14ac:dyDescent="0.4">
      <c r="B18" s="84"/>
      <c r="C18" s="84"/>
      <c r="D18" s="84"/>
      <c r="E18" s="84"/>
      <c r="F18" s="84"/>
      <c r="G18" s="84"/>
      <c r="H18" s="84"/>
      <c r="I18" s="84"/>
      <c r="J18" s="81"/>
      <c r="K18" s="81"/>
      <c r="L18" s="82"/>
      <c r="M18" s="80"/>
    </row>
    <row r="19" spans="2:13" ht="21" x14ac:dyDescent="0.4">
      <c r="B19" s="80" t="s">
        <v>131</v>
      </c>
      <c r="C19" s="83">
        <f>IFERROR('Historicial Financials'!C16,0)</f>
        <v>1.3977370507675852E-2</v>
      </c>
      <c r="D19" s="83">
        <f>IFERROR('Historicial Financials'!D16,0)</f>
        <v>1.5960694294757993E-2</v>
      </c>
      <c r="E19" s="83">
        <f>IFERROR('Historicial Financials'!E16,0)</f>
        <v>1.438068560223681E-2</v>
      </c>
      <c r="F19" s="83">
        <f>IFERROR('Historicial Financials'!F16,0)</f>
        <v>1.4881105221435514E-2</v>
      </c>
      <c r="G19" s="83">
        <f>IFERROR('Historicial Financials'!G16,0)</f>
        <v>1.5767443353193997E-2</v>
      </c>
      <c r="H19" s="83">
        <f>IFERROR('Historicial Financials'!H16,0)</f>
        <v>1.5916459519812392E-2</v>
      </c>
      <c r="I19" s="83">
        <f>IFERROR('Historicial Financials'!I16,0)</f>
        <v>5.2788447203561017E-2</v>
      </c>
      <c r="J19" s="81"/>
      <c r="K19" s="82">
        <f t="shared" si="2"/>
        <v>2.0524600814667653E-2</v>
      </c>
      <c r="L19" s="82">
        <f t="shared" si="1"/>
        <v>1.5841951436503195E-2</v>
      </c>
      <c r="M19" s="80"/>
    </row>
    <row r="20" spans="2:13" ht="21" x14ac:dyDescent="0.4">
      <c r="B20" s="80" t="s">
        <v>132</v>
      </c>
      <c r="C20" s="83">
        <f>IFERROR('Historicial Financials'!C25,0)</f>
        <v>1.5054563292615258E-2</v>
      </c>
      <c r="D20" s="83">
        <f>IFERROR('Historicial Financials'!D25,0)</f>
        <v>1.7154412075354161E-2</v>
      </c>
      <c r="E20" s="83">
        <f>IFERROR('Historicial Financials'!E25,0)</f>
        <v>1.6079405299605148E-2</v>
      </c>
      <c r="F20" s="83">
        <f>IFERROR('Historicial Financials'!F25,0)</f>
        <v>1.4913085008342757E-2</v>
      </c>
      <c r="G20" s="83">
        <f>IFERROR('Historicial Financials'!G25,0)</f>
        <v>1.4388203075361254E-2</v>
      </c>
      <c r="H20" s="83">
        <f>IFERROR('Historicial Financials'!H25,0)</f>
        <v>1.4648729195113383E-2</v>
      </c>
      <c r="I20" s="83">
        <f>IFERROR('Historicial Financials'!I25,0)</f>
        <v>1.5068422687695598E-2</v>
      </c>
      <c r="J20" s="80"/>
      <c r="K20" s="83">
        <f t="shared" si="2"/>
        <v>1.5329545804869654E-2</v>
      </c>
      <c r="L20" s="83">
        <f t="shared" si="1"/>
        <v>1.4990753848019178E-2</v>
      </c>
      <c r="M20" s="80"/>
    </row>
    <row r="21" spans="2:13" ht="21" x14ac:dyDescent="0.4">
      <c r="B21" s="80" t="s">
        <v>133</v>
      </c>
      <c r="C21" s="83">
        <f>IFERROR(C15,0)</f>
        <v>6.2953253291087266E-2</v>
      </c>
      <c r="D21" s="83">
        <f t="shared" ref="D21:I21" si="3">IFERROR(D15,0)</f>
        <v>4.7900721780917477E-2</v>
      </c>
      <c r="E21" s="83">
        <f t="shared" si="3"/>
        <v>5.7993102461981402E-2</v>
      </c>
      <c r="F21" s="83">
        <f t="shared" si="3"/>
        <v>6.2682249771005921E-2</v>
      </c>
      <c r="G21" s="83">
        <f t="shared" si="3"/>
        <v>5.9034437296547448E-2</v>
      </c>
      <c r="H21" s="83">
        <f t="shared" si="3"/>
        <v>5.3526690987995708E-2</v>
      </c>
      <c r="I21" s="83">
        <f t="shared" si="3"/>
        <v>6.0295341200922933E-2</v>
      </c>
      <c r="J21" s="80"/>
      <c r="K21" s="83">
        <f t="shared" si="2"/>
        <v>5.7769399541494029E-2</v>
      </c>
      <c r="L21" s="83">
        <f t="shared" si="1"/>
        <v>5.8513769879264425E-2</v>
      </c>
      <c r="M21" s="80"/>
    </row>
    <row r="22" spans="2:13" ht="21" x14ac:dyDescent="0.4">
      <c r="B22" s="84"/>
      <c r="C22" s="84"/>
      <c r="D22" s="84"/>
      <c r="E22" s="84"/>
      <c r="F22" s="84"/>
      <c r="G22" s="84"/>
      <c r="H22" s="84"/>
      <c r="I22" s="84"/>
      <c r="J22" s="81"/>
      <c r="K22" s="81"/>
      <c r="L22" s="82"/>
      <c r="M22" s="80"/>
    </row>
    <row r="23" spans="2:13" ht="21" x14ac:dyDescent="0.4">
      <c r="B23" s="80" t="s">
        <v>150</v>
      </c>
      <c r="C23" s="83">
        <f>IFERROR(('Historicial Financials'!C18-'Historicial Financials'!C24)/SUM('Historicial Financials'!C47:C49),0)</f>
        <v>0.13718300208623016</v>
      </c>
      <c r="D23" s="83">
        <f>IFERROR(('Historicial Financials'!D18-'Historicial Financials'!D24)/SUM('Historicial Financials'!D47:D49),0)</f>
        <v>9.1955421336119308E-2</v>
      </c>
      <c r="E23" s="83">
        <f>IFERROR(('Historicial Financials'!E18-'Historicial Financials'!E24)/SUM('Historicial Financials'!E47:E49),0)</f>
        <v>0.12540751631112398</v>
      </c>
      <c r="F23" s="83">
        <f>IFERROR(('Historicial Financials'!F18-'Historicial Financials'!F24)/SUM('Historicial Financials'!F47:F49),0)</f>
        <v>0.16058673530410786</v>
      </c>
      <c r="G23" s="83">
        <f>IFERROR(('Historicial Financials'!G18-'Historicial Financials'!G24)/SUM('Historicial Financials'!G47:G49),0)</f>
        <v>0.15543250952048723</v>
      </c>
      <c r="H23" s="83">
        <f>IFERROR(('Historicial Financials'!H18-'Historicial Financials'!H24)/SUM('Historicial Financials'!H47:H49),0)</f>
        <v>0.14281418432830484</v>
      </c>
      <c r="I23" s="83">
        <f>IFERROR(('Historicial Financials'!I18-'Historicial Financials'!I24)/SUM('Historicial Financials'!I47:I49),0)</f>
        <v>0.15432204136779964</v>
      </c>
      <c r="J23" s="81"/>
      <c r="K23" s="82">
        <f t="shared" si="2"/>
        <v>0.138243058607739</v>
      </c>
      <c r="L23" s="82">
        <f t="shared" si="1"/>
        <v>0.14856811284805224</v>
      </c>
      <c r="M23" s="80"/>
    </row>
    <row r="24" spans="2:13" ht="21" x14ac:dyDescent="0.4">
      <c r="B24" s="80" t="s">
        <v>134</v>
      </c>
      <c r="C24" s="83">
        <f>IFERROR('Historicial Financials'!C44,0)</f>
        <v>1</v>
      </c>
      <c r="D24" s="83">
        <f>IFERROR('Historicial Financials'!D44,0)</f>
        <v>1</v>
      </c>
      <c r="E24" s="83">
        <f>IFERROR('Historicial Financials'!E44,0)</f>
        <v>1</v>
      </c>
      <c r="F24" s="83">
        <f>IFERROR('Historicial Financials'!F44,0)</f>
        <v>1</v>
      </c>
      <c r="G24" s="83">
        <f>IFERROR('Historicial Financials'!G44,0)</f>
        <v>1</v>
      </c>
      <c r="H24" s="83">
        <f>IFERROR('Historicial Financials'!H44,0)</f>
        <v>1</v>
      </c>
      <c r="I24" s="83">
        <f>IFERROR('Historicial Financials'!I44,0)</f>
        <v>1</v>
      </c>
      <c r="J24" s="80"/>
      <c r="K24" s="83">
        <f t="shared" si="2"/>
        <v>1</v>
      </c>
      <c r="L24" s="83">
        <f t="shared" si="1"/>
        <v>1</v>
      </c>
      <c r="M24" s="80"/>
    </row>
    <row r="25" spans="2:13" ht="21" x14ac:dyDescent="0.4">
      <c r="B25" s="80" t="s">
        <v>242</v>
      </c>
      <c r="C25" s="83">
        <f>IFERROR('Historicial Financials'!C33/SUM('Historicial Financials'!C47:C48),0)</f>
        <v>0.1751151200298923</v>
      </c>
      <c r="D25" s="83">
        <f>IFERROR('Historicial Financials'!D33/SUM('Historicial Financials'!D47:D48),0)</f>
        <v>0.12301507504692721</v>
      </c>
      <c r="E25" s="83">
        <f>IFERROR('Historicial Financials'!E33/SUM('Historicial Financials'!E47:E48),0)</f>
        <v>0.16919512430507019</v>
      </c>
      <c r="F25" s="83">
        <f>IFERROR('Historicial Financials'!F33/SUM('Historicial Financials'!F47:F48),0)</f>
        <v>0.20520626667578812</v>
      </c>
      <c r="G25" s="83">
        <f>IFERROR('Historicial Financials'!G33/SUM('Historicial Financials'!G47:G48),0)</f>
        <v>0.20672570385210726</v>
      </c>
      <c r="H25" s="83">
        <f>IFERROR('Historicial Financials'!H33/SUM('Historicial Financials'!H47:H48),0)</f>
        <v>0.19005448542194114</v>
      </c>
      <c r="I25" s="83">
        <f>IFERROR('Historicial Financials'!I33/SUM('Historicial Financials'!I47:I48),0)</f>
        <v>0.20923159053042775</v>
      </c>
      <c r="J25" s="80"/>
      <c r="K25" s="83">
        <f t="shared" si="2"/>
        <v>0.18264905226602202</v>
      </c>
      <c r="L25" s="83">
        <f t="shared" si="1"/>
        <v>0.19763037604886463</v>
      </c>
      <c r="M25" s="80"/>
    </row>
    <row r="26" spans="2:13" ht="21" x14ac:dyDescent="0.4">
      <c r="B26" s="80" t="s">
        <v>135</v>
      </c>
      <c r="C26" s="83">
        <f>IFERROR(C24*C25,0)</f>
        <v>0.1751151200298923</v>
      </c>
      <c r="D26" s="83">
        <f t="shared" ref="D26:I26" si="4">IFERROR(D24*D25,0)</f>
        <v>0.12301507504692721</v>
      </c>
      <c r="E26" s="83">
        <f t="shared" si="4"/>
        <v>0.16919512430507019</v>
      </c>
      <c r="F26" s="83">
        <f t="shared" si="4"/>
        <v>0.20520626667578812</v>
      </c>
      <c r="G26" s="83">
        <f t="shared" si="4"/>
        <v>0.20672570385210726</v>
      </c>
      <c r="H26" s="83">
        <f t="shared" si="4"/>
        <v>0.19005448542194114</v>
      </c>
      <c r="I26" s="83">
        <f t="shared" si="4"/>
        <v>0.20923159053042775</v>
      </c>
      <c r="J26" s="80"/>
      <c r="K26" s="83">
        <f t="shared" si="2"/>
        <v>0.18264905226602202</v>
      </c>
      <c r="L26" s="83">
        <f t="shared" si="1"/>
        <v>0.19763037604886463</v>
      </c>
      <c r="M26" s="80"/>
    </row>
    <row r="27" spans="2:13" ht="21" x14ac:dyDescent="0.4">
      <c r="B27" s="80" t="s">
        <v>136</v>
      </c>
      <c r="C27" s="85">
        <f>IFERROR(('Historicial Financials'!C18-'Historicial Financials'!C24)/'Historicial Financials'!C21,0)</f>
        <v>22.651331018518498</v>
      </c>
      <c r="D27" s="85">
        <f>IFERROR(('Historicial Financials'!D18-'Historicial Financials'!D24)/'Historicial Financials'!D21,0)</f>
        <v>27.766386554621789</v>
      </c>
      <c r="E27" s="85">
        <f>IFERROR(('Historicial Financials'!E18-'Historicial Financials'!E24)/'Historicial Financials'!E21,0)</f>
        <v>33.39672801635993</v>
      </c>
      <c r="F27" s="85">
        <f>IFERROR(('Historicial Financials'!F18-'Historicial Financials'!F24)/'Historicial Financials'!F21,0)</f>
        <v>39.835039311674741</v>
      </c>
      <c r="G27" s="85">
        <f>IFERROR(('Historicial Financials'!G18-'Historicial Financials'!G24)/'Historicial Financials'!G21,0)</f>
        <v>51.579046963702183</v>
      </c>
      <c r="H27" s="85">
        <f>IFERROR(('Historicial Financials'!H18-'Historicial Financials'!H24)/'Historicial Financials'!H21,0)</f>
        <v>45.748596112310999</v>
      </c>
      <c r="I27" s="85">
        <f>IFERROR(('Historicial Financials'!I18-'Historicial Financials'!I24)/'Historicial Financials'!I21,0)</f>
        <v>29.212038014783563</v>
      </c>
      <c r="J27" s="80"/>
      <c r="K27" s="85">
        <f t="shared" si="2"/>
        <v>35.741309427424525</v>
      </c>
      <c r="L27" s="85">
        <f t="shared" si="1"/>
        <v>36.615883664017332</v>
      </c>
      <c r="M27" s="80"/>
    </row>
    <row r="28" spans="2:13" ht="21" x14ac:dyDescent="0.4">
      <c r="B28" s="84"/>
      <c r="C28" s="84"/>
      <c r="D28" s="84"/>
      <c r="E28" s="84"/>
      <c r="F28" s="84"/>
      <c r="G28" s="84"/>
      <c r="H28" s="84"/>
      <c r="I28" s="84"/>
      <c r="J28" s="81"/>
      <c r="K28" s="81"/>
      <c r="L28" s="82"/>
      <c r="M28" s="80"/>
    </row>
    <row r="29" spans="2:13" ht="21" x14ac:dyDescent="0.4">
      <c r="B29" s="80" t="s">
        <v>137</v>
      </c>
      <c r="C29" s="85">
        <f>IFERROR('Historicial Financials'!C6/'Historicial Financials'!C59,0)</f>
        <v>1272.1329923273656</v>
      </c>
      <c r="D29" s="85">
        <f>IFERROR('Historicial Financials'!D6/'Historicial Financials'!D59,0)</f>
        <v>553.99403396053242</v>
      </c>
      <c r="E29" s="85">
        <f>IFERROR('Historicial Financials'!E6/'Historicial Financials'!E59,0)</f>
        <v>463.09268949020782</v>
      </c>
      <c r="F29" s="85">
        <f>IFERROR('Historicial Financials'!F6/'Historicial Financials'!F59,0)</f>
        <v>689.18211068211065</v>
      </c>
      <c r="G29" s="85">
        <f>IFERROR('Historicial Financials'!G6/'Historicial Financials'!G59,0)</f>
        <v>305.27637194205687</v>
      </c>
      <c r="H29" s="85">
        <f>IFERROR('Historicial Financials'!H6/'Historicial Financials'!H59,0)</f>
        <v>385.96820339423891</v>
      </c>
      <c r="I29" s="85">
        <f>IFERROR('Historicial Financials'!I6/'Historicial Financials'!I59,0)</f>
        <v>460.83259675907328</v>
      </c>
      <c r="J29" s="81"/>
      <c r="K29" s="86">
        <f t="shared" si="2"/>
        <v>590.06842836508361</v>
      </c>
      <c r="L29" s="86">
        <f t="shared" si="1"/>
        <v>461.96264312464052</v>
      </c>
      <c r="M29" s="80"/>
    </row>
    <row r="30" spans="2:13" ht="21" x14ac:dyDescent="0.4">
      <c r="B30" s="80" t="s">
        <v>138</v>
      </c>
      <c r="C30" s="85">
        <f>IFERROR('Historicial Financials'!C6/'Historicial Financials'!C50,0)</f>
        <v>37.498605310374984</v>
      </c>
      <c r="D30" s="85">
        <f>IFERROR('Historicial Financials'!D6/'Historicial Financials'!D50,0)</f>
        <v>22.383078534808043</v>
      </c>
      <c r="E30" s="85">
        <f>IFERROR('Historicial Financials'!E6/'Historicial Financials'!E50,0)</f>
        <v>27.020472784368454</v>
      </c>
      <c r="F30" s="85">
        <f>IFERROR('Historicial Financials'!F6/'Historicial Financials'!F50,0)</f>
        <v>30.979404703364093</v>
      </c>
      <c r="G30" s="85">
        <f>IFERROR('Historicial Financials'!G6/'Historicial Financials'!G50,0)</f>
        <v>26.979458167330677</v>
      </c>
      <c r="H30" s="85">
        <f>IFERROR('Historicial Financials'!H6/'Historicial Financials'!H50,0)</f>
        <v>28.739112331207849</v>
      </c>
      <c r="I30" s="85">
        <f>IFERROR('Historicial Financials'!I6/'Historicial Financials'!I50,0)</f>
        <v>26.115648349479933</v>
      </c>
      <c r="J30" s="80"/>
      <c r="K30" s="85">
        <f t="shared" si="2"/>
        <v>28.53082574013343</v>
      </c>
      <c r="L30" s="85">
        <f t="shared" si="1"/>
        <v>26.999965475849564</v>
      </c>
      <c r="M30" s="80"/>
    </row>
    <row r="31" spans="2:13" ht="21" x14ac:dyDescent="0.4">
      <c r="B31" s="80" t="s">
        <v>139</v>
      </c>
      <c r="C31" s="85">
        <f>IFERROR('Historicial Financials'!C6/'Historicial Financials'!C60,0)</f>
        <v>12.770976686864538</v>
      </c>
      <c r="D31" s="85">
        <f>IFERROR('Historicial Financials'!D6/'Historicial Financials'!D60,0)</f>
        <v>10.738457843329122</v>
      </c>
      <c r="E31" s="85">
        <f>IFERROR('Historicial Financials'!E6/'Historicial Financials'!E60,0)</f>
        <v>11.294243544588101</v>
      </c>
      <c r="F31" s="85">
        <f>IFERROR('Historicial Financials'!F6/'Historicial Financials'!F60,0)</f>
        <v>13.2079001566219</v>
      </c>
      <c r="G31" s="85">
        <f>IFERROR('Historicial Financials'!G6/'Historicial Financials'!G60,0)</f>
        <v>12.932218235891744</v>
      </c>
      <c r="H31" s="85">
        <f>IFERROR('Historicial Financials'!H6/'Historicial Financials'!H60,0)</f>
        <v>11.767187973919439</v>
      </c>
      <c r="I31" s="85">
        <f>IFERROR('Historicial Financials'!I6/'Historicial Financials'!I60,0)</f>
        <v>11.663267035440224</v>
      </c>
      <c r="J31" s="80"/>
      <c r="K31" s="85">
        <f t="shared" si="2"/>
        <v>12.053464496665011</v>
      </c>
      <c r="L31" s="85">
        <f t="shared" si="1"/>
        <v>11.715227504679831</v>
      </c>
      <c r="M31" s="80"/>
    </row>
    <row r="32" spans="2:13" ht="21" x14ac:dyDescent="0.4">
      <c r="B32" s="80" t="s">
        <v>140</v>
      </c>
      <c r="C32" s="85">
        <f>IFERROR('Historicial Financials'!C6/'Historicial Financials'!C53,0)</f>
        <v>4.1812499264462355</v>
      </c>
      <c r="D32" s="85">
        <f>IFERROR('Historicial Financials'!D6/'Historicial Financials'!D53,0)</f>
        <v>3.4446781189361948</v>
      </c>
      <c r="E32" s="85">
        <f>IFERROR('Historicial Financials'!E6/'Historicial Financials'!E53,0)</f>
        <v>3.3451623214636683</v>
      </c>
      <c r="F32" s="85">
        <f>IFERROR('Historicial Financials'!F6/'Historicial Financials'!F53,0)</f>
        <v>3.7775790795451338</v>
      </c>
      <c r="G32" s="85">
        <f>IFERROR('Historicial Financials'!G6/'Historicial Financials'!G53,0)</f>
        <v>3.7859731643682446</v>
      </c>
      <c r="H32" s="85">
        <f>IFERROR('Historicial Financials'!H6/'Historicial Financials'!H53,0)</f>
        <v>3.6626166355885248</v>
      </c>
      <c r="I32" s="85">
        <f>IFERROR('Historicial Financials'!I6/'Historicial Financials'!I53,0)</f>
        <v>3.4255688438854355</v>
      </c>
      <c r="J32" s="80"/>
      <c r="K32" s="85">
        <f t="shared" si="2"/>
        <v>3.6604040128904911</v>
      </c>
      <c r="L32" s="85">
        <f t="shared" si="1"/>
        <v>3.5536473772623598</v>
      </c>
      <c r="M32" s="80"/>
    </row>
    <row r="33" spans="2:13" ht="21" x14ac:dyDescent="0.4">
      <c r="B33" s="80" t="s">
        <v>141</v>
      </c>
      <c r="C33" s="85">
        <f>IFERROR('Historicial Financials'!C6/SUM('Historicial Financials'!C47:C48),0)</f>
        <v>2.2446555605095426</v>
      </c>
      <c r="D33" s="85">
        <f>IFERROR('Historicial Financials'!D6/SUM('Historicial Financials'!D47:D48),0)</f>
        <v>1.9815852478432268</v>
      </c>
      <c r="E33" s="85">
        <f>IFERROR('Historicial Financials'!E6/SUM('Historicial Financials'!E47:E48),0)</f>
        <v>2.2647379226240782</v>
      </c>
      <c r="F33" s="85">
        <f>IFERROR('Historicial Financials'!F6/SUM('Historicial Financials'!F47:F48),0)</f>
        <v>2.6643671441099093</v>
      </c>
      <c r="G33" s="85">
        <f>IFERROR('Historicial Financials'!G6/SUM('Historicial Financials'!G47:G48),0)</f>
        <v>2.716296873111411</v>
      </c>
      <c r="H33" s="85">
        <f>IFERROR('Historicial Financials'!H6/SUM('Historicial Financials'!H47:H48),0)</f>
        <v>2.770148522360024</v>
      </c>
      <c r="I33" s="85">
        <f>IFERROR('Historicial Financials'!I6/SUM('Historicial Financials'!I47:I48),0)</f>
        <v>2.8131387947370916</v>
      </c>
      <c r="J33" s="80"/>
      <c r="K33" s="85">
        <f t="shared" si="2"/>
        <v>2.4935614378993263</v>
      </c>
      <c r="L33" s="85">
        <f t="shared" si="1"/>
        <v>2.6903320086106604</v>
      </c>
      <c r="M33" s="80"/>
    </row>
    <row r="34" spans="2:13" ht="21" x14ac:dyDescent="0.4">
      <c r="B34" s="84"/>
      <c r="C34" s="84"/>
      <c r="D34" s="84"/>
      <c r="E34" s="84"/>
      <c r="F34" s="84"/>
      <c r="G34" s="84"/>
      <c r="H34" s="84"/>
      <c r="I34" s="84"/>
      <c r="J34" s="81"/>
      <c r="K34" s="81"/>
      <c r="L34" s="82"/>
      <c r="M34" s="80"/>
    </row>
    <row r="35" spans="2:13" ht="21" x14ac:dyDescent="0.4">
      <c r="B35" s="80" t="s">
        <v>142</v>
      </c>
      <c r="C35" s="87">
        <f>IFERROR(365/C29,0)</f>
        <v>0.28691968701498183</v>
      </c>
      <c r="D35" s="87">
        <f t="shared" ref="D35:I35" si="5">IFERROR(365/D29,0)</f>
        <v>0.65885186053466294</v>
      </c>
      <c r="E35" s="87">
        <f t="shared" si="5"/>
        <v>0.7881791448744474</v>
      </c>
      <c r="F35" s="87">
        <f t="shared" si="5"/>
        <v>0.52961328267610597</v>
      </c>
      <c r="G35" s="87">
        <f t="shared" si="5"/>
        <v>1.1956378991207319</v>
      </c>
      <c r="H35" s="87">
        <f t="shared" si="5"/>
        <v>0.94567375444442658</v>
      </c>
      <c r="I35" s="87">
        <f t="shared" si="5"/>
        <v>0.79204466560516495</v>
      </c>
      <c r="J35" s="81"/>
      <c r="K35" s="88">
        <f t="shared" si="2"/>
        <v>0.74241718489578878</v>
      </c>
      <c r="L35" s="88">
        <f t="shared" si="1"/>
        <v>0.79011190523980623</v>
      </c>
      <c r="M35" s="80"/>
    </row>
    <row r="36" spans="2:13" ht="21" x14ac:dyDescent="0.4">
      <c r="B36" s="80" t="s">
        <v>143</v>
      </c>
      <c r="C36" s="87">
        <f t="shared" ref="C36:I36" si="6">IFERROR(365/C30,0)</f>
        <v>9.7336953462376652</v>
      </c>
      <c r="D36" s="87">
        <f t="shared" si="6"/>
        <v>16.306961503637069</v>
      </c>
      <c r="E36" s="87">
        <f t="shared" si="6"/>
        <v>13.508275851159615</v>
      </c>
      <c r="F36" s="87">
        <f t="shared" si="6"/>
        <v>11.782021103858209</v>
      </c>
      <c r="G36" s="87">
        <f t="shared" si="6"/>
        <v>13.528811354780176</v>
      </c>
      <c r="H36" s="87">
        <f t="shared" si="6"/>
        <v>12.70046185816414</v>
      </c>
      <c r="I36" s="87">
        <f t="shared" si="6"/>
        <v>13.976294791366671</v>
      </c>
      <c r="J36" s="80"/>
      <c r="K36" s="87">
        <f t="shared" si="2"/>
        <v>13.076645972743362</v>
      </c>
      <c r="L36" s="87">
        <f t="shared" si="1"/>
        <v>13.518543602969896</v>
      </c>
      <c r="M36" s="80"/>
    </row>
    <row r="37" spans="2:13" ht="21" x14ac:dyDescent="0.4">
      <c r="B37" s="80" t="s">
        <v>144</v>
      </c>
      <c r="C37" s="87">
        <f t="shared" ref="C37:I37" si="7">IFERROR(365/C31,0)</f>
        <v>28.580429590433528</v>
      </c>
      <c r="D37" s="87">
        <f t="shared" si="7"/>
        <v>33.989983042746033</v>
      </c>
      <c r="E37" s="87">
        <f t="shared" si="7"/>
        <v>32.317348086131737</v>
      </c>
      <c r="F37" s="87">
        <f t="shared" si="7"/>
        <v>27.634975709367698</v>
      </c>
      <c r="G37" s="87">
        <f t="shared" si="7"/>
        <v>28.224082933196133</v>
      </c>
      <c r="H37" s="87">
        <f t="shared" si="7"/>
        <v>31.018455794959571</v>
      </c>
      <c r="I37" s="87">
        <f t="shared" si="7"/>
        <v>31.294833505132317</v>
      </c>
      <c r="J37" s="80"/>
      <c r="K37" s="87">
        <f t="shared" si="2"/>
        <v>30.437158380281005</v>
      </c>
      <c r="L37" s="87">
        <f t="shared" si="1"/>
        <v>31.156644650045944</v>
      </c>
      <c r="M37" s="80"/>
    </row>
    <row r="38" spans="2:13" ht="21" x14ac:dyDescent="0.4">
      <c r="B38" s="80" t="s">
        <v>145</v>
      </c>
      <c r="C38" s="87">
        <f>IFERROR(SUM(C35,C37)-C36,0)</f>
        <v>19.133653931210844</v>
      </c>
      <c r="D38" s="87">
        <f t="shared" ref="D38:I38" si="8">IFERROR(SUM(D35,D37)-D36,0)</f>
        <v>18.341873399643625</v>
      </c>
      <c r="E38" s="87">
        <f t="shared" si="8"/>
        <v>19.597251379846568</v>
      </c>
      <c r="F38" s="87">
        <f t="shared" si="8"/>
        <v>16.382567888185594</v>
      </c>
      <c r="G38" s="87">
        <f t="shared" si="8"/>
        <v>15.89090947753669</v>
      </c>
      <c r="H38" s="87">
        <f t="shared" si="8"/>
        <v>19.26366769123986</v>
      </c>
      <c r="I38" s="87">
        <f t="shared" si="8"/>
        <v>18.110583379370816</v>
      </c>
      <c r="J38" s="81"/>
      <c r="K38" s="88">
        <f t="shared" si="2"/>
        <v>18.10292959243343</v>
      </c>
      <c r="L38" s="88">
        <f t="shared" si="1"/>
        <v>18.22622838950722</v>
      </c>
      <c r="M38" s="80"/>
    </row>
    <row r="39" spans="2:13" ht="21" x14ac:dyDescent="0.4">
      <c r="B39" s="84"/>
      <c r="C39" s="84"/>
      <c r="D39" s="84"/>
      <c r="E39" s="84"/>
      <c r="F39" s="84"/>
      <c r="G39" s="84"/>
      <c r="H39" s="84"/>
      <c r="I39" s="84"/>
      <c r="J39" s="81"/>
      <c r="K39" s="81"/>
      <c r="L39" s="82"/>
      <c r="M39" s="80"/>
    </row>
    <row r="40" spans="2:13" ht="21" x14ac:dyDescent="0.4">
      <c r="B40" s="80" t="s">
        <v>146</v>
      </c>
      <c r="C40" s="83">
        <f>IFERROR('Historicial Financials'!C76/'Historicial Financials'!C6,0)</f>
        <v>3.6388931331473008E-2</v>
      </c>
      <c r="D40" s="83">
        <f>IFERROR('Historicial Financials'!D76/'Historicial Financials'!D6,0)</f>
        <v>5.1691873358223853E-2</v>
      </c>
      <c r="E40" s="83">
        <f>IFERROR('Historicial Financials'!E76/'Historicial Financials'!E6,0)</f>
        <v>2.5535676180508497E-2</v>
      </c>
      <c r="F40" s="83">
        <f>IFERROR('Historicial Financials'!F76/'Historicial Financials'!F6,0)</f>
        <v>5.3945465359588197E-2</v>
      </c>
      <c r="G40" s="83">
        <f>IFERROR('Historicial Financials'!G76/'Historicial Financials'!G6,0)</f>
        <v>4.1367363650629478E-2</v>
      </c>
      <c r="H40" s="83">
        <f>IFERROR('Historicial Financials'!H76/'Historicial Financials'!H6,0)</f>
        <v>2.2760181643433366E-2</v>
      </c>
      <c r="I40" s="83">
        <f>IFERROR('Historicial Financials'!I76/'Historicial Financials'!I6,0)</f>
        <v>4.0205903046087559E-2</v>
      </c>
      <c r="J40" s="81"/>
      <c r="K40" s="82">
        <f t="shared" si="2"/>
        <v>3.8842199224277715E-2</v>
      </c>
      <c r="L40" s="82">
        <f t="shared" si="1"/>
        <v>4.0786633348358518E-2</v>
      </c>
      <c r="M40" s="80"/>
    </row>
    <row r="41" spans="2:13" ht="21" x14ac:dyDescent="0.4">
      <c r="B41" s="80" t="s">
        <v>147</v>
      </c>
      <c r="C41" s="83">
        <f>IFERROR('Historicial Financials'!C76/'Historicial Financials'!C63,0)</f>
        <v>7.4941040860670938E-2</v>
      </c>
      <c r="D41" s="83">
        <f>IFERROR('Historicial Financials'!D76/'Historicial Financials'!D63,0)</f>
        <v>9.1394758715639998E-2</v>
      </c>
      <c r="E41" s="83">
        <f>IFERROR('Historicial Financials'!E76/'Historicial Financials'!E63,0)</f>
        <v>5.1127982842715844E-2</v>
      </c>
      <c r="F41" s="83">
        <f>IFERROR('Historicial Financials'!F76/'Historicial Financials'!F63,0)</f>
        <v>0.12764768135250201</v>
      </c>
      <c r="G41" s="83">
        <f>IFERROR('Historicial Financials'!G76/'Historicial Financials'!G63,0)</f>
        <v>9.923258871894082E-2</v>
      </c>
      <c r="H41" s="83">
        <f>IFERROR('Historicial Financials'!H76/'Historicial Financials'!H63,0)</f>
        <v>5.5567483438751147E-2</v>
      </c>
      <c r="I41" s="83">
        <f>IFERROR('Historicial Financials'!I76/'Historicial Financials'!I63,0)</f>
        <v>9.371953776318187E-2</v>
      </c>
      <c r="J41" s="80"/>
      <c r="K41" s="83">
        <f t="shared" si="2"/>
        <v>8.4804439098914663E-2</v>
      </c>
      <c r="L41" s="83">
        <f t="shared" si="1"/>
        <v>9.2557148239410941E-2</v>
      </c>
      <c r="M41" s="80"/>
    </row>
    <row r="42" spans="2:13" ht="21" x14ac:dyDescent="0.4">
      <c r="B42" s="80" t="s">
        <v>148</v>
      </c>
      <c r="C42" s="83">
        <f>IFERROR('Historicial Financials'!C76/'Historicial Financials'!C49,0)</f>
        <v>2.7161679522194544</v>
      </c>
      <c r="D42" s="83">
        <f>IFERROR('Historicial Financials'!D76/'Historicial Financials'!D49,0)</f>
        <v>3.177917547299534</v>
      </c>
      <c r="E42" s="83">
        <f>IFERROR('Historicial Financials'!E76/'Historicial Financials'!E49,0)</f>
        <v>1.2226790737935511</v>
      </c>
      <c r="F42" s="83">
        <f>IFERROR('Historicial Financials'!F76/'Historicial Financials'!F49,0)</f>
        <v>3.5942019969516936</v>
      </c>
      <c r="G42" s="83">
        <f>IFERROR('Historicial Financials'!G76/'Historicial Financials'!G49,0)</f>
        <v>3.5480275601188871</v>
      </c>
      <c r="H42" s="83">
        <f>IFERROR('Historicial Financials'!H76/'Historicial Financials'!H49,0)</f>
        <v>1.6483248334594081</v>
      </c>
      <c r="I42" s="83">
        <f>IFERROR('Historicial Financials'!I76/'Historicial Financials'!I49,0)</f>
        <v>1.1410356331366316</v>
      </c>
      <c r="J42" s="80"/>
      <c r="K42" s="83">
        <f t="shared" si="2"/>
        <v>2.4354792281398798</v>
      </c>
      <c r="L42" s="83">
        <f t="shared" si="1"/>
        <v>2.4131211903794711</v>
      </c>
      <c r="M42" s="80"/>
    </row>
    <row r="43" spans="2:13" ht="21" x14ac:dyDescent="0.4"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</row>
    <row r="44" spans="2:13" ht="21" x14ac:dyDescent="0.4"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</row>
    <row r="45" spans="2:13" ht="21" x14ac:dyDescent="0.4"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</row>
    <row r="46" spans="2:13" ht="21" x14ac:dyDescent="0.4"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</row>
    <row r="47" spans="2:13" ht="21" x14ac:dyDescent="0.4"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</row>
  </sheetData>
  <mergeCells count="1">
    <mergeCell ref="B2:L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2040258-F46F-4A92-91F0-679F09EE98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Analysis'!C12:I12</xm:f>
              <xm:sqref>J12</xm:sqref>
            </x14:sparkline>
            <x14:sparkline>
              <xm:f>'Ratio Analysis'!C13:I13</xm:f>
              <xm:sqref>J13</xm:sqref>
            </x14:sparkline>
            <x14:sparkline>
              <xm:f>'Ratio Analysis'!C14:I14</xm:f>
              <xm:sqref>J14</xm:sqref>
            </x14:sparkline>
            <x14:sparkline>
              <xm:f>'Ratio Analysis'!C15:I15</xm:f>
              <xm:sqref>J15</xm:sqref>
            </x14:sparkline>
            <x14:sparkline>
              <xm:f>'Ratio Analysis'!C16:I16</xm:f>
              <xm:sqref>J16</xm:sqref>
            </x14:sparkline>
            <x14:sparkline>
              <xm:f>'Ratio Analysis'!C17:I17</xm:f>
              <xm:sqref>J17</xm:sqref>
            </x14:sparkline>
            <x14:sparkline>
              <xm:f>'Ratio Analysis'!C18:I18</xm:f>
              <xm:sqref>J18</xm:sqref>
            </x14:sparkline>
            <x14:sparkline>
              <xm:f>'Ratio Analysis'!C19:I19</xm:f>
              <xm:sqref>J19</xm:sqref>
            </x14:sparkline>
            <x14:sparkline>
              <xm:f>'Ratio Analysis'!C20:I20</xm:f>
              <xm:sqref>J20</xm:sqref>
            </x14:sparkline>
            <x14:sparkline>
              <xm:f>'Ratio Analysis'!C21:I21</xm:f>
              <xm:sqref>J21</xm:sqref>
            </x14:sparkline>
            <x14:sparkline>
              <xm:f>'Ratio Analysis'!C22:I22</xm:f>
              <xm:sqref>J22</xm:sqref>
            </x14:sparkline>
            <x14:sparkline>
              <xm:f>'Ratio Analysis'!C23:I23</xm:f>
              <xm:sqref>J23</xm:sqref>
            </x14:sparkline>
            <x14:sparkline>
              <xm:f>'Ratio Analysis'!C24:I24</xm:f>
              <xm:sqref>J24</xm:sqref>
            </x14:sparkline>
            <x14:sparkline>
              <xm:f>'Ratio Analysis'!C25:I25</xm:f>
              <xm:sqref>J25</xm:sqref>
            </x14:sparkline>
            <x14:sparkline>
              <xm:f>'Ratio Analysis'!C26:I26</xm:f>
              <xm:sqref>J26</xm:sqref>
            </x14:sparkline>
            <x14:sparkline>
              <xm:f>'Ratio Analysis'!C27:I27</xm:f>
              <xm:sqref>J27</xm:sqref>
            </x14:sparkline>
            <x14:sparkline>
              <xm:f>'Ratio Analysis'!C28:I28</xm:f>
              <xm:sqref>J28</xm:sqref>
            </x14:sparkline>
            <x14:sparkline>
              <xm:f>'Ratio Analysis'!C29:I29</xm:f>
              <xm:sqref>J29</xm:sqref>
            </x14:sparkline>
            <x14:sparkline>
              <xm:f>'Ratio Analysis'!C30:I30</xm:f>
              <xm:sqref>J30</xm:sqref>
            </x14:sparkline>
            <x14:sparkline>
              <xm:f>'Ratio Analysis'!C31:I31</xm:f>
              <xm:sqref>J31</xm:sqref>
            </x14:sparkline>
            <x14:sparkline>
              <xm:f>'Ratio Analysis'!C32:I32</xm:f>
              <xm:sqref>J32</xm:sqref>
            </x14:sparkline>
            <x14:sparkline>
              <xm:f>'Ratio Analysis'!C33:I33</xm:f>
              <xm:sqref>J33</xm:sqref>
            </x14:sparkline>
            <x14:sparkline>
              <xm:f>'Ratio Analysis'!C34:I34</xm:f>
              <xm:sqref>J34</xm:sqref>
            </x14:sparkline>
            <x14:sparkline>
              <xm:f>'Ratio Analysis'!C35:I35</xm:f>
              <xm:sqref>J35</xm:sqref>
            </x14:sparkline>
            <x14:sparkline>
              <xm:f>'Ratio Analysis'!C36:I36</xm:f>
              <xm:sqref>J36</xm:sqref>
            </x14:sparkline>
            <x14:sparkline>
              <xm:f>'Ratio Analysis'!C37:I37</xm:f>
              <xm:sqref>J37</xm:sqref>
            </x14:sparkline>
            <x14:sparkline>
              <xm:f>'Ratio Analysis'!C38:I38</xm:f>
              <xm:sqref>J38</xm:sqref>
            </x14:sparkline>
            <x14:sparkline>
              <xm:f>'Ratio Analysis'!C39:I39</xm:f>
              <xm:sqref>J39</xm:sqref>
            </x14:sparkline>
            <x14:sparkline>
              <xm:f>'Ratio Analysis'!C40:I40</xm:f>
              <xm:sqref>J40</xm:sqref>
            </x14:sparkline>
            <x14:sparkline>
              <xm:f>'Ratio Analysis'!C41:I41</xm:f>
              <xm:sqref>J41</xm:sqref>
            </x14:sparkline>
            <x14:sparkline>
              <xm:f>'Ratio Analysis'!C42:I42</xm:f>
              <xm:sqref>J42</xm:sqref>
            </x14:sparkline>
          </x14:sparklines>
        </x14:sparklineGroup>
        <x14:sparklineGroup displayEmptyCellsAs="gap" xr2:uid="{B4B38490-E6D6-40F0-AE6D-37B96689DC6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Analysis'!D6:I6</xm:f>
              <xm:sqref>J6</xm:sqref>
            </x14:sparkline>
            <x14:sparkline>
              <xm:f>'Ratio Analysis'!D7:I7</xm:f>
              <xm:sqref>J7</xm:sqref>
            </x14:sparkline>
            <x14:sparkline>
              <xm:f>'Ratio Analysis'!D8:I8</xm:f>
              <xm:sqref>J8</xm:sqref>
            </x14:sparkline>
            <x14:sparkline>
              <xm:f>'Ratio Analysis'!D9:I9</xm:f>
              <xm:sqref>J9</xm:sqref>
            </x14:sparkline>
            <x14:sparkline>
              <xm:f>'Ratio Analysis'!D10:I10</xm:f>
              <xm:sqref>J10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E331-EA93-4B23-8A74-88B2ED396617}">
  <dimension ref="B1:K18"/>
  <sheetViews>
    <sheetView showGridLines="0" zoomScale="84" workbookViewId="0">
      <selection activeCell="D4" sqref="D4"/>
    </sheetView>
  </sheetViews>
  <sheetFormatPr defaultRowHeight="14.4" x14ac:dyDescent="0.3"/>
  <cols>
    <col min="1" max="1" width="2.33203125" customWidth="1"/>
    <col min="2" max="2" width="15.77734375" bestFit="1" customWidth="1"/>
    <col min="3" max="3" width="10.109375" bestFit="1" customWidth="1"/>
    <col min="4" max="4" width="17.88671875" bestFit="1" customWidth="1"/>
    <col min="5" max="5" width="13.33203125" bestFit="1" customWidth="1"/>
    <col min="7" max="7" width="11" bestFit="1" customWidth="1"/>
    <col min="8" max="8" width="17.5546875" bestFit="1" customWidth="1"/>
    <col min="9" max="9" width="15.5546875" bestFit="1" customWidth="1"/>
    <col min="10" max="10" width="23.109375" bestFit="1" customWidth="1"/>
  </cols>
  <sheetData>
    <row r="1" spans="2:11" ht="23.4" x14ac:dyDescent="0.45"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2:11" ht="23.4" x14ac:dyDescent="0.45">
      <c r="B2" s="182" t="str">
        <f>'Data Sheet'!B1 &amp; " Forcaste" &amp; "-"  &amp;  'Data Sheet'!A17</f>
        <v>AVENUE SUPERMARTS LTD Forcaste-Sales</v>
      </c>
      <c r="C2" s="182"/>
      <c r="D2" s="182"/>
      <c r="E2" s="182"/>
      <c r="F2" s="28"/>
      <c r="G2" s="182" t="str">
        <f>'Data Sheet'!B1 &amp; " Forcaste" &amp; "-"  &amp;  'Historicial Financials'!B18</f>
        <v>AVENUE SUPERMARTS LTD Forcaste-EBITDA</v>
      </c>
      <c r="H2" s="182"/>
      <c r="I2" s="182"/>
      <c r="J2" s="182"/>
      <c r="K2" s="28"/>
    </row>
    <row r="3" spans="2:11" ht="23.4" x14ac:dyDescent="0.45">
      <c r="B3" s="33" t="s">
        <v>154</v>
      </c>
      <c r="C3" s="33" t="s">
        <v>155</v>
      </c>
      <c r="D3" s="33" t="s">
        <v>1</v>
      </c>
      <c r="E3" s="33" t="s">
        <v>10</v>
      </c>
      <c r="F3" s="28"/>
      <c r="G3" s="33" t="s">
        <v>154</v>
      </c>
      <c r="H3" s="33" t="s">
        <v>155</v>
      </c>
      <c r="I3" s="33" t="s">
        <v>67</v>
      </c>
      <c r="J3" s="33" t="s">
        <v>124</v>
      </c>
      <c r="K3" s="28"/>
    </row>
    <row r="4" spans="2:11" ht="23.4" x14ac:dyDescent="0.45">
      <c r="B4" s="74">
        <v>1</v>
      </c>
      <c r="C4" s="75">
        <f>'Data Sheet'!E16</f>
        <v>43921</v>
      </c>
      <c r="D4" s="66">
        <f t="array" ref="D4:D10">TRANSPOSE('Historicial Financials'!C6:I6)</f>
        <v>24870.2</v>
      </c>
      <c r="E4" s="28"/>
      <c r="F4" s="28"/>
      <c r="G4" s="74">
        <v>1</v>
      </c>
      <c r="H4" s="75">
        <f>'Data Sheet'!E16</f>
        <v>43921</v>
      </c>
      <c r="I4" s="66">
        <f t="array" ref="I4:I10">TRANSPOSE('Historicial Financials'!C18:I18)</f>
        <v>1940.0699999999988</v>
      </c>
      <c r="J4" s="28"/>
      <c r="K4" s="28"/>
    </row>
    <row r="5" spans="2:11" ht="23.4" x14ac:dyDescent="0.45">
      <c r="B5" s="74">
        <f>B4+1</f>
        <v>2</v>
      </c>
      <c r="C5" s="75">
        <f>C4+365</f>
        <v>44286</v>
      </c>
      <c r="D5" s="66">
        <v>24143.06</v>
      </c>
      <c r="E5" s="67">
        <f>IFERROR(D5/D4-1,0)</f>
        <v>-2.9237400583831175E-2</v>
      </c>
      <c r="F5" s="28"/>
      <c r="G5" s="74">
        <f>G4+1</f>
        <v>2</v>
      </c>
      <c r="H5" s="75">
        <f>H4+365</f>
        <v>44286</v>
      </c>
      <c r="I5" s="66">
        <v>1570.6299999999976</v>
      </c>
      <c r="J5" s="67">
        <f>IFERROR(I5/I4-1,0)</f>
        <v>-0.1904261186452042</v>
      </c>
      <c r="K5" s="28"/>
    </row>
    <row r="6" spans="2:11" ht="23.4" x14ac:dyDescent="0.45">
      <c r="B6" s="74">
        <f t="shared" ref="B6:B9" si="0">B5+1</f>
        <v>3</v>
      </c>
      <c r="C6" s="75">
        <f t="shared" ref="C6:C15" si="1">C5+365</f>
        <v>44651</v>
      </c>
      <c r="D6" s="66">
        <v>30976.27</v>
      </c>
      <c r="E6" s="67">
        <f t="shared" ref="E6:E15" si="2">IFERROR(D6/D5-1,0)</f>
        <v>0.28302998874210639</v>
      </c>
      <c r="F6" s="28"/>
      <c r="G6" s="74">
        <f t="shared" ref="G6:G15" si="3">G5+1</f>
        <v>3</v>
      </c>
      <c r="H6" s="75">
        <f t="shared" ref="H6:H15" si="4">H5+365</f>
        <v>44651</v>
      </c>
      <c r="I6" s="66">
        <v>2294.4900000000007</v>
      </c>
      <c r="J6" s="67">
        <f t="shared" ref="J6:J15" si="5">IFERROR(I6/I5-1,0)</f>
        <v>0.46087238878666792</v>
      </c>
      <c r="K6" s="28"/>
    </row>
    <row r="7" spans="2:11" ht="23.4" x14ac:dyDescent="0.45">
      <c r="B7" s="74">
        <f t="shared" si="0"/>
        <v>4</v>
      </c>
      <c r="C7" s="75">
        <f t="shared" si="1"/>
        <v>45016</v>
      </c>
      <c r="D7" s="66">
        <v>42839.56</v>
      </c>
      <c r="E7" s="67">
        <f t="shared" si="2"/>
        <v>0.38297993915987938</v>
      </c>
      <c r="F7" s="28"/>
      <c r="G7" s="74">
        <f t="shared" si="3"/>
        <v>4</v>
      </c>
      <c r="H7" s="75">
        <f t="shared" si="4"/>
        <v>45016</v>
      </c>
      <c r="I7" s="66">
        <v>3324.1499999999942</v>
      </c>
      <c r="J7" s="67">
        <f t="shared" si="5"/>
        <v>0.44875331773073457</v>
      </c>
      <c r="K7" s="28"/>
    </row>
    <row r="8" spans="2:11" ht="23.4" x14ac:dyDescent="0.45">
      <c r="B8" s="74">
        <f t="shared" si="0"/>
        <v>5</v>
      </c>
      <c r="C8" s="75">
        <f t="shared" si="1"/>
        <v>45381</v>
      </c>
      <c r="D8" s="66">
        <v>50788.83</v>
      </c>
      <c r="E8" s="67">
        <f t="shared" si="2"/>
        <v>0.18555909537819737</v>
      </c>
      <c r="F8" s="28"/>
      <c r="G8" s="74">
        <f t="shared" si="3"/>
        <v>5</v>
      </c>
      <c r="H8" s="75">
        <f t="shared" si="4"/>
        <v>45381</v>
      </c>
      <c r="I8" s="66">
        <v>3729.0500000000079</v>
      </c>
      <c r="J8" s="67">
        <f t="shared" si="5"/>
        <v>0.12180557435735895</v>
      </c>
      <c r="K8" s="28"/>
    </row>
    <row r="9" spans="2:11" ht="23.4" x14ac:dyDescent="0.45">
      <c r="B9" s="74">
        <f t="shared" si="0"/>
        <v>6</v>
      </c>
      <c r="C9" s="75">
        <f t="shared" si="1"/>
        <v>45746</v>
      </c>
      <c r="D9" s="66">
        <v>59358.05</v>
      </c>
      <c r="E9" s="67">
        <f t="shared" si="2"/>
        <v>0.16872253210007004</v>
      </c>
      <c r="F9" s="28"/>
      <c r="G9" s="74">
        <f t="shared" si="3"/>
        <v>6</v>
      </c>
      <c r="H9" s="75">
        <f t="shared" si="4"/>
        <v>45746</v>
      </c>
      <c r="I9" s="66">
        <v>4046.7599999999989</v>
      </c>
      <c r="J9" s="67">
        <f t="shared" si="5"/>
        <v>8.5198643086038084E-2</v>
      </c>
      <c r="K9" s="28"/>
    </row>
    <row r="10" spans="2:11" ht="23.4" x14ac:dyDescent="0.45">
      <c r="B10" s="74">
        <f>B9+1</f>
        <v>7</v>
      </c>
      <c r="C10" s="75">
        <f t="shared" si="1"/>
        <v>46111</v>
      </c>
      <c r="D10" s="66">
        <v>68820.740000000005</v>
      </c>
      <c r="E10" s="67">
        <f t="shared" si="2"/>
        <v>0.15941713044818684</v>
      </c>
      <c r="F10" s="28"/>
      <c r="G10" s="74">
        <f t="shared" si="3"/>
        <v>7</v>
      </c>
      <c r="H10" s="75">
        <f t="shared" si="4"/>
        <v>46111</v>
      </c>
      <c r="I10" s="66">
        <v>5186.5900000000056</v>
      </c>
      <c r="J10" s="67">
        <f t="shared" si="5"/>
        <v>0.2816648380432758</v>
      </c>
      <c r="K10" s="28"/>
    </row>
    <row r="11" spans="2:11" ht="23.4" x14ac:dyDescent="0.45">
      <c r="B11" s="76">
        <f t="shared" ref="B11:B15" si="6">B10+1</f>
        <v>8</v>
      </c>
      <c r="C11" s="77">
        <f t="shared" si="1"/>
        <v>46476</v>
      </c>
      <c r="D11" s="78">
        <f>FORECAST(B11,$D$4:$D$10,$B$4:$B$10)</f>
        <v>74841.552857142859</v>
      </c>
      <c r="E11" s="79">
        <f t="shared" si="2"/>
        <v>8.7485441992382729E-2</v>
      </c>
      <c r="F11" s="28"/>
      <c r="G11" s="76">
        <f t="shared" si="3"/>
        <v>8</v>
      </c>
      <c r="H11" s="77">
        <f t="shared" si="4"/>
        <v>46476</v>
      </c>
      <c r="I11" s="78">
        <f>FORECAST(G11,$I$4:$I$10,$G$4:$G$10)</f>
        <v>5459.7314285714338</v>
      </c>
      <c r="J11" s="79">
        <f t="shared" si="5"/>
        <v>5.2663007596788658E-2</v>
      </c>
      <c r="K11" s="28"/>
    </row>
    <row r="12" spans="2:11" ht="23.4" x14ac:dyDescent="0.45">
      <c r="B12" s="76">
        <f t="shared" si="6"/>
        <v>9</v>
      </c>
      <c r="C12" s="77">
        <f t="shared" si="1"/>
        <v>46841</v>
      </c>
      <c r="D12" s="78">
        <f t="shared" ref="D12:D15" si="7">FORECAST(B12,$D$4:$D$10,$B$4:$B$10)</f>
        <v>82773.487142857135</v>
      </c>
      <c r="E12" s="79">
        <f t="shared" si="2"/>
        <v>0.10598302657956205</v>
      </c>
      <c r="F12" s="28"/>
      <c r="G12" s="76">
        <f t="shared" si="3"/>
        <v>9</v>
      </c>
      <c r="H12" s="77">
        <f t="shared" si="4"/>
        <v>46841</v>
      </c>
      <c r="I12" s="78">
        <f t="shared" ref="I12:I15" si="8">FORECAST(G12,$I$4:$I$10,$G$4:$G$10)</f>
        <v>6035.6735714285778</v>
      </c>
      <c r="J12" s="79">
        <f t="shared" si="5"/>
        <v>0.10548909784154747</v>
      </c>
      <c r="K12" s="28"/>
    </row>
    <row r="13" spans="2:11" ht="23.4" x14ac:dyDescent="0.45">
      <c r="B13" s="76">
        <f t="shared" si="6"/>
        <v>10</v>
      </c>
      <c r="C13" s="77">
        <f t="shared" si="1"/>
        <v>47206</v>
      </c>
      <c r="D13" s="78">
        <f t="shared" si="7"/>
        <v>90705.421428571426</v>
      </c>
      <c r="E13" s="79">
        <f t="shared" si="2"/>
        <v>9.5826991945195283E-2</v>
      </c>
      <c r="F13" s="28"/>
      <c r="G13" s="76">
        <f t="shared" si="3"/>
        <v>10</v>
      </c>
      <c r="H13" s="77">
        <f t="shared" si="4"/>
        <v>47206</v>
      </c>
      <c r="I13" s="78">
        <f t="shared" si="8"/>
        <v>6611.6157142857219</v>
      </c>
      <c r="J13" s="79">
        <f t="shared" si="5"/>
        <v>9.5423010545751641E-2</v>
      </c>
      <c r="K13" s="28"/>
    </row>
    <row r="14" spans="2:11" ht="23.4" x14ac:dyDescent="0.45">
      <c r="B14" s="76">
        <f>B13+1</f>
        <v>11</v>
      </c>
      <c r="C14" s="77">
        <f t="shared" si="1"/>
        <v>47571</v>
      </c>
      <c r="D14" s="78">
        <f t="shared" si="7"/>
        <v>98637.355714285717</v>
      </c>
      <c r="E14" s="79">
        <f t="shared" si="2"/>
        <v>8.7447190705800537E-2</v>
      </c>
      <c r="F14" s="28"/>
      <c r="G14" s="76">
        <f t="shared" si="3"/>
        <v>11</v>
      </c>
      <c r="H14" s="77">
        <f t="shared" si="4"/>
        <v>47571</v>
      </c>
      <c r="I14" s="78">
        <f t="shared" si="8"/>
        <v>7187.5578571428659</v>
      </c>
      <c r="J14" s="79">
        <f t="shared" si="5"/>
        <v>8.7110650065868933E-2</v>
      </c>
      <c r="K14" s="28"/>
    </row>
    <row r="15" spans="2:11" ht="23.4" x14ac:dyDescent="0.45">
      <c r="B15" s="76">
        <f t="shared" si="6"/>
        <v>12</v>
      </c>
      <c r="C15" s="77">
        <f t="shared" si="1"/>
        <v>47936</v>
      </c>
      <c r="D15" s="78">
        <f t="shared" si="7"/>
        <v>106569.29</v>
      </c>
      <c r="E15" s="79">
        <f t="shared" si="2"/>
        <v>8.041511482414454E-2</v>
      </c>
      <c r="F15" s="28"/>
      <c r="G15" s="76">
        <f t="shared" si="3"/>
        <v>12</v>
      </c>
      <c r="H15" s="77">
        <f t="shared" si="4"/>
        <v>47936</v>
      </c>
      <c r="I15" s="78">
        <f t="shared" si="8"/>
        <v>7763.5000000000091</v>
      </c>
      <c r="J15" s="79">
        <f t="shared" si="5"/>
        <v>8.0130435720219273E-2</v>
      </c>
      <c r="K15" s="28"/>
    </row>
    <row r="16" spans="2:11" ht="23.4" x14ac:dyDescent="0.45"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spans="2:11" ht="23.4" x14ac:dyDescent="0.45"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2:11" ht="23.4" x14ac:dyDescent="0.45">
      <c r="B18" s="28"/>
      <c r="C18" s="28"/>
      <c r="D18" s="28"/>
      <c r="E18" s="28"/>
      <c r="F18" s="28"/>
      <c r="G18" s="28"/>
      <c r="H18" s="28"/>
      <c r="I18" s="28"/>
      <c r="J18" s="28"/>
      <c r="K18" s="28"/>
    </row>
  </sheetData>
  <mergeCells count="2">
    <mergeCell ref="B2:E2"/>
    <mergeCell ref="G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6A23-0F92-4191-94DD-32C564F2DF99}">
  <dimension ref="B2:S135"/>
  <sheetViews>
    <sheetView showGridLines="0" topLeftCell="A13" zoomScale="57" workbookViewId="0">
      <selection activeCell="I37" sqref="I37"/>
    </sheetView>
  </sheetViews>
  <sheetFormatPr defaultRowHeight="14.4" x14ac:dyDescent="0.3"/>
  <cols>
    <col min="1" max="1" width="2.33203125" customWidth="1"/>
    <col min="2" max="2" width="37" bestFit="1" customWidth="1"/>
    <col min="3" max="3" width="13.77734375" bestFit="1" customWidth="1"/>
    <col min="4" max="4" width="15.88671875" bestFit="1" customWidth="1"/>
    <col min="5" max="5" width="18" bestFit="1" customWidth="1"/>
    <col min="6" max="6" width="14.88671875" bestFit="1" customWidth="1"/>
    <col min="7" max="7" width="24.109375" customWidth="1"/>
    <col min="8" max="8" width="11.77734375" bestFit="1" customWidth="1"/>
    <col min="9" max="9" width="15.33203125" bestFit="1" customWidth="1"/>
    <col min="10" max="10" width="19" customWidth="1"/>
    <col min="19" max="19" width="26.44140625" bestFit="1" customWidth="1"/>
  </cols>
  <sheetData>
    <row r="2" spans="2:19" ht="36.6" x14ac:dyDescent="0.7">
      <c r="B2" s="183" t="s">
        <v>156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</row>
    <row r="4" spans="2:19" ht="23.4" x14ac:dyDescent="0.45">
      <c r="B4" s="45" t="s">
        <v>157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2:19" ht="23.4" x14ac:dyDescent="0.45"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2:19" ht="23.4" x14ac:dyDescent="0.45">
      <c r="B6" s="28" t="s">
        <v>158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2:19" ht="24" thickBot="1" x14ac:dyDescent="0.5"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</row>
    <row r="8" spans="2:19" ht="23.4" x14ac:dyDescent="0.45">
      <c r="B8" s="46"/>
      <c r="C8" s="46"/>
      <c r="D8" s="46"/>
      <c r="E8" s="46"/>
      <c r="F8" s="46"/>
      <c r="G8" s="46" t="s">
        <v>163</v>
      </c>
      <c r="H8" s="46" t="s">
        <v>163</v>
      </c>
      <c r="I8" s="46" t="s">
        <v>166</v>
      </c>
      <c r="J8" s="46" t="s">
        <v>167</v>
      </c>
      <c r="K8" s="28"/>
      <c r="L8" s="28"/>
      <c r="M8" s="28"/>
      <c r="N8" s="28"/>
      <c r="O8" s="28"/>
      <c r="P8" s="28"/>
      <c r="Q8" s="28"/>
      <c r="R8" s="28"/>
      <c r="S8" s="28"/>
    </row>
    <row r="9" spans="2:19" ht="27" thickBot="1" x14ac:dyDescent="0.5">
      <c r="B9" s="44" t="s">
        <v>159</v>
      </c>
      <c r="C9" s="44" t="s">
        <v>160</v>
      </c>
      <c r="D9" s="44" t="s">
        <v>161</v>
      </c>
      <c r="E9" s="44" t="s">
        <v>162</v>
      </c>
      <c r="F9" s="44" t="s">
        <v>238</v>
      </c>
      <c r="G9" s="44" t="s">
        <v>164</v>
      </c>
      <c r="H9" s="44" t="s">
        <v>165</v>
      </c>
      <c r="I9" s="44" t="s">
        <v>239</v>
      </c>
      <c r="J9" s="44" t="s">
        <v>240</v>
      </c>
      <c r="K9" s="28"/>
      <c r="L9" s="28"/>
      <c r="M9" s="28"/>
      <c r="N9" s="28"/>
      <c r="O9" s="28"/>
      <c r="P9" s="28"/>
      <c r="Q9" s="28"/>
      <c r="R9" s="28"/>
      <c r="S9" s="28"/>
    </row>
    <row r="10" spans="2:19" ht="23.4" x14ac:dyDescent="0.45"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spans="2:19" ht="23.4" x14ac:dyDescent="0.45">
      <c r="B11" s="47" t="s">
        <v>330</v>
      </c>
      <c r="C11" s="47" t="s">
        <v>168</v>
      </c>
      <c r="D11" s="48">
        <v>2424.9899999999998</v>
      </c>
      <c r="E11" s="48">
        <v>652.25</v>
      </c>
      <c r="F11" s="49">
        <v>0.3</v>
      </c>
      <c r="G11" s="138">
        <f>D11/E11</f>
        <v>3.7178842468378686</v>
      </c>
      <c r="H11" s="138">
        <f>D11/(D11+E11)</f>
        <v>0.78804058182007253</v>
      </c>
      <c r="I11" s="50">
        <f>Beta!N7</f>
        <v>0.70010610898145698</v>
      </c>
      <c r="J11" s="51">
        <f>I11/(1+(1-F11)*G11)</f>
        <v>0.19433793805669616</v>
      </c>
      <c r="K11" s="28"/>
      <c r="L11" s="28"/>
      <c r="M11" s="28"/>
      <c r="N11" s="28"/>
      <c r="O11" s="28"/>
      <c r="P11" s="28"/>
      <c r="Q11" s="28"/>
      <c r="R11" s="28"/>
      <c r="S11" s="28"/>
    </row>
    <row r="12" spans="2:19" ht="23.4" x14ac:dyDescent="0.45">
      <c r="B12" s="47" t="s">
        <v>331</v>
      </c>
      <c r="C12" s="47" t="s">
        <v>168</v>
      </c>
      <c r="D12" s="48">
        <v>1987.98</v>
      </c>
      <c r="E12" s="48">
        <v>4676.38</v>
      </c>
      <c r="F12" s="49">
        <v>0.3</v>
      </c>
      <c r="G12" s="138">
        <f t="shared" ref="G12" si="0">D12/E12</f>
        <v>0.42511087636163014</v>
      </c>
      <c r="H12" s="138">
        <f t="shared" ref="H12" si="1">D12/(D12+E12)</f>
        <v>0.29830021187330813</v>
      </c>
      <c r="I12" s="50">
        <f>Beta!AK7</f>
        <v>1.1280228813174067</v>
      </c>
      <c r="J12" s="51">
        <f>I12/(1+(1-F12)*G12)</f>
        <v>0.86932979547596245</v>
      </c>
      <c r="K12" s="28"/>
      <c r="L12" s="28"/>
      <c r="M12" s="28"/>
      <c r="N12" s="28"/>
      <c r="O12" s="28"/>
      <c r="P12" s="28"/>
      <c r="Q12" s="28"/>
      <c r="R12" s="28"/>
      <c r="S12" s="28"/>
    </row>
    <row r="13" spans="2:19" ht="23.4" x14ac:dyDescent="0.45">
      <c r="B13" s="28"/>
      <c r="C13" s="28"/>
      <c r="D13" s="28"/>
      <c r="E13" s="28"/>
      <c r="F13" s="28"/>
      <c r="G13" s="28"/>
      <c r="H13" s="28"/>
      <c r="I13" s="28"/>
      <c r="J13" s="28"/>
      <c r="K13" s="28" t="s">
        <v>229</v>
      </c>
      <c r="L13" s="28"/>
      <c r="M13" s="28"/>
      <c r="N13" s="28"/>
      <c r="O13" s="28"/>
      <c r="P13" s="28"/>
      <c r="Q13" s="28"/>
      <c r="R13" s="28"/>
      <c r="S13" s="28"/>
    </row>
    <row r="14" spans="2:19" ht="23.4" x14ac:dyDescent="0.45">
      <c r="B14" s="28"/>
      <c r="C14" s="28"/>
      <c r="D14" s="28"/>
      <c r="E14" s="52" t="s">
        <v>169</v>
      </c>
      <c r="F14" s="53">
        <f>AVERAGE(F11:F12)</f>
        <v>0.3</v>
      </c>
      <c r="G14" s="54">
        <f>AVERAGE(G11:G12)</f>
        <v>2.0714975615997493</v>
      </c>
      <c r="H14" s="54">
        <f>AVERAGE(H11:H12)</f>
        <v>0.54317039684669033</v>
      </c>
      <c r="I14" s="55">
        <f>AVERAGE(I11:I11)</f>
        <v>0.70010610898145698</v>
      </c>
      <c r="J14" s="54">
        <f>AVERAGE(J11:J12)</f>
        <v>0.53183386676632927</v>
      </c>
      <c r="K14" s="28"/>
      <c r="L14" s="28"/>
      <c r="M14" s="28"/>
      <c r="N14" s="28"/>
      <c r="O14" s="28"/>
      <c r="P14" s="28"/>
      <c r="Q14" s="28"/>
      <c r="R14" s="28"/>
      <c r="S14" s="28"/>
    </row>
    <row r="15" spans="2:19" ht="23.4" x14ac:dyDescent="0.45">
      <c r="B15" s="28"/>
      <c r="C15" s="28"/>
      <c r="D15" s="28"/>
      <c r="E15" s="56" t="s">
        <v>152</v>
      </c>
      <c r="F15" s="57">
        <f>MEDIAN(F11:F12)</f>
        <v>0.3</v>
      </c>
      <c r="G15" s="58">
        <f>MEDIAN(G11:G12)</f>
        <v>2.0714975615997493</v>
      </c>
      <c r="H15" s="58">
        <f>MEDIAN(H11:H12)</f>
        <v>0.54317039684669033</v>
      </c>
      <c r="I15" s="59">
        <f>MEDIAN(I11:I11)</f>
        <v>0.70010610898145698</v>
      </c>
      <c r="J15" s="58">
        <f>MEDIAN(J11:J12)</f>
        <v>0.53183386676632927</v>
      </c>
      <c r="K15" s="28"/>
      <c r="L15" s="28"/>
      <c r="M15" s="28"/>
      <c r="N15" s="28"/>
      <c r="O15" s="28"/>
      <c r="P15" s="28"/>
      <c r="Q15" s="28"/>
      <c r="R15" s="28"/>
      <c r="S15" s="28"/>
    </row>
    <row r="16" spans="2:19" ht="23.4" x14ac:dyDescent="0.45"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</row>
    <row r="17" spans="2:19" ht="23.4" x14ac:dyDescent="0.45"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</row>
    <row r="18" spans="2:19" ht="23.4" x14ac:dyDescent="0.45"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</row>
    <row r="19" spans="2:19" ht="23.4" x14ac:dyDescent="0.45">
      <c r="B19" s="56" t="s">
        <v>170</v>
      </c>
      <c r="C19" s="30"/>
      <c r="D19" s="28"/>
      <c r="E19" s="28"/>
      <c r="F19" s="28"/>
      <c r="G19" s="56" t="s">
        <v>174</v>
      </c>
      <c r="H19" s="56"/>
      <c r="I19" s="56"/>
      <c r="J19" s="28"/>
      <c r="K19" s="28"/>
      <c r="L19" s="28"/>
      <c r="M19" s="28"/>
      <c r="N19" s="28"/>
      <c r="O19" s="28"/>
      <c r="P19" s="28"/>
      <c r="Q19" s="28"/>
      <c r="R19" s="28"/>
      <c r="S19" s="28"/>
    </row>
    <row r="20" spans="2:19" ht="23.4" x14ac:dyDescent="0.45"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spans="2:19" ht="23.4" x14ac:dyDescent="0.45">
      <c r="B21" s="28" t="s">
        <v>171</v>
      </c>
      <c r="C21" s="146">
        <f>142/D11</f>
        <v>5.8556942502855688E-2</v>
      </c>
      <c r="D21" s="28"/>
      <c r="E21" s="28"/>
      <c r="F21" s="28"/>
      <c r="G21" s="28" t="s">
        <v>175</v>
      </c>
      <c r="H21" s="28"/>
      <c r="I21" s="61">
        <v>6.7699999999999996E-2</v>
      </c>
      <c r="J21" s="45" t="s">
        <v>230</v>
      </c>
      <c r="K21" s="28"/>
      <c r="L21" s="28"/>
      <c r="M21" s="28"/>
      <c r="N21" s="28"/>
      <c r="O21" s="28"/>
      <c r="P21" s="28"/>
      <c r="Q21" s="28"/>
      <c r="R21" s="28"/>
      <c r="S21" s="28"/>
    </row>
    <row r="22" spans="2:19" ht="23.4" x14ac:dyDescent="0.45">
      <c r="B22" s="28" t="s">
        <v>172</v>
      </c>
      <c r="C22" s="62">
        <f>F14</f>
        <v>0.3</v>
      </c>
      <c r="D22" s="28"/>
      <c r="E22" s="28"/>
      <c r="F22" s="28"/>
      <c r="G22" s="28" t="s">
        <v>176</v>
      </c>
      <c r="H22" s="28"/>
      <c r="I22" s="60">
        <f>Beta!Y9-WACC!I21</f>
        <v>8.3792307692307708E-2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2:19" ht="26.4" x14ac:dyDescent="0.45">
      <c r="B23" s="63" t="s">
        <v>173</v>
      </c>
      <c r="C23" s="64">
        <f>C21*(1-C22)</f>
        <v>4.098985975199898E-2</v>
      </c>
      <c r="D23" s="28"/>
      <c r="E23" s="28"/>
      <c r="F23" s="28"/>
      <c r="G23" s="28" t="s">
        <v>241</v>
      </c>
      <c r="H23" s="28"/>
      <c r="I23" s="34">
        <f>J32</f>
        <v>0.97447919301442276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spans="2:19" ht="23.4" x14ac:dyDescent="0.45">
      <c r="B24" s="28"/>
      <c r="C24" s="28"/>
      <c r="D24" s="28"/>
      <c r="E24" s="28"/>
      <c r="F24" s="28"/>
      <c r="G24" s="63" t="s">
        <v>174</v>
      </c>
      <c r="H24" s="63"/>
      <c r="I24" s="64">
        <f>I21+(I22*I23)</f>
        <v>0.14935386038081622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</row>
    <row r="25" spans="2:19" ht="23.4" x14ac:dyDescent="0.45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</row>
    <row r="26" spans="2:19" ht="23.4" x14ac:dyDescent="0.45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spans="2:19" ht="23.4" x14ac:dyDescent="0.45">
      <c r="B27" s="56" t="s">
        <v>177</v>
      </c>
      <c r="C27" s="56"/>
      <c r="D27" s="56"/>
      <c r="E27" s="56"/>
      <c r="F27" s="28"/>
      <c r="G27" s="56" t="s">
        <v>181</v>
      </c>
      <c r="H27" s="56"/>
      <c r="I27" s="56"/>
      <c r="J27" s="56"/>
      <c r="K27" s="28"/>
      <c r="L27" s="28"/>
      <c r="M27" s="28"/>
      <c r="N27" s="28"/>
      <c r="O27" s="28"/>
      <c r="P27" s="28"/>
      <c r="Q27" s="28"/>
      <c r="R27" s="28"/>
      <c r="S27" s="28"/>
    </row>
    <row r="28" spans="2:19" ht="23.4" x14ac:dyDescent="0.45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spans="2:19" ht="23.4" x14ac:dyDescent="0.45">
      <c r="B29" s="28"/>
      <c r="C29" s="28"/>
      <c r="D29" s="65" t="s">
        <v>178</v>
      </c>
      <c r="E29" s="65" t="s">
        <v>179</v>
      </c>
      <c r="F29" s="28"/>
      <c r="G29" s="28" t="s">
        <v>182</v>
      </c>
      <c r="H29" s="28"/>
      <c r="I29" s="28"/>
      <c r="J29" s="34">
        <f>J15</f>
        <v>0.53183386676632927</v>
      </c>
      <c r="K29" s="28"/>
      <c r="L29" s="28"/>
      <c r="M29" s="28"/>
      <c r="N29" s="28"/>
      <c r="O29" s="28"/>
      <c r="P29" s="28"/>
      <c r="Q29" s="28"/>
      <c r="R29" s="28"/>
      <c r="S29" s="28"/>
    </row>
    <row r="30" spans="2:19" ht="23.4" x14ac:dyDescent="0.45">
      <c r="B30" s="28" t="s">
        <v>161</v>
      </c>
      <c r="C30" s="66">
        <f>D12</f>
        <v>1987.98</v>
      </c>
      <c r="D30" s="67">
        <f>C30/$C$32</f>
        <v>0.29830021187330813</v>
      </c>
      <c r="E30" s="60">
        <f>H15</f>
        <v>0.54317039684669033</v>
      </c>
      <c r="F30" s="28"/>
      <c r="G30" s="28" t="s">
        <v>183</v>
      </c>
      <c r="H30" s="28"/>
      <c r="I30" s="28"/>
      <c r="J30" s="37">
        <f>E35</f>
        <v>1.1889999971486198</v>
      </c>
      <c r="K30" s="28"/>
      <c r="L30" s="28"/>
      <c r="M30" s="28"/>
      <c r="N30" s="28"/>
      <c r="O30" s="28"/>
      <c r="P30" s="28"/>
      <c r="Q30" s="28"/>
      <c r="R30" s="28"/>
      <c r="S30" s="28"/>
    </row>
    <row r="31" spans="2:19" ht="23.4" x14ac:dyDescent="0.45">
      <c r="B31" s="28" t="s">
        <v>45</v>
      </c>
      <c r="C31" s="66">
        <f>E12</f>
        <v>4676.38</v>
      </c>
      <c r="D31" s="67">
        <f>C31/$C$32</f>
        <v>0.70169978812669176</v>
      </c>
      <c r="E31" s="37">
        <f>1-E30</f>
        <v>0.45682960315330967</v>
      </c>
      <c r="F31" s="28"/>
      <c r="G31" s="28" t="s">
        <v>172</v>
      </c>
      <c r="H31" s="28"/>
      <c r="I31" s="28"/>
      <c r="J31" s="37">
        <f>F11</f>
        <v>0.3</v>
      </c>
      <c r="K31" s="28"/>
      <c r="L31" s="28"/>
      <c r="M31" s="28"/>
      <c r="N31" s="28"/>
      <c r="O31" s="28"/>
      <c r="P31" s="28"/>
      <c r="Q31" s="28"/>
      <c r="R31" s="28"/>
      <c r="S31" s="28"/>
    </row>
    <row r="32" spans="2:19" ht="23.4" x14ac:dyDescent="0.45">
      <c r="B32" s="63" t="s">
        <v>180</v>
      </c>
      <c r="C32" s="63">
        <f>SUM(C30:C31)</f>
        <v>6664.3600000000006</v>
      </c>
      <c r="D32" s="68">
        <f t="shared" ref="D32:E32" si="2">SUM(D30:D31)</f>
        <v>0.99999999999999989</v>
      </c>
      <c r="E32" s="68">
        <f t="shared" si="2"/>
        <v>1</v>
      </c>
      <c r="F32" s="28"/>
      <c r="G32" s="63" t="s">
        <v>181</v>
      </c>
      <c r="H32" s="63"/>
      <c r="I32" s="63"/>
      <c r="J32" s="69">
        <f>J29*(1+(1-J31)*J30)</f>
        <v>0.97447919301442276</v>
      </c>
      <c r="K32" s="28"/>
      <c r="L32" s="28"/>
      <c r="M32" s="28"/>
      <c r="N32" s="28"/>
      <c r="O32" s="28"/>
      <c r="P32" s="28"/>
      <c r="Q32" s="28"/>
      <c r="R32" s="28"/>
      <c r="S32" s="28"/>
    </row>
    <row r="33" spans="2:19" ht="23.4" x14ac:dyDescent="0.45">
      <c r="B33" s="28"/>
      <c r="C33" s="28"/>
      <c r="D33" s="38"/>
      <c r="E33" s="3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</row>
    <row r="34" spans="2:19" ht="23.4" x14ac:dyDescent="0.45"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</row>
    <row r="35" spans="2:19" ht="23.4" x14ac:dyDescent="0.45">
      <c r="B35" s="28" t="s">
        <v>184</v>
      </c>
      <c r="C35" s="28"/>
      <c r="D35" s="70">
        <f>D30/D31</f>
        <v>0.42511087636163014</v>
      </c>
      <c r="E35" s="70">
        <f>E30/E31</f>
        <v>1.1889999971486198</v>
      </c>
      <c r="F35" s="28"/>
      <c r="G35" s="56" t="s">
        <v>185</v>
      </c>
      <c r="H35" s="30"/>
      <c r="I35" s="30"/>
      <c r="J35" s="30"/>
      <c r="K35" s="28"/>
      <c r="L35" s="28"/>
      <c r="M35" s="28"/>
      <c r="N35" s="28"/>
      <c r="O35" s="28"/>
      <c r="P35" s="28"/>
      <c r="Q35" s="28"/>
      <c r="R35" s="28"/>
      <c r="S35" s="28"/>
    </row>
    <row r="36" spans="2:19" ht="23.4" x14ac:dyDescent="0.45">
      <c r="B36" s="28"/>
      <c r="C36" s="28"/>
      <c r="D36" s="28"/>
      <c r="E36" s="28"/>
      <c r="F36" s="28"/>
      <c r="G36" s="28"/>
      <c r="H36" s="28"/>
      <c r="I36" s="71" t="s">
        <v>187</v>
      </c>
      <c r="J36" s="71" t="s">
        <v>188</v>
      </c>
      <c r="K36" s="28"/>
      <c r="L36" s="28"/>
      <c r="M36" s="28"/>
      <c r="N36" s="28"/>
      <c r="O36" s="28"/>
      <c r="P36" s="28"/>
      <c r="Q36" s="28"/>
      <c r="R36" s="28"/>
      <c r="S36" s="28"/>
    </row>
    <row r="37" spans="2:19" ht="23.4" x14ac:dyDescent="0.45">
      <c r="B37" s="45" t="s">
        <v>189</v>
      </c>
      <c r="C37" s="28"/>
      <c r="D37" s="28"/>
      <c r="E37" s="28"/>
      <c r="F37" s="28"/>
      <c r="G37" s="28" t="s">
        <v>186</v>
      </c>
      <c r="H37" s="28"/>
      <c r="I37" s="37">
        <f>C23</f>
        <v>4.098985975199898E-2</v>
      </c>
      <c r="J37" s="37">
        <f>E30</f>
        <v>0.54317039684669033</v>
      </c>
      <c r="K37" s="28"/>
      <c r="L37" s="28"/>
      <c r="M37" s="28"/>
      <c r="N37" s="28"/>
      <c r="O37" s="28"/>
      <c r="P37" s="28"/>
      <c r="Q37" s="28"/>
      <c r="R37" s="28"/>
      <c r="S37" s="28"/>
    </row>
    <row r="38" spans="2:19" ht="23.4" x14ac:dyDescent="0.45">
      <c r="B38" s="45" t="s">
        <v>190</v>
      </c>
      <c r="C38" s="28"/>
      <c r="D38" s="28"/>
      <c r="E38" s="28"/>
      <c r="F38" s="28"/>
      <c r="G38" s="28" t="s">
        <v>164</v>
      </c>
      <c r="H38" s="28"/>
      <c r="I38" s="37">
        <f>I24</f>
        <v>0.14935386038081622</v>
      </c>
      <c r="J38" s="37">
        <f>E31</f>
        <v>0.45682960315330967</v>
      </c>
      <c r="K38" s="28"/>
      <c r="L38" s="28"/>
      <c r="M38" s="28"/>
      <c r="N38" s="28"/>
      <c r="O38" s="28"/>
      <c r="P38" s="28"/>
      <c r="Q38" s="28"/>
      <c r="R38" s="28"/>
      <c r="S38" s="28"/>
    </row>
    <row r="39" spans="2:19" ht="23.4" x14ac:dyDescent="0.45">
      <c r="B39" s="45" t="s">
        <v>191</v>
      </c>
      <c r="C39" s="28"/>
      <c r="D39" s="28"/>
      <c r="E39" s="28"/>
      <c r="F39" s="28"/>
      <c r="G39" s="72" t="s">
        <v>185</v>
      </c>
      <c r="H39" s="72"/>
      <c r="I39" s="72"/>
      <c r="J39" s="73">
        <f>SUMPRODUCT(I37:I38,J37:J38)</f>
        <v>9.0493743155366554E-2</v>
      </c>
      <c r="K39" s="40"/>
      <c r="L39" s="28"/>
      <c r="M39" s="28"/>
      <c r="N39" s="28"/>
      <c r="O39" s="28"/>
      <c r="P39" s="28"/>
      <c r="Q39" s="28"/>
      <c r="R39" s="28"/>
      <c r="S39" s="28"/>
    </row>
    <row r="40" spans="2:19" ht="23.4" x14ac:dyDescent="0.45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</row>
    <row r="41" spans="2:19" ht="23.4" x14ac:dyDescent="0.45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</row>
    <row r="42" spans="2:19" ht="23.4" x14ac:dyDescent="0.45"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</row>
    <row r="43" spans="2:19" ht="23.4" x14ac:dyDescent="0.45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</row>
    <row r="44" spans="2:19" ht="23.4" x14ac:dyDescent="0.45"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</row>
    <row r="45" spans="2:19" ht="23.4" x14ac:dyDescent="0.45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</row>
    <row r="46" spans="2:19" ht="23.4" x14ac:dyDescent="0.45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</row>
    <row r="47" spans="2:19" ht="23.4" x14ac:dyDescent="0.45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</row>
    <row r="48" spans="2:19" ht="23.4" x14ac:dyDescent="0.45"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</row>
    <row r="49" spans="2:19" ht="23.4" x14ac:dyDescent="0.45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</row>
    <row r="50" spans="2:19" ht="23.4" x14ac:dyDescent="0.45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</row>
    <row r="51" spans="2:19" ht="23.4" x14ac:dyDescent="0.45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</row>
    <row r="52" spans="2:19" ht="23.4" x14ac:dyDescent="0.45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</row>
    <row r="53" spans="2:19" ht="23.4" x14ac:dyDescent="0.45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</row>
    <row r="54" spans="2:19" ht="23.4" x14ac:dyDescent="0.45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</row>
    <row r="55" spans="2:19" ht="23.4" x14ac:dyDescent="0.45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</row>
    <row r="56" spans="2:19" ht="23.4" x14ac:dyDescent="0.45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</row>
    <row r="57" spans="2:19" ht="23.4" x14ac:dyDescent="0.45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</row>
    <row r="58" spans="2:19" ht="23.4" x14ac:dyDescent="0.45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</row>
    <row r="59" spans="2:19" ht="23.4" x14ac:dyDescent="0.45"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</row>
    <row r="60" spans="2:19" ht="23.4" x14ac:dyDescent="0.45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</row>
    <row r="61" spans="2:19" ht="23.4" x14ac:dyDescent="0.45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</row>
    <row r="62" spans="2:19" ht="23.4" x14ac:dyDescent="0.45"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</row>
    <row r="63" spans="2:19" ht="23.4" x14ac:dyDescent="0.45"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</row>
    <row r="64" spans="2:19" ht="23.4" x14ac:dyDescent="0.45"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</row>
    <row r="65" spans="2:19" ht="23.4" x14ac:dyDescent="0.45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</row>
    <row r="66" spans="2:19" ht="23.4" x14ac:dyDescent="0.45"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</row>
    <row r="67" spans="2:19" ht="23.4" x14ac:dyDescent="0.45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</row>
    <row r="68" spans="2:19" ht="23.4" x14ac:dyDescent="0.45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</row>
    <row r="69" spans="2:19" ht="23.4" x14ac:dyDescent="0.45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</row>
    <row r="70" spans="2:19" ht="23.4" x14ac:dyDescent="0.45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</row>
    <row r="71" spans="2:19" ht="23.4" x14ac:dyDescent="0.45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</row>
    <row r="72" spans="2:19" ht="23.4" x14ac:dyDescent="0.45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</row>
    <row r="73" spans="2:19" ht="23.4" x14ac:dyDescent="0.45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</row>
    <row r="74" spans="2:19" ht="23.4" x14ac:dyDescent="0.45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</row>
    <row r="75" spans="2:19" ht="23.4" x14ac:dyDescent="0.45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</row>
    <row r="76" spans="2:19" ht="23.4" x14ac:dyDescent="0.45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</row>
    <row r="77" spans="2:19" ht="23.4" x14ac:dyDescent="0.45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</row>
    <row r="78" spans="2:19" ht="23.4" x14ac:dyDescent="0.45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</row>
    <row r="79" spans="2:19" ht="23.4" x14ac:dyDescent="0.45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</row>
    <row r="80" spans="2:19" ht="23.4" x14ac:dyDescent="0.45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</row>
    <row r="81" spans="2:19" ht="23.4" x14ac:dyDescent="0.45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</row>
    <row r="82" spans="2:19" ht="23.4" x14ac:dyDescent="0.45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</row>
    <row r="83" spans="2:19" ht="23.4" x14ac:dyDescent="0.45"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</row>
    <row r="84" spans="2:19" ht="23.4" x14ac:dyDescent="0.45"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</row>
    <row r="85" spans="2:19" ht="23.4" x14ac:dyDescent="0.45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</row>
    <row r="86" spans="2:19" ht="23.4" x14ac:dyDescent="0.45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</row>
    <row r="87" spans="2:19" ht="23.4" x14ac:dyDescent="0.45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</row>
    <row r="88" spans="2:19" ht="23.4" x14ac:dyDescent="0.45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</row>
    <row r="89" spans="2:19" ht="23.4" x14ac:dyDescent="0.45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</row>
    <row r="90" spans="2:19" ht="23.4" x14ac:dyDescent="0.45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</row>
    <row r="91" spans="2:19" ht="23.4" x14ac:dyDescent="0.45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</row>
    <row r="92" spans="2:19" ht="23.4" x14ac:dyDescent="0.45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</row>
    <row r="93" spans="2:19" ht="23.4" x14ac:dyDescent="0.45"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</row>
    <row r="94" spans="2:19" ht="23.4" x14ac:dyDescent="0.45"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</row>
    <row r="95" spans="2:19" ht="23.4" x14ac:dyDescent="0.45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</row>
    <row r="96" spans="2:19" ht="23.4" x14ac:dyDescent="0.45"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</row>
    <row r="97" spans="2:19" ht="23.4" x14ac:dyDescent="0.45"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</row>
    <row r="98" spans="2:19" ht="23.4" x14ac:dyDescent="0.45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</row>
    <row r="99" spans="2:19" ht="23.4" x14ac:dyDescent="0.45"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</row>
    <row r="100" spans="2:19" ht="23.4" x14ac:dyDescent="0.45"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</row>
    <row r="101" spans="2:19" ht="23.4" x14ac:dyDescent="0.45"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</row>
    <row r="102" spans="2:19" ht="23.4" x14ac:dyDescent="0.45"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</row>
    <row r="103" spans="2:19" ht="23.4" x14ac:dyDescent="0.45"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</row>
    <row r="104" spans="2:19" ht="23.4" x14ac:dyDescent="0.45"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</row>
    <row r="105" spans="2:19" ht="23.4" x14ac:dyDescent="0.45"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</row>
    <row r="106" spans="2:19" ht="23.4" x14ac:dyDescent="0.45"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</row>
    <row r="107" spans="2:19" ht="23.4" x14ac:dyDescent="0.45"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</row>
    <row r="108" spans="2:19" ht="23.4" x14ac:dyDescent="0.45"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</row>
    <row r="109" spans="2:19" ht="23.4" x14ac:dyDescent="0.45"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</row>
    <row r="110" spans="2:19" ht="23.4" x14ac:dyDescent="0.45"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</row>
    <row r="111" spans="2:19" ht="23.4" x14ac:dyDescent="0.45"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</row>
    <row r="112" spans="2:19" ht="23.4" x14ac:dyDescent="0.45"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</row>
    <row r="113" spans="2:19" ht="23.4" x14ac:dyDescent="0.45"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</row>
    <row r="114" spans="2:19" ht="23.4" x14ac:dyDescent="0.45"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</row>
    <row r="115" spans="2:19" ht="23.4" x14ac:dyDescent="0.45"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</row>
    <row r="116" spans="2:19" ht="23.4" x14ac:dyDescent="0.45"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</row>
    <row r="117" spans="2:19" ht="23.4" x14ac:dyDescent="0.45"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</row>
    <row r="118" spans="2:19" ht="23.4" x14ac:dyDescent="0.45"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</row>
    <row r="119" spans="2:19" ht="23.4" x14ac:dyDescent="0.45"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</row>
    <row r="120" spans="2:19" ht="23.4" x14ac:dyDescent="0.45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</row>
    <row r="121" spans="2:19" ht="23.4" x14ac:dyDescent="0.45"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</row>
    <row r="122" spans="2:19" ht="23.4" x14ac:dyDescent="0.45"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</row>
    <row r="123" spans="2:19" ht="23.4" x14ac:dyDescent="0.45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</row>
    <row r="124" spans="2:19" ht="23.4" x14ac:dyDescent="0.45"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</row>
    <row r="125" spans="2:19" ht="23.4" x14ac:dyDescent="0.45"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</row>
    <row r="126" spans="2:19" ht="23.4" x14ac:dyDescent="0.45"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</row>
    <row r="127" spans="2:19" ht="23.4" x14ac:dyDescent="0.45"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</row>
    <row r="128" spans="2:19" ht="23.4" x14ac:dyDescent="0.45"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</row>
    <row r="129" spans="2:19" ht="23.4" x14ac:dyDescent="0.45"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</row>
    <row r="130" spans="2:19" ht="23.4" x14ac:dyDescent="0.45"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</row>
    <row r="131" spans="2:19" ht="23.4" x14ac:dyDescent="0.45"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</row>
    <row r="132" spans="2:19" ht="23.4" x14ac:dyDescent="0.45"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</row>
    <row r="133" spans="2:19" ht="23.4" x14ac:dyDescent="0.45"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</row>
    <row r="134" spans="2:19" ht="23.4" x14ac:dyDescent="0.45"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</row>
    <row r="135" spans="2:19" ht="23.4" x14ac:dyDescent="0.45"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</row>
  </sheetData>
  <sortState xmlns:xlrd2="http://schemas.microsoft.com/office/spreadsheetml/2017/richdata2" ref="B27">
    <sortCondition ref="B27"/>
  </sortState>
  <mergeCells count="1">
    <mergeCell ref="B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2C34-3BDB-4433-8E1E-5247AC4055DC}">
  <dimension ref="B2:AK110"/>
  <sheetViews>
    <sheetView showGridLines="0" topLeftCell="A85" zoomScale="63" workbookViewId="0">
      <selection activeCell="H21" sqref="H21"/>
    </sheetView>
  </sheetViews>
  <sheetFormatPr defaultRowHeight="14.4" x14ac:dyDescent="0.3"/>
  <cols>
    <col min="1" max="1" width="2.33203125" customWidth="1"/>
    <col min="2" max="2" width="20" customWidth="1"/>
    <col min="3" max="3" width="13.88671875" bestFit="1" customWidth="1"/>
    <col min="4" max="4" width="12.6640625" customWidth="1"/>
    <col min="6" max="6" width="20" bestFit="1" customWidth="1"/>
    <col min="7" max="7" width="15.77734375" bestFit="1" customWidth="1"/>
    <col min="8" max="8" width="12" customWidth="1"/>
    <col min="9" max="9" width="13.44140625" customWidth="1"/>
    <col min="10" max="10" width="29.21875" bestFit="1" customWidth="1"/>
    <col min="11" max="11" width="13.44140625" customWidth="1"/>
    <col min="12" max="13" width="11.21875" bestFit="1" customWidth="1"/>
    <col min="14" max="14" width="20.44140625" bestFit="1" customWidth="1"/>
    <col min="15" max="15" width="9.6640625" customWidth="1"/>
    <col min="16" max="16" width="13.109375" customWidth="1"/>
    <col min="17" max="17" width="11.88671875" bestFit="1" customWidth="1"/>
    <col min="18" max="18" width="11.21875" bestFit="1" customWidth="1"/>
    <col min="20" max="20" width="13" bestFit="1" customWidth="1"/>
    <col min="21" max="21" width="8.5546875" bestFit="1" customWidth="1"/>
    <col min="22" max="22" width="14.5546875" bestFit="1" customWidth="1"/>
    <col min="24" max="24" width="30.77734375" bestFit="1" customWidth="1"/>
    <col min="25" max="25" width="11.88671875" bestFit="1" customWidth="1"/>
    <col min="28" max="28" width="24.109375" customWidth="1"/>
    <col min="29" max="29" width="13" bestFit="1" customWidth="1"/>
    <col min="30" max="30" width="14" customWidth="1"/>
    <col min="31" max="31" width="8.6640625" customWidth="1"/>
    <col min="32" max="32" width="11.88671875" bestFit="1" customWidth="1"/>
    <col min="37" max="37" width="8.44140625" bestFit="1" customWidth="1"/>
  </cols>
  <sheetData>
    <row r="2" spans="2:37" ht="36.6" x14ac:dyDescent="0.7">
      <c r="B2" s="183" t="str">
        <f>"Beta Calculation-"&amp;'Data Sheet'!B1</f>
        <v>Beta Calculation-AVENUE SUPERMARTS LTD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</row>
    <row r="3" spans="2:37" ht="23.4" x14ac:dyDescent="0.4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D3" s="28"/>
      <c r="AE3" s="28"/>
      <c r="AF3" s="28"/>
      <c r="AG3" s="28"/>
      <c r="AH3" s="28"/>
    </row>
    <row r="4" spans="2:37" ht="23.4" x14ac:dyDescent="0.45">
      <c r="B4" s="182" t="s">
        <v>332</v>
      </c>
      <c r="C4" s="182"/>
      <c r="D4" s="182"/>
      <c r="E4" s="28"/>
      <c r="F4" s="182" t="s">
        <v>194</v>
      </c>
      <c r="G4" s="182"/>
      <c r="H4" s="182"/>
      <c r="I4" s="29"/>
      <c r="J4" s="29"/>
      <c r="K4" s="29"/>
      <c r="L4" s="28"/>
      <c r="M4" s="28"/>
      <c r="N4" s="28"/>
      <c r="O4" s="28"/>
      <c r="P4" s="28"/>
      <c r="Q4" s="28"/>
      <c r="R4" s="28"/>
      <c r="S4" s="28"/>
      <c r="T4" s="28"/>
      <c r="U4" s="182" t="s">
        <v>235</v>
      </c>
      <c r="V4" s="182"/>
      <c r="W4" s="28"/>
      <c r="X4" s="28"/>
      <c r="Y4" s="28"/>
      <c r="Z4" s="28"/>
      <c r="AA4" s="28"/>
      <c r="AB4" s="182" t="s">
        <v>334</v>
      </c>
      <c r="AC4" s="182"/>
      <c r="AD4" s="182"/>
    </row>
    <row r="5" spans="2:37" ht="23.4" x14ac:dyDescent="0.45">
      <c r="B5" s="28"/>
      <c r="C5" s="30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W5" s="28"/>
      <c r="X5" s="28"/>
      <c r="Y5" s="28"/>
      <c r="Z5" s="28"/>
      <c r="AA5" s="28"/>
    </row>
    <row r="6" spans="2:37" ht="46.8" x14ac:dyDescent="0.45">
      <c r="B6" s="31" t="s">
        <v>192</v>
      </c>
      <c r="C6" s="31" t="s">
        <v>333</v>
      </c>
      <c r="D6" s="141" t="s">
        <v>193</v>
      </c>
      <c r="E6" s="28"/>
      <c r="F6" s="31" t="s">
        <v>192</v>
      </c>
      <c r="G6" s="31" t="s">
        <v>333</v>
      </c>
      <c r="H6" s="141" t="s">
        <v>193</v>
      </c>
      <c r="I6" s="32"/>
      <c r="J6" s="33" t="s">
        <v>222</v>
      </c>
      <c r="K6" s="33"/>
      <c r="L6" s="28"/>
      <c r="M6" s="28"/>
      <c r="N6" s="28"/>
      <c r="O6" s="28"/>
      <c r="P6" s="28"/>
      <c r="Q6" s="28"/>
      <c r="R6" s="28"/>
      <c r="S6" s="28"/>
      <c r="U6" s="31" t="s">
        <v>155</v>
      </c>
      <c r="V6" s="31" t="s">
        <v>231</v>
      </c>
      <c r="W6" s="28"/>
      <c r="X6" s="28"/>
      <c r="Y6" s="28"/>
      <c r="Z6" s="28"/>
      <c r="AA6" s="28"/>
      <c r="AB6" s="31" t="s">
        <v>192</v>
      </c>
      <c r="AC6" s="31" t="s">
        <v>333</v>
      </c>
      <c r="AD6" s="141" t="s">
        <v>193</v>
      </c>
      <c r="AF6" s="33" t="s">
        <v>222</v>
      </c>
      <c r="AG6" s="33"/>
    </row>
    <row r="7" spans="2:37" ht="23.4" x14ac:dyDescent="0.45">
      <c r="B7" s="140">
        <v>46222</v>
      </c>
      <c r="C7" s="139">
        <v>4018.8</v>
      </c>
      <c r="D7" s="35"/>
      <c r="E7" s="28"/>
      <c r="F7" s="140">
        <v>46222</v>
      </c>
      <c r="G7" s="139">
        <v>23869.599999999999</v>
      </c>
      <c r="H7" s="35"/>
      <c r="I7" s="28"/>
      <c r="J7" s="28"/>
      <c r="K7" s="34"/>
      <c r="L7" s="28"/>
      <c r="M7" s="28" t="s">
        <v>195</v>
      </c>
      <c r="N7" s="34">
        <f>SLOPE(D8:D110,H8:H110)</f>
        <v>0.70010610898145698</v>
      </c>
      <c r="O7" s="28"/>
      <c r="P7" s="28"/>
      <c r="Q7" s="28"/>
      <c r="R7" s="28"/>
      <c r="S7" s="28"/>
      <c r="U7" s="35">
        <v>2000</v>
      </c>
      <c r="V7" s="36">
        <v>-0.14649999999999999</v>
      </c>
      <c r="W7" s="28"/>
      <c r="X7" s="28" t="s">
        <v>232</v>
      </c>
      <c r="Y7" s="37">
        <f>AVERAGE(V7:V32)</f>
        <v>0.1514923076923077</v>
      </c>
      <c r="Z7" s="28"/>
      <c r="AA7" s="28"/>
      <c r="AB7" s="140">
        <v>46222</v>
      </c>
      <c r="AC7" s="139">
        <v>108.04</v>
      </c>
      <c r="AD7" s="35"/>
      <c r="AF7" s="28"/>
      <c r="AG7" s="34"/>
      <c r="AJ7" s="28" t="s">
        <v>228</v>
      </c>
      <c r="AK7" s="34">
        <f>SLOPE(AD8:AD89,H8:H89)</f>
        <v>1.1280228813174067</v>
      </c>
    </row>
    <row r="8" spans="2:37" ht="26.4" x14ac:dyDescent="0.45">
      <c r="B8" s="140">
        <v>46215</v>
      </c>
      <c r="C8" s="139">
        <v>3951.9</v>
      </c>
      <c r="D8" s="36">
        <f>C8/C7-1</f>
        <v>-1.6646760226933455E-2</v>
      </c>
      <c r="E8" s="28"/>
      <c r="F8" s="140">
        <v>46215</v>
      </c>
      <c r="G8" s="139">
        <v>24334.3</v>
      </c>
      <c r="H8" s="36">
        <f>G8/G7-1</f>
        <v>1.9468277641854215E-2</v>
      </c>
      <c r="I8" s="38"/>
      <c r="J8" s="38" t="s">
        <v>223</v>
      </c>
      <c r="K8" s="39">
        <f>N10</f>
        <v>0.70010610898145753</v>
      </c>
      <c r="L8" s="28"/>
      <c r="M8" s="28" t="s">
        <v>196</v>
      </c>
      <c r="N8" s="34">
        <f>_xlfn.COVARIANCE.S(D8:D110,H8:H110)/_xlfn.VAR.S(H8:H110)</f>
        <v>0.70010610898145698</v>
      </c>
      <c r="O8" s="28"/>
      <c r="P8" s="28"/>
      <c r="Q8" s="28"/>
      <c r="R8" s="28"/>
      <c r="S8" s="28"/>
      <c r="U8" s="35">
        <v>2001</v>
      </c>
      <c r="V8" s="36">
        <v>-0.1618</v>
      </c>
      <c r="W8" s="28"/>
      <c r="X8" s="28" t="s">
        <v>233</v>
      </c>
      <c r="Y8" s="28" t="s">
        <v>237</v>
      </c>
      <c r="Z8" s="28"/>
      <c r="AA8" s="28"/>
      <c r="AB8" s="140">
        <v>46215</v>
      </c>
      <c r="AC8" s="139">
        <v>110.33</v>
      </c>
      <c r="AD8" s="36">
        <f>AC8/AC7-1</f>
        <v>2.1195853387634189E-2</v>
      </c>
      <c r="AF8" s="38" t="s">
        <v>223</v>
      </c>
      <c r="AG8" s="39">
        <f>AK7</f>
        <v>1.1280228813174067</v>
      </c>
    </row>
    <row r="9" spans="2:37" ht="23.4" x14ac:dyDescent="0.45">
      <c r="B9" s="140">
        <v>46208</v>
      </c>
      <c r="C9" s="139">
        <v>4081.1</v>
      </c>
      <c r="D9" s="36">
        <f t="shared" ref="D9:D72" si="0">C9/C8-1</f>
        <v>3.2693134947746616E-2</v>
      </c>
      <c r="E9" s="28"/>
      <c r="F9" s="140">
        <v>46208</v>
      </c>
      <c r="G9" s="139">
        <v>24206.9</v>
      </c>
      <c r="H9" s="36">
        <f t="shared" ref="H9:H72" si="1">G9/G8-1</f>
        <v>-5.2354084563762671E-3</v>
      </c>
      <c r="I9" s="38"/>
      <c r="J9" s="38" t="s">
        <v>224</v>
      </c>
      <c r="K9" s="39">
        <v>0.75</v>
      </c>
      <c r="L9" s="28"/>
      <c r="M9" s="28"/>
      <c r="N9" s="28"/>
      <c r="O9" s="28"/>
      <c r="P9" s="28"/>
      <c r="Q9" s="28"/>
      <c r="R9" s="28"/>
      <c r="S9" s="28"/>
      <c r="U9" s="35">
        <v>2002</v>
      </c>
      <c r="V9" s="36">
        <v>3.2500000000000001E-2</v>
      </c>
      <c r="W9" s="28"/>
      <c r="X9" s="40" t="s">
        <v>234</v>
      </c>
      <c r="Y9" s="41">
        <f>SUM(Y7:Y8)</f>
        <v>0.1514923076923077</v>
      </c>
      <c r="Z9" s="28"/>
      <c r="AA9" s="28"/>
      <c r="AB9" s="140">
        <v>46208</v>
      </c>
      <c r="AC9" s="139">
        <v>118.79</v>
      </c>
      <c r="AD9" s="36">
        <f t="shared" ref="AD9:AD72" si="2">AC9/AC8-1</f>
        <v>7.6679053747847448E-2</v>
      </c>
      <c r="AF9" s="38" t="s">
        <v>224</v>
      </c>
      <c r="AG9" s="39">
        <v>0.75</v>
      </c>
    </row>
    <row r="10" spans="2:37" ht="23.4" x14ac:dyDescent="0.45">
      <c r="B10" s="140">
        <v>46201</v>
      </c>
      <c r="C10" s="139">
        <v>3994.4</v>
      </c>
      <c r="D10" s="36">
        <f t="shared" si="0"/>
        <v>-2.1244272377545226E-2</v>
      </c>
      <c r="E10" s="28"/>
      <c r="F10" s="140">
        <v>46201</v>
      </c>
      <c r="G10" s="139">
        <v>24270.85</v>
      </c>
      <c r="H10" s="36">
        <f t="shared" si="1"/>
        <v>2.6418087404829205E-3</v>
      </c>
      <c r="I10" s="38"/>
      <c r="J10" s="38" t="s">
        <v>225</v>
      </c>
      <c r="K10" s="39">
        <v>1</v>
      </c>
      <c r="L10" s="28"/>
      <c r="M10" s="28" t="s">
        <v>197</v>
      </c>
      <c r="N10" s="34">
        <f>K36</f>
        <v>0.70010610898145753</v>
      </c>
      <c r="O10" s="28"/>
      <c r="P10" s="28"/>
      <c r="Q10" s="28"/>
      <c r="R10" s="28"/>
      <c r="S10" s="28"/>
      <c r="U10" s="35">
        <v>2003</v>
      </c>
      <c r="V10" s="36">
        <v>0.71900000000000008</v>
      </c>
      <c r="W10" s="28"/>
      <c r="X10" s="28"/>
      <c r="Y10" s="28"/>
      <c r="Z10" s="28"/>
      <c r="AA10" s="28"/>
      <c r="AB10" s="140">
        <v>46201</v>
      </c>
      <c r="AC10" s="139">
        <v>120.57</v>
      </c>
      <c r="AD10" s="36">
        <f t="shared" si="2"/>
        <v>1.4984426298509934E-2</v>
      </c>
      <c r="AF10" s="38" t="s">
        <v>225</v>
      </c>
      <c r="AG10" s="39">
        <v>1</v>
      </c>
    </row>
    <row r="11" spans="2:37" ht="23.4" x14ac:dyDescent="0.45">
      <c r="B11" s="140">
        <v>46194</v>
      </c>
      <c r="C11" s="139">
        <v>4294.6000000000004</v>
      </c>
      <c r="D11" s="36">
        <f t="shared" si="0"/>
        <v>7.515521730422603E-2</v>
      </c>
      <c r="E11" s="28"/>
      <c r="F11" s="140">
        <v>46194</v>
      </c>
      <c r="G11" s="139">
        <v>24056</v>
      </c>
      <c r="H11" s="36">
        <f t="shared" si="1"/>
        <v>-8.8521827624495897E-3</v>
      </c>
      <c r="I11" s="38"/>
      <c r="J11" s="38" t="s">
        <v>226</v>
      </c>
      <c r="K11" s="39">
        <f>1-K9</f>
        <v>0.25</v>
      </c>
      <c r="L11" s="28"/>
      <c r="M11" s="28"/>
      <c r="N11" s="28"/>
      <c r="O11" s="28"/>
      <c r="P11" s="28"/>
      <c r="Q11" s="28"/>
      <c r="R11" s="28"/>
      <c r="S11" s="28"/>
      <c r="U11" s="35">
        <v>2004</v>
      </c>
      <c r="V11" s="36">
        <v>0.10679999999999999</v>
      </c>
      <c r="W11" s="28"/>
      <c r="X11" s="28"/>
      <c r="Y11" s="28"/>
      <c r="Z11" s="28"/>
      <c r="AA11" s="28"/>
      <c r="AB11" s="140">
        <v>46194</v>
      </c>
      <c r="AC11" s="139">
        <v>116.39</v>
      </c>
      <c r="AD11" s="36">
        <f t="shared" si="2"/>
        <v>-3.4668657211578302E-2</v>
      </c>
      <c r="AF11" s="38" t="s">
        <v>226</v>
      </c>
      <c r="AG11" s="39">
        <f>1-AG9</f>
        <v>0.25</v>
      </c>
    </row>
    <row r="12" spans="2:37" ht="23.4" x14ac:dyDescent="0.45">
      <c r="B12" s="140">
        <v>46187</v>
      </c>
      <c r="C12" s="139">
        <v>4286.8999999999996</v>
      </c>
      <c r="D12" s="36">
        <f t="shared" si="0"/>
        <v>-1.7929492851489481E-3</v>
      </c>
      <c r="E12" s="28"/>
      <c r="F12" s="140">
        <v>46187</v>
      </c>
      <c r="G12" s="139">
        <v>24013.1</v>
      </c>
      <c r="H12" s="36">
        <f t="shared" si="1"/>
        <v>-1.7833388759561641E-3</v>
      </c>
      <c r="I12" s="38"/>
      <c r="J12" s="28"/>
      <c r="K12" s="38"/>
      <c r="L12" s="28"/>
      <c r="M12" s="28"/>
      <c r="N12" s="28"/>
      <c r="O12" s="28"/>
      <c r="P12" s="28"/>
      <c r="Q12" s="28"/>
      <c r="R12" s="28"/>
      <c r="S12" s="28"/>
      <c r="U12" s="35">
        <v>2005</v>
      </c>
      <c r="V12" s="36">
        <v>0.36340000000000006</v>
      </c>
      <c r="W12" s="28"/>
      <c r="X12" s="28"/>
      <c r="Y12" s="28"/>
      <c r="Z12" s="28"/>
      <c r="AA12" s="28"/>
      <c r="AB12" s="140">
        <v>46187</v>
      </c>
      <c r="AC12" s="139">
        <v>118.66</v>
      </c>
      <c r="AD12" s="36">
        <f t="shared" si="2"/>
        <v>1.9503393762350774E-2</v>
      </c>
      <c r="AF12" s="28"/>
      <c r="AG12" s="38"/>
    </row>
    <row r="13" spans="2:37" ht="23.4" x14ac:dyDescent="0.45">
      <c r="B13" s="140">
        <v>46180</v>
      </c>
      <c r="C13" s="139">
        <v>3993.6</v>
      </c>
      <c r="D13" s="36">
        <f t="shared" si="0"/>
        <v>-6.8417737759219888E-2</v>
      </c>
      <c r="E13" s="28"/>
      <c r="F13" s="140">
        <v>46180</v>
      </c>
      <c r="G13" s="139">
        <v>23622.9</v>
      </c>
      <c r="H13" s="36">
        <f t="shared" si="1"/>
        <v>-1.6249463834323685E-2</v>
      </c>
      <c r="I13" s="38"/>
      <c r="J13" s="42" t="s">
        <v>227</v>
      </c>
      <c r="K13" s="43">
        <f>(K8*K9)+(K10*K11)</f>
        <v>0.77507958173609315</v>
      </c>
      <c r="L13" s="28"/>
      <c r="M13" s="28"/>
      <c r="N13" s="28"/>
      <c r="O13" s="28"/>
      <c r="P13" s="28"/>
      <c r="Q13" s="28"/>
      <c r="R13" s="28"/>
      <c r="S13" s="28"/>
      <c r="U13" s="35">
        <v>2006</v>
      </c>
      <c r="V13" s="36">
        <v>0.39829999999999999</v>
      </c>
      <c r="W13" s="28"/>
      <c r="X13" s="28"/>
      <c r="Y13" s="28"/>
      <c r="Z13" s="28"/>
      <c r="AA13" s="28"/>
      <c r="AB13" s="140">
        <v>46180</v>
      </c>
      <c r="AC13" s="139">
        <v>119.77</v>
      </c>
      <c r="AD13" s="36">
        <f t="shared" si="2"/>
        <v>9.3544581156244089E-3</v>
      </c>
      <c r="AF13" s="42" t="s">
        <v>227</v>
      </c>
      <c r="AG13" s="43">
        <f>(AG8*AG9)+(AG10*AG11)</f>
        <v>1.0960171609880551</v>
      </c>
    </row>
    <row r="14" spans="2:37" ht="23.4" x14ac:dyDescent="0.45">
      <c r="B14" s="140">
        <v>46173</v>
      </c>
      <c r="C14" s="139">
        <v>4144.2</v>
      </c>
      <c r="D14" s="36">
        <f t="shared" si="0"/>
        <v>3.7710336538461453E-2</v>
      </c>
      <c r="E14" s="28"/>
      <c r="F14" s="140">
        <v>46173</v>
      </c>
      <c r="G14" s="139">
        <v>23366.7</v>
      </c>
      <c r="H14" s="36">
        <f t="shared" si="1"/>
        <v>-1.0845408480753882E-2</v>
      </c>
      <c r="I14" s="38"/>
      <c r="J14" s="38"/>
      <c r="K14" s="38"/>
      <c r="L14" s="28"/>
      <c r="M14" s="28"/>
      <c r="N14" s="28"/>
      <c r="O14" s="28"/>
      <c r="P14" s="28"/>
      <c r="Q14" s="28"/>
      <c r="R14" s="28"/>
      <c r="S14" s="28"/>
      <c r="U14" s="35">
        <v>2007</v>
      </c>
      <c r="V14" s="36">
        <v>0.54770000000000008</v>
      </c>
      <c r="W14" s="28"/>
      <c r="X14" s="28"/>
      <c r="Y14" s="28"/>
      <c r="Z14" s="28"/>
      <c r="AA14" s="28"/>
      <c r="AB14" s="140">
        <v>46173</v>
      </c>
      <c r="AC14" s="139">
        <v>118.73</v>
      </c>
      <c r="AD14" s="36">
        <f t="shared" si="2"/>
        <v>-8.6833096768805795E-3</v>
      </c>
      <c r="AF14" s="38"/>
      <c r="AG14" s="38"/>
    </row>
    <row r="15" spans="2:37" ht="23.4" x14ac:dyDescent="0.45">
      <c r="B15" s="140">
        <v>46166</v>
      </c>
      <c r="C15" s="139">
        <v>4054.5</v>
      </c>
      <c r="D15" s="36">
        <f t="shared" si="0"/>
        <v>-2.164470826697551E-2</v>
      </c>
      <c r="E15" s="28"/>
      <c r="F15" s="140">
        <v>46166</v>
      </c>
      <c r="G15" s="139">
        <v>23547.75</v>
      </c>
      <c r="H15" s="36">
        <f t="shared" si="1"/>
        <v>7.7482057800202231E-3</v>
      </c>
      <c r="I15" s="38"/>
      <c r="J15" s="38"/>
      <c r="K15" s="38"/>
      <c r="L15" s="28"/>
      <c r="M15" s="28"/>
      <c r="N15" s="28"/>
      <c r="O15" s="28"/>
      <c r="Q15" s="28"/>
      <c r="R15" s="28"/>
      <c r="S15" s="28"/>
      <c r="U15" s="35">
        <v>2008</v>
      </c>
      <c r="V15" s="36">
        <v>-0.51790000000000003</v>
      </c>
      <c r="W15" s="28"/>
      <c r="X15" s="28"/>
      <c r="Y15" s="28"/>
      <c r="Z15" s="28"/>
      <c r="AA15" s="28"/>
      <c r="AB15" s="140">
        <v>46166</v>
      </c>
      <c r="AC15" s="139">
        <v>121.77</v>
      </c>
      <c r="AD15" s="36">
        <f t="shared" si="2"/>
        <v>2.5604312305230303E-2</v>
      </c>
    </row>
    <row r="16" spans="2:37" ht="23.4" x14ac:dyDescent="0.45">
      <c r="B16" s="140">
        <v>46159</v>
      </c>
      <c r="C16" s="139">
        <v>4117</v>
      </c>
      <c r="D16" s="36">
        <f t="shared" si="0"/>
        <v>1.5414971019854562E-2</v>
      </c>
      <c r="E16" s="28"/>
      <c r="F16" s="140">
        <v>46159</v>
      </c>
      <c r="G16" s="139">
        <v>23719.3</v>
      </c>
      <c r="H16" s="36">
        <f t="shared" si="1"/>
        <v>7.2851970995104764E-3</v>
      </c>
      <c r="I16" s="38"/>
      <c r="J16" s="38"/>
      <c r="K16" s="38"/>
      <c r="L16" s="28"/>
      <c r="M16" s="28"/>
      <c r="N16" s="28"/>
      <c r="O16" s="28"/>
      <c r="Q16" s="28"/>
      <c r="R16" s="28"/>
      <c r="S16" s="28"/>
      <c r="U16" s="35">
        <v>2009</v>
      </c>
      <c r="V16" s="36">
        <v>0.75760000000000005</v>
      </c>
      <c r="W16" s="28"/>
      <c r="X16" s="28"/>
      <c r="Y16" s="28"/>
      <c r="Z16" s="28"/>
      <c r="AA16" s="28"/>
      <c r="AB16" s="140">
        <v>46159</v>
      </c>
      <c r="AC16" s="139">
        <v>121.66</v>
      </c>
      <c r="AD16" s="36">
        <f t="shared" si="2"/>
        <v>-9.0334236675704283E-4</v>
      </c>
    </row>
    <row r="17" spans="2:30" ht="23.4" x14ac:dyDescent="0.45">
      <c r="B17" s="140">
        <v>46152</v>
      </c>
      <c r="C17" s="139">
        <v>4358.7</v>
      </c>
      <c r="D17" s="36">
        <f t="shared" si="0"/>
        <v>5.8707796939519108E-2</v>
      </c>
      <c r="E17" s="28"/>
      <c r="F17" s="140">
        <v>46152</v>
      </c>
      <c r="G17" s="139">
        <v>23643.5</v>
      </c>
      <c r="H17" s="36">
        <f t="shared" si="1"/>
        <v>-3.1957098228024838E-3</v>
      </c>
      <c r="I17" s="38"/>
      <c r="J17" s="38"/>
      <c r="K17" s="38"/>
      <c r="L17" s="28"/>
      <c r="M17" s="28"/>
      <c r="N17" s="28"/>
      <c r="O17" s="28"/>
      <c r="Q17" s="28"/>
      <c r="R17" s="28"/>
      <c r="S17" s="28"/>
      <c r="U17" s="35">
        <v>2010</v>
      </c>
      <c r="V17" s="36">
        <v>0.17949999999999999</v>
      </c>
      <c r="W17" s="28"/>
      <c r="X17" s="28"/>
      <c r="Y17" s="28"/>
      <c r="Z17" s="28"/>
      <c r="AA17" s="28"/>
      <c r="AB17" s="140">
        <v>46152</v>
      </c>
      <c r="AC17" s="139">
        <v>118.99</v>
      </c>
      <c r="AD17" s="36">
        <f t="shared" si="2"/>
        <v>-2.1946408022357367E-2</v>
      </c>
    </row>
    <row r="18" spans="2:30" ht="23.4" x14ac:dyDescent="0.45">
      <c r="B18" s="140">
        <v>46145</v>
      </c>
      <c r="C18" s="139">
        <v>4402.1000000000004</v>
      </c>
      <c r="D18" s="36">
        <f t="shared" si="0"/>
        <v>9.9570972996536611E-3</v>
      </c>
      <c r="E18" s="28"/>
      <c r="F18" s="140">
        <v>46145</v>
      </c>
      <c r="G18" s="139">
        <v>24176.15</v>
      </c>
      <c r="H18" s="36">
        <f t="shared" si="1"/>
        <v>2.2528390466724613E-2</v>
      </c>
      <c r="I18" s="38"/>
      <c r="J18" s="38"/>
      <c r="K18" s="38"/>
      <c r="L18" s="28"/>
      <c r="M18" s="28"/>
      <c r="N18" s="28"/>
      <c r="O18" s="28"/>
      <c r="Q18" s="28"/>
      <c r="R18" s="28"/>
      <c r="S18" s="28"/>
      <c r="U18" s="35">
        <v>2011</v>
      </c>
      <c r="V18" s="36">
        <v>-0.2462</v>
      </c>
      <c r="W18" s="28"/>
      <c r="X18" s="28"/>
      <c r="Y18" s="28"/>
      <c r="Z18" s="28"/>
      <c r="AA18" s="28"/>
      <c r="AB18" s="140">
        <v>46145</v>
      </c>
      <c r="AC18" s="139">
        <v>123.93</v>
      </c>
      <c r="AD18" s="36">
        <f t="shared" si="2"/>
        <v>4.1516093789394137E-2</v>
      </c>
    </row>
    <row r="19" spans="2:30" ht="23.4" x14ac:dyDescent="0.45">
      <c r="B19" s="140">
        <v>46138</v>
      </c>
      <c r="C19" s="139">
        <v>4585.8999999999996</v>
      </c>
      <c r="D19" s="36">
        <f t="shared" si="0"/>
        <v>4.1752799800095275E-2</v>
      </c>
      <c r="E19" s="28"/>
      <c r="F19" s="140">
        <v>46138</v>
      </c>
      <c r="G19" s="139">
        <v>23997.55</v>
      </c>
      <c r="H19" s="36">
        <f t="shared" si="1"/>
        <v>-7.3874458919225283E-3</v>
      </c>
      <c r="I19" s="38"/>
      <c r="J19" t="s">
        <v>198</v>
      </c>
      <c r="S19" s="28"/>
      <c r="U19" s="35">
        <v>2012</v>
      </c>
      <c r="V19" s="36">
        <v>0.27699999999999997</v>
      </c>
      <c r="W19" s="28"/>
      <c r="X19" s="28"/>
      <c r="Y19" s="28"/>
      <c r="Z19" s="28"/>
      <c r="AA19" s="28"/>
      <c r="AB19" s="140">
        <v>46138</v>
      </c>
      <c r="AC19" s="139">
        <v>122.29</v>
      </c>
      <c r="AD19" s="36">
        <f t="shared" si="2"/>
        <v>-1.3233276849834552E-2</v>
      </c>
    </row>
    <row r="20" spans="2:30" ht="24" thickBot="1" x14ac:dyDescent="0.5">
      <c r="B20" s="140">
        <v>46131</v>
      </c>
      <c r="C20" s="139">
        <v>4443.5</v>
      </c>
      <c r="D20" s="36">
        <f t="shared" si="0"/>
        <v>-3.1051701955995492E-2</v>
      </c>
      <c r="E20" s="28"/>
      <c r="F20" s="140">
        <v>46131</v>
      </c>
      <c r="G20" s="139">
        <v>23897.95</v>
      </c>
      <c r="H20" s="36">
        <f t="shared" si="1"/>
        <v>-4.1504236890849144E-3</v>
      </c>
      <c r="I20" s="38"/>
      <c r="S20" s="28"/>
      <c r="U20" s="35">
        <v>2013</v>
      </c>
      <c r="V20" s="36">
        <v>6.7599999999999993E-2</v>
      </c>
      <c r="W20" s="28"/>
      <c r="X20" s="28"/>
      <c r="Y20" s="28"/>
      <c r="Z20" s="28"/>
      <c r="AA20" s="28"/>
      <c r="AB20" s="140">
        <v>46131</v>
      </c>
      <c r="AC20" s="139">
        <v>123.34</v>
      </c>
      <c r="AD20" s="36">
        <f t="shared" si="2"/>
        <v>8.5861476817401527E-3</v>
      </c>
    </row>
    <row r="21" spans="2:30" ht="23.4" x14ac:dyDescent="0.45">
      <c r="B21" s="140">
        <v>46124</v>
      </c>
      <c r="C21" s="139">
        <v>4628.5</v>
      </c>
      <c r="D21" s="36">
        <f t="shared" si="0"/>
        <v>4.1633847192528384E-2</v>
      </c>
      <c r="E21" s="28"/>
      <c r="F21" s="140">
        <v>46124</v>
      </c>
      <c r="G21" s="139">
        <v>24353.55</v>
      </c>
      <c r="H21" s="36">
        <f t="shared" si="1"/>
        <v>1.9064396736958589E-2</v>
      </c>
      <c r="I21" s="38"/>
      <c r="J21" s="144" t="s">
        <v>199</v>
      </c>
      <c r="K21" s="144"/>
      <c r="S21" s="28"/>
      <c r="U21" s="35">
        <v>2014</v>
      </c>
      <c r="V21" s="36">
        <v>0.31390000000000001</v>
      </c>
      <c r="W21" s="28"/>
      <c r="X21" s="28"/>
      <c r="Y21" s="28"/>
      <c r="Z21" s="28"/>
      <c r="AA21" s="28"/>
      <c r="AB21" s="140">
        <v>46124</v>
      </c>
      <c r="AC21" s="139">
        <v>118.95</v>
      </c>
      <c r="AD21" s="36">
        <f t="shared" si="2"/>
        <v>-3.5592670666450443E-2</v>
      </c>
    </row>
    <row r="22" spans="2:30" ht="23.4" x14ac:dyDescent="0.45">
      <c r="B22" s="140">
        <v>46117</v>
      </c>
      <c r="C22" s="139">
        <v>4400.6000000000004</v>
      </c>
      <c r="D22" s="36">
        <f t="shared" si="0"/>
        <v>-4.9238414173058187E-2</v>
      </c>
      <c r="E22" s="28"/>
      <c r="F22" s="140">
        <v>46117</v>
      </c>
      <c r="G22" s="139">
        <v>24050.6</v>
      </c>
      <c r="H22" s="36">
        <f t="shared" si="1"/>
        <v>-1.2439664853789334E-2</v>
      </c>
      <c r="I22" s="38"/>
      <c r="J22" t="s">
        <v>200</v>
      </c>
      <c r="K22" s="132">
        <v>0.31165003222893245</v>
      </c>
      <c r="S22" s="28"/>
      <c r="U22" s="35">
        <v>2015</v>
      </c>
      <c r="V22" s="36">
        <v>-4.0599999999999997E-2</v>
      </c>
      <c r="W22" s="28"/>
      <c r="X22" s="28"/>
      <c r="Y22" s="28"/>
      <c r="Z22" s="28"/>
      <c r="AA22" s="28"/>
      <c r="AB22" s="140">
        <v>46117</v>
      </c>
      <c r="AC22" s="139">
        <v>114.5</v>
      </c>
      <c r="AD22" s="36">
        <f t="shared" si="2"/>
        <v>-3.7410676754939032E-2</v>
      </c>
    </row>
    <row r="23" spans="2:30" ht="23.4" x14ac:dyDescent="0.45">
      <c r="B23" s="140">
        <v>46110</v>
      </c>
      <c r="C23" s="139">
        <v>4362.3999999999996</v>
      </c>
      <c r="D23" s="36">
        <f t="shared" si="0"/>
        <v>-8.6806344589376305E-3</v>
      </c>
      <c r="E23" s="28"/>
      <c r="F23" s="140">
        <v>46110</v>
      </c>
      <c r="G23" s="139">
        <v>22713.1</v>
      </c>
      <c r="H23" s="36">
        <f t="shared" si="1"/>
        <v>-5.5611918205782818E-2</v>
      </c>
      <c r="I23" s="38"/>
      <c r="J23" t="s">
        <v>201</v>
      </c>
      <c r="K23" s="132">
        <v>9.712574258829465E-2</v>
      </c>
      <c r="S23" s="28"/>
      <c r="U23" s="35">
        <v>2016</v>
      </c>
      <c r="V23" s="36">
        <v>3.0099999999999998E-2</v>
      </c>
      <c r="W23" s="28"/>
      <c r="X23" s="28"/>
      <c r="Y23" s="28"/>
      <c r="Z23" s="28"/>
      <c r="AA23" s="28"/>
      <c r="AB23" s="140">
        <v>46110</v>
      </c>
      <c r="AC23" s="139">
        <v>107.88</v>
      </c>
      <c r="AD23" s="36">
        <f t="shared" si="2"/>
        <v>-5.7816593886462875E-2</v>
      </c>
    </row>
    <row r="24" spans="2:30" ht="23.4" x14ac:dyDescent="0.45">
      <c r="B24" s="140">
        <v>46103</v>
      </c>
      <c r="C24" s="139">
        <v>3903.2</v>
      </c>
      <c r="D24" s="36">
        <f t="shared" si="0"/>
        <v>-0.10526315789473684</v>
      </c>
      <c r="E24" s="28"/>
      <c r="F24" s="140">
        <v>46103</v>
      </c>
      <c r="G24" s="139">
        <v>22819.599999999999</v>
      </c>
      <c r="H24" s="36">
        <f t="shared" si="1"/>
        <v>4.6889240130145726E-3</v>
      </c>
      <c r="I24" s="38"/>
      <c r="J24" t="s">
        <v>202</v>
      </c>
      <c r="K24" s="132">
        <v>8.8186393505010438E-2</v>
      </c>
      <c r="S24" s="28"/>
      <c r="U24" s="35">
        <v>2017</v>
      </c>
      <c r="V24" s="36">
        <v>0.28649999999999998</v>
      </c>
      <c r="W24" s="28"/>
      <c r="X24" s="28"/>
      <c r="Y24" s="28"/>
      <c r="Z24" s="28"/>
      <c r="AA24" s="28"/>
      <c r="AB24" s="140">
        <v>46103</v>
      </c>
      <c r="AC24" s="139">
        <v>106.37</v>
      </c>
      <c r="AD24" s="36">
        <f t="shared" si="2"/>
        <v>-1.3997033741193876E-2</v>
      </c>
    </row>
    <row r="25" spans="2:30" ht="23.4" x14ac:dyDescent="0.45">
      <c r="B25" s="140">
        <v>46096</v>
      </c>
      <c r="C25" s="139">
        <v>3770.8</v>
      </c>
      <c r="D25" s="36">
        <f t="shared" si="0"/>
        <v>-3.3920885427341618E-2</v>
      </c>
      <c r="E25" s="28"/>
      <c r="F25" s="140">
        <v>46096</v>
      </c>
      <c r="G25" s="139">
        <v>23114.5</v>
      </c>
      <c r="H25" s="36">
        <f t="shared" si="1"/>
        <v>1.2923101193710762E-2</v>
      </c>
      <c r="I25" s="38"/>
      <c r="J25" t="s">
        <v>203</v>
      </c>
      <c r="K25" s="132">
        <v>3.92892503627136E-2</v>
      </c>
      <c r="S25" s="28"/>
      <c r="U25" s="35">
        <v>2018</v>
      </c>
      <c r="V25" s="36">
        <v>3.15E-2</v>
      </c>
      <c r="W25" s="28"/>
      <c r="X25" s="28"/>
      <c r="Y25" s="28"/>
      <c r="Z25" s="28"/>
      <c r="AA25" s="28"/>
      <c r="AB25" s="140">
        <v>46096</v>
      </c>
      <c r="AC25" s="139">
        <v>102.3</v>
      </c>
      <c r="AD25" s="36">
        <f t="shared" si="2"/>
        <v>-3.8262668045501602E-2</v>
      </c>
    </row>
    <row r="26" spans="2:30" ht="24" thickBot="1" x14ac:dyDescent="0.5">
      <c r="B26" s="140">
        <v>46089</v>
      </c>
      <c r="C26" s="139">
        <v>3834.3</v>
      </c>
      <c r="D26" s="36">
        <f t="shared" si="0"/>
        <v>1.6839927866765692E-2</v>
      </c>
      <c r="E26" s="28"/>
      <c r="F26" s="140">
        <v>46089</v>
      </c>
      <c r="G26" s="139">
        <v>23151.1</v>
      </c>
      <c r="H26" s="36">
        <f t="shared" si="1"/>
        <v>1.5834216617274244E-3</v>
      </c>
      <c r="I26" s="38"/>
      <c r="J26" s="142" t="s">
        <v>204</v>
      </c>
      <c r="K26" s="142">
        <v>103</v>
      </c>
      <c r="S26" s="28"/>
      <c r="U26" s="35">
        <v>2019</v>
      </c>
      <c r="V26" s="36">
        <v>0.1202</v>
      </c>
      <c r="W26" s="28"/>
      <c r="X26" s="28"/>
      <c r="Y26" s="28"/>
      <c r="Z26" s="28"/>
      <c r="AA26" s="28"/>
      <c r="AB26" s="140">
        <v>46089</v>
      </c>
      <c r="AC26" s="139">
        <v>102.79</v>
      </c>
      <c r="AD26" s="36">
        <f t="shared" si="2"/>
        <v>4.7898338220919712E-3</v>
      </c>
    </row>
    <row r="27" spans="2:30" ht="23.4" x14ac:dyDescent="0.45">
      <c r="B27" s="140">
        <v>46082</v>
      </c>
      <c r="C27" s="139">
        <v>3875.8</v>
      </c>
      <c r="D27" s="36">
        <f t="shared" si="0"/>
        <v>1.0823357588086502E-2</v>
      </c>
      <c r="E27" s="28"/>
      <c r="F27" s="140">
        <v>46082</v>
      </c>
      <c r="G27" s="139">
        <v>24450.45</v>
      </c>
      <c r="H27" s="36">
        <f t="shared" si="1"/>
        <v>5.6124762970226172E-2</v>
      </c>
      <c r="I27" s="38"/>
      <c r="S27" s="28"/>
      <c r="U27" s="35">
        <v>2020</v>
      </c>
      <c r="V27" s="36">
        <v>0.14899999999999999</v>
      </c>
      <c r="W27" s="28"/>
      <c r="X27" s="28"/>
      <c r="Y27" s="28"/>
      <c r="Z27" s="28"/>
      <c r="AA27" s="28"/>
      <c r="AB27" s="140">
        <v>46082</v>
      </c>
      <c r="AC27" s="139">
        <v>111.85</v>
      </c>
      <c r="AD27" s="36">
        <f t="shared" si="2"/>
        <v>8.8140869734409932E-2</v>
      </c>
    </row>
    <row r="28" spans="2:30" ht="24" thickBot="1" x14ac:dyDescent="0.5">
      <c r="B28" s="140">
        <v>46075</v>
      </c>
      <c r="C28" s="139">
        <v>3847.6</v>
      </c>
      <c r="D28" s="36">
        <f t="shared" si="0"/>
        <v>-7.2759172299913244E-3</v>
      </c>
      <c r="E28" s="28"/>
      <c r="F28" s="140">
        <v>46075</v>
      </c>
      <c r="G28" s="139">
        <v>25178.65</v>
      </c>
      <c r="H28" s="36">
        <f t="shared" si="1"/>
        <v>2.9782682936305926E-2</v>
      </c>
      <c r="I28" s="38"/>
      <c r="J28" t="s">
        <v>205</v>
      </c>
      <c r="S28" s="28"/>
      <c r="U28" s="35">
        <v>2021</v>
      </c>
      <c r="V28" s="36">
        <v>0.2412</v>
      </c>
      <c r="W28" s="28"/>
      <c r="X28" s="28"/>
      <c r="Y28" s="28"/>
      <c r="Z28" s="28"/>
      <c r="AA28" s="28"/>
      <c r="AB28" s="140">
        <v>46075</v>
      </c>
      <c r="AC28" s="139">
        <v>117.78</v>
      </c>
      <c r="AD28" s="36">
        <f t="shared" si="2"/>
        <v>5.301743406347792E-2</v>
      </c>
    </row>
    <row r="29" spans="2:30" ht="24" thickBot="1" x14ac:dyDescent="0.5">
      <c r="B29" s="140">
        <v>46068</v>
      </c>
      <c r="C29" s="139">
        <v>3866.4</v>
      </c>
      <c r="D29" s="36">
        <f t="shared" si="0"/>
        <v>4.8861628027863091E-3</v>
      </c>
      <c r="E29" s="28"/>
      <c r="F29" s="140">
        <v>46068</v>
      </c>
      <c r="G29" s="139">
        <v>25571.25</v>
      </c>
      <c r="H29" s="36">
        <f t="shared" si="1"/>
        <v>1.5592575455792845E-2</v>
      </c>
      <c r="I29" s="38"/>
      <c r="J29" s="143"/>
      <c r="K29" s="143" t="s">
        <v>209</v>
      </c>
      <c r="L29" s="143" t="s">
        <v>210</v>
      </c>
      <c r="M29" s="143" t="s">
        <v>211</v>
      </c>
      <c r="N29" s="143" t="s">
        <v>212</v>
      </c>
      <c r="O29" s="143" t="s">
        <v>213</v>
      </c>
      <c r="S29" s="28"/>
      <c r="U29" s="35">
        <v>2022</v>
      </c>
      <c r="V29" s="36">
        <v>4.3200000000000002E-2</v>
      </c>
      <c r="W29" s="28"/>
      <c r="X29" s="28"/>
      <c r="Y29" s="28"/>
      <c r="Z29" s="28"/>
      <c r="AA29" s="28"/>
      <c r="AB29" s="140">
        <v>46068</v>
      </c>
      <c r="AC29" s="139">
        <v>116.9</v>
      </c>
      <c r="AD29" s="36">
        <f t="shared" si="2"/>
        <v>-7.4715571404312398E-3</v>
      </c>
    </row>
    <row r="30" spans="2:30" ht="23.4" x14ac:dyDescent="0.45">
      <c r="B30" s="140">
        <v>46061</v>
      </c>
      <c r="C30" s="139">
        <v>3909.2</v>
      </c>
      <c r="D30" s="36">
        <f t="shared" si="0"/>
        <v>1.1069728946823787E-2</v>
      </c>
      <c r="E30" s="28"/>
      <c r="F30" s="140">
        <v>46061</v>
      </c>
      <c r="G30" s="139">
        <v>25471.1</v>
      </c>
      <c r="H30" s="36">
        <f t="shared" si="1"/>
        <v>-3.9165077968421613E-3</v>
      </c>
      <c r="I30" s="38"/>
      <c r="J30" t="s">
        <v>206</v>
      </c>
      <c r="K30">
        <v>1</v>
      </c>
      <c r="L30">
        <v>1.6771655784946216E-2</v>
      </c>
      <c r="M30">
        <v>1.6771655784946216E-2</v>
      </c>
      <c r="N30">
        <v>10.864968095933422</v>
      </c>
      <c r="O30">
        <v>1.3529536875007025E-3</v>
      </c>
      <c r="P30" s="143" t="s">
        <v>218</v>
      </c>
      <c r="S30" s="28"/>
      <c r="U30" s="35">
        <v>2023</v>
      </c>
      <c r="V30" s="36">
        <v>0.19420000000000001</v>
      </c>
      <c r="W30" s="28"/>
      <c r="X30" s="28"/>
      <c r="Y30" s="28"/>
      <c r="Z30" s="28"/>
      <c r="AA30" s="28"/>
      <c r="AB30" s="140">
        <v>46061</v>
      </c>
      <c r="AC30" s="139">
        <v>121.91</v>
      </c>
      <c r="AD30" s="36">
        <f t="shared" si="2"/>
        <v>4.2857142857142705E-2</v>
      </c>
    </row>
    <row r="31" spans="2:30" ht="23.4" x14ac:dyDescent="0.45">
      <c r="B31" s="140">
        <v>46054</v>
      </c>
      <c r="C31" s="139">
        <v>3889.9</v>
      </c>
      <c r="D31" s="36">
        <f t="shared" si="0"/>
        <v>-4.9370715235853568E-3</v>
      </c>
      <c r="E31" s="28"/>
      <c r="F31" s="140">
        <v>46054</v>
      </c>
      <c r="G31" s="139">
        <v>25693.7</v>
      </c>
      <c r="H31" s="36">
        <f t="shared" si="1"/>
        <v>8.7393163232056814E-3</v>
      </c>
      <c r="I31" s="38"/>
      <c r="J31" t="s">
        <v>207</v>
      </c>
      <c r="K31">
        <v>101</v>
      </c>
      <c r="L31">
        <v>0.15590816460046306</v>
      </c>
      <c r="M31">
        <v>1.5436451940639907E-3</v>
      </c>
      <c r="P31" s="132">
        <v>1.0111791431730726E-2</v>
      </c>
      <c r="S31" s="28"/>
      <c r="U31" s="35">
        <v>2024</v>
      </c>
      <c r="V31" s="36">
        <v>8.7499999999999994E-2</v>
      </c>
      <c r="W31" s="28"/>
      <c r="X31" s="28"/>
      <c r="Y31" s="28"/>
      <c r="Z31" s="28"/>
      <c r="AA31" s="28"/>
      <c r="AB31" s="140">
        <v>46054</v>
      </c>
      <c r="AC31" s="139">
        <v>122.19</v>
      </c>
      <c r="AD31" s="36">
        <f t="shared" si="2"/>
        <v>2.296776310392934E-3</v>
      </c>
    </row>
    <row r="32" spans="2:30" ht="24" thickBot="1" x14ac:dyDescent="0.5">
      <c r="B32" s="140">
        <v>46047</v>
      </c>
      <c r="C32" s="139">
        <v>3689.5</v>
      </c>
      <c r="D32" s="36">
        <f t="shared" si="0"/>
        <v>-5.1518033882619108E-2</v>
      </c>
      <c r="E32" s="28"/>
      <c r="F32" s="140">
        <v>46047</v>
      </c>
      <c r="G32" s="139">
        <v>25320.65</v>
      </c>
      <c r="H32" s="36">
        <f t="shared" si="1"/>
        <v>-1.4519123364871489E-2</v>
      </c>
      <c r="I32" s="38"/>
      <c r="J32" s="142" t="s">
        <v>13</v>
      </c>
      <c r="K32" s="142">
        <v>102</v>
      </c>
      <c r="L32" s="142">
        <v>0.17267982038540927</v>
      </c>
      <c r="M32" s="142"/>
      <c r="N32" s="142"/>
      <c r="O32" s="142"/>
      <c r="P32" s="145">
        <v>1.1214458464660684</v>
      </c>
      <c r="S32" s="28"/>
      <c r="U32" s="35">
        <v>2025</v>
      </c>
      <c r="V32" s="36">
        <v>0.1051</v>
      </c>
      <c r="W32" s="28"/>
      <c r="X32" s="28"/>
      <c r="Y32" s="28"/>
      <c r="Z32" s="28"/>
      <c r="AA32" s="28"/>
      <c r="AB32" s="140">
        <v>46047</v>
      </c>
      <c r="AC32" s="139">
        <v>125.95</v>
      </c>
      <c r="AD32" s="36">
        <f t="shared" si="2"/>
        <v>3.0771748915623176E-2</v>
      </c>
    </row>
    <row r="33" spans="2:30" ht="24" thickBot="1" x14ac:dyDescent="0.5">
      <c r="B33" s="140">
        <v>46040</v>
      </c>
      <c r="C33" s="139">
        <v>3665.6</v>
      </c>
      <c r="D33" s="36">
        <f t="shared" si="0"/>
        <v>-6.4778425260875183E-3</v>
      </c>
      <c r="E33" s="28"/>
      <c r="F33" s="140">
        <v>46040</v>
      </c>
      <c r="G33" s="139">
        <v>25048.65</v>
      </c>
      <c r="H33" s="36">
        <f t="shared" si="1"/>
        <v>-1.0742220282654702E-2</v>
      </c>
      <c r="I33" s="38"/>
      <c r="S33" s="28"/>
      <c r="U33" s="28"/>
      <c r="V33" s="28"/>
      <c r="W33" s="28"/>
      <c r="X33" s="28"/>
      <c r="Y33" s="28"/>
      <c r="Z33" s="28"/>
      <c r="AA33" s="28"/>
      <c r="AB33" s="140">
        <v>46040</v>
      </c>
      <c r="AC33" s="139">
        <v>124.58</v>
      </c>
      <c r="AD33" s="36">
        <f t="shared" si="2"/>
        <v>-1.0877332274712215E-2</v>
      </c>
    </row>
    <row r="34" spans="2:30" ht="23.4" x14ac:dyDescent="0.45">
      <c r="B34" s="140">
        <v>46033</v>
      </c>
      <c r="C34" s="139">
        <v>3775.7</v>
      </c>
      <c r="D34" s="36">
        <f t="shared" si="0"/>
        <v>3.0036010475774644E-2</v>
      </c>
      <c r="E34" s="28"/>
      <c r="F34" s="140">
        <v>46033</v>
      </c>
      <c r="G34" s="139">
        <v>25694.35</v>
      </c>
      <c r="H34" s="36">
        <f t="shared" si="1"/>
        <v>2.5777836330500792E-2</v>
      </c>
      <c r="I34" s="38"/>
      <c r="J34" s="143"/>
      <c r="K34" s="143" t="s">
        <v>214</v>
      </c>
      <c r="L34" s="143" t="s">
        <v>203</v>
      </c>
      <c r="M34" s="143" t="s">
        <v>215</v>
      </c>
      <c r="N34" s="143" t="s">
        <v>216</v>
      </c>
      <c r="O34" s="143" t="s">
        <v>217</v>
      </c>
      <c r="Q34" s="143" t="s">
        <v>219</v>
      </c>
      <c r="R34" s="143" t="s">
        <v>220</v>
      </c>
      <c r="S34" s="28"/>
      <c r="U34" s="28"/>
      <c r="V34" s="28"/>
      <c r="W34" s="28"/>
      <c r="X34" s="28"/>
      <c r="Y34" s="28"/>
      <c r="Z34" s="28"/>
      <c r="AA34" s="28"/>
      <c r="AB34" s="140">
        <v>46033</v>
      </c>
      <c r="AC34" s="139">
        <v>129.54</v>
      </c>
      <c r="AD34" s="36">
        <f t="shared" si="2"/>
        <v>3.9813774281586056E-2</v>
      </c>
    </row>
    <row r="35" spans="2:30" ht="23.4" x14ac:dyDescent="0.45">
      <c r="B35" s="140">
        <v>46026</v>
      </c>
      <c r="C35" s="139">
        <v>3801.3</v>
      </c>
      <c r="D35" s="36">
        <f t="shared" si="0"/>
        <v>6.7801996980694224E-3</v>
      </c>
      <c r="E35" s="28"/>
      <c r="F35" s="140">
        <v>46026</v>
      </c>
      <c r="G35" s="139">
        <v>25683.3</v>
      </c>
      <c r="H35" s="36">
        <f t="shared" si="1"/>
        <v>-4.3005563479903142E-4</v>
      </c>
      <c r="I35" s="38"/>
      <c r="J35" t="s">
        <v>208</v>
      </c>
      <c r="K35" s="132">
        <v>2.4292593810930066E-3</v>
      </c>
      <c r="L35" s="132">
        <v>3.8727690595102594E-3</v>
      </c>
      <c r="M35" s="132">
        <v>0.62726678089093302</v>
      </c>
      <c r="N35" s="132">
        <v>0.53189986618261431</v>
      </c>
      <c r="O35" s="132">
        <v>-5.2532726695447137E-3</v>
      </c>
      <c r="Q35" s="132">
        <v>-5.2532726695447137E-3</v>
      </c>
      <c r="R35" s="132">
        <v>1.0111791431730726E-2</v>
      </c>
      <c r="S35" s="28"/>
      <c r="U35" s="28"/>
      <c r="V35" s="28"/>
      <c r="W35" s="28"/>
      <c r="X35" s="28"/>
      <c r="Y35" s="28"/>
      <c r="Z35" s="28"/>
      <c r="AA35" s="28"/>
      <c r="AB35" s="140">
        <v>46026</v>
      </c>
      <c r="AC35" s="139">
        <v>129.19</v>
      </c>
      <c r="AD35" s="36">
        <f t="shared" si="2"/>
        <v>-2.7018681488343299E-3</v>
      </c>
    </row>
    <row r="36" spans="2:30" ht="24" thickBot="1" x14ac:dyDescent="0.5">
      <c r="B36" s="140">
        <v>46019</v>
      </c>
      <c r="C36" s="139">
        <v>3719.8</v>
      </c>
      <c r="D36" s="36">
        <f t="shared" si="0"/>
        <v>-2.1440033672690872E-2</v>
      </c>
      <c r="E36" s="28"/>
      <c r="F36" s="140">
        <v>46019</v>
      </c>
      <c r="G36" s="139">
        <v>26328.55</v>
      </c>
      <c r="H36" s="36">
        <f t="shared" si="1"/>
        <v>2.5123329167201947E-2</v>
      </c>
      <c r="I36" s="38"/>
      <c r="J36" s="142" t="s">
        <v>221</v>
      </c>
      <c r="K36" s="145">
        <v>0.70010610898145753</v>
      </c>
      <c r="L36" s="145">
        <v>0.21239761684263017</v>
      </c>
      <c r="M36" s="145">
        <v>3.2962051052586938</v>
      </c>
      <c r="N36" s="145">
        <v>1.3529536875006676E-3</v>
      </c>
      <c r="O36" s="145">
        <v>0.27876637149684658</v>
      </c>
      <c r="P36" s="28"/>
      <c r="Q36" s="145">
        <v>0.27876637149684658</v>
      </c>
      <c r="R36" s="145">
        <v>1.1214458464660684</v>
      </c>
      <c r="S36" s="28"/>
      <c r="U36" s="28"/>
      <c r="V36" s="28"/>
      <c r="W36" s="28"/>
      <c r="X36" s="28"/>
      <c r="Y36" s="28"/>
      <c r="Z36" s="28"/>
      <c r="AA36" s="28"/>
      <c r="AB36" s="140">
        <v>46019</v>
      </c>
      <c r="AC36" s="139">
        <v>135.94999999999999</v>
      </c>
      <c r="AD36" s="36">
        <f t="shared" si="2"/>
        <v>5.2326031426580988E-2</v>
      </c>
    </row>
    <row r="37" spans="2:30" ht="23.4" x14ac:dyDescent="0.45">
      <c r="B37" s="140">
        <v>46012</v>
      </c>
      <c r="C37" s="139">
        <v>3787.4</v>
      </c>
      <c r="D37" s="36">
        <f t="shared" si="0"/>
        <v>1.817302005484156E-2</v>
      </c>
      <c r="E37" s="28"/>
      <c r="F37" s="140">
        <v>46012</v>
      </c>
      <c r="G37" s="139">
        <v>26042.3</v>
      </c>
      <c r="H37" s="36">
        <f t="shared" si="1"/>
        <v>-1.0872228056615363E-2</v>
      </c>
      <c r="I37" s="38"/>
      <c r="P37" s="28"/>
      <c r="S37" s="28"/>
      <c r="U37" s="28"/>
      <c r="V37" s="28"/>
      <c r="W37" s="28"/>
      <c r="X37" s="28"/>
      <c r="Y37" s="28"/>
      <c r="Z37" s="28"/>
      <c r="AA37" s="28"/>
      <c r="AB37" s="140">
        <v>46012</v>
      </c>
      <c r="AC37" s="139">
        <v>136.26</v>
      </c>
      <c r="AD37" s="36">
        <f t="shared" si="2"/>
        <v>2.280250091945657E-3</v>
      </c>
    </row>
    <row r="38" spans="2:30" ht="23.4" x14ac:dyDescent="0.45">
      <c r="B38" s="140">
        <v>46005</v>
      </c>
      <c r="C38" s="139">
        <v>3819.5</v>
      </c>
      <c r="D38" s="36">
        <f t="shared" si="0"/>
        <v>8.4754712995722681E-3</v>
      </c>
      <c r="E38" s="28"/>
      <c r="F38" s="140">
        <v>46005</v>
      </c>
      <c r="G38" s="139">
        <v>25966.400000000001</v>
      </c>
      <c r="H38" s="36">
        <f t="shared" si="1"/>
        <v>-2.9144891196245526E-3</v>
      </c>
      <c r="I38" s="38"/>
      <c r="P38" s="28"/>
      <c r="S38" s="28"/>
      <c r="U38" s="28"/>
      <c r="V38" s="28"/>
      <c r="W38" s="28"/>
      <c r="X38" s="28"/>
      <c r="Y38" s="28"/>
      <c r="Z38" s="28"/>
      <c r="AA38" s="28"/>
      <c r="AB38" s="140">
        <v>46005</v>
      </c>
      <c r="AC38" s="139">
        <v>138.07</v>
      </c>
      <c r="AD38" s="36">
        <f t="shared" si="2"/>
        <v>1.3283428739175207E-2</v>
      </c>
    </row>
    <row r="39" spans="2:30" ht="23.4" x14ac:dyDescent="0.45">
      <c r="B39" s="140">
        <v>45998</v>
      </c>
      <c r="C39" s="139">
        <v>3843</v>
      </c>
      <c r="D39" s="36">
        <f t="shared" si="0"/>
        <v>6.1526377798140075E-3</v>
      </c>
      <c r="E39" s="28"/>
      <c r="F39" s="140">
        <v>45998</v>
      </c>
      <c r="G39" s="139">
        <v>26046.95</v>
      </c>
      <c r="H39" s="36">
        <f t="shared" si="1"/>
        <v>3.10208577238269E-3</v>
      </c>
      <c r="I39" s="38"/>
      <c r="P39" s="28"/>
      <c r="S39" s="28"/>
      <c r="U39" s="28"/>
      <c r="V39" s="28"/>
      <c r="W39" s="28"/>
      <c r="X39" s="28"/>
      <c r="Y39" s="28"/>
      <c r="Z39" s="28"/>
      <c r="AA39" s="28"/>
      <c r="AB39" s="140">
        <v>45998</v>
      </c>
      <c r="AC39" s="139">
        <v>134.77000000000001</v>
      </c>
      <c r="AD39" s="36">
        <f t="shared" si="2"/>
        <v>-2.3900919823277911E-2</v>
      </c>
    </row>
    <row r="40" spans="2:30" ht="23.4" x14ac:dyDescent="0.45">
      <c r="B40" s="140">
        <v>45991</v>
      </c>
      <c r="C40" s="139">
        <v>3952.1</v>
      </c>
      <c r="D40" s="36">
        <f t="shared" si="0"/>
        <v>2.838927920895129E-2</v>
      </c>
      <c r="E40" s="28"/>
      <c r="F40" s="140">
        <v>45991</v>
      </c>
      <c r="G40" s="139">
        <v>26186.45</v>
      </c>
      <c r="H40" s="36">
        <f t="shared" si="1"/>
        <v>5.3557134328587885E-3</v>
      </c>
      <c r="I40" s="38"/>
      <c r="J40" s="38"/>
      <c r="K40" s="38"/>
      <c r="L40" s="28"/>
      <c r="M40" s="28"/>
      <c r="N40" s="28"/>
      <c r="O40" s="28"/>
      <c r="P40" s="28"/>
      <c r="Q40" s="28"/>
      <c r="R40" s="28"/>
      <c r="S40" s="28"/>
      <c r="U40" s="28"/>
      <c r="V40" s="28"/>
      <c r="W40" s="28"/>
      <c r="X40" s="28"/>
      <c r="Y40" s="28"/>
      <c r="Z40" s="28"/>
      <c r="AA40" s="28"/>
      <c r="AB40" s="140">
        <v>45991</v>
      </c>
      <c r="AC40" s="139">
        <v>133.03</v>
      </c>
      <c r="AD40" s="36">
        <f t="shared" si="2"/>
        <v>-1.2910885211842471E-2</v>
      </c>
    </row>
    <row r="41" spans="2:30" ht="23.4" x14ac:dyDescent="0.45">
      <c r="B41" s="140">
        <v>45984</v>
      </c>
      <c r="C41" s="139">
        <v>3996.5</v>
      </c>
      <c r="D41" s="36">
        <f t="shared" si="0"/>
        <v>1.1234533539131064E-2</v>
      </c>
      <c r="E41" s="28"/>
      <c r="F41" s="140">
        <v>45984</v>
      </c>
      <c r="G41" s="139">
        <v>26202.95</v>
      </c>
      <c r="H41" s="36">
        <f t="shared" si="1"/>
        <v>6.3009686307236024E-4</v>
      </c>
      <c r="I41" s="38"/>
      <c r="J41" s="38"/>
      <c r="K41" s="38"/>
      <c r="L41" s="28"/>
      <c r="M41" s="28"/>
      <c r="N41" s="28"/>
      <c r="O41" s="28"/>
      <c r="P41" s="28"/>
      <c r="Q41" s="28"/>
      <c r="R41" s="28"/>
      <c r="S41" s="28"/>
      <c r="U41" s="28"/>
      <c r="V41" s="28"/>
      <c r="W41" s="28"/>
      <c r="X41" s="28"/>
      <c r="Y41" s="28"/>
      <c r="Z41" s="28"/>
      <c r="AA41" s="28"/>
      <c r="AB41" s="140">
        <v>45984</v>
      </c>
      <c r="AC41" s="139">
        <v>135.80000000000001</v>
      </c>
      <c r="AD41" s="36">
        <f t="shared" si="2"/>
        <v>2.082237089378336E-2</v>
      </c>
    </row>
    <row r="42" spans="2:30" ht="23.4" x14ac:dyDescent="0.45">
      <c r="B42" s="140">
        <v>45977</v>
      </c>
      <c r="C42" s="139">
        <v>4038</v>
      </c>
      <c r="D42" s="36">
        <f t="shared" si="0"/>
        <v>1.0384086075315935E-2</v>
      </c>
      <c r="E42" s="28"/>
      <c r="F42" s="140">
        <v>45977</v>
      </c>
      <c r="G42" s="139">
        <v>26068.15</v>
      </c>
      <c r="H42" s="36">
        <f t="shared" si="1"/>
        <v>-5.144458925426254E-3</v>
      </c>
      <c r="I42" s="38"/>
      <c r="J42" s="38"/>
      <c r="K42" s="38"/>
      <c r="L42" s="28"/>
      <c r="M42" s="28"/>
      <c r="N42" s="28"/>
      <c r="O42" s="28"/>
      <c r="P42" s="28"/>
      <c r="Q42" s="28"/>
      <c r="R42" s="28"/>
      <c r="S42" s="28"/>
      <c r="U42" s="28"/>
      <c r="V42" s="28"/>
      <c r="W42" s="28"/>
      <c r="X42" s="28"/>
      <c r="Y42" s="28"/>
      <c r="Z42" s="28"/>
      <c r="AA42" s="28"/>
      <c r="AB42" s="140">
        <v>45977</v>
      </c>
      <c r="AC42" s="139">
        <v>130.91999999999999</v>
      </c>
      <c r="AD42" s="36">
        <f t="shared" si="2"/>
        <v>-3.5935198821796965E-2</v>
      </c>
    </row>
    <row r="43" spans="2:30" ht="23.4" x14ac:dyDescent="0.45">
      <c r="B43" s="140">
        <v>45970</v>
      </c>
      <c r="C43" s="139">
        <v>4053.7</v>
      </c>
      <c r="D43" s="36">
        <f t="shared" si="0"/>
        <v>3.8880633977216306E-3</v>
      </c>
      <c r="E43" s="28"/>
      <c r="F43" s="140">
        <v>45970</v>
      </c>
      <c r="G43" s="139">
        <v>25910.05</v>
      </c>
      <c r="H43" s="36">
        <f t="shared" si="1"/>
        <v>-6.0648722674989664E-3</v>
      </c>
      <c r="I43" s="38"/>
      <c r="J43" s="38"/>
      <c r="K43" s="38"/>
      <c r="L43" s="28"/>
      <c r="M43" s="28"/>
      <c r="N43" s="28"/>
      <c r="O43" s="28"/>
      <c r="P43" s="28"/>
      <c r="Q43" s="28"/>
      <c r="R43" s="28"/>
      <c r="S43" s="28"/>
      <c r="U43" s="28"/>
      <c r="V43" s="28"/>
      <c r="W43" s="28"/>
      <c r="X43" s="28"/>
      <c r="Y43" s="28"/>
      <c r="Z43" s="28"/>
      <c r="AA43" s="28"/>
      <c r="AB43" s="140">
        <v>45970</v>
      </c>
      <c r="AC43" s="139">
        <v>136.94</v>
      </c>
      <c r="AD43" s="36">
        <f t="shared" si="2"/>
        <v>4.5982279254506597E-2</v>
      </c>
    </row>
    <row r="44" spans="2:30" ht="23.4" x14ac:dyDescent="0.45">
      <c r="B44" s="140">
        <v>45963</v>
      </c>
      <c r="C44" s="139">
        <v>4011</v>
      </c>
      <c r="D44" s="36">
        <f t="shared" si="0"/>
        <v>-1.0533586599896338E-2</v>
      </c>
      <c r="E44" s="28"/>
      <c r="F44" s="140">
        <v>45963</v>
      </c>
      <c r="G44" s="139">
        <v>25492.3</v>
      </c>
      <c r="H44" s="36">
        <f t="shared" si="1"/>
        <v>-1.6123087373432266E-2</v>
      </c>
      <c r="I44" s="38"/>
      <c r="J44" s="38"/>
      <c r="K44" s="38"/>
      <c r="L44" s="28"/>
      <c r="M44" s="28"/>
      <c r="N44" s="28"/>
      <c r="O44" s="28"/>
      <c r="P44" s="28"/>
      <c r="Q44" s="28"/>
      <c r="R44" s="28"/>
      <c r="S44" s="28"/>
      <c r="U44" s="28"/>
      <c r="V44" s="28"/>
      <c r="W44" s="28"/>
      <c r="X44" s="28"/>
      <c r="Y44" s="28"/>
      <c r="Z44" s="28"/>
      <c r="AA44" s="28"/>
      <c r="AB44" s="140">
        <v>45963</v>
      </c>
      <c r="AC44" s="139">
        <v>143.18</v>
      </c>
      <c r="AD44" s="36">
        <f t="shared" si="2"/>
        <v>4.5567401781802408E-2</v>
      </c>
    </row>
    <row r="45" spans="2:30" ht="23.4" x14ac:dyDescent="0.45">
      <c r="B45" s="140">
        <v>45956</v>
      </c>
      <c r="C45" s="139">
        <v>4153.5</v>
      </c>
      <c r="D45" s="36">
        <f t="shared" si="0"/>
        <v>3.5527299925205647E-2</v>
      </c>
      <c r="E45" s="28"/>
      <c r="F45" s="140">
        <v>45956</v>
      </c>
      <c r="G45" s="139">
        <v>25722.1</v>
      </c>
      <c r="H45" s="36">
        <f t="shared" si="1"/>
        <v>9.0144867273647122E-3</v>
      </c>
      <c r="I45" s="38"/>
      <c r="J45" s="38"/>
      <c r="K45" s="38"/>
      <c r="L45" s="28"/>
      <c r="M45" s="28"/>
      <c r="N45" s="28"/>
      <c r="O45" s="28"/>
      <c r="P45" s="28"/>
      <c r="Q45" s="28"/>
      <c r="R45" s="28"/>
      <c r="S45" s="28"/>
      <c r="U45" s="28"/>
      <c r="V45" s="28"/>
      <c r="W45" s="28"/>
      <c r="X45" s="28"/>
      <c r="Y45" s="28"/>
      <c r="Z45" s="28"/>
      <c r="AA45" s="28"/>
      <c r="AB45" s="140">
        <v>45956</v>
      </c>
      <c r="AC45" s="139">
        <v>144.69</v>
      </c>
      <c r="AD45" s="36">
        <f t="shared" si="2"/>
        <v>1.054616566559563E-2</v>
      </c>
    </row>
    <row r="46" spans="2:30" ht="23.4" x14ac:dyDescent="0.45">
      <c r="B46" s="140">
        <v>45949</v>
      </c>
      <c r="C46" s="139">
        <v>4213.8999999999996</v>
      </c>
      <c r="D46" s="36">
        <f t="shared" si="0"/>
        <v>1.4541952570121586E-2</v>
      </c>
      <c r="E46" s="28"/>
      <c r="F46" s="140">
        <v>45949</v>
      </c>
      <c r="G46" s="139">
        <v>25795.15</v>
      </c>
      <c r="H46" s="36">
        <f t="shared" si="1"/>
        <v>2.839970297915162E-3</v>
      </c>
      <c r="I46" s="38"/>
      <c r="J46" s="38"/>
      <c r="K46" s="38"/>
      <c r="L46" s="28"/>
      <c r="M46" s="28"/>
      <c r="N46" s="28"/>
      <c r="O46" s="28"/>
      <c r="P46" s="28"/>
      <c r="Q46" s="28"/>
      <c r="R46" s="28"/>
      <c r="S46" s="28"/>
      <c r="U46" s="28"/>
      <c r="V46" s="28"/>
      <c r="W46" s="28"/>
      <c r="X46" s="28"/>
      <c r="Y46" s="28"/>
      <c r="Z46" s="28"/>
      <c r="AA46" s="28"/>
      <c r="AB46" s="140">
        <v>45949</v>
      </c>
      <c r="AC46" s="139">
        <v>148.29</v>
      </c>
      <c r="AD46" s="36">
        <f t="shared" si="2"/>
        <v>2.4880779597760583E-2</v>
      </c>
    </row>
    <row r="47" spans="2:30" ht="23.4" x14ac:dyDescent="0.45">
      <c r="B47" s="140">
        <v>45942</v>
      </c>
      <c r="C47" s="139">
        <v>4302.5</v>
      </c>
      <c r="D47" s="36">
        <f t="shared" si="0"/>
        <v>2.1025653195377192E-2</v>
      </c>
      <c r="E47" s="28"/>
      <c r="F47" s="140">
        <v>45942</v>
      </c>
      <c r="G47" s="139">
        <v>25709.85</v>
      </c>
      <c r="H47" s="36">
        <f t="shared" si="1"/>
        <v>-3.3068231818773608E-3</v>
      </c>
      <c r="I47" s="38"/>
      <c r="J47" s="38"/>
      <c r="K47" s="38"/>
      <c r="L47" s="28"/>
      <c r="M47" s="28"/>
      <c r="N47" s="28"/>
      <c r="O47" s="28"/>
      <c r="P47" s="28"/>
      <c r="Q47" s="28"/>
      <c r="R47" s="28"/>
      <c r="S47" s="28"/>
      <c r="U47" s="28"/>
      <c r="V47" s="28"/>
      <c r="W47" s="28"/>
      <c r="X47" s="28"/>
      <c r="Y47" s="28"/>
      <c r="Z47" s="28"/>
      <c r="AA47" s="28"/>
      <c r="AB47" s="140">
        <v>45942</v>
      </c>
      <c r="AC47" s="139">
        <v>148.43</v>
      </c>
      <c r="AD47" s="36">
        <f t="shared" si="2"/>
        <v>9.4409602805334281E-4</v>
      </c>
    </row>
    <row r="48" spans="2:30" ht="23.4" x14ac:dyDescent="0.45">
      <c r="B48" s="140">
        <v>45935</v>
      </c>
      <c r="C48" s="139">
        <v>4320.3999999999996</v>
      </c>
      <c r="D48" s="36">
        <f t="shared" si="0"/>
        <v>4.1603718768157272E-3</v>
      </c>
      <c r="E48" s="28"/>
      <c r="F48" s="140">
        <v>45935</v>
      </c>
      <c r="G48" s="139">
        <v>25285.35</v>
      </c>
      <c r="H48" s="36">
        <f t="shared" si="1"/>
        <v>-1.6511181512144146E-2</v>
      </c>
      <c r="I48" s="38"/>
      <c r="J48" s="38"/>
      <c r="K48" s="38"/>
      <c r="L48" s="28"/>
      <c r="M48" s="28"/>
      <c r="N48" s="28"/>
      <c r="O48" s="28"/>
      <c r="P48" s="28"/>
      <c r="Q48" s="28"/>
      <c r="R48" s="28"/>
      <c r="S48" s="28"/>
      <c r="U48" s="28"/>
      <c r="V48" s="28"/>
      <c r="W48" s="28"/>
      <c r="X48" s="28"/>
      <c r="Y48" s="28"/>
      <c r="Z48" s="28"/>
      <c r="AA48" s="28"/>
      <c r="AB48" s="140">
        <v>45935</v>
      </c>
      <c r="AC48" s="139">
        <v>146.19999999999999</v>
      </c>
      <c r="AD48" s="36">
        <f t="shared" si="2"/>
        <v>-1.5023916997911613E-2</v>
      </c>
    </row>
    <row r="49" spans="2:30" ht="23.4" x14ac:dyDescent="0.45">
      <c r="B49" s="140">
        <v>45928</v>
      </c>
      <c r="C49" s="139">
        <v>4418.3999999999996</v>
      </c>
      <c r="D49" s="36">
        <f t="shared" si="0"/>
        <v>2.2683084899546291E-2</v>
      </c>
      <c r="E49" s="28"/>
      <c r="F49" s="140">
        <v>45928</v>
      </c>
      <c r="G49" s="139">
        <v>24894.25</v>
      </c>
      <c r="H49" s="36">
        <f t="shared" si="1"/>
        <v>-1.5467454474626607E-2</v>
      </c>
      <c r="I49" s="38"/>
      <c r="J49" s="38"/>
      <c r="K49" s="38"/>
      <c r="L49" s="28"/>
      <c r="M49" s="28"/>
      <c r="N49" s="28"/>
      <c r="O49" s="28"/>
      <c r="P49" s="28"/>
      <c r="Q49" s="28"/>
      <c r="R49" s="28"/>
      <c r="S49" s="28"/>
      <c r="U49" s="28"/>
      <c r="V49" s="28"/>
      <c r="W49" s="28"/>
      <c r="X49" s="28"/>
      <c r="Y49" s="28"/>
      <c r="Z49" s="28"/>
      <c r="AA49" s="28"/>
      <c r="AB49" s="140">
        <v>45928</v>
      </c>
      <c r="AC49" s="139">
        <v>149.99</v>
      </c>
      <c r="AD49" s="36">
        <f t="shared" si="2"/>
        <v>2.5923392612859253E-2</v>
      </c>
    </row>
    <row r="50" spans="2:30" ht="23.4" x14ac:dyDescent="0.45">
      <c r="B50" s="140">
        <v>45921</v>
      </c>
      <c r="C50" s="139">
        <v>4517.8</v>
      </c>
      <c r="D50" s="36">
        <f t="shared" si="0"/>
        <v>2.2496831432192721E-2</v>
      </c>
      <c r="E50" s="28"/>
      <c r="F50" s="140">
        <v>45921</v>
      </c>
      <c r="G50" s="139">
        <v>24654.7</v>
      </c>
      <c r="H50" s="36">
        <f t="shared" si="1"/>
        <v>-9.6227040380810758E-3</v>
      </c>
      <c r="I50" s="38"/>
      <c r="J50" s="38"/>
      <c r="K50" s="38"/>
      <c r="L50" s="28"/>
      <c r="M50" s="28"/>
      <c r="N50" s="28"/>
      <c r="O50" s="28"/>
      <c r="P50" s="28"/>
      <c r="Q50" s="28"/>
      <c r="R50" s="28"/>
      <c r="S50" s="28"/>
      <c r="U50" s="28"/>
      <c r="V50" s="28"/>
      <c r="W50" s="28"/>
      <c r="X50" s="28"/>
      <c r="Y50" s="28"/>
      <c r="Z50" s="28"/>
      <c r="AA50" s="28"/>
      <c r="AB50" s="140">
        <v>45921</v>
      </c>
      <c r="AC50" s="139">
        <v>143.94999999999999</v>
      </c>
      <c r="AD50" s="36">
        <f t="shared" si="2"/>
        <v>-4.0269351290086131E-2</v>
      </c>
    </row>
    <row r="51" spans="2:30" ht="23.4" x14ac:dyDescent="0.45">
      <c r="B51" s="140">
        <v>45914</v>
      </c>
      <c r="C51" s="139">
        <v>4775.3</v>
      </c>
      <c r="D51" s="36">
        <f t="shared" si="0"/>
        <v>5.6996768338571924E-2</v>
      </c>
      <c r="E51" s="28"/>
      <c r="F51" s="140">
        <v>45914</v>
      </c>
      <c r="G51" s="139">
        <v>25327.05</v>
      </c>
      <c r="H51" s="36">
        <f t="shared" si="1"/>
        <v>2.7270662388915623E-2</v>
      </c>
      <c r="I51" s="38"/>
      <c r="J51" s="38"/>
      <c r="K51" s="38"/>
      <c r="L51" s="28"/>
      <c r="M51" s="28"/>
      <c r="N51" s="28"/>
      <c r="O51" s="28"/>
      <c r="P51" s="28"/>
      <c r="Q51" s="28"/>
      <c r="R51" s="28"/>
      <c r="S51" s="28"/>
      <c r="U51" s="28"/>
      <c r="V51" s="28"/>
      <c r="W51" s="28"/>
      <c r="X51" s="28"/>
      <c r="Y51" s="28"/>
      <c r="Z51" s="28"/>
      <c r="AA51" s="28"/>
      <c r="AB51" s="140">
        <v>45914</v>
      </c>
      <c r="AC51" s="139">
        <v>152.35</v>
      </c>
      <c r="AD51" s="36">
        <f t="shared" si="2"/>
        <v>5.8353594998263425E-2</v>
      </c>
    </row>
    <row r="52" spans="2:30" ht="23.4" x14ac:dyDescent="0.45">
      <c r="B52" s="140">
        <v>45907</v>
      </c>
      <c r="C52" s="139">
        <v>4616.6000000000004</v>
      </c>
      <c r="D52" s="36">
        <f t="shared" si="0"/>
        <v>-3.3233514124766939E-2</v>
      </c>
      <c r="E52" s="28"/>
      <c r="F52" s="140">
        <v>45907</v>
      </c>
      <c r="G52" s="139">
        <v>25114</v>
      </c>
      <c r="H52" s="36">
        <f t="shared" si="1"/>
        <v>-8.4119548072120187E-3</v>
      </c>
      <c r="I52" s="38"/>
      <c r="J52" s="38"/>
      <c r="K52" s="38"/>
      <c r="L52" s="28"/>
      <c r="M52" s="28"/>
      <c r="N52" s="28"/>
      <c r="O52" s="28"/>
      <c r="P52" s="28"/>
      <c r="Q52" s="28"/>
      <c r="R52" s="28"/>
      <c r="S52" s="28"/>
      <c r="U52" s="28"/>
      <c r="V52" s="28"/>
      <c r="W52" s="28"/>
      <c r="X52" s="28"/>
      <c r="Y52" s="28"/>
      <c r="Z52" s="28"/>
      <c r="AA52" s="28"/>
      <c r="AB52" s="140">
        <v>45907</v>
      </c>
      <c r="AC52" s="139">
        <v>152.59</v>
      </c>
      <c r="AD52" s="36">
        <f t="shared" si="2"/>
        <v>1.5753199868724366E-3</v>
      </c>
    </row>
    <row r="53" spans="2:30" ht="23.4" x14ac:dyDescent="0.45">
      <c r="B53" s="140">
        <v>45900</v>
      </c>
      <c r="C53" s="139">
        <v>4793.3</v>
      </c>
      <c r="D53" s="36">
        <f t="shared" si="0"/>
        <v>3.8274920937486412E-2</v>
      </c>
      <c r="E53" s="28"/>
      <c r="F53" s="140">
        <v>45900</v>
      </c>
      <c r="G53" s="139">
        <v>24741</v>
      </c>
      <c r="H53" s="36">
        <f t="shared" si="1"/>
        <v>-1.4852273632236956E-2</v>
      </c>
      <c r="I53" s="38"/>
      <c r="J53" s="38"/>
      <c r="K53" s="38"/>
      <c r="L53" s="28"/>
      <c r="M53" s="28"/>
      <c r="N53" s="28"/>
      <c r="O53" s="28"/>
      <c r="P53" s="28"/>
      <c r="Q53" s="28"/>
      <c r="R53" s="28"/>
      <c r="S53" s="28"/>
      <c r="U53" s="28"/>
      <c r="V53" s="28"/>
      <c r="W53" s="28"/>
      <c r="X53" s="28"/>
      <c r="Y53" s="28"/>
      <c r="Z53" s="28"/>
      <c r="AA53" s="28"/>
      <c r="AB53" s="140">
        <v>45900</v>
      </c>
      <c r="AC53" s="139">
        <v>152.47999999999999</v>
      </c>
      <c r="AD53" s="36">
        <f t="shared" si="2"/>
        <v>-7.2088603447151289E-4</v>
      </c>
    </row>
    <row r="54" spans="2:30" ht="23.4" x14ac:dyDescent="0.45">
      <c r="B54" s="140">
        <v>45893</v>
      </c>
      <c r="C54" s="139">
        <v>4755.6000000000004</v>
      </c>
      <c r="D54" s="36">
        <f t="shared" si="0"/>
        <v>-7.8651450983664439E-3</v>
      </c>
      <c r="E54" s="28"/>
      <c r="F54" s="140">
        <v>45893</v>
      </c>
      <c r="G54" s="139">
        <v>24426.85</v>
      </c>
      <c r="H54" s="36">
        <f t="shared" si="1"/>
        <v>-1.2697546582595698E-2</v>
      </c>
      <c r="I54" s="38"/>
      <c r="J54" s="38"/>
      <c r="K54" s="38"/>
      <c r="L54" s="28"/>
      <c r="M54" s="28"/>
      <c r="N54" s="28"/>
      <c r="O54" s="28"/>
      <c r="P54" s="28"/>
      <c r="Q54" s="28"/>
      <c r="R54" s="28"/>
      <c r="S54" s="28"/>
      <c r="U54" s="28"/>
      <c r="V54" s="28"/>
      <c r="W54" s="28"/>
      <c r="X54" s="28"/>
      <c r="Y54" s="28"/>
      <c r="Z54" s="28"/>
      <c r="AA54" s="28"/>
      <c r="AB54" s="140">
        <v>45893</v>
      </c>
      <c r="AC54" s="139">
        <v>149.41</v>
      </c>
      <c r="AD54" s="36">
        <f t="shared" si="2"/>
        <v>-2.0133788037775435E-2</v>
      </c>
    </row>
    <row r="55" spans="2:30" ht="23.4" x14ac:dyDescent="0.45">
      <c r="B55" s="140">
        <v>45886</v>
      </c>
      <c r="C55" s="139">
        <v>4698.8</v>
      </c>
      <c r="D55" s="36">
        <f t="shared" si="0"/>
        <v>-1.194381360921859E-2</v>
      </c>
      <c r="E55" s="28"/>
      <c r="F55" s="140">
        <v>45886</v>
      </c>
      <c r="G55" s="139">
        <v>24870.1</v>
      </c>
      <c r="H55" s="36">
        <f t="shared" si="1"/>
        <v>1.8146015552557904E-2</v>
      </c>
      <c r="I55" s="38"/>
      <c r="J55" s="38"/>
      <c r="K55" s="38"/>
      <c r="L55" s="28"/>
      <c r="M55" s="28"/>
      <c r="N55" s="28"/>
      <c r="O55" s="28"/>
      <c r="P55" s="28"/>
      <c r="Q55" s="28"/>
      <c r="R55" s="28"/>
      <c r="S55" s="28"/>
      <c r="U55" s="28"/>
      <c r="V55" s="28"/>
      <c r="W55" s="28"/>
      <c r="X55" s="28"/>
      <c r="Y55" s="28"/>
      <c r="Z55" s="28"/>
      <c r="AA55" s="28"/>
      <c r="AB55" s="140">
        <v>45886</v>
      </c>
      <c r="AC55" s="139">
        <v>150.66999999999999</v>
      </c>
      <c r="AD55" s="36">
        <f t="shared" si="2"/>
        <v>8.4331704705173927E-3</v>
      </c>
    </row>
    <row r="56" spans="2:30" ht="23.4" x14ac:dyDescent="0.45">
      <c r="B56" s="140">
        <v>45879</v>
      </c>
      <c r="C56" s="139">
        <v>4358.2</v>
      </c>
      <c r="D56" s="36">
        <f t="shared" si="0"/>
        <v>-7.2486592321443832E-2</v>
      </c>
      <c r="E56" s="28"/>
      <c r="F56" s="140">
        <v>45879</v>
      </c>
      <c r="G56" s="139">
        <v>24631.3</v>
      </c>
      <c r="H56" s="36">
        <f t="shared" si="1"/>
        <v>-9.6018914278591661E-3</v>
      </c>
      <c r="I56" s="38"/>
      <c r="J56" s="38"/>
      <c r="K56" s="38"/>
      <c r="L56" s="28"/>
      <c r="M56" s="28"/>
      <c r="N56" s="28"/>
      <c r="O56" s="28"/>
      <c r="P56" s="28"/>
      <c r="Q56" s="28"/>
      <c r="R56" s="28"/>
      <c r="S56" s="28"/>
      <c r="U56" s="28"/>
      <c r="V56" s="28"/>
      <c r="W56" s="28"/>
      <c r="X56" s="28"/>
      <c r="Y56" s="28"/>
      <c r="Z56" s="28"/>
      <c r="AA56" s="28"/>
      <c r="AB56" s="140">
        <v>45879</v>
      </c>
      <c r="AC56" s="139">
        <v>146.56</v>
      </c>
      <c r="AD56" s="36">
        <f t="shared" si="2"/>
        <v>-2.7278157562885652E-2</v>
      </c>
    </row>
    <row r="57" spans="2:30" ht="23.4" x14ac:dyDescent="0.45">
      <c r="B57" s="140">
        <v>45872</v>
      </c>
      <c r="C57" s="139">
        <v>4170.1000000000004</v>
      </c>
      <c r="D57" s="36">
        <f t="shared" si="0"/>
        <v>-4.316002019182219E-2</v>
      </c>
      <c r="E57" s="28"/>
      <c r="F57" s="140">
        <v>45872</v>
      </c>
      <c r="G57" s="139">
        <v>24363.3</v>
      </c>
      <c r="H57" s="36">
        <f t="shared" si="1"/>
        <v>-1.0880465099284198E-2</v>
      </c>
      <c r="I57" s="38"/>
      <c r="J57" s="38"/>
      <c r="K57" s="38"/>
      <c r="L57" s="28"/>
      <c r="M57" s="28"/>
      <c r="N57" s="28"/>
      <c r="O57" s="28"/>
      <c r="P57" s="28"/>
      <c r="Q57" s="28"/>
      <c r="R57" s="28"/>
      <c r="S57" s="28"/>
      <c r="U57" s="28"/>
      <c r="V57" s="28"/>
      <c r="W57" s="28"/>
      <c r="X57" s="28"/>
      <c r="Y57" s="28"/>
      <c r="Z57" s="28"/>
      <c r="AA57" s="28"/>
      <c r="AB57" s="140">
        <v>45872</v>
      </c>
      <c r="AC57" s="139">
        <v>139.01</v>
      </c>
      <c r="AD57" s="36">
        <f t="shared" si="2"/>
        <v>-5.151473799126649E-2</v>
      </c>
    </row>
    <row r="58" spans="2:30" ht="23.4" x14ac:dyDescent="0.45">
      <c r="B58" s="140">
        <v>45865</v>
      </c>
      <c r="C58" s="139">
        <v>4196</v>
      </c>
      <c r="D58" s="36">
        <f t="shared" si="0"/>
        <v>6.2108822330397828E-3</v>
      </c>
      <c r="E58" s="28"/>
      <c r="F58" s="140">
        <v>45865</v>
      </c>
      <c r="G58" s="139">
        <v>24565.35</v>
      </c>
      <c r="H58" s="36">
        <f t="shared" si="1"/>
        <v>8.2932115107559046E-3</v>
      </c>
      <c r="I58" s="38"/>
      <c r="J58" s="38"/>
      <c r="K58" s="38"/>
      <c r="L58" s="28"/>
      <c r="M58" s="28"/>
      <c r="N58" s="28"/>
      <c r="O58" s="28"/>
      <c r="P58" s="28"/>
      <c r="Q58" s="28"/>
      <c r="R58" s="28"/>
      <c r="S58" s="28"/>
      <c r="U58" s="28"/>
      <c r="V58" s="28"/>
      <c r="W58" s="28"/>
      <c r="X58" s="28"/>
      <c r="Y58" s="28"/>
      <c r="Z58" s="28"/>
      <c r="AA58" s="28"/>
      <c r="AB58" s="140">
        <v>45865</v>
      </c>
      <c r="AC58" s="139">
        <v>141.07</v>
      </c>
      <c r="AD58" s="36">
        <f t="shared" si="2"/>
        <v>1.481907776418967E-2</v>
      </c>
    </row>
    <row r="59" spans="2:30" ht="23.4" x14ac:dyDescent="0.45">
      <c r="B59" s="140">
        <v>45858</v>
      </c>
      <c r="C59" s="139">
        <v>3997</v>
      </c>
      <c r="D59" s="36">
        <f t="shared" si="0"/>
        <v>-4.7426120114394621E-2</v>
      </c>
      <c r="E59" s="28"/>
      <c r="F59" s="140">
        <v>45858</v>
      </c>
      <c r="G59" s="139">
        <v>24837</v>
      </c>
      <c r="H59" s="36">
        <f t="shared" si="1"/>
        <v>1.1058258889045103E-2</v>
      </c>
      <c r="I59" s="38"/>
      <c r="J59" s="38"/>
      <c r="K59" s="38"/>
      <c r="L59" s="28"/>
      <c r="M59" s="28"/>
      <c r="N59" s="28"/>
      <c r="O59" s="28"/>
      <c r="P59" s="28"/>
      <c r="Q59" s="28"/>
      <c r="R59" s="28"/>
      <c r="S59" s="28"/>
      <c r="U59" s="28"/>
      <c r="V59" s="28"/>
      <c r="W59" s="28"/>
      <c r="X59" s="28"/>
      <c r="Y59" s="28"/>
      <c r="Z59" s="28"/>
      <c r="AA59" s="28"/>
      <c r="AB59" s="140">
        <v>45858</v>
      </c>
      <c r="AC59" s="139">
        <v>139.93</v>
      </c>
      <c r="AD59" s="36">
        <f t="shared" si="2"/>
        <v>-8.0810944920960415E-3</v>
      </c>
    </row>
    <row r="60" spans="2:30" ht="23.4" x14ac:dyDescent="0.45">
      <c r="B60" s="140">
        <v>45851</v>
      </c>
      <c r="C60" s="139">
        <v>4048.6</v>
      </c>
      <c r="D60" s="36">
        <f t="shared" si="0"/>
        <v>1.2909682261696309E-2</v>
      </c>
      <c r="E60" s="28"/>
      <c r="F60" s="140">
        <v>45851</v>
      </c>
      <c r="G60" s="139">
        <v>24968.400000000001</v>
      </c>
      <c r="H60" s="36">
        <f t="shared" si="1"/>
        <v>5.2904940210170004E-3</v>
      </c>
      <c r="I60" s="38"/>
      <c r="J60" s="38"/>
      <c r="K60" s="38"/>
      <c r="L60" s="28"/>
      <c r="M60" s="28"/>
      <c r="N60" s="28"/>
      <c r="O60" s="28"/>
      <c r="P60" s="28"/>
      <c r="Q60" s="28"/>
      <c r="R60" s="28"/>
      <c r="S60" s="28"/>
      <c r="U60" s="28"/>
      <c r="V60" s="28"/>
      <c r="W60" s="28"/>
      <c r="X60" s="28"/>
      <c r="Y60" s="28"/>
      <c r="Z60" s="28"/>
      <c r="AA60" s="28"/>
      <c r="AB60" s="140">
        <v>45851</v>
      </c>
      <c r="AC60" s="139">
        <v>138.07</v>
      </c>
      <c r="AD60" s="36">
        <f t="shared" si="2"/>
        <v>-1.3292360465947395E-2</v>
      </c>
    </row>
    <row r="61" spans="2:30" ht="23.4" x14ac:dyDescent="0.45">
      <c r="B61" s="140">
        <v>45844</v>
      </c>
      <c r="C61" s="139">
        <v>4064.2</v>
      </c>
      <c r="D61" s="36">
        <f t="shared" si="0"/>
        <v>3.8531838166280252E-3</v>
      </c>
      <c r="E61" s="28"/>
      <c r="F61" s="140">
        <v>45844</v>
      </c>
      <c r="G61" s="139">
        <v>25149.85</v>
      </c>
      <c r="H61" s="36">
        <f t="shared" si="1"/>
        <v>7.267185722753533E-3</v>
      </c>
      <c r="I61" s="38"/>
      <c r="J61" s="38"/>
      <c r="K61" s="38"/>
      <c r="L61" s="28"/>
      <c r="M61" s="28"/>
      <c r="N61" s="28"/>
      <c r="O61" s="28"/>
      <c r="P61" s="28"/>
      <c r="Q61" s="28"/>
      <c r="R61" s="28"/>
      <c r="S61" s="28"/>
      <c r="U61" s="28"/>
      <c r="V61" s="28"/>
      <c r="W61" s="28"/>
      <c r="X61" s="28"/>
      <c r="Y61" s="28"/>
      <c r="Z61" s="28"/>
      <c r="AA61" s="28"/>
      <c r="AB61" s="140">
        <v>45844</v>
      </c>
      <c r="AC61" s="139">
        <v>133.62</v>
      </c>
      <c r="AD61" s="36">
        <f t="shared" si="2"/>
        <v>-3.2230028246541531E-2</v>
      </c>
    </row>
    <row r="62" spans="2:30" ht="23.4" x14ac:dyDescent="0.45">
      <c r="B62" s="140">
        <v>45837</v>
      </c>
      <c r="C62" s="139">
        <v>4261.1000000000004</v>
      </c>
      <c r="D62" s="36">
        <f t="shared" si="0"/>
        <v>4.8447418926234054E-2</v>
      </c>
      <c r="E62" s="28"/>
      <c r="F62" s="140">
        <v>45837</v>
      </c>
      <c r="G62" s="139">
        <v>25461</v>
      </c>
      <c r="H62" s="36">
        <f t="shared" si="1"/>
        <v>1.2371843172026997E-2</v>
      </c>
      <c r="I62" s="38"/>
      <c r="J62" s="38"/>
      <c r="K62" s="38"/>
      <c r="L62" s="28"/>
      <c r="M62" s="28"/>
      <c r="N62" s="28"/>
      <c r="O62" s="28"/>
      <c r="P62" s="28"/>
      <c r="Q62" s="28"/>
      <c r="R62" s="28"/>
      <c r="S62" s="28"/>
      <c r="U62" s="28"/>
      <c r="V62" s="28"/>
      <c r="W62" s="28"/>
      <c r="X62" s="28"/>
      <c r="Y62" s="28"/>
      <c r="Z62" s="28"/>
      <c r="AA62" s="28"/>
      <c r="AB62" s="140">
        <v>45837</v>
      </c>
      <c r="AC62" s="139">
        <v>129.35</v>
      </c>
      <c r="AD62" s="36">
        <f t="shared" si="2"/>
        <v>-3.1956293967968952E-2</v>
      </c>
    </row>
    <row r="63" spans="2:30" ht="23.4" x14ac:dyDescent="0.45">
      <c r="B63" s="140">
        <v>45830</v>
      </c>
      <c r="C63" s="139">
        <v>4313.5</v>
      </c>
      <c r="D63" s="36">
        <f t="shared" si="0"/>
        <v>1.2297294125929836E-2</v>
      </c>
      <c r="E63" s="28"/>
      <c r="F63" s="140">
        <v>45830</v>
      </c>
      <c r="G63" s="139">
        <v>25637.8</v>
      </c>
      <c r="H63" s="36">
        <f t="shared" si="1"/>
        <v>6.9439534975059836E-3</v>
      </c>
      <c r="I63" s="38"/>
      <c r="J63" s="38"/>
      <c r="K63" s="38"/>
      <c r="L63" s="28"/>
      <c r="M63" s="28"/>
      <c r="N63" s="28"/>
      <c r="O63" s="28"/>
      <c r="P63" s="28"/>
      <c r="Q63" s="28"/>
      <c r="R63" s="28"/>
      <c r="S63" s="28"/>
      <c r="U63" s="28"/>
      <c r="V63" s="28"/>
      <c r="W63" s="28"/>
      <c r="X63" s="28"/>
      <c r="Y63" s="28"/>
      <c r="Z63" s="28"/>
      <c r="AA63" s="28"/>
      <c r="AB63" s="140">
        <v>45830</v>
      </c>
      <c r="AC63" s="139">
        <v>134.66</v>
      </c>
      <c r="AD63" s="36">
        <f t="shared" si="2"/>
        <v>4.1051410900657226E-2</v>
      </c>
    </row>
    <row r="64" spans="2:30" ht="23.4" x14ac:dyDescent="0.45">
      <c r="B64" s="140">
        <v>45823</v>
      </c>
      <c r="C64" s="139">
        <v>4300.3</v>
      </c>
      <c r="D64" s="36">
        <f t="shared" si="0"/>
        <v>-3.0601599629070941E-3</v>
      </c>
      <c r="E64" s="28"/>
      <c r="F64" s="140">
        <v>45823</v>
      </c>
      <c r="G64" s="139">
        <v>25112.400000000001</v>
      </c>
      <c r="H64" s="36">
        <f t="shared" si="1"/>
        <v>-2.0493178041797622E-2</v>
      </c>
      <c r="I64" s="38"/>
      <c r="J64" s="38"/>
      <c r="K64" s="38"/>
      <c r="L64" s="28"/>
      <c r="M64" s="28"/>
      <c r="N64" s="28"/>
      <c r="O64" s="28"/>
      <c r="P64" s="28"/>
      <c r="Q64" s="28"/>
      <c r="R64" s="28"/>
      <c r="S64" s="28"/>
      <c r="U64" s="28"/>
      <c r="V64" s="28"/>
      <c r="W64" s="28"/>
      <c r="X64" s="28"/>
      <c r="Y64" s="28"/>
      <c r="Z64" s="28"/>
      <c r="AA64" s="28"/>
      <c r="AB64" s="140">
        <v>45823</v>
      </c>
      <c r="AC64" s="139">
        <v>129.62</v>
      </c>
      <c r="AD64" s="36">
        <f t="shared" si="2"/>
        <v>-3.7427595425516103E-2</v>
      </c>
    </row>
    <row r="65" spans="2:30" ht="23.4" x14ac:dyDescent="0.45">
      <c r="B65" s="140">
        <v>45816</v>
      </c>
      <c r="C65" s="139">
        <v>4051.9</v>
      </c>
      <c r="D65" s="36">
        <f t="shared" si="0"/>
        <v>-5.7763411854986901E-2</v>
      </c>
      <c r="E65" s="28"/>
      <c r="F65" s="140">
        <v>45816</v>
      </c>
      <c r="G65" s="139">
        <v>24718.6</v>
      </c>
      <c r="H65" s="36">
        <f t="shared" si="1"/>
        <v>-1.568149599401103E-2</v>
      </c>
      <c r="I65" s="38"/>
      <c r="J65" s="38"/>
      <c r="K65" s="38"/>
      <c r="L65" s="28"/>
      <c r="M65" s="28"/>
      <c r="N65" s="28"/>
      <c r="O65" s="28"/>
      <c r="P65" s="28"/>
      <c r="Q65" s="28"/>
      <c r="R65" s="28"/>
      <c r="S65" s="28"/>
      <c r="U65" s="28"/>
      <c r="V65" s="28"/>
      <c r="W65" s="28"/>
      <c r="X65" s="28"/>
      <c r="Y65" s="28"/>
      <c r="Z65" s="28"/>
      <c r="AA65" s="28"/>
      <c r="AB65" s="140">
        <v>45816</v>
      </c>
      <c r="AC65" s="139">
        <v>123.69</v>
      </c>
      <c r="AD65" s="36">
        <f t="shared" si="2"/>
        <v>-4.5749112791235946E-2</v>
      </c>
    </row>
    <row r="66" spans="2:30" ht="23.4" x14ac:dyDescent="0.45">
      <c r="B66" s="140">
        <v>45809</v>
      </c>
      <c r="C66" s="139">
        <v>4201.6000000000004</v>
      </c>
      <c r="D66" s="36">
        <f t="shared" si="0"/>
        <v>3.6945630444976452E-2</v>
      </c>
      <c r="E66" s="28"/>
      <c r="F66" s="140">
        <v>45809</v>
      </c>
      <c r="G66" s="139">
        <v>25003.05</v>
      </c>
      <c r="H66" s="36">
        <f t="shared" si="1"/>
        <v>1.1507528743537332E-2</v>
      </c>
      <c r="I66" s="38"/>
      <c r="J66" s="38"/>
      <c r="K66" s="38"/>
      <c r="L66" s="28"/>
      <c r="M66" s="28"/>
      <c r="N66" s="28"/>
      <c r="O66" s="28"/>
      <c r="P66" s="28"/>
      <c r="Q66" s="28"/>
      <c r="R66" s="28"/>
      <c r="S66" s="28"/>
      <c r="U66" s="28"/>
      <c r="V66" s="28"/>
      <c r="W66" s="28"/>
      <c r="X66" s="28"/>
      <c r="Y66" s="28"/>
      <c r="Z66" s="28"/>
      <c r="AA66" s="28"/>
      <c r="AB66" s="140">
        <v>45809</v>
      </c>
      <c r="AC66" s="139">
        <v>127.23</v>
      </c>
      <c r="AD66" s="36">
        <f t="shared" si="2"/>
        <v>2.8619936939122015E-2</v>
      </c>
    </row>
    <row r="67" spans="2:30" ht="23.4" x14ac:dyDescent="0.45">
      <c r="B67" s="140">
        <v>45802</v>
      </c>
      <c r="C67" s="139">
        <v>4002.1</v>
      </c>
      <c r="D67" s="36">
        <f t="shared" si="0"/>
        <v>-4.7481911652703879E-2</v>
      </c>
      <c r="E67" s="28"/>
      <c r="F67" s="140">
        <v>45802</v>
      </c>
      <c r="G67" s="139">
        <v>24750.7</v>
      </c>
      <c r="H67" s="36">
        <f t="shared" si="1"/>
        <v>-1.0092768682220754E-2</v>
      </c>
      <c r="I67" s="38"/>
      <c r="J67" s="38"/>
      <c r="K67" s="38"/>
      <c r="L67" s="28"/>
      <c r="M67" s="28"/>
      <c r="N67" s="28"/>
      <c r="O67" s="28"/>
      <c r="P67" s="28"/>
      <c r="Q67" s="28"/>
      <c r="R67" s="28"/>
      <c r="S67" s="28"/>
      <c r="U67" s="28"/>
      <c r="V67" s="28"/>
      <c r="W67" s="28"/>
      <c r="X67" s="28"/>
      <c r="Y67" s="28"/>
      <c r="Z67" s="28"/>
      <c r="AA67" s="28"/>
      <c r="AB67" s="140">
        <v>45802</v>
      </c>
      <c r="AC67" s="139">
        <v>124.66</v>
      </c>
      <c r="AD67" s="36">
        <f t="shared" si="2"/>
        <v>-2.0199638450051127E-2</v>
      </c>
    </row>
    <row r="68" spans="2:30" ht="23.4" x14ac:dyDescent="0.45">
      <c r="B68" s="140">
        <v>45795</v>
      </c>
      <c r="C68" s="139">
        <v>4140.8</v>
      </c>
      <c r="D68" s="36">
        <f t="shared" si="0"/>
        <v>3.465680517728198E-2</v>
      </c>
      <c r="E68" s="28"/>
      <c r="F68" s="140">
        <v>45795</v>
      </c>
      <c r="G68" s="139">
        <v>24853.15</v>
      </c>
      <c r="H68" s="36">
        <f t="shared" si="1"/>
        <v>4.139276868937003E-3</v>
      </c>
      <c r="I68" s="38"/>
      <c r="J68" s="38"/>
      <c r="K68" s="38"/>
      <c r="L68" s="28"/>
      <c r="M68" s="28"/>
      <c r="N68" s="28"/>
      <c r="O68" s="28"/>
      <c r="P68" s="28"/>
      <c r="Q68" s="28"/>
      <c r="R68" s="28"/>
      <c r="S68" s="28"/>
      <c r="U68" s="28"/>
      <c r="V68" s="28"/>
      <c r="W68" s="28"/>
      <c r="X68" s="28"/>
      <c r="Y68" s="28"/>
      <c r="Z68" s="28"/>
      <c r="AA68" s="28"/>
      <c r="AB68" s="140">
        <v>45795</v>
      </c>
      <c r="AC68" s="139">
        <v>122.72</v>
      </c>
      <c r="AD68" s="36">
        <f t="shared" si="2"/>
        <v>-1.5562329536338848E-2</v>
      </c>
    </row>
    <row r="69" spans="2:30" ht="23.4" x14ac:dyDescent="0.45">
      <c r="B69" s="140">
        <v>45788</v>
      </c>
      <c r="C69" s="139">
        <v>4189.7</v>
      </c>
      <c r="D69" s="36">
        <f t="shared" si="0"/>
        <v>1.1809312210200762E-2</v>
      </c>
      <c r="E69" s="28"/>
      <c r="F69" s="140">
        <v>45788</v>
      </c>
      <c r="G69" s="139">
        <v>25019.8</v>
      </c>
      <c r="H69" s="36">
        <f t="shared" si="1"/>
        <v>6.705387445856914E-3</v>
      </c>
      <c r="I69" s="38"/>
      <c r="J69" s="38"/>
      <c r="K69" s="38"/>
      <c r="L69" s="28"/>
      <c r="M69" s="28"/>
      <c r="N69" s="28"/>
      <c r="O69" s="28"/>
      <c r="P69" s="28"/>
      <c r="Q69" s="28"/>
      <c r="R69" s="28"/>
      <c r="S69" s="28"/>
      <c r="U69" s="28"/>
      <c r="V69" s="28"/>
      <c r="W69" s="28"/>
      <c r="X69" s="28"/>
      <c r="Y69" s="28"/>
      <c r="Z69" s="28"/>
      <c r="AA69" s="28"/>
      <c r="AB69" s="140">
        <v>45788</v>
      </c>
      <c r="AC69" s="139">
        <v>126.27</v>
      </c>
      <c r="AD69" s="36">
        <f t="shared" si="2"/>
        <v>2.8927640156453771E-2</v>
      </c>
    </row>
    <row r="70" spans="2:30" ht="23.4" x14ac:dyDescent="0.45">
      <c r="B70" s="140">
        <v>45781</v>
      </c>
      <c r="C70" s="139">
        <v>3972.4</v>
      </c>
      <c r="D70" s="36">
        <f t="shared" si="0"/>
        <v>-5.1865288684153965E-2</v>
      </c>
      <c r="E70" s="28"/>
      <c r="F70" s="140">
        <v>45781</v>
      </c>
      <c r="G70" s="139">
        <v>24008</v>
      </c>
      <c r="H70" s="36">
        <f t="shared" si="1"/>
        <v>-4.0439971542538311E-2</v>
      </c>
      <c r="I70" s="38"/>
      <c r="J70" s="38"/>
      <c r="K70" s="38"/>
      <c r="L70" s="28"/>
      <c r="M70" s="28"/>
      <c r="N70" s="28"/>
      <c r="O70" s="28"/>
      <c r="P70" s="28"/>
      <c r="Q70" s="28"/>
      <c r="R70" s="28"/>
      <c r="S70" s="28"/>
      <c r="U70" s="28"/>
      <c r="V70" s="28"/>
      <c r="W70" s="28"/>
      <c r="X70" s="28"/>
      <c r="Y70" s="28"/>
      <c r="Z70" s="28"/>
      <c r="AA70" s="28"/>
      <c r="AB70" s="140">
        <v>45781</v>
      </c>
      <c r="AC70" s="139">
        <v>120.79</v>
      </c>
      <c r="AD70" s="36">
        <f t="shared" si="2"/>
        <v>-4.3399065494575062E-2</v>
      </c>
    </row>
    <row r="71" spans="2:30" ht="23.4" x14ac:dyDescent="0.45">
      <c r="B71" s="140">
        <v>45774</v>
      </c>
      <c r="C71" s="139">
        <v>4059.2</v>
      </c>
      <c r="D71" s="36">
        <f t="shared" si="0"/>
        <v>2.1850770315174683E-2</v>
      </c>
      <c r="E71" s="28"/>
      <c r="F71" s="140">
        <v>45774</v>
      </c>
      <c r="G71" s="139">
        <v>24346.7</v>
      </c>
      <c r="H71" s="36">
        <f t="shared" si="1"/>
        <v>1.4107797400866318E-2</v>
      </c>
      <c r="I71" s="38"/>
      <c r="J71" s="38"/>
      <c r="K71" s="38"/>
      <c r="L71" s="28"/>
      <c r="M71" s="28"/>
      <c r="N71" s="28"/>
      <c r="O71" s="28"/>
      <c r="P71" s="28"/>
      <c r="Q71" s="28"/>
      <c r="R71" s="28"/>
      <c r="S71" s="28"/>
      <c r="U71" s="28"/>
      <c r="V71" s="28"/>
      <c r="W71" s="28"/>
      <c r="X71" s="28"/>
      <c r="Y71" s="28"/>
      <c r="Z71" s="28"/>
      <c r="AA71" s="28"/>
      <c r="AB71" s="140">
        <v>45774</v>
      </c>
      <c r="AC71" s="139">
        <v>121.31</v>
      </c>
      <c r="AD71" s="36">
        <f t="shared" si="2"/>
        <v>4.3049921351105969E-3</v>
      </c>
    </row>
    <row r="72" spans="2:30" ht="23.4" x14ac:dyDescent="0.45">
      <c r="B72" s="140">
        <v>45767</v>
      </c>
      <c r="C72" s="139">
        <v>4375.2</v>
      </c>
      <c r="D72" s="36">
        <f t="shared" si="0"/>
        <v>7.7847851793456879E-2</v>
      </c>
      <c r="E72" s="28"/>
      <c r="F72" s="140">
        <v>45767</v>
      </c>
      <c r="G72" s="139">
        <v>24039.35</v>
      </c>
      <c r="H72" s="36">
        <f t="shared" si="1"/>
        <v>-1.2623887426222113E-2</v>
      </c>
      <c r="I72" s="38"/>
      <c r="J72" s="38"/>
      <c r="K72" s="38"/>
      <c r="L72" s="28"/>
      <c r="M72" s="28"/>
      <c r="N72" s="28"/>
      <c r="O72" s="28"/>
      <c r="P72" s="28"/>
      <c r="Q72" s="28"/>
      <c r="R72" s="28"/>
      <c r="S72" s="28"/>
      <c r="U72" s="28"/>
      <c r="V72" s="28"/>
      <c r="W72" s="28"/>
      <c r="X72" s="28"/>
      <c r="Y72" s="28"/>
      <c r="Z72" s="28"/>
      <c r="AA72" s="28"/>
      <c r="AB72" s="140">
        <v>45767</v>
      </c>
      <c r="AC72" s="139">
        <v>107.32</v>
      </c>
      <c r="AD72" s="36">
        <f t="shared" si="2"/>
        <v>-0.11532437556672992</v>
      </c>
    </row>
    <row r="73" spans="2:30" ht="23.4" x14ac:dyDescent="0.45">
      <c r="B73" s="140">
        <v>45760</v>
      </c>
      <c r="C73" s="139">
        <v>4357.1000000000004</v>
      </c>
      <c r="D73" s="36">
        <f t="shared" ref="D73:D110" si="3">C73/C72-1</f>
        <v>-4.1369537392574873E-3</v>
      </c>
      <c r="E73" s="28"/>
      <c r="F73" s="140">
        <v>45760</v>
      </c>
      <c r="G73" s="139">
        <v>23851.65</v>
      </c>
      <c r="H73" s="36">
        <f t="shared" ref="H73:H110" si="4">G73/G72-1</f>
        <v>-7.8080314151587338E-3</v>
      </c>
      <c r="I73" s="38"/>
      <c r="J73" s="38"/>
      <c r="K73" s="38"/>
      <c r="L73" s="28"/>
      <c r="M73" s="28"/>
      <c r="N73" s="28"/>
      <c r="O73" s="28"/>
      <c r="P73" s="28"/>
      <c r="Q73" s="28"/>
      <c r="R73" s="28"/>
      <c r="S73" s="28"/>
      <c r="U73" s="28"/>
      <c r="V73" s="28"/>
      <c r="W73" s="28"/>
      <c r="X73" s="28"/>
      <c r="Y73" s="28"/>
      <c r="Z73" s="28"/>
      <c r="AA73" s="28"/>
      <c r="AB73" s="140">
        <v>45760</v>
      </c>
      <c r="AC73" s="139">
        <v>108.67</v>
      </c>
      <c r="AD73" s="36">
        <f t="shared" ref="AD73:AD89" si="5">AC73/AC72-1</f>
        <v>1.2579202385389676E-2</v>
      </c>
    </row>
    <row r="74" spans="2:30" ht="23.4" x14ac:dyDescent="0.45">
      <c r="B74" s="140">
        <v>45753</v>
      </c>
      <c r="C74" s="139">
        <v>4131.5</v>
      </c>
      <c r="D74" s="36">
        <f t="shared" si="3"/>
        <v>-5.1777558467788309E-2</v>
      </c>
      <c r="E74" s="28"/>
      <c r="F74" s="140">
        <v>45753</v>
      </c>
      <c r="G74" s="139">
        <v>22828.55</v>
      </c>
      <c r="H74" s="36">
        <f t="shared" si="4"/>
        <v>-4.2894307102443685E-2</v>
      </c>
      <c r="I74" s="38"/>
      <c r="J74" s="38"/>
      <c r="K74" s="38"/>
      <c r="L74" s="28"/>
      <c r="M74" s="28"/>
      <c r="N74" s="28"/>
      <c r="O74" s="28"/>
      <c r="P74" s="28"/>
      <c r="Q74" s="28"/>
      <c r="R74" s="28"/>
      <c r="S74" s="28"/>
      <c r="U74" s="28"/>
      <c r="V74" s="28"/>
      <c r="W74" s="28"/>
      <c r="X74" s="28"/>
      <c r="Y74" s="28"/>
      <c r="Z74" s="28"/>
      <c r="AA74" s="28"/>
      <c r="AB74" s="140">
        <v>45753</v>
      </c>
      <c r="AC74" s="139">
        <v>104.51</v>
      </c>
      <c r="AD74" s="36">
        <f t="shared" si="5"/>
        <v>-3.828103432410046E-2</v>
      </c>
    </row>
    <row r="75" spans="2:30" ht="23.4" x14ac:dyDescent="0.45">
      <c r="B75" s="140">
        <v>45746</v>
      </c>
      <c r="C75" s="139">
        <v>4039.9</v>
      </c>
      <c r="D75" s="36">
        <f t="shared" si="3"/>
        <v>-2.2171124288999144E-2</v>
      </c>
      <c r="E75" s="28"/>
      <c r="F75" s="140">
        <v>45746</v>
      </c>
      <c r="G75" s="139">
        <v>22904.45</v>
      </c>
      <c r="H75" s="36">
        <f t="shared" si="4"/>
        <v>3.3247840971064591E-3</v>
      </c>
      <c r="I75" s="38"/>
      <c r="J75" s="38"/>
      <c r="K75" s="38"/>
      <c r="L75" s="28"/>
      <c r="M75" s="28"/>
      <c r="N75" s="28"/>
      <c r="O75" s="28"/>
      <c r="P75" s="28"/>
      <c r="Q75" s="28"/>
      <c r="R75" s="28"/>
      <c r="S75" s="28"/>
      <c r="U75" s="28"/>
      <c r="V75" s="28"/>
      <c r="W75" s="28"/>
      <c r="X75" s="28"/>
      <c r="Y75" s="28"/>
      <c r="Z75" s="28"/>
      <c r="AA75" s="28"/>
      <c r="AB75" s="140">
        <v>45746</v>
      </c>
      <c r="AC75" s="139">
        <v>105.79</v>
      </c>
      <c r="AD75" s="36">
        <f t="shared" si="5"/>
        <v>1.224763180556887E-2</v>
      </c>
    </row>
    <row r="76" spans="2:30" ht="23.4" x14ac:dyDescent="0.45">
      <c r="B76" s="140">
        <v>45739</v>
      </c>
      <c r="C76" s="139">
        <v>4083.2</v>
      </c>
      <c r="D76" s="36">
        <f t="shared" si="3"/>
        <v>1.0718087081363237E-2</v>
      </c>
      <c r="E76" s="28"/>
      <c r="F76" s="140">
        <v>45739</v>
      </c>
      <c r="G76" s="139">
        <v>23519.35</v>
      </c>
      <c r="H76" s="36">
        <f t="shared" si="4"/>
        <v>2.6846311524616251E-2</v>
      </c>
      <c r="I76" s="38"/>
      <c r="J76" s="28"/>
      <c r="K76" s="28"/>
      <c r="L76" s="28"/>
      <c r="M76" s="28"/>
      <c r="N76" s="28"/>
      <c r="O76" s="28"/>
      <c r="Q76" s="28"/>
      <c r="R76" s="28"/>
      <c r="S76" s="28"/>
      <c r="U76" s="28"/>
      <c r="V76" s="28"/>
      <c r="W76" s="28"/>
      <c r="X76" s="28"/>
      <c r="Y76" s="28"/>
      <c r="Z76" s="28"/>
      <c r="AA76" s="28"/>
      <c r="AB76" s="140">
        <v>45739</v>
      </c>
      <c r="AC76" s="139">
        <v>104.24</v>
      </c>
      <c r="AD76" s="36">
        <f t="shared" si="5"/>
        <v>-1.4651668399659812E-2</v>
      </c>
    </row>
    <row r="77" spans="2:30" ht="23.4" x14ac:dyDescent="0.45">
      <c r="B77" s="140">
        <v>45732</v>
      </c>
      <c r="C77" s="139">
        <v>3892.2</v>
      </c>
      <c r="D77" s="36">
        <f t="shared" si="3"/>
        <v>-4.6777037617554806E-2</v>
      </c>
      <c r="E77" s="28"/>
      <c r="F77" s="140">
        <v>45732</v>
      </c>
      <c r="G77" s="139">
        <v>23350.400000000001</v>
      </c>
      <c r="H77" s="36">
        <f t="shared" si="4"/>
        <v>-7.1834468214468927E-3</v>
      </c>
      <c r="I77" s="38"/>
      <c r="J77" s="28"/>
      <c r="K77" s="28"/>
      <c r="L77" s="28"/>
      <c r="M77" s="28"/>
      <c r="N77" s="28"/>
      <c r="O77" s="28"/>
      <c r="Q77" s="28"/>
      <c r="R77" s="28"/>
      <c r="S77" s="28"/>
      <c r="U77" s="28"/>
      <c r="V77" s="28"/>
      <c r="W77" s="28"/>
      <c r="X77" s="28"/>
      <c r="Y77" s="28"/>
      <c r="Z77" s="28"/>
      <c r="AA77" s="28"/>
      <c r="AB77" s="140">
        <v>45732</v>
      </c>
      <c r="AC77" s="139">
        <v>102.1</v>
      </c>
      <c r="AD77" s="36">
        <f t="shared" si="5"/>
        <v>-2.0529547198772091E-2</v>
      </c>
    </row>
    <row r="78" spans="2:30" ht="23.4" x14ac:dyDescent="0.45">
      <c r="B78" s="140">
        <v>45725</v>
      </c>
      <c r="C78" s="139">
        <v>3797.1</v>
      </c>
      <c r="D78" s="36">
        <f t="shared" si="3"/>
        <v>-2.4433482349313973E-2</v>
      </c>
      <c r="E78" s="28"/>
      <c r="F78" s="140">
        <v>45725</v>
      </c>
      <c r="G78" s="139">
        <v>22397.200000000001</v>
      </c>
      <c r="H78" s="36">
        <f t="shared" si="4"/>
        <v>-4.0821570508428162E-2</v>
      </c>
      <c r="I78" s="38"/>
      <c r="J78" s="28"/>
      <c r="K78" s="28"/>
      <c r="L78" s="28"/>
      <c r="M78" s="28"/>
      <c r="N78" s="28"/>
      <c r="O78" s="28"/>
      <c r="Q78" s="28"/>
      <c r="R78" s="28"/>
      <c r="S78" s="28"/>
      <c r="U78" s="28"/>
      <c r="V78" s="28"/>
      <c r="W78" s="28"/>
      <c r="X78" s="28"/>
      <c r="Y78" s="28"/>
      <c r="Z78" s="28"/>
      <c r="AA78" s="28"/>
      <c r="AB78" s="140">
        <v>45725</v>
      </c>
      <c r="AC78" s="139">
        <v>99.44</v>
      </c>
      <c r="AD78" s="36">
        <f t="shared" si="5"/>
        <v>-2.6052889324191919E-2</v>
      </c>
    </row>
    <row r="79" spans="2:30" ht="23.4" x14ac:dyDescent="0.45">
      <c r="B79" s="140">
        <v>45718</v>
      </c>
      <c r="C79" s="139">
        <v>3593.6</v>
      </c>
      <c r="D79" s="36">
        <f t="shared" si="3"/>
        <v>-5.3593531905928193E-2</v>
      </c>
      <c r="E79" s="28"/>
      <c r="F79" s="140">
        <v>45718</v>
      </c>
      <c r="G79" s="139">
        <v>22552.5</v>
      </c>
      <c r="H79" s="36">
        <f t="shared" si="4"/>
        <v>6.9339024520922443E-3</v>
      </c>
      <c r="I79" s="38"/>
      <c r="J79" s="28"/>
      <c r="K79" s="28"/>
      <c r="L79" s="28"/>
      <c r="M79" s="28"/>
      <c r="N79" s="28"/>
      <c r="O79" s="28"/>
      <c r="Q79" s="28"/>
      <c r="R79" s="28"/>
      <c r="S79" s="28"/>
      <c r="U79" s="28"/>
      <c r="V79" s="28"/>
      <c r="W79" s="28"/>
      <c r="X79" s="28"/>
      <c r="Y79" s="28"/>
      <c r="Z79" s="28"/>
      <c r="AA79" s="28"/>
      <c r="AB79" s="140">
        <v>45718</v>
      </c>
      <c r="AC79" s="139">
        <v>104.57</v>
      </c>
      <c r="AD79" s="36">
        <f t="shared" si="5"/>
        <v>5.1588897827835822E-2</v>
      </c>
    </row>
    <row r="80" spans="2:30" ht="23.4" x14ac:dyDescent="0.45">
      <c r="B80" s="140">
        <v>45711</v>
      </c>
      <c r="C80" s="139">
        <v>3403.95</v>
      </c>
      <c r="D80" s="36">
        <f t="shared" si="3"/>
        <v>-5.2774376669634915E-2</v>
      </c>
      <c r="E80" s="28"/>
      <c r="F80" s="140">
        <v>45711</v>
      </c>
      <c r="G80" s="139">
        <v>22124.7</v>
      </c>
      <c r="H80" s="36">
        <f t="shared" si="4"/>
        <v>-1.8969072164948475E-2</v>
      </c>
      <c r="I80" s="38"/>
      <c r="U80" s="28"/>
      <c r="V80" s="28"/>
      <c r="W80" s="28"/>
      <c r="X80" s="28"/>
      <c r="Y80" s="28"/>
      <c r="Z80" s="28"/>
      <c r="AA80" s="28"/>
      <c r="AB80" s="140">
        <v>45711</v>
      </c>
      <c r="AC80" s="139">
        <v>100.21</v>
      </c>
      <c r="AD80" s="36">
        <f t="shared" si="5"/>
        <v>-4.1694558668834314E-2</v>
      </c>
    </row>
    <row r="81" spans="2:34" ht="23.4" x14ac:dyDescent="0.45">
      <c r="B81" s="140">
        <v>45704</v>
      </c>
      <c r="C81" s="139">
        <v>3596.7</v>
      </c>
      <c r="D81" s="36">
        <f t="shared" si="3"/>
        <v>5.6625391089763388E-2</v>
      </c>
      <c r="E81" s="28"/>
      <c r="F81" s="140">
        <v>45704</v>
      </c>
      <c r="G81" s="139">
        <v>22795.9</v>
      </c>
      <c r="H81" s="36">
        <f t="shared" si="4"/>
        <v>3.0337134514818231E-2</v>
      </c>
      <c r="I81" s="38"/>
      <c r="U81" s="28"/>
      <c r="V81" s="28"/>
      <c r="W81" s="28"/>
      <c r="X81" s="28"/>
      <c r="Y81" s="28"/>
      <c r="Z81" s="28"/>
      <c r="AA81" s="28"/>
      <c r="AB81" s="140">
        <v>45704</v>
      </c>
      <c r="AC81" s="139">
        <v>102.65</v>
      </c>
      <c r="AD81" s="36">
        <f t="shared" si="5"/>
        <v>2.4348867378505279E-2</v>
      </c>
    </row>
    <row r="82" spans="2:34" ht="23.4" x14ac:dyDescent="0.45">
      <c r="B82" s="140">
        <v>45697</v>
      </c>
      <c r="C82" s="139">
        <v>3682.65</v>
      </c>
      <c r="D82" s="36">
        <f t="shared" si="3"/>
        <v>2.3896905496705312E-2</v>
      </c>
      <c r="E82" s="28"/>
      <c r="F82" s="140">
        <v>45697</v>
      </c>
      <c r="G82" s="139">
        <v>22929.25</v>
      </c>
      <c r="H82" s="36">
        <f t="shared" si="4"/>
        <v>5.8497361367613188E-3</v>
      </c>
      <c r="I82" s="38"/>
      <c r="U82" s="28"/>
      <c r="V82" s="28"/>
      <c r="W82" s="28"/>
      <c r="X82" s="28"/>
      <c r="Y82" s="28"/>
      <c r="Z82" s="28"/>
      <c r="AA82" s="28"/>
      <c r="AB82" s="140">
        <v>45697</v>
      </c>
      <c r="AC82" s="139">
        <v>104.54</v>
      </c>
      <c r="AD82" s="36">
        <f t="shared" si="5"/>
        <v>1.8412079883098009E-2</v>
      </c>
    </row>
    <row r="83" spans="2:34" ht="23.4" x14ac:dyDescent="0.45">
      <c r="B83" s="140">
        <v>45690</v>
      </c>
      <c r="C83" s="139">
        <v>3743.5</v>
      </c>
      <c r="D83" s="36">
        <f t="shared" si="3"/>
        <v>1.6523427423187131E-2</v>
      </c>
      <c r="E83" s="28"/>
      <c r="F83" s="140">
        <v>45690</v>
      </c>
      <c r="G83" s="139">
        <v>23559.95</v>
      </c>
      <c r="H83" s="36">
        <f t="shared" si="4"/>
        <v>2.7506351058146361E-2</v>
      </c>
      <c r="I83" s="38"/>
      <c r="U83" s="28"/>
      <c r="V83" s="28"/>
      <c r="W83" s="28"/>
      <c r="X83" s="28"/>
      <c r="Y83" s="28"/>
      <c r="Z83" s="28"/>
      <c r="AA83" s="28"/>
      <c r="AB83" s="140">
        <v>45690</v>
      </c>
      <c r="AC83" s="139">
        <v>113.13</v>
      </c>
      <c r="AD83" s="36">
        <f t="shared" si="5"/>
        <v>8.2169504495886558E-2</v>
      </c>
    </row>
    <row r="84" spans="2:34" ht="23.4" x14ac:dyDescent="0.45">
      <c r="B84" s="140">
        <v>45683</v>
      </c>
      <c r="C84" s="139">
        <v>3664.65</v>
      </c>
      <c r="D84" s="36">
        <f t="shared" si="3"/>
        <v>-2.1063176172031461E-2</v>
      </c>
      <c r="E84" s="28"/>
      <c r="F84" s="140">
        <v>45683</v>
      </c>
      <c r="G84" s="139">
        <v>23508.400000000001</v>
      </c>
      <c r="H84" s="36">
        <f t="shared" si="4"/>
        <v>-2.188035203809835E-3</v>
      </c>
      <c r="I84" s="38"/>
      <c r="U84" s="28"/>
      <c r="V84" s="28"/>
      <c r="W84" s="28"/>
      <c r="X84" s="28"/>
      <c r="Y84" s="28"/>
      <c r="Z84" s="28"/>
      <c r="AA84" s="28"/>
      <c r="AB84" s="140">
        <v>45683</v>
      </c>
      <c r="AC84" s="139">
        <v>107.95</v>
      </c>
      <c r="AD84" s="36">
        <f t="shared" si="5"/>
        <v>-4.5788031468222301E-2</v>
      </c>
    </row>
    <row r="85" spans="2:34" ht="23.4" x14ac:dyDescent="0.45">
      <c r="B85" s="140">
        <v>45676</v>
      </c>
      <c r="C85" s="139">
        <v>3579.95</v>
      </c>
      <c r="D85" s="36">
        <f t="shared" si="3"/>
        <v>-2.311271199159548E-2</v>
      </c>
      <c r="E85" s="28"/>
      <c r="F85" s="140">
        <v>45676</v>
      </c>
      <c r="G85" s="139">
        <v>23092.2</v>
      </c>
      <c r="H85" s="36">
        <f t="shared" si="4"/>
        <v>-1.7704309948784247E-2</v>
      </c>
      <c r="I85" s="38"/>
      <c r="U85" s="28"/>
      <c r="V85" s="28"/>
      <c r="W85" s="28"/>
      <c r="X85" s="28"/>
      <c r="Y85" s="28"/>
      <c r="Z85" s="28"/>
      <c r="AA85" s="28"/>
      <c r="AB85" s="140">
        <v>45676</v>
      </c>
      <c r="AC85" s="139">
        <v>102.81</v>
      </c>
      <c r="AD85" s="36">
        <f t="shared" si="5"/>
        <v>-4.7614636405743371E-2</v>
      </c>
    </row>
    <row r="86" spans="2:34" ht="23.4" x14ac:dyDescent="0.45">
      <c r="B86" s="140">
        <v>45669</v>
      </c>
      <c r="C86" s="139">
        <v>3620.65</v>
      </c>
      <c r="D86" s="36">
        <f t="shared" si="3"/>
        <v>1.1368873866953511E-2</v>
      </c>
      <c r="E86" s="28"/>
      <c r="F86" s="140">
        <v>45669</v>
      </c>
      <c r="G86" s="139">
        <v>23203.200000000001</v>
      </c>
      <c r="H86" s="36">
        <f t="shared" si="4"/>
        <v>4.8068178865590117E-3</v>
      </c>
      <c r="I86" s="38"/>
      <c r="U86" s="28"/>
      <c r="V86" s="28"/>
      <c r="W86" s="28"/>
      <c r="X86" s="28"/>
      <c r="Y86" s="28"/>
      <c r="Z86" s="28"/>
      <c r="AA86" s="28"/>
      <c r="AB86" s="140">
        <v>45669</v>
      </c>
      <c r="AC86" s="139">
        <v>109.84</v>
      </c>
      <c r="AD86" s="36">
        <f t="shared" si="5"/>
        <v>6.8378562396653964E-2</v>
      </c>
    </row>
    <row r="87" spans="2:34" ht="23.4" x14ac:dyDescent="0.45">
      <c r="B87" s="140">
        <v>45662</v>
      </c>
      <c r="C87" s="139">
        <v>3686.25</v>
      </c>
      <c r="D87" s="36">
        <f t="shared" si="3"/>
        <v>1.8118293676549824E-2</v>
      </c>
      <c r="E87" s="28"/>
      <c r="F87" s="140">
        <v>45662</v>
      </c>
      <c r="G87" s="139">
        <v>23431.5</v>
      </c>
      <c r="H87" s="36">
        <f t="shared" si="4"/>
        <v>9.8391601158460684E-3</v>
      </c>
      <c r="I87" s="38"/>
      <c r="Y87" s="28"/>
      <c r="Z87" s="28"/>
      <c r="AA87" s="28"/>
      <c r="AB87" s="140">
        <v>45662</v>
      </c>
      <c r="AC87" s="139">
        <v>108.51</v>
      </c>
      <c r="AD87" s="36">
        <f t="shared" si="5"/>
        <v>-1.2108521485797552E-2</v>
      </c>
      <c r="AE87" s="28"/>
      <c r="AF87" s="28"/>
      <c r="AG87" s="28"/>
      <c r="AH87" s="28"/>
    </row>
    <row r="88" spans="2:34" ht="23.4" x14ac:dyDescent="0.45">
      <c r="B88" s="140">
        <v>45655</v>
      </c>
      <c r="C88" s="139">
        <v>4025.2</v>
      </c>
      <c r="D88" s="36">
        <f t="shared" si="3"/>
        <v>9.1949813496100319E-2</v>
      </c>
      <c r="E88" s="28"/>
      <c r="F88" s="140">
        <v>45655</v>
      </c>
      <c r="G88" s="139">
        <v>24004.75</v>
      </c>
      <c r="H88" s="36">
        <f t="shared" si="4"/>
        <v>2.4464929688666981E-2</v>
      </c>
      <c r="I88" s="38"/>
      <c r="Y88" s="28"/>
      <c r="Z88" s="28"/>
      <c r="AA88" s="28"/>
      <c r="AB88" s="140">
        <v>45655</v>
      </c>
      <c r="AC88" s="139">
        <v>112.18</v>
      </c>
      <c r="AD88" s="36">
        <f t="shared" si="5"/>
        <v>3.3821767579024886E-2</v>
      </c>
      <c r="AE88" s="28"/>
      <c r="AF88" s="28"/>
      <c r="AG88" s="28"/>
      <c r="AH88" s="28"/>
    </row>
    <row r="89" spans="2:34" ht="23.4" x14ac:dyDescent="0.45">
      <c r="B89" s="140">
        <v>45648</v>
      </c>
      <c r="C89" s="139">
        <v>3568.35</v>
      </c>
      <c r="D89" s="36">
        <f t="shared" si="3"/>
        <v>-0.11349746596442412</v>
      </c>
      <c r="E89" s="28"/>
      <c r="F89" s="140">
        <v>45648</v>
      </c>
      <c r="G89" s="139">
        <v>23813.4</v>
      </c>
      <c r="H89" s="36">
        <f t="shared" si="4"/>
        <v>-7.9713390058216982E-3</v>
      </c>
      <c r="I89" s="38"/>
      <c r="Y89" s="28"/>
      <c r="Z89" s="28"/>
      <c r="AA89" s="28"/>
      <c r="AB89" s="140">
        <v>45648</v>
      </c>
      <c r="AC89" s="139">
        <v>106.14</v>
      </c>
      <c r="AD89" s="36">
        <f t="shared" si="5"/>
        <v>-5.3842039579247714E-2</v>
      </c>
      <c r="AE89" s="28"/>
      <c r="AF89" s="28"/>
      <c r="AG89" s="28"/>
      <c r="AH89" s="28"/>
    </row>
    <row r="90" spans="2:34" ht="23.4" x14ac:dyDescent="0.45">
      <c r="B90" s="140">
        <v>45641</v>
      </c>
      <c r="C90" s="139">
        <v>3408.3</v>
      </c>
      <c r="D90" s="36">
        <f t="shared" si="3"/>
        <v>-4.4852662995502057E-2</v>
      </c>
      <c r="E90" s="28"/>
      <c r="F90" s="140">
        <v>45641</v>
      </c>
      <c r="G90" s="139">
        <v>23587.5</v>
      </c>
      <c r="H90" s="36">
        <f t="shared" si="4"/>
        <v>-9.4862556375822082E-3</v>
      </c>
      <c r="I90" s="38"/>
      <c r="Z90" s="28"/>
      <c r="AA90" s="28"/>
      <c r="AB90" s="28"/>
      <c r="AC90" s="28"/>
      <c r="AD90" s="28"/>
      <c r="AE90" s="28"/>
      <c r="AF90" s="28"/>
      <c r="AG90" s="28"/>
      <c r="AH90" s="28"/>
    </row>
    <row r="91" spans="2:34" ht="23.4" x14ac:dyDescent="0.45">
      <c r="B91" s="140">
        <v>45634</v>
      </c>
      <c r="C91" s="139">
        <v>3652.3</v>
      </c>
      <c r="D91" s="36">
        <f t="shared" si="3"/>
        <v>7.1589942199923762E-2</v>
      </c>
      <c r="E91" s="28"/>
      <c r="F91" s="140">
        <v>45634</v>
      </c>
      <c r="G91" s="139">
        <v>24768.3</v>
      </c>
      <c r="H91" s="36">
        <f t="shared" si="4"/>
        <v>5.0060413354531041E-2</v>
      </c>
      <c r="I91" s="38"/>
      <c r="Z91" s="28"/>
      <c r="AA91" s="28"/>
      <c r="AB91" s="28"/>
      <c r="AC91" s="28"/>
      <c r="AD91" s="28"/>
      <c r="AE91" s="28"/>
      <c r="AF91" s="28"/>
      <c r="AG91" s="28"/>
      <c r="AH91" s="28"/>
    </row>
    <row r="92" spans="2:34" ht="23.4" x14ac:dyDescent="0.45">
      <c r="B92" s="140">
        <v>45627</v>
      </c>
      <c r="C92" s="139">
        <v>3805.55</v>
      </c>
      <c r="D92" s="36">
        <f t="shared" si="3"/>
        <v>4.195986090956394E-2</v>
      </c>
      <c r="E92" s="28"/>
      <c r="F92" s="140">
        <v>45627</v>
      </c>
      <c r="G92" s="139">
        <v>24677.8</v>
      </c>
      <c r="H92" s="36">
        <f t="shared" si="4"/>
        <v>-3.653864011660013E-3</v>
      </c>
      <c r="I92" s="38"/>
      <c r="Z92" s="28"/>
      <c r="AA92" s="28"/>
      <c r="AB92" s="28"/>
      <c r="AC92" s="28"/>
      <c r="AD92" s="28"/>
      <c r="AE92" s="28"/>
      <c r="AF92" s="28"/>
      <c r="AG92" s="28"/>
      <c r="AH92" s="28"/>
    </row>
    <row r="93" spans="2:34" ht="23.4" x14ac:dyDescent="0.45">
      <c r="B93" s="140">
        <v>45620</v>
      </c>
      <c r="C93" s="139">
        <v>3709.6</v>
      </c>
      <c r="D93" s="36">
        <f t="shared" si="3"/>
        <v>-2.5213175493686957E-2</v>
      </c>
      <c r="E93" s="28"/>
      <c r="F93" s="140">
        <v>45620</v>
      </c>
      <c r="G93" s="139">
        <v>24131.1</v>
      </c>
      <c r="H93" s="36">
        <f t="shared" si="4"/>
        <v>-2.2153514494809179E-2</v>
      </c>
      <c r="I93" s="38"/>
      <c r="Z93" s="28"/>
      <c r="AA93" s="28"/>
      <c r="AB93" s="28"/>
      <c r="AC93" s="28"/>
      <c r="AD93" s="28"/>
      <c r="AE93" s="28"/>
      <c r="AF93" s="28"/>
      <c r="AG93" s="28"/>
      <c r="AH93" s="28"/>
    </row>
    <row r="94" spans="2:34" ht="23.4" x14ac:dyDescent="0.45">
      <c r="B94" s="140">
        <v>45613</v>
      </c>
      <c r="C94" s="139">
        <v>3613.65</v>
      </c>
      <c r="D94" s="36">
        <f t="shared" si="3"/>
        <v>-2.5865322406728453E-2</v>
      </c>
      <c r="E94" s="28"/>
      <c r="F94" s="140">
        <v>45613</v>
      </c>
      <c r="G94" s="139">
        <v>23907.25</v>
      </c>
      <c r="H94" s="36">
        <f t="shared" si="4"/>
        <v>-9.2764109385812255E-3</v>
      </c>
      <c r="I94" s="38"/>
      <c r="Z94" s="28"/>
      <c r="AA94" s="28"/>
      <c r="AB94" s="28"/>
      <c r="AC94" s="28"/>
      <c r="AD94" s="28"/>
      <c r="AE94" s="28"/>
      <c r="AF94" s="28"/>
      <c r="AG94" s="28"/>
      <c r="AH94" s="28"/>
    </row>
    <row r="95" spans="2:34" ht="23.4" x14ac:dyDescent="0.45">
      <c r="B95" s="140">
        <v>45606</v>
      </c>
      <c r="C95" s="139">
        <v>3823.85</v>
      </c>
      <c r="D95" s="36">
        <f t="shared" si="3"/>
        <v>5.8168333955972429E-2</v>
      </c>
      <c r="E95" s="28"/>
      <c r="F95" s="140">
        <v>45606</v>
      </c>
      <c r="G95" s="139">
        <v>23532.7</v>
      </c>
      <c r="H95" s="36">
        <f t="shared" si="4"/>
        <v>-1.5666795637306663E-2</v>
      </c>
      <c r="I95" s="38"/>
      <c r="Z95" s="28"/>
      <c r="AA95" s="28"/>
      <c r="AB95" s="28"/>
      <c r="AC95" s="28"/>
      <c r="AD95" s="28"/>
      <c r="AE95" s="28"/>
      <c r="AF95" s="28"/>
      <c r="AG95" s="28"/>
      <c r="AH95" s="28"/>
    </row>
    <row r="96" spans="2:34" ht="23.4" x14ac:dyDescent="0.45">
      <c r="B96" s="140">
        <v>45599</v>
      </c>
      <c r="C96" s="139">
        <v>3874.5</v>
      </c>
      <c r="D96" s="36">
        <f t="shared" si="3"/>
        <v>1.3245812466493145E-2</v>
      </c>
      <c r="E96" s="28"/>
      <c r="F96" s="140">
        <v>45599</v>
      </c>
      <c r="G96" s="139">
        <v>24148.2</v>
      </c>
      <c r="H96" s="36">
        <f t="shared" si="4"/>
        <v>2.6155094825498049E-2</v>
      </c>
      <c r="I96" s="28"/>
      <c r="Z96" s="28"/>
      <c r="AA96" s="28"/>
      <c r="AB96" s="28"/>
      <c r="AC96" s="28"/>
      <c r="AD96" s="28"/>
      <c r="AE96" s="28"/>
      <c r="AF96" s="28"/>
      <c r="AG96" s="28"/>
      <c r="AH96" s="28"/>
    </row>
    <row r="97" spans="2:34" ht="23.4" x14ac:dyDescent="0.45">
      <c r="B97" s="140">
        <v>45592</v>
      </c>
      <c r="C97" s="139">
        <v>4001.6</v>
      </c>
      <c r="D97" s="36">
        <f t="shared" si="3"/>
        <v>3.2804232804232836E-2</v>
      </c>
      <c r="E97" s="28"/>
      <c r="F97" s="140">
        <v>45592</v>
      </c>
      <c r="G97" s="139">
        <v>24304.35</v>
      </c>
      <c r="H97" s="36">
        <f t="shared" si="4"/>
        <v>6.4663204710908584E-3</v>
      </c>
      <c r="I97" s="28"/>
      <c r="Z97" s="28"/>
      <c r="AA97" s="28"/>
      <c r="AB97" s="28"/>
      <c r="AC97" s="28"/>
      <c r="AD97" s="28"/>
      <c r="AE97" s="28"/>
      <c r="AF97" s="28"/>
      <c r="AG97" s="28"/>
      <c r="AH97" s="28"/>
    </row>
    <row r="98" spans="2:34" ht="23.4" x14ac:dyDescent="0.45">
      <c r="B98" s="140">
        <v>45585</v>
      </c>
      <c r="C98" s="139">
        <v>4052.2</v>
      </c>
      <c r="D98" s="36">
        <f t="shared" si="3"/>
        <v>1.2644942023190664E-2</v>
      </c>
      <c r="E98" s="28"/>
      <c r="F98" s="140">
        <v>45585</v>
      </c>
      <c r="G98" s="139">
        <v>24180.799999999999</v>
      </c>
      <c r="H98" s="36">
        <f t="shared" si="4"/>
        <v>-5.0834521392261189E-3</v>
      </c>
      <c r="I98" s="28"/>
      <c r="Z98" s="28"/>
      <c r="AA98" s="28"/>
      <c r="AB98" s="28"/>
      <c r="AC98" s="28"/>
      <c r="AD98" s="28"/>
      <c r="AE98" s="28"/>
      <c r="AF98" s="28"/>
      <c r="AG98" s="28"/>
      <c r="AH98" s="28"/>
    </row>
    <row r="99" spans="2:34" ht="23.4" x14ac:dyDescent="0.45">
      <c r="B99" s="140">
        <v>45578</v>
      </c>
      <c r="C99" s="139">
        <v>3986.7</v>
      </c>
      <c r="D99" s="36">
        <f t="shared" si="3"/>
        <v>-1.6164059029662892E-2</v>
      </c>
      <c r="E99" s="28"/>
      <c r="F99" s="140">
        <v>45578</v>
      </c>
      <c r="G99" s="139">
        <v>24854.05</v>
      </c>
      <c r="H99" s="36">
        <f t="shared" si="4"/>
        <v>2.7842337722490562E-2</v>
      </c>
      <c r="I99" s="28"/>
      <c r="Z99" s="28"/>
      <c r="AA99" s="28"/>
      <c r="AB99" s="28"/>
      <c r="AC99" s="28"/>
      <c r="AD99" s="28"/>
      <c r="AE99" s="28"/>
      <c r="AF99" s="28"/>
      <c r="AG99" s="28"/>
      <c r="AH99" s="28"/>
    </row>
    <row r="100" spans="2:34" ht="23.4" x14ac:dyDescent="0.45">
      <c r="B100" s="140">
        <v>45571</v>
      </c>
      <c r="C100" s="139">
        <v>4572.7</v>
      </c>
      <c r="D100" s="36">
        <f t="shared" si="3"/>
        <v>0.14698873755236153</v>
      </c>
      <c r="F100" s="140">
        <v>45571</v>
      </c>
      <c r="G100" s="139">
        <v>24964.25</v>
      </c>
      <c r="H100" s="36">
        <f t="shared" si="4"/>
        <v>4.4338850207512603E-3</v>
      </c>
    </row>
    <row r="101" spans="2:34" ht="23.4" x14ac:dyDescent="0.45">
      <c r="B101" s="140">
        <v>45564</v>
      </c>
      <c r="C101" s="139">
        <v>4737.55</v>
      </c>
      <c r="D101" s="36">
        <f t="shared" si="3"/>
        <v>3.6050910840422556E-2</v>
      </c>
      <c r="F101" s="140">
        <v>45564</v>
      </c>
      <c r="G101" s="139">
        <v>25014.6</v>
      </c>
      <c r="H101" s="36">
        <f t="shared" si="4"/>
        <v>2.0168841443264363E-3</v>
      </c>
    </row>
    <row r="102" spans="2:34" ht="23.4" x14ac:dyDescent="0.45">
      <c r="B102" s="140">
        <v>45557</v>
      </c>
      <c r="C102" s="139">
        <v>5102.3</v>
      </c>
      <c r="D102" s="36">
        <f t="shared" si="3"/>
        <v>7.699127185992749E-2</v>
      </c>
      <c r="F102" s="140">
        <v>45557</v>
      </c>
      <c r="G102" s="139">
        <v>26178.95</v>
      </c>
      <c r="H102" s="36">
        <f t="shared" si="4"/>
        <v>4.6546816659071233E-2</v>
      </c>
    </row>
    <row r="103" spans="2:34" ht="23.4" x14ac:dyDescent="0.45">
      <c r="B103" s="140">
        <v>45550</v>
      </c>
      <c r="C103" s="139">
        <v>5320.55</v>
      </c>
      <c r="D103" s="36">
        <f t="shared" si="3"/>
        <v>4.2774827038786434E-2</v>
      </c>
      <c r="F103" s="140">
        <v>45550</v>
      </c>
      <c r="G103" s="139">
        <v>25790.95</v>
      </c>
      <c r="H103" s="36">
        <f t="shared" si="4"/>
        <v>-1.4821068071866894E-2</v>
      </c>
    </row>
    <row r="104" spans="2:34" ht="23.4" x14ac:dyDescent="0.45">
      <c r="B104" s="140">
        <v>45543</v>
      </c>
      <c r="C104" s="139">
        <v>5187.05</v>
      </c>
      <c r="D104" s="36">
        <f t="shared" si="3"/>
        <v>-2.5091390927629686E-2</v>
      </c>
      <c r="F104" s="140">
        <v>45543</v>
      </c>
      <c r="G104" s="139">
        <v>25356.5</v>
      </c>
      <c r="H104" s="36">
        <f t="shared" si="4"/>
        <v>-1.684505611464493E-2</v>
      </c>
    </row>
    <row r="105" spans="2:34" ht="23.4" x14ac:dyDescent="0.45">
      <c r="B105" s="140">
        <v>45536</v>
      </c>
      <c r="C105" s="139">
        <v>5303.45</v>
      </c>
      <c r="D105" s="36">
        <f t="shared" si="3"/>
        <v>2.244050086272531E-2</v>
      </c>
      <c r="F105" s="140">
        <v>45536</v>
      </c>
      <c r="G105" s="139">
        <v>24852.15</v>
      </c>
      <c r="H105" s="36">
        <f t="shared" si="4"/>
        <v>-1.9890363417664036E-2</v>
      </c>
    </row>
    <row r="106" spans="2:34" ht="23.4" x14ac:dyDescent="0.45">
      <c r="B106" s="140">
        <v>45529</v>
      </c>
      <c r="C106" s="139">
        <v>4927.45</v>
      </c>
      <c r="D106" s="36">
        <f t="shared" si="3"/>
        <v>-7.0897246132234693E-2</v>
      </c>
      <c r="F106" s="140">
        <v>45529</v>
      </c>
      <c r="G106" s="139">
        <v>25235.9</v>
      </c>
      <c r="H106" s="36">
        <f t="shared" si="4"/>
        <v>1.544131996628062E-2</v>
      </c>
    </row>
    <row r="107" spans="2:34" ht="23.4" x14ac:dyDescent="0.45">
      <c r="B107" s="140">
        <v>45522</v>
      </c>
      <c r="C107" s="139">
        <v>4901.5</v>
      </c>
      <c r="D107" s="36">
        <f t="shared" si="3"/>
        <v>-5.2664156916862881E-3</v>
      </c>
      <c r="F107" s="140">
        <v>45522</v>
      </c>
      <c r="G107" s="139">
        <v>24823.15</v>
      </c>
      <c r="H107" s="36">
        <f t="shared" si="4"/>
        <v>-1.6355667917530181E-2</v>
      </c>
    </row>
    <row r="108" spans="2:34" ht="23.4" x14ac:dyDescent="0.45">
      <c r="B108" s="140">
        <v>45515</v>
      </c>
      <c r="C108" s="139">
        <v>5021.3</v>
      </c>
      <c r="D108" s="36">
        <f t="shared" si="3"/>
        <v>2.4441497500765186E-2</v>
      </c>
      <c r="F108" s="140">
        <v>45515</v>
      </c>
      <c r="G108" s="139">
        <v>24541.15</v>
      </c>
      <c r="H108" s="36">
        <f t="shared" si="4"/>
        <v>-1.1360363209342861E-2</v>
      </c>
    </row>
    <row r="109" spans="2:34" ht="23.4" x14ac:dyDescent="0.45">
      <c r="B109" s="140">
        <v>45508</v>
      </c>
      <c r="C109" s="139">
        <v>4989.95</v>
      </c>
      <c r="D109" s="36">
        <f t="shared" si="3"/>
        <v>-6.2434031027822634E-3</v>
      </c>
      <c r="F109" s="140">
        <v>45508</v>
      </c>
      <c r="G109" s="139">
        <v>24367.5</v>
      </c>
      <c r="H109" s="36">
        <f t="shared" si="4"/>
        <v>-7.0758705276647849E-3</v>
      </c>
    </row>
    <row r="110" spans="2:34" ht="23.4" x14ac:dyDescent="0.45">
      <c r="B110" s="140">
        <v>45501</v>
      </c>
      <c r="C110" s="139">
        <v>4909.7</v>
      </c>
      <c r="D110" s="36">
        <f t="shared" si="3"/>
        <v>-1.6082325474203185E-2</v>
      </c>
      <c r="F110" s="140">
        <v>45501</v>
      </c>
      <c r="G110" s="139">
        <v>24717.7</v>
      </c>
      <c r="H110" s="36">
        <f t="shared" si="4"/>
        <v>1.4371601518415877E-2</v>
      </c>
    </row>
  </sheetData>
  <mergeCells count="5">
    <mergeCell ref="B4:D4"/>
    <mergeCell ref="F4:H4"/>
    <mergeCell ref="U4:V4"/>
    <mergeCell ref="B2:AH2"/>
    <mergeCell ref="AB4:AD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9AEC-72C1-4E87-8AAA-43E901FB5021}">
  <dimension ref="A2:K65"/>
  <sheetViews>
    <sheetView showGridLines="0" topLeftCell="A44" zoomScale="61" workbookViewId="0">
      <selection activeCell="C63" sqref="C63"/>
    </sheetView>
  </sheetViews>
  <sheetFormatPr defaultRowHeight="14.4" x14ac:dyDescent="0.3"/>
  <cols>
    <col min="1" max="1" width="2.33203125" customWidth="1"/>
    <col min="2" max="2" width="36.109375" customWidth="1"/>
    <col min="3" max="7" width="15.109375" bestFit="1" customWidth="1"/>
    <col min="8" max="8" width="22.33203125" bestFit="1" customWidth="1"/>
    <col min="9" max="9" width="15.5546875" bestFit="1" customWidth="1"/>
  </cols>
  <sheetData>
    <row r="2" spans="1:9" ht="23.4" x14ac:dyDescent="0.3">
      <c r="B2" s="100" t="s">
        <v>270</v>
      </c>
      <c r="C2" s="101">
        <f>'Data Sheet'!E16</f>
        <v>43921</v>
      </c>
      <c r="D2" s="101">
        <f>'Data Sheet'!F16</f>
        <v>44286</v>
      </c>
      <c r="E2" s="101">
        <f>'Data Sheet'!G16</f>
        <v>44651</v>
      </c>
      <c r="F2" s="101">
        <f>'Data Sheet'!H16</f>
        <v>45016</v>
      </c>
      <c r="G2" s="101">
        <f>'Data Sheet'!I16</f>
        <v>45382</v>
      </c>
      <c r="H2" s="101">
        <f>'Data Sheet'!J16</f>
        <v>45747</v>
      </c>
      <c r="I2" s="101">
        <f>'Data Sheet'!K16</f>
        <v>46112</v>
      </c>
    </row>
    <row r="3" spans="1:9" ht="23.4" x14ac:dyDescent="0.45">
      <c r="B3" s="28"/>
      <c r="C3" s="28"/>
      <c r="D3" s="28"/>
      <c r="E3" s="28"/>
      <c r="F3" s="28"/>
      <c r="G3" s="28"/>
      <c r="H3" s="28"/>
      <c r="I3" s="28"/>
    </row>
    <row r="4" spans="1:9" ht="23.4" x14ac:dyDescent="0.45">
      <c r="B4" s="40" t="s">
        <v>271</v>
      </c>
      <c r="C4" s="28"/>
      <c r="D4" s="28"/>
      <c r="E4" s="28"/>
      <c r="F4" s="28"/>
      <c r="G4" s="28"/>
      <c r="H4" s="28"/>
      <c r="I4" s="28"/>
    </row>
    <row r="5" spans="1:9" ht="23.4" x14ac:dyDescent="0.45">
      <c r="B5" s="102" t="str">
        <f>'Data for IG'!B35</f>
        <v>Inventories</v>
      </c>
      <c r="C5" s="103">
        <f>'Data for IG'!C35</f>
        <v>1947</v>
      </c>
      <c r="D5" s="103">
        <f>'Data for IG'!D35</f>
        <v>2248</v>
      </c>
      <c r="E5" s="103">
        <f>'Data for IG'!E35</f>
        <v>2743</v>
      </c>
      <c r="F5" s="103">
        <f>'Data for IG'!F35</f>
        <v>3243</v>
      </c>
      <c r="G5" s="103">
        <f>'Data for IG'!G35</f>
        <v>3927</v>
      </c>
      <c r="H5" s="103">
        <f>'Data for IG'!H35</f>
        <v>5044</v>
      </c>
      <c r="I5" s="103">
        <f>'Data for IG'!I35</f>
        <v>5901</v>
      </c>
    </row>
    <row r="6" spans="1:9" ht="23.4" x14ac:dyDescent="0.45">
      <c r="B6" s="102" t="str">
        <f>'Data for IG'!B36</f>
        <v>Trade receivables</v>
      </c>
      <c r="C6" s="103">
        <f>'Data for IG'!C36</f>
        <v>20</v>
      </c>
      <c r="D6" s="103">
        <f>'Data for IG'!D36</f>
        <v>44</v>
      </c>
      <c r="E6" s="103">
        <f>'Data for IG'!E36</f>
        <v>67</v>
      </c>
      <c r="F6" s="103">
        <f>'Data for IG'!F36</f>
        <v>62</v>
      </c>
      <c r="G6" s="103">
        <f>'Data for IG'!G36</f>
        <v>166</v>
      </c>
      <c r="H6" s="103">
        <f>'Data for IG'!H36</f>
        <v>154</v>
      </c>
      <c r="I6" s="103">
        <f>'Data for IG'!I36</f>
        <v>149</v>
      </c>
    </row>
    <row r="7" spans="1:9" ht="23.4" x14ac:dyDescent="0.45">
      <c r="B7" s="102" t="str">
        <f>'Data for IG'!B38</f>
        <v>Loans n Advances</v>
      </c>
      <c r="C7" s="103">
        <f>'Data for IG'!C37</f>
        <v>108</v>
      </c>
      <c r="D7" s="103">
        <f>'Data for IG'!D37</f>
        <v>1446</v>
      </c>
      <c r="E7" s="103">
        <f>'Data for IG'!E37</f>
        <v>299</v>
      </c>
      <c r="F7" s="103">
        <f>'Data for IG'!F37</f>
        <v>1408</v>
      </c>
      <c r="G7" s="103">
        <f>'Data for IG'!G37</f>
        <v>638</v>
      </c>
      <c r="H7" s="103">
        <f>'Data for IG'!H37</f>
        <v>358</v>
      </c>
      <c r="I7" s="103">
        <f>'Data for IG'!I37</f>
        <v>304</v>
      </c>
    </row>
    <row r="8" spans="1:9" ht="24" thickBot="1" x14ac:dyDescent="0.5">
      <c r="B8" s="63" t="str">
        <f>'Data for IG'!B39</f>
        <v>Other asset items</v>
      </c>
      <c r="C8" s="103">
        <f>'Data for IG'!C38</f>
        <v>101</v>
      </c>
      <c r="D8" s="103">
        <f>'Data for IG'!D38</f>
        <v>81</v>
      </c>
      <c r="E8" s="103">
        <f>'Data for IG'!E38</f>
        <v>109</v>
      </c>
      <c r="F8" s="103">
        <f>'Data for IG'!F38</f>
        <v>97</v>
      </c>
      <c r="G8" s="103">
        <f>'Data for IG'!G38</f>
        <v>105</v>
      </c>
      <c r="H8" s="103">
        <f>'Data for IG'!H38</f>
        <v>126</v>
      </c>
      <c r="I8" s="103">
        <f>'Data for IG'!I38</f>
        <v>197</v>
      </c>
    </row>
    <row r="9" spans="1:9" ht="23.4" x14ac:dyDescent="0.45">
      <c r="B9" s="105" t="s">
        <v>85</v>
      </c>
      <c r="C9" s="106">
        <f>SUM(C5:C8)</f>
        <v>2176</v>
      </c>
      <c r="D9" s="106">
        <f t="shared" ref="D9:I9" si="0">SUM(D5:D8)</f>
        <v>3819</v>
      </c>
      <c r="E9" s="106">
        <f t="shared" si="0"/>
        <v>3218</v>
      </c>
      <c r="F9" s="106">
        <f t="shared" si="0"/>
        <v>4810</v>
      </c>
      <c r="G9" s="106">
        <f t="shared" si="0"/>
        <v>4836</v>
      </c>
      <c r="H9" s="106">
        <f t="shared" si="0"/>
        <v>5682</v>
      </c>
      <c r="I9" s="106">
        <f t="shared" si="0"/>
        <v>6551</v>
      </c>
    </row>
    <row r="10" spans="1:9" ht="23.4" x14ac:dyDescent="0.45">
      <c r="B10" s="28"/>
      <c r="C10" s="28"/>
      <c r="D10" s="28"/>
      <c r="E10" s="28"/>
      <c r="F10" s="28"/>
      <c r="G10" s="28"/>
      <c r="H10" s="28"/>
      <c r="I10" s="28"/>
    </row>
    <row r="11" spans="1:9" ht="23.4" x14ac:dyDescent="0.45">
      <c r="B11" s="40" t="s">
        <v>272</v>
      </c>
      <c r="C11" s="28"/>
      <c r="D11" s="28"/>
      <c r="E11" s="28"/>
      <c r="F11" s="28"/>
      <c r="G11" s="28"/>
      <c r="H11" s="28"/>
      <c r="I11" s="28"/>
    </row>
    <row r="12" spans="1:9" ht="23.4" x14ac:dyDescent="0.45">
      <c r="B12" s="102" t="str">
        <f>'Data for IG'!B13</f>
        <v>Trade Payables</v>
      </c>
      <c r="C12" s="103">
        <f>'Data for IG'!C13</f>
        <v>433</v>
      </c>
      <c r="D12" s="103">
        <f>'Data for IG'!D13</f>
        <v>578</v>
      </c>
      <c r="E12" s="103">
        <f>'Data for IG'!E13</f>
        <v>589</v>
      </c>
      <c r="F12" s="103">
        <f>'Data for IG'!F13</f>
        <v>754</v>
      </c>
      <c r="G12" s="103">
        <f>'Data for IG'!G13</f>
        <v>985</v>
      </c>
      <c r="H12" s="103">
        <f>'Data for IG'!H13</f>
        <v>1071</v>
      </c>
      <c r="I12" s="103">
        <f>'Data for IG'!I13</f>
        <v>1338</v>
      </c>
    </row>
    <row r="13" spans="1:9" ht="24" thickBot="1" x14ac:dyDescent="0.5">
      <c r="B13" s="63" t="str">
        <f>'Data for IG'!B14</f>
        <v>Other liability items</v>
      </c>
      <c r="C13" s="103">
        <f>'Data for IG'!C14</f>
        <v>229</v>
      </c>
      <c r="D13" s="103">
        <f>'Data for IG'!D14</f>
        <v>500</v>
      </c>
      <c r="E13" s="103">
        <f>'Data for IG'!E14</f>
        <v>557</v>
      </c>
      <c r="F13" s="103">
        <f>'Data for IG'!F14</f>
        <v>629</v>
      </c>
      <c r="G13" s="103">
        <f>'Data for IG'!G14</f>
        <v>898</v>
      </c>
      <c r="H13" s="103">
        <f>'Data for IG'!H14</f>
        <v>996</v>
      </c>
      <c r="I13" s="103">
        <f>'Data for IG'!I14</f>
        <v>1299</v>
      </c>
    </row>
    <row r="14" spans="1:9" ht="23.4" x14ac:dyDescent="0.45">
      <c r="B14" s="105" t="s">
        <v>273</v>
      </c>
      <c r="C14" s="106">
        <f t="shared" ref="C14:I14" si="1">SUM(C12:C13)</f>
        <v>662</v>
      </c>
      <c r="D14" s="106">
        <f t="shared" si="1"/>
        <v>1078</v>
      </c>
      <c r="E14" s="106">
        <f t="shared" si="1"/>
        <v>1146</v>
      </c>
      <c r="F14" s="106">
        <f t="shared" si="1"/>
        <v>1383</v>
      </c>
      <c r="G14" s="106">
        <f t="shared" si="1"/>
        <v>1883</v>
      </c>
      <c r="H14" s="106">
        <f t="shared" si="1"/>
        <v>2067</v>
      </c>
      <c r="I14" s="106">
        <f t="shared" si="1"/>
        <v>2637</v>
      </c>
    </row>
    <row r="15" spans="1:9" ht="23.4" x14ac:dyDescent="0.45">
      <c r="B15" s="28"/>
      <c r="C15" s="28"/>
      <c r="D15" s="28"/>
      <c r="E15" s="28"/>
      <c r="F15" s="28"/>
      <c r="G15" s="28"/>
      <c r="H15" s="28"/>
      <c r="I15" s="28"/>
    </row>
    <row r="16" spans="1:9" ht="24" thickBot="1" x14ac:dyDescent="0.5">
      <c r="A16" t="s">
        <v>59</v>
      </c>
      <c r="B16" s="107" t="s">
        <v>274</v>
      </c>
      <c r="C16" s="108">
        <f t="shared" ref="C16:I16" si="2">C9-C14</f>
        <v>1514</v>
      </c>
      <c r="D16" s="108">
        <f t="shared" si="2"/>
        <v>2741</v>
      </c>
      <c r="E16" s="108">
        <f t="shared" si="2"/>
        <v>2072</v>
      </c>
      <c r="F16" s="108">
        <f t="shared" si="2"/>
        <v>3427</v>
      </c>
      <c r="G16" s="108">
        <f t="shared" si="2"/>
        <v>2953</v>
      </c>
      <c r="H16" s="108">
        <f t="shared" si="2"/>
        <v>3615</v>
      </c>
      <c r="I16" s="108">
        <f t="shared" si="2"/>
        <v>3914</v>
      </c>
    </row>
    <row r="17" spans="1:9" ht="23.4" x14ac:dyDescent="0.45">
      <c r="B17" s="28"/>
      <c r="C17" s="28"/>
      <c r="D17" s="28"/>
      <c r="E17" s="28"/>
      <c r="F17" s="28"/>
      <c r="G17" s="28"/>
      <c r="H17" s="28"/>
      <c r="I17" s="28"/>
    </row>
    <row r="18" spans="1:9" ht="23.4" x14ac:dyDescent="0.45">
      <c r="B18" s="28"/>
      <c r="C18" s="28"/>
      <c r="D18" s="28"/>
      <c r="E18" s="28"/>
      <c r="F18" s="28"/>
      <c r="G18" s="28"/>
      <c r="H18" s="28"/>
      <c r="I18" s="28"/>
    </row>
    <row r="19" spans="1:9" ht="23.4" x14ac:dyDescent="0.45">
      <c r="B19" s="40" t="s">
        <v>275</v>
      </c>
      <c r="C19" s="28"/>
      <c r="D19" s="28"/>
      <c r="E19" s="28"/>
      <c r="F19" s="28"/>
      <c r="G19" s="28"/>
      <c r="H19" s="28"/>
      <c r="I19" s="28"/>
    </row>
    <row r="20" spans="1:9" ht="23.4" x14ac:dyDescent="0.45">
      <c r="B20" s="102" t="s">
        <v>336</v>
      </c>
      <c r="C20" s="103">
        <f>'Data for IG'!C18</f>
        <v>2740</v>
      </c>
      <c r="D20" s="103">
        <f>'Data for IG'!D18</f>
        <v>3483</v>
      </c>
      <c r="E20" s="103">
        <f>'Data for IG'!E18</f>
        <v>4527</v>
      </c>
      <c r="F20" s="103">
        <f>'Data for IG'!F18</f>
        <v>5519</v>
      </c>
      <c r="G20" s="103">
        <f>'Data for IG'!G18</f>
        <v>6904</v>
      </c>
      <c r="H20" s="103">
        <f>'Data for IG'!H18</f>
        <v>8595</v>
      </c>
      <c r="I20" s="103">
        <f>'Data for IG'!I18</f>
        <v>10432</v>
      </c>
    </row>
    <row r="21" spans="1:9" ht="23.4" x14ac:dyDescent="0.45">
      <c r="B21" s="102" t="s">
        <v>253</v>
      </c>
      <c r="C21" s="103">
        <f>'Data for IG'!C19</f>
        <v>3139</v>
      </c>
      <c r="D21" s="103">
        <f>'Data for IG'!D19</f>
        <v>3649</v>
      </c>
      <c r="E21" s="103">
        <f>'Data for IG'!E19</f>
        <v>4938</v>
      </c>
      <c r="F21" s="103">
        <f>'Data for IG'!F19</f>
        <v>6201</v>
      </c>
      <c r="G21" s="103">
        <f>'Data for IG'!G19</f>
        <v>7062</v>
      </c>
      <c r="H21" s="103">
        <f>'Data for IG'!H19</f>
        <v>16206</v>
      </c>
      <c r="I21" s="103">
        <f>'Data for IG'!I19</f>
        <v>10391</v>
      </c>
    </row>
    <row r="22" spans="1:9" ht="23.4" x14ac:dyDescent="0.45">
      <c r="B22" s="102" t="s">
        <v>254</v>
      </c>
      <c r="C22" s="103">
        <f>'Data for IG'!C20</f>
        <v>272</v>
      </c>
      <c r="D22" s="103">
        <f>'Data for IG'!D20</f>
        <v>352</v>
      </c>
      <c r="E22" s="103">
        <f>'Data for IG'!E20</f>
        <v>491</v>
      </c>
      <c r="F22" s="103">
        <f>'Data for IG'!F20</f>
        <v>656</v>
      </c>
      <c r="G22" s="103">
        <f>'Data for IG'!G20</f>
        <v>870</v>
      </c>
      <c r="H22" s="103">
        <f>'Data for IG'!H20</f>
        <v>1141</v>
      </c>
      <c r="I22" s="103">
        <f>'Data for IG'!I20</f>
        <v>1446</v>
      </c>
    </row>
    <row r="23" spans="1:9" ht="23.4" x14ac:dyDescent="0.45">
      <c r="B23" s="102" t="s">
        <v>255</v>
      </c>
      <c r="C23" s="103">
        <f>'Data for IG'!C21</f>
        <v>39</v>
      </c>
      <c r="D23" s="103">
        <f>'Data for IG'!D21</f>
        <v>50</v>
      </c>
      <c r="E23" s="103">
        <f>'Data for IG'!E21</f>
        <v>73</v>
      </c>
      <c r="F23" s="103">
        <f>'Data for IG'!F21</f>
        <v>85</v>
      </c>
      <c r="G23" s="103">
        <f>'Data for IG'!G21</f>
        <v>97</v>
      </c>
      <c r="H23" s="103">
        <f>'Data for IG'!H21</f>
        <v>115</v>
      </c>
      <c r="I23" s="103">
        <f>'Data for IG'!I21</f>
        <v>140</v>
      </c>
    </row>
    <row r="24" spans="1:9" ht="23.4" x14ac:dyDescent="0.45">
      <c r="B24" s="102" t="s">
        <v>256</v>
      </c>
      <c r="C24" s="103">
        <f>'Data for IG'!C22</f>
        <v>95</v>
      </c>
      <c r="D24" s="103">
        <f>'Data for IG'!D22</f>
        <v>119</v>
      </c>
      <c r="E24" s="103">
        <f>'Data for IG'!E22</f>
        <v>153</v>
      </c>
      <c r="F24" s="103">
        <f>'Data for IG'!F22</f>
        <v>190</v>
      </c>
      <c r="G24" s="103">
        <f>'Data for IG'!G22</f>
        <v>219</v>
      </c>
      <c r="H24" s="103">
        <f>'Data for IG'!H22</f>
        <v>276</v>
      </c>
      <c r="I24" s="103">
        <f>'Data for IG'!I22</f>
        <v>372</v>
      </c>
    </row>
    <row r="25" spans="1:9" ht="23.4" x14ac:dyDescent="0.45">
      <c r="B25" s="102" t="s">
        <v>257</v>
      </c>
      <c r="C25" s="103">
        <f>'Data for IG'!C23</f>
        <v>476</v>
      </c>
      <c r="D25" s="103">
        <f>'Data for IG'!D23</f>
        <v>581</v>
      </c>
      <c r="E25" s="103">
        <f>'Data for IG'!E23</f>
        <v>772</v>
      </c>
      <c r="F25" s="103">
        <f>'Data for IG'!F23</f>
        <v>968</v>
      </c>
      <c r="G25" s="103">
        <f>'Data for IG'!G23</f>
        <v>1205</v>
      </c>
      <c r="H25" s="103">
        <f>'Data for IG'!H23</f>
        <v>1515</v>
      </c>
      <c r="I25" s="103">
        <f>'Data for IG'!I23</f>
        <v>1954</v>
      </c>
    </row>
    <row r="26" spans="1:9" ht="23.4" x14ac:dyDescent="0.45">
      <c r="B26" s="102" t="s">
        <v>337</v>
      </c>
      <c r="C26" s="103">
        <f>'Data for IG'!C24</f>
        <v>4</v>
      </c>
      <c r="D26" s="103">
        <f>'Data for IG'!D24</f>
        <v>4</v>
      </c>
      <c r="E26" s="103">
        <f>'Data for IG'!E24</f>
        <v>3</v>
      </c>
      <c r="F26" s="103">
        <f>'Data for IG'!F24</f>
        <v>15</v>
      </c>
      <c r="G26" s="103">
        <f>'Data for IG'!G24</f>
        <v>17</v>
      </c>
      <c r="H26" s="103">
        <f>'Data for IG'!H24</f>
        <v>6</v>
      </c>
      <c r="I26" s="103">
        <f>'Data for IG'!I24</f>
        <v>8</v>
      </c>
    </row>
    <row r="27" spans="1:9" ht="23.4" x14ac:dyDescent="0.45">
      <c r="B27" s="109" t="s">
        <v>258</v>
      </c>
      <c r="C27" s="103">
        <f>'Data for IG'!C25</f>
        <v>78</v>
      </c>
      <c r="D27" s="103">
        <f>'Data for IG'!D25</f>
        <v>78</v>
      </c>
      <c r="E27" s="103">
        <f>'Data for IG'!E25</f>
        <v>78</v>
      </c>
      <c r="F27" s="103">
        <f>'Data for IG'!F25</f>
        <v>78</v>
      </c>
      <c r="G27" s="103">
        <f>'Data for IG'!G25</f>
        <v>78</v>
      </c>
      <c r="H27" s="103">
        <f>'Data for IG'!H25</f>
        <v>78</v>
      </c>
      <c r="I27" s="103">
        <f>'Data for IG'!I25</f>
        <v>78</v>
      </c>
    </row>
    <row r="28" spans="1:9" ht="23.4" x14ac:dyDescent="0.45">
      <c r="B28" s="63" t="s">
        <v>259</v>
      </c>
      <c r="C28" s="103">
        <f>'Data for IG'!C26</f>
        <v>82</v>
      </c>
      <c r="D28" s="103">
        <f>'Data for IG'!D26</f>
        <v>81</v>
      </c>
      <c r="E28" s="103">
        <f>'Data for IG'!E26</f>
        <v>91</v>
      </c>
      <c r="F28" s="103">
        <f>'Data for IG'!F26</f>
        <v>105</v>
      </c>
      <c r="G28" s="103">
        <f>'Data for IG'!G26</f>
        <v>119</v>
      </c>
      <c r="H28" s="103">
        <f>'Data for IG'!H26</f>
        <v>124</v>
      </c>
      <c r="I28" s="103">
        <f>'Data for IG'!I26</f>
        <v>140</v>
      </c>
    </row>
    <row r="29" spans="1:9" ht="24" thickBot="1" x14ac:dyDescent="0.5">
      <c r="A29" t="s">
        <v>59</v>
      </c>
      <c r="B29" s="107" t="str">
        <f>'Data for IG'!B27</f>
        <v>Gross Block</v>
      </c>
      <c r="C29" s="108">
        <f>'Data for IG'!C27</f>
        <v>6927</v>
      </c>
      <c r="D29" s="108">
        <f>'Data for IG'!D27</f>
        <v>8396</v>
      </c>
      <c r="E29" s="108">
        <f>'Data for IG'!E27</f>
        <v>11127</v>
      </c>
      <c r="F29" s="108">
        <f>'Data for IG'!F27</f>
        <v>13816</v>
      </c>
      <c r="G29" s="108">
        <f>'Data for IG'!G27</f>
        <v>16571</v>
      </c>
      <c r="H29" s="108">
        <f>'Data for IG'!H27</f>
        <v>20106</v>
      </c>
      <c r="I29" s="108">
        <f>'Data for IG'!I27</f>
        <v>24960</v>
      </c>
    </row>
    <row r="30" spans="1:9" ht="23.4" x14ac:dyDescent="0.45">
      <c r="B30" s="28"/>
      <c r="C30" s="104"/>
      <c r="D30" s="104"/>
      <c r="E30" s="104"/>
      <c r="F30" s="104"/>
      <c r="G30" s="104"/>
      <c r="H30" s="104"/>
      <c r="I30" s="104"/>
    </row>
    <row r="31" spans="1:9" ht="23.4" x14ac:dyDescent="0.45">
      <c r="A31" t="s">
        <v>59</v>
      </c>
      <c r="B31" s="109" t="s">
        <v>276</v>
      </c>
      <c r="C31" s="110">
        <f>C29+C16</f>
        <v>8441</v>
      </c>
      <c r="D31" s="110">
        <f t="shared" ref="D31:H31" si="3">D29+D16</f>
        <v>11137</v>
      </c>
      <c r="E31" s="110">
        <f t="shared" si="3"/>
        <v>13199</v>
      </c>
      <c r="F31" s="110">
        <f t="shared" si="3"/>
        <v>17243</v>
      </c>
      <c r="G31" s="110">
        <f t="shared" si="3"/>
        <v>19524</v>
      </c>
      <c r="H31" s="110">
        <f t="shared" si="3"/>
        <v>23721</v>
      </c>
      <c r="I31" s="110">
        <f>I29+I16</f>
        <v>28874</v>
      </c>
    </row>
    <row r="32" spans="1:9" ht="23.4" x14ac:dyDescent="0.45">
      <c r="B32" s="109" t="s">
        <v>277</v>
      </c>
      <c r="C32" s="110">
        <f>'Historicial Financials'!C18-'Historicial Financials'!C24</f>
        <v>1565.6599999999987</v>
      </c>
      <c r="D32" s="110">
        <f>'Historicial Financials'!D18-'Historicial Financials'!D24</f>
        <v>1156.4699999999975</v>
      </c>
      <c r="E32" s="110">
        <f>'Historicial Financials'!E18-'Historicial Financials'!E24</f>
        <v>1796.4100000000008</v>
      </c>
      <c r="F32" s="110">
        <f>'Historicial Financials'!F18-'Historicial Financials'!F24</f>
        <v>2685.2799999999943</v>
      </c>
      <c r="G32" s="110">
        <f>'Historicial Financials'!G18-'Historicial Financials'!G24</f>
        <v>2998.2900000000081</v>
      </c>
      <c r="H32" s="110">
        <f>'Historicial Financials'!H18-'Historicial Financials'!H24</f>
        <v>3177.2399999999989</v>
      </c>
      <c r="I32" s="110">
        <f>'Historicial Financials'!I18-'Historicial Financials'!I24</f>
        <v>4149.5700000000052</v>
      </c>
    </row>
    <row r="33" spans="1:11" ht="23.4" x14ac:dyDescent="0.45">
      <c r="B33" s="28"/>
      <c r="C33" s="111"/>
      <c r="D33" s="111"/>
      <c r="E33" s="111"/>
      <c r="F33" s="111"/>
      <c r="G33" s="111"/>
      <c r="H33" s="111"/>
      <c r="I33" s="111"/>
    </row>
    <row r="34" spans="1:11" ht="24" thickBot="1" x14ac:dyDescent="0.5">
      <c r="A34" t="s">
        <v>59</v>
      </c>
      <c r="B34" s="107" t="s">
        <v>278</v>
      </c>
      <c r="C34" s="112">
        <f>C32/C31</f>
        <v>0.18548276270584038</v>
      </c>
      <c r="D34" s="112">
        <f t="shared" ref="D34:H34" si="4">D32/D31</f>
        <v>0.10384035197988664</v>
      </c>
      <c r="E34" s="112">
        <f t="shared" si="4"/>
        <v>0.13610197742253208</v>
      </c>
      <c r="F34" s="112">
        <f t="shared" si="4"/>
        <v>0.1557316012294841</v>
      </c>
      <c r="G34" s="112">
        <f t="shared" si="4"/>
        <v>0.15356945298094696</v>
      </c>
      <c r="H34" s="112">
        <f t="shared" si="4"/>
        <v>0.13394207664095101</v>
      </c>
      <c r="I34" s="112">
        <f>I32/I31</f>
        <v>0.14371302902265032</v>
      </c>
    </row>
    <row r="35" spans="1:11" ht="23.4" x14ac:dyDescent="0.45">
      <c r="B35" s="28"/>
      <c r="C35" s="111"/>
      <c r="D35" s="111"/>
      <c r="E35" s="111"/>
      <c r="F35" s="111"/>
      <c r="G35" s="111"/>
      <c r="H35" s="111"/>
      <c r="I35" s="111"/>
    </row>
    <row r="36" spans="1:11" ht="23.4" x14ac:dyDescent="0.3">
      <c r="B36" s="100" t="s">
        <v>279</v>
      </c>
      <c r="C36" s="101">
        <f>'Data Sheet'!E16</f>
        <v>43921</v>
      </c>
      <c r="D36" s="101">
        <f>'Data Sheet'!F16</f>
        <v>44286</v>
      </c>
      <c r="E36" s="101">
        <f>'Data Sheet'!G16</f>
        <v>44651</v>
      </c>
      <c r="F36" s="101">
        <f>'Data Sheet'!H16</f>
        <v>45016</v>
      </c>
      <c r="G36" s="101">
        <f>'Data Sheet'!I16</f>
        <v>45382</v>
      </c>
      <c r="H36" s="101">
        <f>'Data Sheet'!J16</f>
        <v>45747</v>
      </c>
      <c r="I36" s="101">
        <f>'Data Sheet'!K16</f>
        <v>46112</v>
      </c>
    </row>
    <row r="37" spans="1:11" ht="23.4" x14ac:dyDescent="0.45">
      <c r="B37" s="28"/>
      <c r="C37" s="28"/>
      <c r="D37" s="28"/>
      <c r="E37" s="28"/>
      <c r="F37" s="28"/>
      <c r="G37" s="28"/>
      <c r="H37" s="28"/>
      <c r="I37" s="28"/>
    </row>
    <row r="38" spans="1:11" ht="23.4" x14ac:dyDescent="0.45">
      <c r="B38" s="102" t="s">
        <v>280</v>
      </c>
      <c r="C38" s="103"/>
      <c r="D38" s="103">
        <f>'Data Sheet'!F62-'Data Sheet'!E62+'Data Sheet'!E26</f>
        <v>1435.1800000000005</v>
      </c>
      <c r="E38" s="103">
        <f>'Data Sheet'!G62-'Data Sheet'!F62+'Data Sheet'!F26</f>
        <v>2665.38</v>
      </c>
      <c r="F38" s="103">
        <f>'Data Sheet'!H62-'Data Sheet'!G62+'Data Sheet'!G26</f>
        <v>2578.5399999999991</v>
      </c>
      <c r="G38" s="103">
        <f>'Data Sheet'!I62-'Data Sheet'!H62+'Data Sheet'!H26</f>
        <v>2713.3900000000003</v>
      </c>
      <c r="H38" s="103">
        <f>'Data Sheet'!J62-'Data Sheet'!I62+'Data Sheet'!I26</f>
        <v>3522.2199999999993</v>
      </c>
      <c r="I38" s="103">
        <f>'Data Sheet'!K62-'Data Sheet'!J62+'Data Sheet'!J26</f>
        <v>4753.3700000000026</v>
      </c>
      <c r="K38" s="150" t="s">
        <v>346</v>
      </c>
    </row>
    <row r="39" spans="1:11" ht="23.4" x14ac:dyDescent="0.45">
      <c r="B39" s="102" t="s">
        <v>281</v>
      </c>
      <c r="C39" s="103"/>
      <c r="D39" s="103">
        <f>D16-C16</f>
        <v>1227</v>
      </c>
      <c r="E39" s="103">
        <f t="shared" ref="E39:I39" si="5">E16-D16</f>
        <v>-669</v>
      </c>
      <c r="F39" s="103">
        <f t="shared" si="5"/>
        <v>1355</v>
      </c>
      <c r="G39" s="103">
        <f t="shared" si="5"/>
        <v>-474</v>
      </c>
      <c r="H39" s="103">
        <f t="shared" si="5"/>
        <v>662</v>
      </c>
      <c r="I39" s="103">
        <f t="shared" si="5"/>
        <v>299</v>
      </c>
    </row>
    <row r="40" spans="1:11" ht="23.4" x14ac:dyDescent="0.45">
      <c r="B40" s="28"/>
      <c r="C40" s="103"/>
      <c r="D40" s="103"/>
      <c r="E40" s="103"/>
      <c r="F40" s="103"/>
      <c r="G40" s="103"/>
      <c r="H40" s="103"/>
      <c r="I40" s="103"/>
    </row>
    <row r="41" spans="1:11" ht="23.4" x14ac:dyDescent="0.45">
      <c r="B41" s="102" t="s">
        <v>277</v>
      </c>
      <c r="C41" s="103">
        <f>C32</f>
        <v>1565.6599999999987</v>
      </c>
      <c r="D41" s="103">
        <f t="shared" ref="D41:I41" si="6">D32</f>
        <v>1156.4699999999975</v>
      </c>
      <c r="E41" s="103">
        <f t="shared" si="6"/>
        <v>1796.4100000000008</v>
      </c>
      <c r="F41" s="103">
        <f t="shared" si="6"/>
        <v>2685.2799999999943</v>
      </c>
      <c r="G41" s="103">
        <f t="shared" si="6"/>
        <v>2998.2900000000081</v>
      </c>
      <c r="H41" s="103">
        <f t="shared" si="6"/>
        <v>3177.2399999999989</v>
      </c>
      <c r="I41" s="103">
        <f t="shared" si="6"/>
        <v>4149.5700000000052</v>
      </c>
    </row>
    <row r="42" spans="1:11" ht="23.4" x14ac:dyDescent="0.45">
      <c r="B42" s="102" t="s">
        <v>282</v>
      </c>
      <c r="C42" s="113">
        <v>0.25</v>
      </c>
      <c r="D42" s="113">
        <v>0.25</v>
      </c>
      <c r="E42" s="113">
        <v>0.25</v>
      </c>
      <c r="F42" s="113">
        <v>0.25</v>
      </c>
      <c r="G42" s="113">
        <v>0.25</v>
      </c>
      <c r="H42" s="113">
        <v>0.25</v>
      </c>
      <c r="I42" s="113">
        <v>0.25</v>
      </c>
    </row>
    <row r="43" spans="1:11" ht="23.4" x14ac:dyDescent="0.45">
      <c r="B43" s="102" t="s">
        <v>283</v>
      </c>
      <c r="C43" s="103">
        <f>C41*(1-C42)</f>
        <v>1174.244999999999</v>
      </c>
      <c r="D43" s="103">
        <f t="shared" ref="D43:I43" si="7">D41*(1-D42)</f>
        <v>867.35249999999814</v>
      </c>
      <c r="E43" s="103">
        <f t="shared" si="7"/>
        <v>1347.3075000000006</v>
      </c>
      <c r="F43" s="103">
        <f t="shared" si="7"/>
        <v>2013.9599999999957</v>
      </c>
      <c r="G43" s="103">
        <f t="shared" si="7"/>
        <v>2248.7175000000061</v>
      </c>
      <c r="H43" s="103">
        <f t="shared" si="7"/>
        <v>2382.9299999999994</v>
      </c>
      <c r="I43" s="103">
        <f t="shared" si="7"/>
        <v>3112.1775000000039</v>
      </c>
    </row>
    <row r="44" spans="1:11" ht="23.4" x14ac:dyDescent="0.45">
      <c r="B44" s="28"/>
      <c r="C44" s="103"/>
      <c r="D44" s="103"/>
      <c r="E44" s="103"/>
      <c r="F44" s="103"/>
      <c r="G44" s="103"/>
      <c r="H44" s="103"/>
      <c r="I44" s="103"/>
    </row>
    <row r="45" spans="1:11" ht="23.4" x14ac:dyDescent="0.45">
      <c r="B45" s="114" t="s">
        <v>284</v>
      </c>
      <c r="C45" s="103"/>
      <c r="D45" s="103">
        <f>SUM(D38:D39)</f>
        <v>2662.1800000000003</v>
      </c>
      <c r="E45" s="103">
        <f t="shared" ref="E45:H45" si="8">SUM(E38:E39)</f>
        <v>1996.38</v>
      </c>
      <c r="F45" s="103">
        <f t="shared" si="8"/>
        <v>3933.5399999999991</v>
      </c>
      <c r="G45" s="103">
        <f t="shared" si="8"/>
        <v>2239.3900000000003</v>
      </c>
      <c r="H45" s="103">
        <f t="shared" si="8"/>
        <v>4184.2199999999993</v>
      </c>
      <c r="I45" s="103">
        <f>SUM(I38:I39)</f>
        <v>5052.3700000000026</v>
      </c>
    </row>
    <row r="46" spans="1:11" ht="24" thickBot="1" x14ac:dyDescent="0.5">
      <c r="B46" s="107" t="s">
        <v>285</v>
      </c>
      <c r="C46" s="112"/>
      <c r="D46" s="112">
        <f>D45/D43</f>
        <v>3.0693172614363893</v>
      </c>
      <c r="E46" s="112">
        <f t="shared" ref="E46:H46" si="9">E45/E43</f>
        <v>1.4817552785833963</v>
      </c>
      <c r="F46" s="112">
        <f t="shared" si="9"/>
        <v>1.9531371030209177</v>
      </c>
      <c r="G46" s="112">
        <f t="shared" si="9"/>
        <v>0.99585208013011606</v>
      </c>
      <c r="H46" s="112">
        <f t="shared" si="9"/>
        <v>1.7559139378831945</v>
      </c>
      <c r="I46" s="112">
        <f>I45/I43</f>
        <v>1.6234196153657676</v>
      </c>
    </row>
    <row r="47" spans="1:11" ht="23.4" x14ac:dyDescent="0.45">
      <c r="B47" s="28"/>
      <c r="C47" s="28"/>
      <c r="D47" s="115"/>
      <c r="E47" s="115"/>
      <c r="F47" s="115"/>
      <c r="G47" s="115"/>
      <c r="H47" s="115"/>
      <c r="I47" s="115"/>
    </row>
    <row r="48" spans="1:11" ht="23.4" x14ac:dyDescent="0.45">
      <c r="B48" s="28"/>
      <c r="C48" s="28"/>
      <c r="D48" s="28"/>
      <c r="E48" s="28"/>
      <c r="F48" s="28"/>
      <c r="G48" s="28"/>
      <c r="H48" s="40" t="s">
        <v>288</v>
      </c>
      <c r="I48" s="116">
        <f>AVERAGE(D46:I46)</f>
        <v>1.8132325460699636</v>
      </c>
    </row>
    <row r="49" spans="2:9" ht="23.4" x14ac:dyDescent="0.45">
      <c r="B49" s="28"/>
      <c r="C49" s="28"/>
      <c r="D49" s="28"/>
      <c r="E49" s="28"/>
      <c r="F49" s="28"/>
      <c r="G49" s="28"/>
      <c r="H49" s="40" t="s">
        <v>289</v>
      </c>
      <c r="I49" s="116">
        <f>MEDIAN(D46:I46)</f>
        <v>1.6896667766244811</v>
      </c>
    </row>
    <row r="50" spans="2:9" ht="23.4" x14ac:dyDescent="0.45">
      <c r="B50" s="28"/>
      <c r="C50" s="28"/>
      <c r="D50" s="28"/>
      <c r="E50" s="28"/>
      <c r="F50" s="28"/>
      <c r="G50" s="28"/>
      <c r="H50" s="28"/>
      <c r="I50" s="28"/>
    </row>
    <row r="51" spans="2:9" ht="23.4" x14ac:dyDescent="0.3">
      <c r="B51" s="100" t="s">
        <v>286</v>
      </c>
      <c r="C51" s="101">
        <f>'Data Sheet'!E16</f>
        <v>43921</v>
      </c>
      <c r="D51" s="101">
        <f>'Data Sheet'!F16</f>
        <v>44286</v>
      </c>
      <c r="E51" s="101">
        <f>'Data Sheet'!G16</f>
        <v>44651</v>
      </c>
      <c r="F51" s="101">
        <f>'Data Sheet'!H16</f>
        <v>45016</v>
      </c>
      <c r="G51" s="101">
        <f>'Data Sheet'!I16</f>
        <v>45382</v>
      </c>
      <c r="H51" s="101">
        <f>'Data Sheet'!J16</f>
        <v>45747</v>
      </c>
      <c r="I51" s="101">
        <f>'Data Sheet'!K16</f>
        <v>46112</v>
      </c>
    </row>
    <row r="52" spans="2:9" ht="23.4" x14ac:dyDescent="0.45">
      <c r="B52" s="28"/>
      <c r="C52" s="28"/>
      <c r="D52" s="28"/>
      <c r="E52" s="28"/>
      <c r="F52" s="28"/>
      <c r="G52" s="28"/>
      <c r="H52" s="28"/>
      <c r="I52" s="28"/>
    </row>
    <row r="53" spans="2:9" ht="23.4" x14ac:dyDescent="0.45">
      <c r="B53" s="103" t="s">
        <v>285</v>
      </c>
      <c r="C53" s="103"/>
      <c r="D53" s="103">
        <f t="shared" ref="D53:I53" si="10">D46</f>
        <v>3.0693172614363893</v>
      </c>
      <c r="E53" s="103">
        <f t="shared" si="10"/>
        <v>1.4817552785833963</v>
      </c>
      <c r="F53" s="103">
        <f t="shared" si="10"/>
        <v>1.9531371030209177</v>
      </c>
      <c r="G53" s="103">
        <f t="shared" si="10"/>
        <v>0.99585208013011606</v>
      </c>
      <c r="H53" s="103">
        <f t="shared" si="10"/>
        <v>1.7559139378831945</v>
      </c>
      <c r="I53" s="103">
        <f t="shared" si="10"/>
        <v>1.6234196153657676</v>
      </c>
    </row>
    <row r="54" spans="2:9" ht="23.4" x14ac:dyDescent="0.45">
      <c r="B54" s="103" t="s">
        <v>278</v>
      </c>
      <c r="C54" s="103"/>
      <c r="D54" s="103">
        <f t="shared" ref="D54:I54" si="11">D34</f>
        <v>0.10384035197988664</v>
      </c>
      <c r="E54" s="103">
        <f t="shared" si="11"/>
        <v>0.13610197742253208</v>
      </c>
      <c r="F54" s="103">
        <f t="shared" si="11"/>
        <v>0.1557316012294841</v>
      </c>
      <c r="G54" s="103">
        <f t="shared" si="11"/>
        <v>0.15356945298094696</v>
      </c>
      <c r="H54" s="103">
        <f t="shared" si="11"/>
        <v>0.13394207664095101</v>
      </c>
      <c r="I54" s="103">
        <f t="shared" si="11"/>
        <v>0.14371302902265032</v>
      </c>
    </row>
    <row r="55" spans="2:9" ht="23.4" x14ac:dyDescent="0.45">
      <c r="B55" s="28"/>
      <c r="C55" s="28"/>
      <c r="D55" s="103"/>
      <c r="E55" s="103"/>
      <c r="F55" s="103"/>
      <c r="G55" s="103"/>
      <c r="H55" s="103"/>
      <c r="I55" s="103"/>
    </row>
    <row r="56" spans="2:9" ht="24" thickBot="1" x14ac:dyDescent="0.5">
      <c r="B56" s="107" t="s">
        <v>287</v>
      </c>
      <c r="C56" s="112"/>
      <c r="D56" s="112">
        <f>D53*D54</f>
        <v>0.31871898476549643</v>
      </c>
      <c r="E56" s="112">
        <f t="shared" ref="E56:I56" si="12">E53*E54</f>
        <v>0.20166982347147513</v>
      </c>
      <c r="F56" s="112">
        <f t="shared" si="12"/>
        <v>0.30416516847416336</v>
      </c>
      <c r="G56" s="112">
        <f t="shared" si="12"/>
        <v>0.15293245919552009</v>
      </c>
      <c r="H56" s="112">
        <f t="shared" si="12"/>
        <v>0.23519075924286492</v>
      </c>
      <c r="I56" s="112">
        <f t="shared" si="12"/>
        <v>0.23330655029900038</v>
      </c>
    </row>
    <row r="57" spans="2:9" ht="23.4" x14ac:dyDescent="0.45">
      <c r="B57" s="28"/>
      <c r="C57" s="28"/>
      <c r="D57" s="28"/>
      <c r="E57" s="28"/>
      <c r="F57" s="28"/>
      <c r="G57" s="28"/>
      <c r="H57" s="28"/>
      <c r="I57" s="28"/>
    </row>
    <row r="58" spans="2:9" ht="23.4" x14ac:dyDescent="0.45">
      <c r="B58" s="100" t="s">
        <v>388</v>
      </c>
      <c r="C58" s="28"/>
      <c r="D58" s="28"/>
      <c r="E58" s="28"/>
      <c r="F58" s="28"/>
      <c r="G58" s="28"/>
      <c r="H58" s="28"/>
      <c r="I58" s="28"/>
    </row>
    <row r="59" spans="2:9" ht="23.4" x14ac:dyDescent="0.45">
      <c r="B59" s="28" t="s">
        <v>387</v>
      </c>
      <c r="C59" s="175">
        <f>AVERAGE(E34:I34)</f>
        <v>0.14461162745931291</v>
      </c>
      <c r="D59" s="28"/>
      <c r="E59" s="28"/>
      <c r="F59" s="28"/>
      <c r="G59" s="28"/>
      <c r="H59" s="28"/>
      <c r="I59" s="28"/>
    </row>
    <row r="60" spans="2:9" ht="23.4" x14ac:dyDescent="0.45">
      <c r="B60" s="28" t="s">
        <v>389</v>
      </c>
      <c r="C60" s="175">
        <f>DCF!D19</f>
        <v>0.06</v>
      </c>
    </row>
    <row r="61" spans="2:9" ht="23.4" x14ac:dyDescent="0.45">
      <c r="B61" s="28" t="s">
        <v>297</v>
      </c>
      <c r="C61" s="175">
        <f>DCF!D20</f>
        <v>6.5000000000000002E-2</v>
      </c>
    </row>
    <row r="62" spans="2:9" ht="23.4" x14ac:dyDescent="0.45">
      <c r="B62" s="28" t="s">
        <v>390</v>
      </c>
      <c r="C62" s="175">
        <f>C60/C59</f>
        <v>0.41490439637629589</v>
      </c>
    </row>
    <row r="63" spans="2:9" ht="23.4" x14ac:dyDescent="0.45">
      <c r="B63" s="28" t="s">
        <v>391</v>
      </c>
      <c r="C63" s="175">
        <f>C61/C59</f>
        <v>0.44947976274098722</v>
      </c>
    </row>
    <row r="64" spans="2:9" ht="23.4" x14ac:dyDescent="0.45">
      <c r="B64" s="28"/>
      <c r="C64" s="175"/>
    </row>
    <row r="65" spans="3:3" ht="23.4" x14ac:dyDescent="0.45">
      <c r="C65" s="175"/>
    </row>
  </sheetData>
  <phoneticPr fontId="2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8ACC-0A1C-40F3-A687-4E983BE9F5A9}">
  <dimension ref="B2:AJ45"/>
  <sheetViews>
    <sheetView showGridLines="0" topLeftCell="J21" zoomScale="111" zoomScaleNormal="88" workbookViewId="0">
      <selection activeCell="M37" sqref="M37"/>
    </sheetView>
  </sheetViews>
  <sheetFormatPr defaultRowHeight="14.4" x14ac:dyDescent="0.3"/>
  <cols>
    <col min="1" max="1" width="2.33203125" customWidth="1"/>
    <col min="2" max="2" width="28.21875" bestFit="1" customWidth="1"/>
    <col min="3" max="3" width="13.88671875" bestFit="1" customWidth="1"/>
    <col min="4" max="4" width="11.6640625" customWidth="1"/>
    <col min="5" max="9" width="9.77734375" bestFit="1" customWidth="1"/>
    <col min="10" max="10" width="13.6640625" customWidth="1"/>
    <col min="11" max="11" width="9.6640625" bestFit="1" customWidth="1"/>
    <col min="12" max="12" width="12.44140625" bestFit="1" customWidth="1"/>
    <col min="13" max="13" width="12.44140625" customWidth="1"/>
    <col min="14" max="15" width="12.44140625" bestFit="1" customWidth="1"/>
    <col min="16" max="16" width="10.77734375" customWidth="1"/>
  </cols>
  <sheetData>
    <row r="2" spans="2:36" x14ac:dyDescent="0.3">
      <c r="B2" s="17" t="s">
        <v>290</v>
      </c>
      <c r="C2" s="18"/>
      <c r="D2" s="117">
        <f>'Data Sheet'!K16</f>
        <v>46112</v>
      </c>
      <c r="E2" s="118">
        <f>D2+365</f>
        <v>46477</v>
      </c>
      <c r="F2" s="118">
        <f t="shared" ref="F2:I2" si="0">E2+365</f>
        <v>46842</v>
      </c>
      <c r="G2" s="118">
        <f t="shared" si="0"/>
        <v>47207</v>
      </c>
      <c r="H2" s="118">
        <f t="shared" si="0"/>
        <v>47572</v>
      </c>
      <c r="I2" s="118">
        <f t="shared" si="0"/>
        <v>47937</v>
      </c>
    </row>
    <row r="4" spans="2:36" x14ac:dyDescent="0.3">
      <c r="B4" t="str">
        <f>'Intrinsic Growth'!B41</f>
        <v>EBIT</v>
      </c>
      <c r="D4" s="128">
        <f>'Intrinsic Growth'!I41</f>
        <v>4149.5700000000052</v>
      </c>
      <c r="E4" s="94">
        <f>D4*(1+$D$19)</f>
        <v>4398.5442000000057</v>
      </c>
      <c r="F4" s="94">
        <f t="shared" ref="F4:I4" si="1">E4*(1+$D$19)</f>
        <v>4662.4568520000066</v>
      </c>
      <c r="G4" s="94">
        <f t="shared" si="1"/>
        <v>4942.2042631200075</v>
      </c>
      <c r="H4" s="94">
        <f t="shared" si="1"/>
        <v>5238.7365189072079</v>
      </c>
      <c r="I4" s="94">
        <f t="shared" si="1"/>
        <v>5553.060710041641</v>
      </c>
      <c r="Y4" t="s">
        <v>305</v>
      </c>
      <c r="Z4" t="s">
        <v>306</v>
      </c>
      <c r="AA4" t="s">
        <v>307</v>
      </c>
      <c r="AB4" t="s">
        <v>308</v>
      </c>
      <c r="AC4" t="s">
        <v>309</v>
      </c>
      <c r="AD4" t="s">
        <v>310</v>
      </c>
      <c r="AE4" t="s">
        <v>311</v>
      </c>
      <c r="AF4" t="s">
        <v>312</v>
      </c>
      <c r="AG4" t="s">
        <v>313</v>
      </c>
      <c r="AH4" t="s">
        <v>314</v>
      </c>
      <c r="AI4" t="s">
        <v>285</v>
      </c>
      <c r="AJ4" t="s">
        <v>315</v>
      </c>
    </row>
    <row r="5" spans="2:36" x14ac:dyDescent="0.3">
      <c r="D5" s="128"/>
      <c r="E5" s="94"/>
      <c r="F5" s="94"/>
      <c r="G5" s="94"/>
      <c r="H5" s="94"/>
      <c r="I5" s="94"/>
      <c r="Y5" t="s">
        <v>299</v>
      </c>
      <c r="Z5">
        <v>13</v>
      </c>
      <c r="AA5" t="s">
        <v>300</v>
      </c>
      <c r="AB5" t="s">
        <v>301</v>
      </c>
      <c r="AC5" s="122">
        <v>0.73819999999999997</v>
      </c>
      <c r="AD5" t="s">
        <v>302</v>
      </c>
      <c r="AE5" t="s">
        <v>303</v>
      </c>
      <c r="AF5" s="122">
        <v>8.3000000000000001E-3</v>
      </c>
      <c r="AG5" t="s">
        <v>304</v>
      </c>
      <c r="AH5">
        <v>0.9</v>
      </c>
      <c r="AI5" s="122">
        <v>1.1075999999999999</v>
      </c>
      <c r="AJ5" s="123">
        <v>0.06</v>
      </c>
    </row>
    <row r="6" spans="2:36" x14ac:dyDescent="0.3">
      <c r="B6" t="str">
        <f>'Intrinsic Growth'!B42</f>
        <v>Marginal Tax Rate</v>
      </c>
      <c r="D6" s="129">
        <f>'Intrinsic Growth'!C42</f>
        <v>0.25</v>
      </c>
      <c r="E6" s="119">
        <f>D6</f>
        <v>0.25</v>
      </c>
      <c r="F6" s="119">
        <f t="shared" ref="F6:I6" si="2">E6</f>
        <v>0.25</v>
      </c>
      <c r="G6" s="119">
        <f t="shared" si="2"/>
        <v>0.25</v>
      </c>
      <c r="H6" s="119">
        <f t="shared" si="2"/>
        <v>0.25</v>
      </c>
      <c r="I6" s="119">
        <f t="shared" si="2"/>
        <v>0.25</v>
      </c>
    </row>
    <row r="7" spans="2:36" x14ac:dyDescent="0.3">
      <c r="D7" s="128"/>
      <c r="E7" s="94"/>
      <c r="F7" s="94"/>
      <c r="G7" s="94"/>
      <c r="H7" s="94"/>
      <c r="I7" s="94"/>
    </row>
    <row r="8" spans="2:36" x14ac:dyDescent="0.3">
      <c r="B8" t="str">
        <f>'Intrinsic Growth'!B43</f>
        <v>EBIT(1-TR)</v>
      </c>
      <c r="D8" s="128">
        <f>D4*(1-D6)</f>
        <v>3112.1775000000039</v>
      </c>
      <c r="E8" s="94">
        <f t="shared" ref="E8:I8" si="3">E4*(1-E6)</f>
        <v>3298.9081500000043</v>
      </c>
      <c r="F8" s="94">
        <f t="shared" si="3"/>
        <v>3496.842639000005</v>
      </c>
      <c r="G8" s="94">
        <f t="shared" si="3"/>
        <v>3706.6531973400056</v>
      </c>
      <c r="H8" s="94">
        <f t="shared" si="3"/>
        <v>3929.052389180406</v>
      </c>
      <c r="I8" s="94">
        <f t="shared" si="3"/>
        <v>4164.7955325312305</v>
      </c>
    </row>
    <row r="9" spans="2:36" x14ac:dyDescent="0.3">
      <c r="D9" s="128"/>
      <c r="E9" s="94"/>
      <c r="F9" s="94"/>
      <c r="G9" s="94"/>
      <c r="H9" s="94"/>
      <c r="I9" s="94"/>
    </row>
    <row r="10" spans="2:36" x14ac:dyDescent="0.3">
      <c r="B10" t="s">
        <v>291</v>
      </c>
      <c r="D10" s="176">
        <f>'Intrinsic Growth'!C63</f>
        <v>0.44947976274098722</v>
      </c>
      <c r="E10" s="120">
        <f>D10</f>
        <v>0.44947976274098722</v>
      </c>
      <c r="F10" s="120">
        <f t="shared" ref="F10:H10" si="4">E10</f>
        <v>0.44947976274098722</v>
      </c>
      <c r="G10" s="120">
        <f t="shared" si="4"/>
        <v>0.44947976274098722</v>
      </c>
      <c r="H10" s="120">
        <f t="shared" si="4"/>
        <v>0.44947976274098722</v>
      </c>
      <c r="I10" s="120">
        <f>'Intrinsic Growth'!C62</f>
        <v>0.41490439637629589</v>
      </c>
    </row>
    <row r="11" spans="2:36" x14ac:dyDescent="0.3">
      <c r="D11" s="130"/>
      <c r="E11" s="94"/>
      <c r="F11" s="94"/>
      <c r="G11" s="94"/>
      <c r="H11" s="94"/>
      <c r="I11" s="94"/>
    </row>
    <row r="12" spans="2:36" x14ac:dyDescent="0.3">
      <c r="B12" t="s">
        <v>292</v>
      </c>
      <c r="D12" s="128">
        <f>D8*(1-D10)</f>
        <v>1713.3166956921634</v>
      </c>
      <c r="E12" s="94">
        <f t="shared" ref="E12:I12" si="5">E8*(1-E10)</f>
        <v>1816.1156974336932</v>
      </c>
      <c r="F12" s="94">
        <f t="shared" si="5"/>
        <v>1925.0826392797151</v>
      </c>
      <c r="G12" s="94">
        <f t="shared" si="5"/>
        <v>2040.5875976364982</v>
      </c>
      <c r="H12" s="94">
        <f t="shared" si="5"/>
        <v>2163.0228534946882</v>
      </c>
      <c r="I12" s="94">
        <f t="shared" si="5"/>
        <v>2436.8035560756662</v>
      </c>
    </row>
    <row r="13" spans="2:36" x14ac:dyDescent="0.3">
      <c r="D13" s="130"/>
    </row>
    <row r="14" spans="2:36" x14ac:dyDescent="0.3">
      <c r="B14" t="s">
        <v>293</v>
      </c>
      <c r="D14" s="130"/>
      <c r="E14">
        <v>0.5</v>
      </c>
      <c r="F14">
        <f>E14+1</f>
        <v>1.5</v>
      </c>
      <c r="G14">
        <f t="shared" ref="G14:I14" si="6">F14+1</f>
        <v>2.5</v>
      </c>
      <c r="H14">
        <f t="shared" si="6"/>
        <v>3.5</v>
      </c>
      <c r="I14">
        <f t="shared" si="6"/>
        <v>4.5</v>
      </c>
    </row>
    <row r="15" spans="2:36" x14ac:dyDescent="0.3">
      <c r="B15" t="s">
        <v>294</v>
      </c>
      <c r="D15" s="130"/>
      <c r="E15" s="132">
        <f>1/(1+$D$21)^E14</f>
        <v>0.95760942303441332</v>
      </c>
      <c r="F15" s="132">
        <f t="shared" ref="F15:I15" si="7">1/(1+$D$21)^F14</f>
        <v>0.87814297793543539</v>
      </c>
      <c r="G15" s="132">
        <f t="shared" si="7"/>
        <v>0.80527099164687566</v>
      </c>
      <c r="H15" s="132">
        <f t="shared" si="7"/>
        <v>0.73844622832663598</v>
      </c>
      <c r="I15" s="132">
        <f t="shared" si="7"/>
        <v>0.67716686405730886</v>
      </c>
    </row>
    <row r="16" spans="2:36" x14ac:dyDescent="0.3">
      <c r="D16" s="130"/>
    </row>
    <row r="17" spans="2:16" ht="15" thickBot="1" x14ac:dyDescent="0.35">
      <c r="B17" s="121" t="s">
        <v>295</v>
      </c>
      <c r="C17" s="121"/>
      <c r="D17" s="131"/>
      <c r="E17" s="134">
        <f>E12*E15</f>
        <v>1739.1295051832201</v>
      </c>
      <c r="F17" s="134">
        <f t="shared" ref="F17:I17" si="8">F12*F15</f>
        <v>1690.4978016288965</v>
      </c>
      <c r="G17" s="134">
        <f t="shared" si="8"/>
        <v>1643.2259982910587</v>
      </c>
      <c r="H17" s="134">
        <f t="shared" si="8"/>
        <v>1597.2760679474702</v>
      </c>
      <c r="I17" s="134">
        <f t="shared" si="8"/>
        <v>1650.1226223914575</v>
      </c>
    </row>
    <row r="19" spans="2:16" x14ac:dyDescent="0.3">
      <c r="B19" s="125" t="s">
        <v>296</v>
      </c>
      <c r="C19" s="125"/>
      <c r="D19" s="126">
        <v>0.06</v>
      </c>
    </row>
    <row r="20" spans="2:16" x14ac:dyDescent="0.3">
      <c r="B20" s="125" t="s">
        <v>297</v>
      </c>
      <c r="C20" s="125"/>
      <c r="D20" s="126">
        <v>6.5000000000000002E-2</v>
      </c>
    </row>
    <row r="21" spans="2:16" x14ac:dyDescent="0.3">
      <c r="B21" s="125" t="s">
        <v>298</v>
      </c>
      <c r="C21" s="125"/>
      <c r="D21" s="127">
        <f>WACC!J39</f>
        <v>9.0493743155366554E-2</v>
      </c>
    </row>
    <row r="23" spans="2:16" x14ac:dyDescent="0.3">
      <c r="B23" s="17" t="s">
        <v>316</v>
      </c>
      <c r="C23" s="135"/>
      <c r="K23" s="180" t="s">
        <v>393</v>
      </c>
      <c r="L23" s="180"/>
      <c r="M23" s="180"/>
      <c r="N23" s="180"/>
      <c r="O23" s="180"/>
      <c r="P23" s="180"/>
    </row>
    <row r="24" spans="2:16" ht="15" thickBot="1" x14ac:dyDescent="0.35">
      <c r="E24" s="133"/>
      <c r="F24" s="123"/>
      <c r="K24" s="166">
        <f>C35</f>
        <v>76930.419167646658</v>
      </c>
      <c r="L24" s="168">
        <v>7.0000000000000007E-2</v>
      </c>
      <c r="M24" s="168">
        <v>0.09</v>
      </c>
      <c r="N24" s="168">
        <v>0.11</v>
      </c>
      <c r="O24" s="168">
        <v>0.13</v>
      </c>
      <c r="P24" s="168">
        <v>0.15</v>
      </c>
    </row>
    <row r="25" spans="2:16" x14ac:dyDescent="0.3">
      <c r="B25" t="s">
        <v>317</v>
      </c>
      <c r="C25" s="133">
        <f>I12*(1+D19)</f>
        <v>2583.0117694402061</v>
      </c>
      <c r="E25" s="122"/>
      <c r="K25" s="167">
        <v>2.5000000000000001E-2</v>
      </c>
      <c r="L25" s="169">
        <f t="dataTable" ref="L25:P30" dt2D="1" dtr="1" r1="C26" r2="C27" ca="1"/>
        <v>47189.807100663093</v>
      </c>
      <c r="M25" s="173">
        <v>35229.943991364329</v>
      </c>
      <c r="N25" s="173">
        <v>28898.251757029691</v>
      </c>
      <c r="O25" s="173">
        <v>24978.632754822527</v>
      </c>
      <c r="P25" s="170">
        <v>22313.291833321662</v>
      </c>
    </row>
    <row r="26" spans="2:16" x14ac:dyDescent="0.3">
      <c r="B26" t="s">
        <v>298</v>
      </c>
      <c r="C26" s="122">
        <f>D21</f>
        <v>9.0493743155366554E-2</v>
      </c>
      <c r="E26" s="122"/>
      <c r="K26" s="167">
        <v>4.4999999999999998E-2</v>
      </c>
      <c r="L26" s="171">
        <v>78285.451184839869</v>
      </c>
      <c r="M26" s="174">
        <v>47189.807100663107</v>
      </c>
      <c r="N26" s="174">
        <v>35229.943991364329</v>
      </c>
      <c r="O26" s="174">
        <v>28898.251757029688</v>
      </c>
      <c r="P26" s="172">
        <v>24978.632754822531</v>
      </c>
    </row>
    <row r="27" spans="2:16" x14ac:dyDescent="0.3">
      <c r="B27" t="s">
        <v>318</v>
      </c>
      <c r="C27" s="124">
        <f>D20</f>
        <v>6.5000000000000002E-2</v>
      </c>
      <c r="E27" s="122"/>
      <c r="K27" s="167">
        <v>6.5000000000000002E-2</v>
      </c>
      <c r="L27" s="171">
        <v>358146.24794243072</v>
      </c>
      <c r="M27" s="174">
        <v>78285.451184839912</v>
      </c>
      <c r="N27" s="174">
        <v>47189.807100663107</v>
      </c>
      <c r="O27" s="174">
        <v>35229.943991364329</v>
      </c>
      <c r="P27" s="172">
        <v>28898.251757029691</v>
      </c>
    </row>
    <row r="28" spans="2:16" x14ac:dyDescent="0.3">
      <c r="E28" s="122"/>
      <c r="K28" s="167">
        <v>8.5000000000000006E-2</v>
      </c>
      <c r="L28" s="171">
        <v>-108288.41332022089</v>
      </c>
      <c r="M28" s="174">
        <v>358146.24794243171</v>
      </c>
      <c r="N28" s="174">
        <v>78285.451184839912</v>
      </c>
      <c r="O28" s="174">
        <v>47189.807100663107</v>
      </c>
      <c r="P28" s="172">
        <v>35229.943991364336</v>
      </c>
    </row>
    <row r="29" spans="2:16" ht="15" thickBot="1" x14ac:dyDescent="0.35">
      <c r="B29" s="121" t="s">
        <v>319</v>
      </c>
      <c r="C29" s="134">
        <f>C25/(C26-C27)</f>
        <v>101319.43958557023</v>
      </c>
      <c r="E29" s="122"/>
      <c r="K29" s="167">
        <v>0.105</v>
      </c>
      <c r="L29" s="171">
        <v>-41654.890282699198</v>
      </c>
      <c r="M29" s="174">
        <v>-108288.41332022089</v>
      </c>
      <c r="N29" s="174">
        <v>358146.24794243072</v>
      </c>
      <c r="O29" s="174">
        <v>78285.451184839869</v>
      </c>
      <c r="P29" s="172">
        <v>47189.807100663107</v>
      </c>
    </row>
    <row r="30" spans="2:16" x14ac:dyDescent="0.3">
      <c r="K30" s="167">
        <v>0.125</v>
      </c>
      <c r="L30" s="171">
        <v>-23482.111272465991</v>
      </c>
      <c r="M30" s="174">
        <v>-41654.890282699169</v>
      </c>
      <c r="N30" s="174">
        <v>-108288.41332022089</v>
      </c>
      <c r="O30" s="174">
        <v>358146.24794243072</v>
      </c>
      <c r="P30" s="172">
        <v>78285.451184839912</v>
      </c>
    </row>
    <row r="31" spans="2:16" x14ac:dyDescent="0.3">
      <c r="B31" s="17" t="s">
        <v>320</v>
      </c>
      <c r="C31" s="135"/>
    </row>
    <row r="33" spans="2:16" x14ac:dyDescent="0.3">
      <c r="B33" t="s">
        <v>295</v>
      </c>
      <c r="C33" s="133">
        <f>SUM(E17:I17)</f>
        <v>8320.2519954421041</v>
      </c>
    </row>
    <row r="34" spans="2:16" x14ac:dyDescent="0.3">
      <c r="B34" t="s">
        <v>321</v>
      </c>
      <c r="C34" s="133">
        <f>C29*I15</f>
        <v>68610.167172204558</v>
      </c>
      <c r="K34" s="180" t="s">
        <v>394</v>
      </c>
      <c r="L34" s="180"/>
      <c r="M34" s="180"/>
      <c r="N34" s="180"/>
      <c r="O34" s="180"/>
      <c r="P34" s="180"/>
    </row>
    <row r="35" spans="2:16" ht="15" thickBot="1" x14ac:dyDescent="0.35">
      <c r="B35" s="2" t="s">
        <v>322</v>
      </c>
      <c r="C35" s="136">
        <f>SUM(C33:C34)</f>
        <v>76930.419167646658</v>
      </c>
      <c r="K35" s="166">
        <f>C42</f>
        <v>1170.1661600784921</v>
      </c>
      <c r="L35" s="168">
        <v>7.0000000000000007E-2</v>
      </c>
      <c r="M35" s="168">
        <v>0.09</v>
      </c>
      <c r="N35" s="168">
        <v>0.11</v>
      </c>
      <c r="O35" s="168">
        <v>0.13</v>
      </c>
      <c r="P35" s="168">
        <v>0.15</v>
      </c>
    </row>
    <row r="36" spans="2:16" x14ac:dyDescent="0.3">
      <c r="K36" s="167">
        <v>2.5000000000000001E-2</v>
      </c>
      <c r="L36" s="171">
        <f t="dataTable" ref="L36:P41" dt2D="1" dtr="1" r1="C26" r2="C27"/>
        <v>714.19383853063687</v>
      </c>
      <c r="M36" s="171">
        <v>530.82953738380399</v>
      </c>
      <c r="N36" s="171">
        <v>433.7543191295984</v>
      </c>
      <c r="O36" s="171">
        <v>373.66013640080433</v>
      </c>
      <c r="P36" s="171">
        <v>332.79609214522446</v>
      </c>
    </row>
    <row r="37" spans="2:16" x14ac:dyDescent="0.3">
      <c r="B37" t="s">
        <v>323</v>
      </c>
      <c r="C37">
        <f>'Data Sheet'!J69</f>
        <v>358.2</v>
      </c>
      <c r="K37" s="167">
        <v>4.4999999999999998E-2</v>
      </c>
      <c r="L37" s="171">
        <v>1190.9410215124021</v>
      </c>
      <c r="M37" s="171">
        <v>714.19383853063709</v>
      </c>
      <c r="N37" s="171">
        <v>530.82953738380399</v>
      </c>
      <c r="O37" s="171">
        <v>433.75431912959834</v>
      </c>
      <c r="P37" s="171">
        <v>373.66013640080439</v>
      </c>
    </row>
    <row r="38" spans="2:16" x14ac:dyDescent="0.3">
      <c r="B38" t="s">
        <v>324</v>
      </c>
      <c r="C38">
        <f>SUM('Data for IG'!I7:I8)</f>
        <v>965</v>
      </c>
      <c r="K38" s="167">
        <v>6.5000000000000002E-2</v>
      </c>
      <c r="L38" s="171">
        <v>5481.6656683482888</v>
      </c>
      <c r="M38" s="171">
        <v>1190.9410215124028</v>
      </c>
      <c r="N38" s="171">
        <v>714.19383853063709</v>
      </c>
      <c r="O38" s="171">
        <v>530.82953738380399</v>
      </c>
      <c r="P38" s="171">
        <v>433.7543191295984</v>
      </c>
    </row>
    <row r="39" spans="2:16" x14ac:dyDescent="0.3">
      <c r="B39" t="s">
        <v>325</v>
      </c>
      <c r="C39" s="133">
        <f>C35+C37-C38</f>
        <v>76323.619167646655</v>
      </c>
      <c r="K39" s="167">
        <v>8.5000000000000006E-2</v>
      </c>
      <c r="L39" s="171">
        <v>-1669.5420763781915</v>
      </c>
      <c r="M39" s="171">
        <v>5481.6656683483043</v>
      </c>
      <c r="N39" s="171">
        <v>1190.9410215124028</v>
      </c>
      <c r="O39" s="171">
        <v>714.19383853063709</v>
      </c>
      <c r="P39" s="171">
        <v>530.82953738380411</v>
      </c>
    </row>
    <row r="40" spans="2:16" x14ac:dyDescent="0.3">
      <c r="B40" t="s">
        <v>326</v>
      </c>
      <c r="C40" s="133">
        <f>'Data Sheet'!B6</f>
        <v>65.224599523991571</v>
      </c>
      <c r="K40" s="167">
        <v>0.105</v>
      </c>
      <c r="L40" s="171">
        <v>-647.94096998869395</v>
      </c>
      <c r="M40" s="171">
        <v>-1669.5420763781915</v>
      </c>
      <c r="N40" s="171">
        <v>5481.6656683482888</v>
      </c>
      <c r="O40" s="171">
        <v>1190.9410215124021</v>
      </c>
      <c r="P40" s="171">
        <v>714.19383853063709</v>
      </c>
    </row>
    <row r="41" spans="2:16" x14ac:dyDescent="0.3">
      <c r="K41" s="167">
        <v>0.125</v>
      </c>
      <c r="L41" s="171">
        <v>-369.32248642792149</v>
      </c>
      <c r="M41" s="171">
        <v>-647.9409699886935</v>
      </c>
      <c r="N41" s="171">
        <v>-1669.5420763781915</v>
      </c>
      <c r="O41" s="171">
        <v>5481.6656683482888</v>
      </c>
      <c r="P41" s="171">
        <v>1190.9410215124028</v>
      </c>
    </row>
    <row r="42" spans="2:16" ht="15" thickBot="1" x14ac:dyDescent="0.35">
      <c r="B42" s="121" t="s">
        <v>327</v>
      </c>
      <c r="C42" s="134">
        <f>C39/C40</f>
        <v>1170.1661600784921</v>
      </c>
    </row>
    <row r="44" spans="2:16" x14ac:dyDescent="0.3">
      <c r="B44" t="s">
        <v>328</v>
      </c>
      <c r="C44" s="133">
        <v>250</v>
      </c>
    </row>
    <row r="45" spans="2:16" x14ac:dyDescent="0.3">
      <c r="B45" t="s">
        <v>329</v>
      </c>
      <c r="C45" s="137">
        <f>C44/C42</f>
        <v>0.21364487243694569</v>
      </c>
    </row>
  </sheetData>
  <mergeCells count="2">
    <mergeCell ref="K23:P23"/>
    <mergeCell ref="K34:P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90B0-5CE1-4F64-BD85-CF17BBABD562}">
  <dimension ref="B2:Q29"/>
  <sheetViews>
    <sheetView showGridLines="0" topLeftCell="H9" workbookViewId="0">
      <selection activeCell="U23" sqref="U23"/>
    </sheetView>
  </sheetViews>
  <sheetFormatPr defaultRowHeight="14.4" x14ac:dyDescent="0.3"/>
  <cols>
    <col min="1" max="1" width="2.33203125" customWidth="1"/>
    <col min="2" max="2" width="16.5546875" customWidth="1"/>
    <col min="6" max="6" width="10.44140625" bestFit="1" customWidth="1"/>
    <col min="8" max="8" width="10.44140625" bestFit="1" customWidth="1"/>
    <col min="10" max="10" width="2.33203125" customWidth="1"/>
    <col min="15" max="16" width="11.44140625" bestFit="1" customWidth="1"/>
    <col min="17" max="17" width="10.44140625" bestFit="1" customWidth="1"/>
  </cols>
  <sheetData>
    <row r="2" spans="2:17" ht="18" x14ac:dyDescent="0.35">
      <c r="B2" s="179" t="s">
        <v>347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</row>
    <row r="3" spans="2:17" ht="3.6" customHeight="1" x14ac:dyDescent="0.3"/>
    <row r="4" spans="2:17" ht="15.6" customHeight="1" x14ac:dyDescent="0.3">
      <c r="B4" s="163" t="s">
        <v>386</v>
      </c>
    </row>
    <row r="5" spans="2:17" x14ac:dyDescent="0.3">
      <c r="B5" s="17"/>
      <c r="C5" s="17"/>
      <c r="D5" s="177" t="s">
        <v>354</v>
      </c>
      <c r="E5" s="177"/>
      <c r="F5" s="177"/>
      <c r="G5" s="177"/>
      <c r="H5" s="177"/>
      <c r="I5" s="177"/>
      <c r="J5" s="17"/>
      <c r="K5" s="177" t="s">
        <v>358</v>
      </c>
      <c r="L5" s="177"/>
      <c r="M5" s="177"/>
      <c r="N5" s="17"/>
      <c r="O5" s="178" t="s">
        <v>357</v>
      </c>
      <c r="P5" s="178"/>
      <c r="Q5" s="178"/>
    </row>
    <row r="6" spans="2:17" ht="28.8" x14ac:dyDescent="0.3">
      <c r="B6" s="17" t="s">
        <v>348</v>
      </c>
      <c r="C6" s="17" t="s">
        <v>349</v>
      </c>
      <c r="D6" s="151" t="s">
        <v>328</v>
      </c>
      <c r="E6" s="151" t="s">
        <v>350</v>
      </c>
      <c r="F6" s="151" t="s">
        <v>351</v>
      </c>
      <c r="G6" s="17" t="s">
        <v>352</v>
      </c>
      <c r="H6" s="151" t="s">
        <v>353</v>
      </c>
      <c r="I6" s="17"/>
      <c r="J6" s="17"/>
      <c r="K6" s="17" t="s">
        <v>355</v>
      </c>
      <c r="L6" s="17" t="s">
        <v>67</v>
      </c>
      <c r="M6" s="17" t="s">
        <v>356</v>
      </c>
      <c r="N6" s="17"/>
      <c r="O6" s="152" t="s">
        <v>375</v>
      </c>
      <c r="P6" s="152" t="s">
        <v>376</v>
      </c>
      <c r="Q6" s="152" t="s">
        <v>377</v>
      </c>
    </row>
    <row r="7" spans="2:17" x14ac:dyDescent="0.3">
      <c r="B7" s="153" t="str">
        <f>'Data_Relative Comps'!C2</f>
        <v>Avenue Super.</v>
      </c>
      <c r="C7" s="153"/>
      <c r="D7" s="154">
        <f>'Data_Relative Comps'!D2</f>
        <v>4018.8</v>
      </c>
      <c r="E7" s="154">
        <f>'Data_Relative Comps'!E2</f>
        <v>65.22</v>
      </c>
      <c r="F7" s="154">
        <f>E7*D7</f>
        <v>262106.136</v>
      </c>
      <c r="G7" s="154">
        <f>'Data_Relative Comps'!I2</f>
        <v>2121.21</v>
      </c>
      <c r="H7" s="154">
        <f>F7+G7</f>
        <v>264227.34600000002</v>
      </c>
      <c r="I7" s="153"/>
      <c r="J7" s="153"/>
      <c r="K7" s="154">
        <f>'Data_Relative Comps'!L2</f>
        <v>71255.570000000007</v>
      </c>
      <c r="L7" s="154">
        <f>'Data_Relative Comps'!N2</f>
        <v>5465.3022190000011</v>
      </c>
      <c r="M7" s="154">
        <f>'Data_Relative Comps'!M2</f>
        <v>3057.49</v>
      </c>
      <c r="N7" s="153"/>
      <c r="O7" s="155">
        <f>H7/K7</f>
        <v>3.7081640915931202</v>
      </c>
      <c r="P7" s="155">
        <f>H7/L7</f>
        <v>48.34633756966258</v>
      </c>
      <c r="Q7" s="155">
        <f>F7/M7</f>
        <v>85.725917664489501</v>
      </c>
    </row>
    <row r="8" spans="2:17" x14ac:dyDescent="0.3">
      <c r="B8" s="156" t="str">
        <f>'Data_Relative Comps'!C3</f>
        <v>Vishal Mega Mart</v>
      </c>
      <c r="C8" s="156"/>
      <c r="D8" s="99">
        <f>'Data_Relative Comps'!D3</f>
        <v>108.04</v>
      </c>
      <c r="E8" s="99">
        <f>'Data_Relative Comps'!E3</f>
        <v>468.43</v>
      </c>
      <c r="F8" s="99">
        <f t="shared" ref="F8:F13" si="0">E8*D8</f>
        <v>50609.177200000006</v>
      </c>
      <c r="G8" s="99">
        <f>'Data_Relative Comps'!I3</f>
        <v>1393.0900000000001</v>
      </c>
      <c r="H8" s="99">
        <f t="shared" ref="H8:H13" si="1">F8+G8</f>
        <v>52002.267200000002</v>
      </c>
      <c r="I8" s="156"/>
      <c r="J8" s="156"/>
      <c r="K8" s="99">
        <f>'Data_Relative Comps'!L3</f>
        <v>13493.01</v>
      </c>
      <c r="L8" s="99">
        <f>'Data_Relative Comps'!N3</f>
        <v>2071.1770350000002</v>
      </c>
      <c r="M8" s="99">
        <f>'Data_Relative Comps'!M3</f>
        <v>891.92</v>
      </c>
      <c r="N8" s="156"/>
      <c r="O8" s="157">
        <f t="shared" ref="O8:O13" si="2">H8/K8</f>
        <v>3.8540153160784731</v>
      </c>
      <c r="P8" s="157">
        <f t="shared" ref="P8:P13" si="3">H8/L8</f>
        <v>25.10759163569038</v>
      </c>
      <c r="Q8" s="157">
        <f t="shared" ref="Q8:Q13" si="4">F8/M8</f>
        <v>56.741834693694507</v>
      </c>
    </row>
    <row r="9" spans="2:17" x14ac:dyDescent="0.3">
      <c r="B9" s="156" t="str">
        <f>'Data_Relative Comps'!C4</f>
        <v>V-Mart Retail</v>
      </c>
      <c r="C9" s="156"/>
      <c r="D9" s="99">
        <f>'Data_Relative Comps'!D4</f>
        <v>724.65</v>
      </c>
      <c r="E9" s="99">
        <f>'Data_Relative Comps'!E4</f>
        <v>7.95</v>
      </c>
      <c r="F9" s="99">
        <f t="shared" si="0"/>
        <v>5760.9674999999997</v>
      </c>
      <c r="G9" s="99">
        <f>'Data_Relative Comps'!I4</f>
        <v>938.06000000000006</v>
      </c>
      <c r="H9" s="99">
        <f t="shared" si="1"/>
        <v>6699.0275000000001</v>
      </c>
      <c r="I9" s="156"/>
      <c r="J9" s="156"/>
      <c r="K9" s="99">
        <f>'Data_Relative Comps'!L4</f>
        <v>3992.95</v>
      </c>
      <c r="L9" s="99">
        <f>'Data_Relative Comps'!N4</f>
        <v>562.60665499999993</v>
      </c>
      <c r="M9" s="99">
        <f>'Data_Relative Comps'!M4</f>
        <v>137.61000000000001</v>
      </c>
      <c r="N9" s="156"/>
      <c r="O9" s="157">
        <f t="shared" si="2"/>
        <v>1.6777138456529634</v>
      </c>
      <c r="P9" s="157">
        <f t="shared" si="3"/>
        <v>11.907124525571069</v>
      </c>
      <c r="Q9" s="157">
        <f t="shared" si="4"/>
        <v>41.864453891432305</v>
      </c>
    </row>
    <row r="10" spans="2:17" x14ac:dyDescent="0.3">
      <c r="B10" s="156" t="str">
        <f>'Data_Relative Comps'!C5</f>
        <v>Electronics Mart</v>
      </c>
      <c r="C10" s="156"/>
      <c r="D10" s="99">
        <f>'Data_Relative Comps'!D5</f>
        <v>129.63999999999999</v>
      </c>
      <c r="E10" s="99">
        <f>'Data_Relative Comps'!E5</f>
        <v>38.47</v>
      </c>
      <c r="F10" s="99">
        <f t="shared" si="0"/>
        <v>4987.2507999999989</v>
      </c>
      <c r="G10" s="99">
        <f>'Data_Relative Comps'!I5</f>
        <v>1947.23</v>
      </c>
      <c r="H10" s="99">
        <f t="shared" si="1"/>
        <v>6934.4807999999994</v>
      </c>
      <c r="I10" s="156"/>
      <c r="J10" s="156"/>
      <c r="K10" s="99">
        <f>'Data_Relative Comps'!L5</f>
        <v>7183.26</v>
      </c>
      <c r="L10" s="99">
        <f>'Data_Relative Comps'!N5</f>
        <v>446.08044600000005</v>
      </c>
      <c r="M10" s="99">
        <f>'Data_Relative Comps'!M5</f>
        <v>107.14</v>
      </c>
      <c r="N10" s="156"/>
      <c r="O10" s="157">
        <f t="shared" si="2"/>
        <v>0.9653668111693019</v>
      </c>
      <c r="P10" s="157">
        <f t="shared" si="3"/>
        <v>15.545359278088595</v>
      </c>
      <c r="Q10" s="157">
        <f t="shared" si="4"/>
        <v>46.548915437744995</v>
      </c>
    </row>
    <row r="11" spans="2:17" x14ac:dyDescent="0.3">
      <c r="B11" s="156" t="str">
        <f>'Data_Relative Comps'!C6</f>
        <v>Shoppers Stop</v>
      </c>
      <c r="C11" s="156"/>
      <c r="D11" s="99">
        <f>'Data_Relative Comps'!D6</f>
        <v>377.75</v>
      </c>
      <c r="E11" s="99">
        <f>'Data_Relative Comps'!E6</f>
        <v>11.02</v>
      </c>
      <c r="F11" s="99">
        <f t="shared" si="0"/>
        <v>4162.8050000000003</v>
      </c>
      <c r="G11" s="99">
        <f>'Data_Relative Comps'!I6</f>
        <v>3303.97</v>
      </c>
      <c r="H11" s="99">
        <f t="shared" si="1"/>
        <v>7466.7749999999996</v>
      </c>
      <c r="I11" s="156"/>
      <c r="J11" s="156"/>
      <c r="K11" s="99">
        <f>'Data_Relative Comps'!L6</f>
        <v>5173.6400000000003</v>
      </c>
      <c r="L11" s="99">
        <f>'Data_Relative Comps'!N6</f>
        <v>807.60520399999996</v>
      </c>
      <c r="M11" s="99">
        <f>'Data_Relative Comps'!M6</f>
        <v>-34.590000000000003</v>
      </c>
      <c r="N11" s="156"/>
      <c r="O11" s="157">
        <f t="shared" si="2"/>
        <v>1.4432343572417097</v>
      </c>
      <c r="P11" s="157">
        <f t="shared" si="3"/>
        <v>9.2455756389603447</v>
      </c>
      <c r="Q11" s="157">
        <f t="shared" si="4"/>
        <v>-120.34706562590344</v>
      </c>
    </row>
    <row r="12" spans="2:17" x14ac:dyDescent="0.3">
      <c r="B12" s="156" t="str">
        <f>'Data_Relative Comps'!C7</f>
        <v>Keto Motors</v>
      </c>
      <c r="C12" s="156"/>
      <c r="D12" s="99">
        <f>'Data_Relative Comps'!D7</f>
        <v>227.65</v>
      </c>
      <c r="E12" s="99">
        <f>'Data_Relative Comps'!E7</f>
        <v>7.04</v>
      </c>
      <c r="F12" s="99">
        <f t="shared" si="0"/>
        <v>1602.6559999999999</v>
      </c>
      <c r="G12" s="99">
        <f>'Data_Relative Comps'!I7</f>
        <v>37.54</v>
      </c>
      <c r="H12" s="99">
        <f t="shared" si="1"/>
        <v>1640.1959999999999</v>
      </c>
      <c r="I12" s="156"/>
      <c r="J12" s="156"/>
      <c r="K12" s="99">
        <f>'Data_Relative Comps'!L7</f>
        <v>2.13</v>
      </c>
      <c r="L12" s="99">
        <f>'Data_Relative Comps'!N7</f>
        <v>0.59000999999999992</v>
      </c>
      <c r="M12" s="99">
        <f>'Data_Relative Comps'!M7</f>
        <v>-0.18</v>
      </c>
      <c r="N12" s="156"/>
      <c r="O12" s="157">
        <f>H12/K12</f>
        <v>770.04507042253522</v>
      </c>
      <c r="P12" s="157">
        <f t="shared" si="3"/>
        <v>2779.9461026084305</v>
      </c>
      <c r="Q12" s="157">
        <f t="shared" si="4"/>
        <v>-8903.6444444444442</v>
      </c>
    </row>
    <row r="13" spans="2:17" x14ac:dyDescent="0.3">
      <c r="B13" s="158" t="str">
        <f>'Data_Relative Comps'!C8</f>
        <v>Patel Retail</v>
      </c>
      <c r="C13" s="158"/>
      <c r="D13" s="96">
        <f>'Data_Relative Comps'!D8</f>
        <v>223.44</v>
      </c>
      <c r="E13" s="96">
        <f>'Data_Relative Comps'!E8</f>
        <v>3.34</v>
      </c>
      <c r="F13" s="96">
        <f t="shared" si="0"/>
        <v>746.28959999999995</v>
      </c>
      <c r="G13" s="96">
        <f>'Data_Relative Comps'!I8</f>
        <v>139.43</v>
      </c>
      <c r="H13" s="96">
        <f t="shared" si="1"/>
        <v>885.7195999999999</v>
      </c>
      <c r="I13" s="158"/>
      <c r="J13" s="158"/>
      <c r="K13" s="96">
        <f>'Data_Relative Comps'!L8</f>
        <v>1048.33</v>
      </c>
      <c r="L13" s="96">
        <f>'Data_Relative Comps'!N8</f>
        <v>83.02773599999999</v>
      </c>
      <c r="M13" s="96">
        <f>'Data_Relative Comps'!M8</f>
        <v>39.049999999999997</v>
      </c>
      <c r="N13" s="158"/>
      <c r="O13" s="159">
        <f t="shared" si="2"/>
        <v>0.84488624765102593</v>
      </c>
      <c r="P13" s="159">
        <f t="shared" si="3"/>
        <v>10.667755652159418</v>
      </c>
      <c r="Q13" s="159">
        <f t="shared" si="4"/>
        <v>19.111129321382844</v>
      </c>
    </row>
    <row r="14" spans="2:17" ht="13.8" customHeight="1" x14ac:dyDescent="0.3">
      <c r="P14" s="133"/>
    </row>
    <row r="15" spans="2:17" x14ac:dyDescent="0.3">
      <c r="B15" s="153" t="s">
        <v>378</v>
      </c>
      <c r="C15" s="153"/>
      <c r="D15" s="154"/>
      <c r="E15" s="154"/>
      <c r="F15" s="154"/>
      <c r="G15" s="154"/>
      <c r="H15" s="154"/>
      <c r="I15" s="153"/>
      <c r="J15" s="153"/>
      <c r="K15" s="154"/>
      <c r="L15" s="154"/>
      <c r="M15" s="154"/>
      <c r="N15" s="153"/>
      <c r="O15" s="155">
        <f t="shared" ref="O15:Q15" si="5">MAX(O7:O13)</f>
        <v>770.04507042253522</v>
      </c>
      <c r="P15" s="155">
        <f t="shared" si="5"/>
        <v>2779.9461026084305</v>
      </c>
      <c r="Q15" s="155">
        <f t="shared" si="5"/>
        <v>85.725917664489501</v>
      </c>
    </row>
    <row r="16" spans="2:17" x14ac:dyDescent="0.3">
      <c r="B16" s="153" t="s">
        <v>379</v>
      </c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5">
        <f>QUARTILE(O7:O13,3)</f>
        <v>3.7810897038357965</v>
      </c>
      <c r="P16" s="155">
        <f t="shared" ref="P16:Q16" si="6">QUARTILE(P7:P13,3)</f>
        <v>36.726964602676482</v>
      </c>
      <c r="Q16" s="155">
        <f t="shared" si="6"/>
        <v>51.645375065719747</v>
      </c>
    </row>
    <row r="17" spans="2:17" x14ac:dyDescent="0.3">
      <c r="B17" s="164" t="s">
        <v>169</v>
      </c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65">
        <f>AVERAGE(O7:O13)</f>
        <v>111.79120729884598</v>
      </c>
      <c r="P17" s="165">
        <f t="shared" ref="P17:Q17" si="7">AVERAGE(P7:P13)</f>
        <v>414.39512098693751</v>
      </c>
      <c r="Q17" s="165">
        <f t="shared" si="7"/>
        <v>-1253.4284655802289</v>
      </c>
    </row>
    <row r="18" spans="2:17" x14ac:dyDescent="0.3">
      <c r="B18" s="164" t="s">
        <v>152</v>
      </c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65">
        <f>MEDIAN(O7:O13)</f>
        <v>1.6777138456529634</v>
      </c>
      <c r="P18" s="165">
        <f t="shared" ref="P18:Q18" si="8">MEDIAN(P7:P13)</f>
        <v>15.545359278088595</v>
      </c>
      <c r="Q18" s="165">
        <f t="shared" si="8"/>
        <v>41.864453891432305</v>
      </c>
    </row>
    <row r="19" spans="2:17" x14ac:dyDescent="0.3">
      <c r="B19" s="153" t="s">
        <v>380</v>
      </c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5">
        <f>QUARTILE(O7:O13,1)</f>
        <v>1.2043005842055057</v>
      </c>
      <c r="P19" s="155">
        <f t="shared" ref="P19:Q19" si="9">QUARTILE(P7:P13,1)</f>
        <v>11.287440088865242</v>
      </c>
      <c r="Q19" s="155">
        <f t="shared" si="9"/>
        <v>-50.617968152260303</v>
      </c>
    </row>
    <row r="20" spans="2:17" x14ac:dyDescent="0.3">
      <c r="B20" s="153" t="s">
        <v>381</v>
      </c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5">
        <f>MIN(O7:O13)</f>
        <v>0.84488624765102593</v>
      </c>
      <c r="P20" s="155">
        <f t="shared" ref="P20:Q20" si="10">MIN(P7:P13)</f>
        <v>9.2455756389603447</v>
      </c>
      <c r="Q20" s="155">
        <f t="shared" si="10"/>
        <v>-8903.6444444444442</v>
      </c>
    </row>
    <row r="22" spans="2:17" x14ac:dyDescent="0.3">
      <c r="B22" s="160" t="s">
        <v>347</v>
      </c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 t="s">
        <v>375</v>
      </c>
      <c r="P22" s="160" t="s">
        <v>376</v>
      </c>
      <c r="Q22" s="160" t="s">
        <v>377</v>
      </c>
    </row>
    <row r="23" spans="2:17" x14ac:dyDescent="0.3">
      <c r="B23" s="156" t="s">
        <v>382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99">
        <f>O18*K$7</f>
        <v>119546.45636889394</v>
      </c>
      <c r="P23" s="99">
        <f>P18*L$7</f>
        <v>84960.08655768985</v>
      </c>
      <c r="Q23" s="99">
        <f>Q25+Q24</f>
        <v>130121.35912851535</v>
      </c>
    </row>
    <row r="24" spans="2:17" x14ac:dyDescent="0.3">
      <c r="B24" s="156" t="s">
        <v>352</v>
      </c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99">
        <f>G7</f>
        <v>2121.21</v>
      </c>
      <c r="P24" s="99">
        <f>G7</f>
        <v>2121.21</v>
      </c>
      <c r="Q24" s="99">
        <f>G7</f>
        <v>2121.21</v>
      </c>
    </row>
    <row r="25" spans="2:17" x14ac:dyDescent="0.3">
      <c r="B25" s="156" t="s">
        <v>383</v>
      </c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99">
        <f>O23-O24</f>
        <v>117425.24636889393</v>
      </c>
      <c r="P25" s="99">
        <f t="shared" ref="P25" si="11">P23-P24</f>
        <v>82838.876557689844</v>
      </c>
      <c r="Q25" s="99">
        <f>Q18*M7</f>
        <v>128000.14912851535</v>
      </c>
    </row>
    <row r="26" spans="2:17" x14ac:dyDescent="0.3">
      <c r="B26" s="158" t="s">
        <v>384</v>
      </c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96">
        <f>E7</f>
        <v>65.22</v>
      </c>
      <c r="P26" s="96">
        <f>E7</f>
        <v>65.22</v>
      </c>
      <c r="Q26" s="96">
        <f>E7</f>
        <v>65.22</v>
      </c>
    </row>
    <row r="27" spans="2:17" x14ac:dyDescent="0.3">
      <c r="B27" s="161" t="s">
        <v>385</v>
      </c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2">
        <f>O25/O26</f>
        <v>1800.4484263859849</v>
      </c>
      <c r="P27" s="162">
        <f t="shared" ref="P27:Q27" si="12">P25/P26</f>
        <v>1270.1453014058548</v>
      </c>
      <c r="Q27" s="162">
        <f t="shared" si="12"/>
        <v>1962.5904496859146</v>
      </c>
    </row>
    <row r="29" spans="2:17" x14ac:dyDescent="0.3">
      <c r="O29" t="str">
        <f>IF(O27&gt;D7,"Under Valued",IF(O27=D7,"Normal Value","Over Valued"))</f>
        <v>Over Valued</v>
      </c>
      <c r="P29" t="str">
        <f>IF(O27&gt;D7,"Under Valued",IF(O27=D7,"Normal Value","Over Valued"))</f>
        <v>Over Valued</v>
      </c>
      <c r="Q29" t="str">
        <f>IF(O27&gt;D7,"Under Valued",IF(O27=D7,"Normal Value","Over Valued"))</f>
        <v>Over Valued</v>
      </c>
    </row>
  </sheetData>
  <mergeCells count="4">
    <mergeCell ref="D5:I5"/>
    <mergeCell ref="K5:M5"/>
    <mergeCell ref="O5:Q5"/>
    <mergeCell ref="B2:Q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EB65B-D1A1-4804-BD54-6F22D27C3280}">
  <dimension ref="B2:G8"/>
  <sheetViews>
    <sheetView showGridLines="0" tabSelected="1" workbookViewId="0">
      <selection activeCell="G12" sqref="G12"/>
    </sheetView>
  </sheetViews>
  <sheetFormatPr defaultRowHeight="14.4" x14ac:dyDescent="0.3"/>
  <cols>
    <col min="1" max="1" width="2.33203125" customWidth="1"/>
  </cols>
  <sheetData>
    <row r="2" spans="2:7" x14ac:dyDescent="0.3">
      <c r="B2" s="160" t="s">
        <v>392</v>
      </c>
      <c r="C2" s="160"/>
      <c r="D2" s="160"/>
      <c r="E2" s="160"/>
      <c r="F2" s="160"/>
      <c r="G2" s="160"/>
    </row>
    <row r="3" spans="2:7" ht="15" thickBot="1" x14ac:dyDescent="0.35">
      <c r="C3" s="186" t="s">
        <v>399</v>
      </c>
      <c r="D3" s="186" t="s">
        <v>381</v>
      </c>
      <c r="E3" s="186" t="s">
        <v>400</v>
      </c>
      <c r="F3" s="186" t="s">
        <v>378</v>
      </c>
    </row>
    <row r="4" spans="2:7" x14ac:dyDescent="0.3">
      <c r="B4" t="s">
        <v>395</v>
      </c>
      <c r="C4" s="169">
        <v>1270.1453014058548</v>
      </c>
      <c r="D4" s="169">
        <f>MIN('Relative Comps'!O27:Q27)</f>
        <v>1270.1453014058548</v>
      </c>
      <c r="E4" s="169">
        <v>1962.5904496859146</v>
      </c>
      <c r="F4" s="187">
        <f>MAX('Relative Comps'!O27:Q27)</f>
        <v>1962.5904496859146</v>
      </c>
    </row>
    <row r="5" spans="2:7" x14ac:dyDescent="0.3">
      <c r="B5" t="s">
        <v>396</v>
      </c>
      <c r="C5" s="171">
        <v>332.79609214522446</v>
      </c>
      <c r="D5" s="171">
        <f>MIN(DCF!P36:P41)</f>
        <v>332.79609214522446</v>
      </c>
      <c r="E5" s="171">
        <v>1190.9410215124028</v>
      </c>
      <c r="F5" s="188">
        <f>MAX(DCF!P36:P41)</f>
        <v>1190.9410215124028</v>
      </c>
    </row>
    <row r="6" spans="2:7" x14ac:dyDescent="0.3">
      <c r="B6" t="s">
        <v>401</v>
      </c>
      <c r="C6" s="171">
        <v>-1669.5420763781915</v>
      </c>
      <c r="D6" s="171">
        <f>MIN(DCF!M36:M41)</f>
        <v>-1669.5420763781915</v>
      </c>
      <c r="E6" s="171">
        <v>5481.6656683483043</v>
      </c>
      <c r="F6" s="188">
        <f>MAX(DCF!M36:M41)</f>
        <v>5481.6656683483043</v>
      </c>
    </row>
    <row r="7" spans="2:7" x14ac:dyDescent="0.3">
      <c r="B7" t="s">
        <v>397</v>
      </c>
      <c r="C7" s="171">
        <v>-1669.5420763781915</v>
      </c>
      <c r="D7" s="171">
        <f>MIN(DCF!L36:L41)</f>
        <v>-1669.5420763781915</v>
      </c>
      <c r="E7" s="171">
        <v>5481.6656683482888</v>
      </c>
      <c r="F7" s="188">
        <f>MAX(DCF!L36:L41)</f>
        <v>5481.6656683482888</v>
      </c>
    </row>
    <row r="8" spans="2:7" x14ac:dyDescent="0.3">
      <c r="B8" t="s">
        <v>398</v>
      </c>
      <c r="C8" s="171">
        <v>3403.95</v>
      </c>
      <c r="D8" s="171">
        <f>MIN(Beta!C7:C110)</f>
        <v>3403.95</v>
      </c>
      <c r="E8" s="171">
        <v>5320.55</v>
      </c>
      <c r="F8" s="188">
        <f>MAX(Beta!C7:C110)</f>
        <v>5320.55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7980-6C4B-47A3-96D2-A714F23577F7}">
  <dimension ref="A1"/>
  <sheetViews>
    <sheetView workbookViewId="0">
      <selection activeCell="C28" sqref="C28"/>
    </sheetView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13" activePane="bottomRight" state="frozen"/>
      <selection activeCell="C4" sqref="C4"/>
      <selection pane="topRight" activeCell="C4" sqref="C4"/>
      <selection pane="bottomLeft" activeCell="C4" sqref="C4"/>
      <selection pane="bottomRight" activeCell="E26" sqref="E26"/>
    </sheetView>
  </sheetViews>
  <sheetFormatPr defaultColWidth="8.77734375" defaultRowHeight="14.4" x14ac:dyDescent="0.3"/>
  <cols>
    <col min="1" max="1" width="27.6640625" style="3" bestFit="1" customWidth="1"/>
    <col min="2" max="11" width="13.44140625" style="3" bestFit="1" customWidth="1"/>
    <col min="12" max="16384" width="8.77734375" style="3"/>
  </cols>
  <sheetData>
    <row r="1" spans="1:11" s="1" customFormat="1" x14ac:dyDescent="0.3">
      <c r="A1" s="1" t="s">
        <v>0</v>
      </c>
      <c r="B1" s="1" t="s">
        <v>34</v>
      </c>
      <c r="E1" s="184" t="str">
        <f>IF(B2&lt;&gt;B3, "A NEW VERSION OF THE WORKSHEET IS AVAILABLE", "")</f>
        <v/>
      </c>
      <c r="F1" s="184"/>
      <c r="G1" s="184"/>
      <c r="H1" s="184"/>
      <c r="I1" s="184"/>
      <c r="J1" s="184"/>
      <c r="K1" s="184"/>
    </row>
    <row r="2" spans="1:11" x14ac:dyDescent="0.3">
      <c r="A2" s="1" t="s">
        <v>32</v>
      </c>
      <c r="B2" s="3">
        <v>2.1</v>
      </c>
      <c r="E2" s="185" t="s">
        <v>22</v>
      </c>
      <c r="F2" s="185"/>
      <c r="G2" s="185"/>
      <c r="H2" s="185"/>
      <c r="I2" s="185"/>
      <c r="J2" s="185"/>
      <c r="K2" s="185"/>
    </row>
    <row r="3" spans="1:11" x14ac:dyDescent="0.3">
      <c r="A3" s="1" t="s">
        <v>33</v>
      </c>
      <c r="B3" s="3">
        <v>2.1</v>
      </c>
    </row>
    <row r="4" spans="1:11" x14ac:dyDescent="0.3">
      <c r="A4" s="1"/>
    </row>
    <row r="5" spans="1:11" x14ac:dyDescent="0.3">
      <c r="A5" s="1" t="s">
        <v>35</v>
      </c>
    </row>
    <row r="6" spans="1:11" x14ac:dyDescent="0.3">
      <c r="A6" s="3" t="s">
        <v>28</v>
      </c>
      <c r="B6" s="3">
        <f>IF(B9&gt;0, B9/B8, 0)</f>
        <v>65.224599523991571</v>
      </c>
    </row>
    <row r="7" spans="1:11" x14ac:dyDescent="0.3">
      <c r="A7" s="3" t="s">
        <v>17</v>
      </c>
      <c r="B7">
        <v>10</v>
      </c>
    </row>
    <row r="8" spans="1:11" x14ac:dyDescent="0.3">
      <c r="A8" s="3" t="s">
        <v>29</v>
      </c>
      <c r="B8">
        <v>4054.55</v>
      </c>
    </row>
    <row r="9" spans="1:11" x14ac:dyDescent="0.3">
      <c r="A9" s="3" t="s">
        <v>45</v>
      </c>
      <c r="B9">
        <v>264456.40000000002</v>
      </c>
    </row>
    <row r="15" spans="1:11" x14ac:dyDescent="0.3">
      <c r="A15" s="1" t="s">
        <v>23</v>
      </c>
    </row>
    <row r="16" spans="1:11" s="7" customFormat="1" x14ac:dyDescent="0.3">
      <c r="A16" s="6" t="s">
        <v>24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s="4" customFormat="1" x14ac:dyDescent="0.3">
      <c r="A17" s="4" t="s">
        <v>1</v>
      </c>
      <c r="B17">
        <v>11897.7</v>
      </c>
      <c r="C17">
        <v>15033.2</v>
      </c>
      <c r="D17">
        <v>20004.52</v>
      </c>
      <c r="E17">
        <v>24870.2</v>
      </c>
      <c r="F17">
        <v>24143.06</v>
      </c>
      <c r="G17">
        <v>30976.27</v>
      </c>
      <c r="H17">
        <v>42839.56</v>
      </c>
      <c r="I17">
        <v>50788.83</v>
      </c>
      <c r="J17">
        <v>59358.05</v>
      </c>
      <c r="K17">
        <v>68820.740000000005</v>
      </c>
    </row>
    <row r="18" spans="1:11" s="4" customFormat="1" x14ac:dyDescent="0.3">
      <c r="A18" s="3" t="s">
        <v>46</v>
      </c>
      <c r="B18">
        <v>10357.25</v>
      </c>
      <c r="C18">
        <v>12846.95</v>
      </c>
      <c r="D18">
        <v>17445.490000000002</v>
      </c>
      <c r="E18">
        <v>21441.68</v>
      </c>
      <c r="F18">
        <v>20855.560000000001</v>
      </c>
      <c r="G18">
        <v>26891.77</v>
      </c>
      <c r="H18">
        <v>36884.769999999997</v>
      </c>
      <c r="I18">
        <v>43958.31</v>
      </c>
      <c r="J18">
        <v>51668.76</v>
      </c>
      <c r="K18">
        <v>59315.99</v>
      </c>
    </row>
    <row r="19" spans="1:11" s="4" customFormat="1" x14ac:dyDescent="0.3">
      <c r="A19" s="3" t="s">
        <v>47</v>
      </c>
      <c r="B19">
        <v>276.22000000000003</v>
      </c>
      <c r="C19">
        <v>211.31</v>
      </c>
      <c r="D19">
        <v>444.65</v>
      </c>
      <c r="E19">
        <v>338.75</v>
      </c>
      <c r="F19">
        <v>300.88</v>
      </c>
      <c r="G19">
        <v>494.38</v>
      </c>
      <c r="H19">
        <v>500.82</v>
      </c>
      <c r="I19">
        <v>683.77</v>
      </c>
      <c r="J19">
        <v>1117.06</v>
      </c>
      <c r="K19">
        <v>856.26</v>
      </c>
    </row>
    <row r="20" spans="1:11" s="4" customFormat="1" x14ac:dyDescent="0.3">
      <c r="A20" s="3" t="s">
        <v>48</v>
      </c>
      <c r="B20">
        <v>99.41</v>
      </c>
      <c r="C20">
        <v>121.26</v>
      </c>
      <c r="D20">
        <v>152.80000000000001</v>
      </c>
      <c r="E20">
        <v>188.24</v>
      </c>
      <c r="F20">
        <v>174.2</v>
      </c>
      <c r="G20">
        <v>207.86</v>
      </c>
      <c r="H20">
        <v>314.62</v>
      </c>
      <c r="I20">
        <v>376.59</v>
      </c>
      <c r="J20">
        <v>447.75</v>
      </c>
    </row>
    <row r="21" spans="1:11" s="4" customFormat="1" x14ac:dyDescent="0.3">
      <c r="A21" s="3" t="s">
        <v>49</v>
      </c>
      <c r="B21">
        <v>332.9</v>
      </c>
      <c r="C21">
        <v>373.72</v>
      </c>
      <c r="D21">
        <v>499.72</v>
      </c>
      <c r="E21">
        <v>645.96</v>
      </c>
      <c r="F21">
        <v>746.43</v>
      </c>
      <c r="G21">
        <v>805.85</v>
      </c>
      <c r="H21">
        <v>1116.56</v>
      </c>
      <c r="I21">
        <v>1323.43</v>
      </c>
      <c r="J21">
        <v>1751.85</v>
      </c>
    </row>
    <row r="22" spans="1:11" s="4" customFormat="1" x14ac:dyDescent="0.3">
      <c r="A22" s="3" t="s">
        <v>50</v>
      </c>
      <c r="B22">
        <v>192.67</v>
      </c>
      <c r="C22">
        <v>283.14</v>
      </c>
      <c r="D22">
        <v>356.17</v>
      </c>
      <c r="E22">
        <v>457.14</v>
      </c>
      <c r="F22">
        <v>537.58000000000004</v>
      </c>
      <c r="G22">
        <v>617.36</v>
      </c>
      <c r="H22">
        <v>748.16</v>
      </c>
      <c r="I22">
        <v>907.82</v>
      </c>
      <c r="J22">
        <v>1167.47</v>
      </c>
      <c r="K22">
        <v>1541.48</v>
      </c>
    </row>
    <row r="23" spans="1:11" s="4" customFormat="1" x14ac:dyDescent="0.3">
      <c r="A23" s="3" t="s">
        <v>51</v>
      </c>
      <c r="B23">
        <v>71.239999999999995</v>
      </c>
      <c r="C23">
        <v>96</v>
      </c>
      <c r="D23">
        <v>135.84</v>
      </c>
      <c r="E23">
        <v>66.400000000000006</v>
      </c>
      <c r="F23">
        <v>108.69</v>
      </c>
      <c r="G23">
        <v>143.41</v>
      </c>
      <c r="H23">
        <v>212.04</v>
      </c>
      <c r="I23">
        <v>274.43</v>
      </c>
      <c r="J23">
        <v>312.48</v>
      </c>
      <c r="K23"/>
    </row>
    <row r="24" spans="1:11" s="4" customFormat="1" x14ac:dyDescent="0.3">
      <c r="A24" s="3" t="s">
        <v>52</v>
      </c>
      <c r="B24">
        <v>151.27000000000001</v>
      </c>
      <c r="C24">
        <v>170.58</v>
      </c>
      <c r="D24">
        <v>225.84</v>
      </c>
      <c r="E24">
        <v>281.22000000000003</v>
      </c>
      <c r="F24">
        <v>276.64999999999998</v>
      </c>
      <c r="G24">
        <v>302.05</v>
      </c>
      <c r="H24">
        <v>425.46</v>
      </c>
      <c r="I24">
        <v>526.38</v>
      </c>
      <c r="J24">
        <v>632.29</v>
      </c>
      <c r="K24">
        <v>3632.94</v>
      </c>
    </row>
    <row r="25" spans="1:11" s="4" customFormat="1" x14ac:dyDescent="0.3">
      <c r="A25" s="4" t="s">
        <v>4</v>
      </c>
      <c r="B25">
        <v>27.7</v>
      </c>
      <c r="C25">
        <v>87.75</v>
      </c>
      <c r="D25">
        <v>48.33</v>
      </c>
      <c r="E25">
        <v>59.99</v>
      </c>
      <c r="F25">
        <v>194.43</v>
      </c>
      <c r="G25">
        <v>113.64</v>
      </c>
      <c r="H25">
        <v>127.6</v>
      </c>
      <c r="I25">
        <v>144.58000000000001</v>
      </c>
      <c r="J25">
        <v>117.13</v>
      </c>
      <c r="K25">
        <v>74.099999999999994</v>
      </c>
    </row>
    <row r="26" spans="1:11" s="4" customFormat="1" x14ac:dyDescent="0.3">
      <c r="A26" s="4" t="s">
        <v>5</v>
      </c>
      <c r="B26">
        <v>127.82</v>
      </c>
      <c r="C26">
        <v>159</v>
      </c>
      <c r="D26">
        <v>212.49</v>
      </c>
      <c r="E26">
        <v>374.41</v>
      </c>
      <c r="F26">
        <v>414.16</v>
      </c>
      <c r="G26">
        <v>498.08</v>
      </c>
      <c r="H26">
        <v>638.87</v>
      </c>
      <c r="I26">
        <v>730.76</v>
      </c>
      <c r="J26">
        <v>869.52</v>
      </c>
      <c r="K26">
        <v>1037.02</v>
      </c>
    </row>
    <row r="27" spans="1:11" s="4" customFormat="1" x14ac:dyDescent="0.3">
      <c r="A27" s="4" t="s">
        <v>6</v>
      </c>
      <c r="B27">
        <v>121.98</v>
      </c>
      <c r="C27">
        <v>59.54</v>
      </c>
      <c r="D27">
        <v>47.21</v>
      </c>
      <c r="E27">
        <v>69.12</v>
      </c>
      <c r="F27">
        <v>41.65</v>
      </c>
      <c r="G27">
        <v>53.79</v>
      </c>
      <c r="H27">
        <v>67.41</v>
      </c>
      <c r="I27">
        <v>58.13</v>
      </c>
      <c r="J27">
        <v>69.45</v>
      </c>
      <c r="K27">
        <v>142.05000000000001</v>
      </c>
    </row>
    <row r="28" spans="1:11" s="4" customFormat="1" x14ac:dyDescent="0.3">
      <c r="A28" s="4" t="s">
        <v>7</v>
      </c>
      <c r="B28">
        <v>747.08</v>
      </c>
      <c r="C28">
        <v>1222.07</v>
      </c>
      <c r="D28">
        <v>1421.94</v>
      </c>
      <c r="E28">
        <v>1744.77</v>
      </c>
      <c r="F28">
        <v>1483.45</v>
      </c>
      <c r="G28">
        <v>2064.12</v>
      </c>
      <c r="H28">
        <v>3060.09</v>
      </c>
      <c r="I28">
        <v>3461.33</v>
      </c>
      <c r="J28">
        <v>3672.67</v>
      </c>
      <c r="K28">
        <v>4081.62</v>
      </c>
    </row>
    <row r="29" spans="1:11" s="4" customFormat="1" x14ac:dyDescent="0.3">
      <c r="A29" s="4" t="s">
        <v>8</v>
      </c>
      <c r="B29">
        <v>268.27999999999997</v>
      </c>
      <c r="C29">
        <v>415.79</v>
      </c>
      <c r="D29">
        <v>519.48</v>
      </c>
      <c r="E29">
        <v>443.79</v>
      </c>
      <c r="F29">
        <v>384.02</v>
      </c>
      <c r="G29">
        <v>571.72</v>
      </c>
      <c r="H29">
        <v>681.75</v>
      </c>
      <c r="I29">
        <v>925.72</v>
      </c>
      <c r="J29">
        <v>965.22</v>
      </c>
      <c r="K29">
        <v>1111.76</v>
      </c>
    </row>
    <row r="30" spans="1:11" s="4" customFormat="1" x14ac:dyDescent="0.3">
      <c r="A30" s="4" t="s">
        <v>9</v>
      </c>
      <c r="B30">
        <v>478.75</v>
      </c>
      <c r="C30">
        <v>806.26</v>
      </c>
      <c r="D30">
        <v>902.54</v>
      </c>
      <c r="E30">
        <v>1301.08</v>
      </c>
      <c r="F30">
        <v>1099.49</v>
      </c>
      <c r="G30">
        <v>1492.55</v>
      </c>
      <c r="H30">
        <v>2378.5100000000002</v>
      </c>
      <c r="I30">
        <v>2536.17</v>
      </c>
      <c r="J30">
        <v>2708.02</v>
      </c>
      <c r="K30">
        <v>2970.49</v>
      </c>
    </row>
    <row r="31" spans="1:11" s="4" customFormat="1" x14ac:dyDescent="0.3">
      <c r="A31" s="4" t="s">
        <v>36</v>
      </c>
    </row>
    <row r="32" spans="1:11" s="4" customFormat="1" x14ac:dyDescent="0.3"/>
    <row r="33" spans="1:11" x14ac:dyDescent="0.3">
      <c r="A33" s="4"/>
    </row>
    <row r="34" spans="1:11" x14ac:dyDescent="0.3">
      <c r="A34" s="4"/>
    </row>
    <row r="35" spans="1:11" x14ac:dyDescent="0.3">
      <c r="A35" s="4"/>
    </row>
    <row r="36" spans="1:11" x14ac:dyDescent="0.3">
      <c r="A36" s="4"/>
    </row>
    <row r="37" spans="1:11" x14ac:dyDescent="0.3">
      <c r="A37" s="4"/>
    </row>
    <row r="38" spans="1:11" x14ac:dyDescent="0.3">
      <c r="A38" s="4"/>
    </row>
    <row r="39" spans="1:11" x14ac:dyDescent="0.3">
      <c r="A39" s="4"/>
    </row>
    <row r="40" spans="1:11" x14ac:dyDescent="0.3">
      <c r="A40" s="1" t="s">
        <v>25</v>
      </c>
    </row>
    <row r="41" spans="1:11" s="7" customFormat="1" x14ac:dyDescent="0.3">
      <c r="A41" s="6" t="s">
        <v>24</v>
      </c>
      <c r="B41" s="5">
        <v>45382</v>
      </c>
      <c r="C41" s="5">
        <v>45473</v>
      </c>
      <c r="D41" s="5">
        <v>45565</v>
      </c>
      <c r="E41" s="5">
        <v>45657</v>
      </c>
      <c r="F41" s="5">
        <v>45747</v>
      </c>
      <c r="G41" s="5">
        <v>45838</v>
      </c>
      <c r="H41" s="5">
        <v>45930</v>
      </c>
      <c r="I41" s="5">
        <v>46022</v>
      </c>
      <c r="J41" s="5">
        <v>46112</v>
      </c>
      <c r="K41" s="5">
        <v>46203</v>
      </c>
    </row>
    <row r="42" spans="1:11" s="4" customFormat="1" x14ac:dyDescent="0.3">
      <c r="A42" s="4" t="s">
        <v>1</v>
      </c>
      <c r="B42">
        <v>12726.55</v>
      </c>
      <c r="C42">
        <v>14069.14</v>
      </c>
      <c r="D42">
        <v>14444.5</v>
      </c>
      <c r="E42">
        <v>15972.55</v>
      </c>
      <c r="F42">
        <v>14871.86</v>
      </c>
      <c r="G42">
        <v>16359.7</v>
      </c>
      <c r="H42">
        <v>16676.3</v>
      </c>
      <c r="I42">
        <v>18100.88</v>
      </c>
      <c r="J42">
        <v>17683.86</v>
      </c>
      <c r="K42">
        <v>18794.53</v>
      </c>
    </row>
    <row r="43" spans="1:11" s="4" customFormat="1" x14ac:dyDescent="0.3">
      <c r="A43" s="4" t="s">
        <v>2</v>
      </c>
      <c r="B43">
        <v>11782.91</v>
      </c>
      <c r="C43">
        <v>12847.89</v>
      </c>
      <c r="D43">
        <v>13350.73</v>
      </c>
      <c r="E43">
        <v>14755.31</v>
      </c>
      <c r="F43">
        <v>13916.79</v>
      </c>
      <c r="G43">
        <v>15060.66</v>
      </c>
      <c r="H43">
        <v>15462.65</v>
      </c>
      <c r="I43">
        <v>16637.509999999998</v>
      </c>
      <c r="J43">
        <v>16473.330000000002</v>
      </c>
      <c r="K43">
        <v>17295.189999999999</v>
      </c>
    </row>
    <row r="44" spans="1:11" s="4" customFormat="1" x14ac:dyDescent="0.3">
      <c r="A44" s="4" t="s">
        <v>4</v>
      </c>
      <c r="B44">
        <v>37.869999999999997</v>
      </c>
      <c r="C44">
        <v>41.6</v>
      </c>
      <c r="D44">
        <v>33.520000000000003</v>
      </c>
      <c r="E44">
        <v>24.14</v>
      </c>
      <c r="F44">
        <v>25.05</v>
      </c>
      <c r="G44">
        <v>19.43</v>
      </c>
      <c r="H44">
        <v>19.57</v>
      </c>
      <c r="I44">
        <v>16.93</v>
      </c>
      <c r="J44">
        <v>18.170000000000002</v>
      </c>
      <c r="K44">
        <v>25.78</v>
      </c>
    </row>
    <row r="45" spans="1:11" s="4" customFormat="1" x14ac:dyDescent="0.3">
      <c r="A45" s="4" t="s">
        <v>5</v>
      </c>
      <c r="B45">
        <v>204.89</v>
      </c>
      <c r="C45">
        <v>192.76</v>
      </c>
      <c r="D45">
        <v>207.78</v>
      </c>
      <c r="E45">
        <v>228.12</v>
      </c>
      <c r="F45">
        <v>240.86</v>
      </c>
      <c r="G45">
        <v>231.7</v>
      </c>
      <c r="H45">
        <v>253.47</v>
      </c>
      <c r="I45">
        <v>268.29000000000002</v>
      </c>
      <c r="J45">
        <v>283.56</v>
      </c>
      <c r="K45">
        <v>287.7</v>
      </c>
    </row>
    <row r="46" spans="1:11" s="4" customFormat="1" x14ac:dyDescent="0.3">
      <c r="A46" s="4" t="s">
        <v>6</v>
      </c>
      <c r="B46">
        <v>13.42</v>
      </c>
      <c r="C46">
        <v>15.96</v>
      </c>
      <c r="D46">
        <v>16.32</v>
      </c>
      <c r="E46">
        <v>18.21</v>
      </c>
      <c r="F46">
        <v>18.96</v>
      </c>
      <c r="G46">
        <v>29.3</v>
      </c>
      <c r="H46">
        <v>34.96</v>
      </c>
      <c r="I46">
        <v>36.82</v>
      </c>
      <c r="J46">
        <v>40.97</v>
      </c>
      <c r="K46">
        <v>54.28</v>
      </c>
    </row>
    <row r="47" spans="1:11" s="4" customFormat="1" x14ac:dyDescent="0.3">
      <c r="A47" s="4" t="s">
        <v>7</v>
      </c>
      <c r="B47">
        <v>763.2</v>
      </c>
      <c r="C47">
        <v>1054.1300000000001</v>
      </c>
      <c r="D47">
        <v>903.19</v>
      </c>
      <c r="E47">
        <v>995.05</v>
      </c>
      <c r="F47">
        <v>720.3</v>
      </c>
      <c r="G47">
        <v>1057.47</v>
      </c>
      <c r="H47">
        <v>944.79</v>
      </c>
      <c r="I47">
        <v>1175.19</v>
      </c>
      <c r="J47">
        <v>904.17</v>
      </c>
      <c r="K47">
        <v>1183.1400000000001</v>
      </c>
    </row>
    <row r="48" spans="1:11" s="4" customFormat="1" x14ac:dyDescent="0.3">
      <c r="A48" s="4" t="s">
        <v>8</v>
      </c>
      <c r="B48">
        <v>200.06</v>
      </c>
      <c r="C48">
        <v>280.45</v>
      </c>
      <c r="D48">
        <v>243.75</v>
      </c>
      <c r="E48">
        <v>271.51</v>
      </c>
      <c r="F48">
        <v>169.51</v>
      </c>
      <c r="G48">
        <v>284.66000000000003</v>
      </c>
      <c r="H48">
        <v>259.94</v>
      </c>
      <c r="I48">
        <v>319.41000000000003</v>
      </c>
      <c r="J48">
        <v>247.75</v>
      </c>
      <c r="K48">
        <v>322.7</v>
      </c>
    </row>
    <row r="49" spans="1:11" s="4" customFormat="1" x14ac:dyDescent="0.3">
      <c r="A49" s="4" t="s">
        <v>9</v>
      </c>
      <c r="B49">
        <v>563.25</v>
      </c>
      <c r="C49">
        <v>773.82</v>
      </c>
      <c r="D49">
        <v>659.58</v>
      </c>
      <c r="E49">
        <v>723.72</v>
      </c>
      <c r="F49">
        <v>550.9</v>
      </c>
      <c r="G49">
        <v>772.97</v>
      </c>
      <c r="H49">
        <v>685.01</v>
      </c>
      <c r="I49">
        <v>855.92</v>
      </c>
      <c r="J49">
        <v>656.59</v>
      </c>
      <c r="K49">
        <v>860.61</v>
      </c>
    </row>
    <row r="50" spans="1:11" x14ac:dyDescent="0.3">
      <c r="A50" s="4" t="s">
        <v>3</v>
      </c>
      <c r="B50">
        <v>943.64</v>
      </c>
      <c r="C50">
        <v>1221.25</v>
      </c>
      <c r="D50">
        <v>1093.77</v>
      </c>
      <c r="E50">
        <v>1217.24</v>
      </c>
      <c r="F50">
        <v>955.07</v>
      </c>
      <c r="G50">
        <v>1299.04</v>
      </c>
      <c r="H50">
        <v>1213.6500000000001</v>
      </c>
      <c r="I50">
        <v>1463.37</v>
      </c>
      <c r="J50">
        <v>1210.53</v>
      </c>
      <c r="K50">
        <v>1499.34</v>
      </c>
    </row>
    <row r="51" spans="1:11" x14ac:dyDescent="0.3">
      <c r="A51" s="4"/>
    </row>
    <row r="52" spans="1:11" x14ac:dyDescent="0.3">
      <c r="A52" s="4"/>
    </row>
    <row r="53" spans="1:11" x14ac:dyDescent="0.3">
      <c r="A53" s="4"/>
    </row>
    <row r="54" spans="1:11" x14ac:dyDescent="0.3">
      <c r="A54" s="4"/>
    </row>
    <row r="55" spans="1:11" x14ac:dyDescent="0.3">
      <c r="A55" s="1" t="s">
        <v>26</v>
      </c>
    </row>
    <row r="56" spans="1:11" s="7" customFormat="1" x14ac:dyDescent="0.3">
      <c r="A56" s="6" t="s">
        <v>24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3">
      <c r="A57" s="4" t="s">
        <v>11</v>
      </c>
      <c r="B57">
        <v>624.08000000000004</v>
      </c>
      <c r="C57">
        <v>624.08000000000004</v>
      </c>
      <c r="D57">
        <v>624.08000000000004</v>
      </c>
      <c r="E57">
        <v>647.77</v>
      </c>
      <c r="F57">
        <v>647.77</v>
      </c>
      <c r="G57">
        <v>647.77</v>
      </c>
      <c r="H57">
        <v>648.26</v>
      </c>
      <c r="I57">
        <v>650.73</v>
      </c>
      <c r="J57">
        <v>650.73</v>
      </c>
      <c r="K57">
        <v>651.96</v>
      </c>
    </row>
    <row r="58" spans="1:11" x14ac:dyDescent="0.3">
      <c r="A58" s="4" t="s">
        <v>12</v>
      </c>
      <c r="B58">
        <v>3217.7</v>
      </c>
      <c r="C58">
        <v>4044.97</v>
      </c>
      <c r="D58">
        <v>4963.37</v>
      </c>
      <c r="E58">
        <v>10431.969999999999</v>
      </c>
      <c r="F58">
        <v>11535.94</v>
      </c>
      <c r="G58">
        <v>13029.87</v>
      </c>
      <c r="H58">
        <v>15430.44</v>
      </c>
      <c r="I58">
        <v>18047.09</v>
      </c>
      <c r="J58">
        <v>20777.02</v>
      </c>
      <c r="K58">
        <v>23812.080000000002</v>
      </c>
    </row>
    <row r="59" spans="1:11" x14ac:dyDescent="0.3">
      <c r="A59" s="4" t="s">
        <v>37</v>
      </c>
      <c r="B59">
        <v>1497.32</v>
      </c>
      <c r="C59">
        <v>439.25</v>
      </c>
      <c r="D59">
        <v>700.15</v>
      </c>
      <c r="E59">
        <v>333.19</v>
      </c>
      <c r="F59">
        <v>392.71</v>
      </c>
      <c r="G59">
        <v>646.94000000000005</v>
      </c>
      <c r="H59">
        <v>642.98</v>
      </c>
      <c r="I59">
        <v>592.16</v>
      </c>
      <c r="J59">
        <v>819.62</v>
      </c>
      <c r="K59">
        <v>2424.9899999999998</v>
      </c>
    </row>
    <row r="60" spans="1:11" x14ac:dyDescent="0.3">
      <c r="A60" s="4" t="s">
        <v>38</v>
      </c>
      <c r="B60">
        <v>480.18</v>
      </c>
      <c r="C60">
        <v>539.91999999999996</v>
      </c>
      <c r="D60">
        <v>717.9</v>
      </c>
      <c r="E60">
        <v>663.23</v>
      </c>
      <c r="F60">
        <v>1078.6300000000001</v>
      </c>
      <c r="G60">
        <v>1146.4000000000001</v>
      </c>
      <c r="H60">
        <v>1382.84</v>
      </c>
      <c r="I60">
        <v>1882.5</v>
      </c>
      <c r="J60">
        <v>2065.41</v>
      </c>
      <c r="K60">
        <v>2635.23</v>
      </c>
    </row>
    <row r="61" spans="1:11" s="1" customFormat="1" x14ac:dyDescent="0.3">
      <c r="A61" s="1" t="s">
        <v>13</v>
      </c>
      <c r="B61">
        <v>5819.28</v>
      </c>
      <c r="C61">
        <v>5648.22</v>
      </c>
      <c r="D61">
        <v>7005.5</v>
      </c>
      <c r="E61">
        <v>12076.16</v>
      </c>
      <c r="F61">
        <v>13655.05</v>
      </c>
      <c r="G61">
        <v>15470.98</v>
      </c>
      <c r="H61">
        <v>18104.52</v>
      </c>
      <c r="I61">
        <v>21172.48</v>
      </c>
      <c r="J61">
        <v>24312.78</v>
      </c>
      <c r="K61">
        <v>29524.26</v>
      </c>
    </row>
    <row r="62" spans="1:11" x14ac:dyDescent="0.3">
      <c r="A62" s="4" t="s">
        <v>14</v>
      </c>
      <c r="B62">
        <v>2577.75</v>
      </c>
      <c r="C62">
        <v>3399.97</v>
      </c>
      <c r="D62">
        <v>4400.37</v>
      </c>
      <c r="E62">
        <v>5948.03</v>
      </c>
      <c r="F62">
        <v>7008.8</v>
      </c>
      <c r="G62">
        <v>9260.02</v>
      </c>
      <c r="H62">
        <v>11340.48</v>
      </c>
      <c r="I62">
        <v>13415</v>
      </c>
      <c r="J62">
        <v>16206.46</v>
      </c>
      <c r="K62">
        <v>20090.310000000001</v>
      </c>
    </row>
    <row r="63" spans="1:11" x14ac:dyDescent="0.3">
      <c r="A63" s="4" t="s">
        <v>15</v>
      </c>
      <c r="B63">
        <v>152.88999999999999</v>
      </c>
      <c r="C63">
        <v>147.07</v>
      </c>
      <c r="D63">
        <v>376.84</v>
      </c>
      <c r="E63">
        <v>364.4</v>
      </c>
      <c r="F63">
        <v>1019.59</v>
      </c>
      <c r="G63">
        <v>1129.3399999999999</v>
      </c>
      <c r="H63">
        <v>829.16</v>
      </c>
      <c r="I63">
        <v>935.22</v>
      </c>
      <c r="J63">
        <v>1099.3499999999999</v>
      </c>
      <c r="K63">
        <v>1299.96</v>
      </c>
    </row>
    <row r="64" spans="1:11" x14ac:dyDescent="0.3">
      <c r="A64" s="4" t="s">
        <v>16</v>
      </c>
      <c r="B64">
        <v>25.69</v>
      </c>
      <c r="C64">
        <v>68.180000000000007</v>
      </c>
      <c r="D64">
        <v>16.53</v>
      </c>
      <c r="E64">
        <v>14.68</v>
      </c>
      <c r="F64">
        <v>2.95</v>
      </c>
      <c r="G64">
        <v>5.94</v>
      </c>
      <c r="H64">
        <v>202.2</v>
      </c>
      <c r="I64">
        <v>106.67</v>
      </c>
      <c r="J64">
        <v>3.26</v>
      </c>
      <c r="K64">
        <v>4.01</v>
      </c>
    </row>
    <row r="65" spans="1:11" x14ac:dyDescent="0.3">
      <c r="A65" s="4" t="s">
        <v>39</v>
      </c>
      <c r="B65">
        <v>3062.95</v>
      </c>
      <c r="C65">
        <v>2033</v>
      </c>
      <c r="D65">
        <v>2211.7600000000002</v>
      </c>
      <c r="E65">
        <v>5749.05</v>
      </c>
      <c r="F65">
        <v>5623.71</v>
      </c>
      <c r="G65">
        <v>5075.68</v>
      </c>
      <c r="H65">
        <v>5732.68</v>
      </c>
      <c r="I65">
        <v>6715.59</v>
      </c>
      <c r="J65">
        <v>7003.71</v>
      </c>
      <c r="K65">
        <v>8129.98</v>
      </c>
    </row>
    <row r="66" spans="1:11" s="1" customFormat="1" x14ac:dyDescent="0.3">
      <c r="A66" s="1" t="s">
        <v>13</v>
      </c>
      <c r="B66">
        <v>5819.28</v>
      </c>
      <c r="C66">
        <v>5648.22</v>
      </c>
      <c r="D66">
        <v>7005.5</v>
      </c>
      <c r="E66">
        <v>12076.16</v>
      </c>
      <c r="F66">
        <v>13655.05</v>
      </c>
      <c r="G66">
        <v>15470.98</v>
      </c>
      <c r="H66">
        <v>18104.52</v>
      </c>
      <c r="I66">
        <v>21172.48</v>
      </c>
      <c r="J66">
        <v>24312.78</v>
      </c>
      <c r="K66">
        <v>29524.26</v>
      </c>
    </row>
    <row r="67" spans="1:11" s="4" customFormat="1" x14ac:dyDescent="0.3">
      <c r="A67" s="4" t="s">
        <v>44</v>
      </c>
      <c r="B67">
        <v>21</v>
      </c>
      <c r="C67">
        <v>33.520000000000003</v>
      </c>
      <c r="D67">
        <v>64.37</v>
      </c>
      <c r="E67">
        <v>19.55</v>
      </c>
      <c r="F67">
        <v>43.58</v>
      </c>
      <c r="G67">
        <v>66.89</v>
      </c>
      <c r="H67">
        <v>62.16</v>
      </c>
      <c r="I67">
        <v>166.37</v>
      </c>
      <c r="J67">
        <v>153.79</v>
      </c>
      <c r="K67">
        <v>149.34</v>
      </c>
    </row>
    <row r="68" spans="1:11" x14ac:dyDescent="0.3">
      <c r="A68" s="4" t="s">
        <v>30</v>
      </c>
      <c r="B68">
        <v>947.9</v>
      </c>
      <c r="C68">
        <v>1163.45</v>
      </c>
      <c r="D68">
        <v>1608.65</v>
      </c>
      <c r="E68">
        <v>1947.4</v>
      </c>
      <c r="F68">
        <v>2248.2800000000002</v>
      </c>
      <c r="G68">
        <v>2742.66</v>
      </c>
      <c r="H68">
        <v>3243.48</v>
      </c>
      <c r="I68">
        <v>3927.31</v>
      </c>
      <c r="J68">
        <v>5044.37</v>
      </c>
      <c r="K68">
        <v>5900.64</v>
      </c>
    </row>
    <row r="69" spans="1:11" x14ac:dyDescent="0.3">
      <c r="A69" s="3" t="s">
        <v>53</v>
      </c>
      <c r="B69">
        <v>1884.29</v>
      </c>
      <c r="C69">
        <v>560.17999999999995</v>
      </c>
      <c r="D69">
        <v>219.07</v>
      </c>
      <c r="E69">
        <v>107.88</v>
      </c>
      <c r="F69">
        <v>1445.58</v>
      </c>
      <c r="G69">
        <v>298.58</v>
      </c>
      <c r="H69">
        <v>1408.33</v>
      </c>
      <c r="I69">
        <v>638.17999999999995</v>
      </c>
      <c r="J69">
        <v>358.2</v>
      </c>
      <c r="K69">
        <v>303.77999999999997</v>
      </c>
    </row>
    <row r="70" spans="1:11" x14ac:dyDescent="0.3">
      <c r="A70" s="3" t="s">
        <v>40</v>
      </c>
      <c r="B70">
        <v>624084486</v>
      </c>
      <c r="C70">
        <v>624084486</v>
      </c>
      <c r="D70">
        <v>624084486</v>
      </c>
      <c r="E70">
        <v>647774691</v>
      </c>
      <c r="F70">
        <v>647774691</v>
      </c>
      <c r="G70">
        <v>647774691</v>
      </c>
      <c r="H70">
        <v>648263978</v>
      </c>
      <c r="I70">
        <v>650733068</v>
      </c>
      <c r="J70">
        <v>650733068</v>
      </c>
    </row>
    <row r="71" spans="1:11" x14ac:dyDescent="0.3">
      <c r="A71" s="3" t="s">
        <v>41</v>
      </c>
    </row>
    <row r="72" spans="1:11" x14ac:dyDescent="0.3">
      <c r="A72" s="3" t="s">
        <v>54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">
      <c r="A74" s="4"/>
    </row>
    <row r="75" spans="1:11" x14ac:dyDescent="0.3">
      <c r="A75" s="4"/>
    </row>
    <row r="76" spans="1:11" x14ac:dyDescent="0.3">
      <c r="A76" s="4"/>
    </row>
    <row r="77" spans="1:11" x14ac:dyDescent="0.3">
      <c r="A77" s="4"/>
    </row>
    <row r="78" spans="1:11" x14ac:dyDescent="0.3">
      <c r="A78" s="4"/>
    </row>
    <row r="79" spans="1:11" x14ac:dyDescent="0.3">
      <c r="A79" s="4"/>
    </row>
    <row r="80" spans="1:11" x14ac:dyDescent="0.3">
      <c r="A80" s="1" t="s">
        <v>27</v>
      </c>
    </row>
    <row r="81" spans="1:11" s="7" customFormat="1" x14ac:dyDescent="0.3">
      <c r="A81" s="6" t="s">
        <v>24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1" customFormat="1" x14ac:dyDescent="0.3">
      <c r="A82" s="4" t="s">
        <v>18</v>
      </c>
      <c r="B82">
        <v>455.28</v>
      </c>
      <c r="C82">
        <v>729.99</v>
      </c>
      <c r="D82">
        <v>806.84</v>
      </c>
      <c r="E82">
        <v>1280.1400000000001</v>
      </c>
      <c r="F82">
        <v>1375.14</v>
      </c>
      <c r="G82">
        <v>1372.35</v>
      </c>
      <c r="H82">
        <v>2630.27</v>
      </c>
      <c r="I82">
        <v>2745.84</v>
      </c>
      <c r="J82">
        <v>2462.9699999999998</v>
      </c>
      <c r="K82">
        <v>3466.74</v>
      </c>
    </row>
    <row r="83" spans="1:11" s="4" customFormat="1" x14ac:dyDescent="0.3">
      <c r="A83" s="4" t="s">
        <v>19</v>
      </c>
      <c r="B83">
        <v>-2481.61</v>
      </c>
      <c r="C83">
        <v>463.55</v>
      </c>
      <c r="D83">
        <v>-958.37</v>
      </c>
      <c r="E83">
        <v>-4656.5600000000004</v>
      </c>
      <c r="F83">
        <v>-1110</v>
      </c>
      <c r="G83">
        <v>-1289.49</v>
      </c>
      <c r="H83">
        <v>-2313.1</v>
      </c>
      <c r="I83">
        <v>-2468.23</v>
      </c>
      <c r="J83">
        <v>-2185.31</v>
      </c>
      <c r="K83">
        <v>-4206.96</v>
      </c>
    </row>
    <row r="84" spans="1:11" s="4" customFormat="1" x14ac:dyDescent="0.3">
      <c r="A84" s="4" t="s">
        <v>20</v>
      </c>
      <c r="B84">
        <v>2025.26</v>
      </c>
      <c r="C84">
        <v>-1159.06</v>
      </c>
      <c r="D84">
        <v>208.98</v>
      </c>
      <c r="E84">
        <v>3357.42</v>
      </c>
      <c r="F84">
        <v>-179.5</v>
      </c>
      <c r="G84">
        <v>-179.24</v>
      </c>
      <c r="H84">
        <v>-205.14</v>
      </c>
      <c r="I84">
        <v>-147.63999999999999</v>
      </c>
      <c r="J84">
        <v>-259.3</v>
      </c>
      <c r="K84">
        <v>288.18</v>
      </c>
    </row>
    <row r="85" spans="1:11" s="1" customFormat="1" x14ac:dyDescent="0.3">
      <c r="A85" s="4" t="s">
        <v>21</v>
      </c>
      <c r="B85">
        <v>-1.07</v>
      </c>
      <c r="C85">
        <v>34.479999999999997</v>
      </c>
      <c r="D85">
        <v>57.45</v>
      </c>
      <c r="E85">
        <v>-19</v>
      </c>
      <c r="F85">
        <v>85.64</v>
      </c>
      <c r="G85">
        <v>-96.38</v>
      </c>
      <c r="H85">
        <v>112.03</v>
      </c>
      <c r="I85">
        <v>129.97</v>
      </c>
      <c r="J85">
        <v>18.36</v>
      </c>
      <c r="K85">
        <v>-452.04</v>
      </c>
    </row>
    <row r="86" spans="1:11" x14ac:dyDescent="0.3">
      <c r="A86" s="4"/>
    </row>
    <row r="87" spans="1:11" x14ac:dyDescent="0.3">
      <c r="A87" s="4"/>
    </row>
    <row r="88" spans="1:11" x14ac:dyDescent="0.3">
      <c r="A88" s="4"/>
    </row>
    <row r="89" spans="1:11" x14ac:dyDescent="0.3">
      <c r="A89" s="4"/>
    </row>
    <row r="90" spans="1:11" s="1" customFormat="1" x14ac:dyDescent="0.3">
      <c r="A90" s="1" t="s">
        <v>43</v>
      </c>
      <c r="B90">
        <v>637.85</v>
      </c>
      <c r="C90">
        <v>1324.8</v>
      </c>
      <c r="D90">
        <v>1471.1</v>
      </c>
      <c r="E90">
        <v>2187.5</v>
      </c>
      <c r="F90">
        <v>2859.05</v>
      </c>
      <c r="G90">
        <v>4003.35</v>
      </c>
      <c r="H90">
        <v>3401.05</v>
      </c>
      <c r="I90">
        <v>4525.6000000000004</v>
      </c>
      <c r="J90">
        <v>4083.2</v>
      </c>
      <c r="K90">
        <v>3956.8</v>
      </c>
    </row>
    <row r="92" spans="1:11" s="1" customFormat="1" x14ac:dyDescent="0.3">
      <c r="A92" s="1" t="s">
        <v>42</v>
      </c>
    </row>
    <row r="93" spans="1:11" x14ac:dyDescent="0.3">
      <c r="A93" s="3" t="s">
        <v>55</v>
      </c>
      <c r="B93" s="8">
        <v>62.41</v>
      </c>
      <c r="C93" s="8">
        <v>62.41</v>
      </c>
      <c r="D93" s="8">
        <v>62.41</v>
      </c>
      <c r="E93" s="8">
        <v>64.78</v>
      </c>
      <c r="F93" s="8">
        <v>64.78</v>
      </c>
      <c r="G93" s="8">
        <v>64.78</v>
      </c>
      <c r="H93" s="8">
        <v>64.83</v>
      </c>
      <c r="I93" s="8">
        <v>65.069999999999993</v>
      </c>
      <c r="J93" s="8">
        <v>65.069999999999993</v>
      </c>
      <c r="K93" s="8">
        <v>65.2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956A-64AF-4A21-AB3E-B94152AD8090}">
  <dimension ref="B3:I40"/>
  <sheetViews>
    <sheetView showGridLines="0" topLeftCell="A12" zoomScale="94" workbookViewId="0">
      <selection activeCell="O10" sqref="O10:AB22"/>
    </sheetView>
  </sheetViews>
  <sheetFormatPr defaultRowHeight="14.4" x14ac:dyDescent="0.3"/>
  <cols>
    <col min="2" max="2" width="22.77734375" bestFit="1" customWidth="1"/>
    <col min="3" max="4" width="9.44140625" bestFit="1" customWidth="1"/>
    <col min="5" max="7" width="10.6640625" bestFit="1" customWidth="1"/>
    <col min="8" max="9" width="9.6640625" bestFit="1" customWidth="1"/>
  </cols>
  <sheetData>
    <row r="3" spans="2:9" x14ac:dyDescent="0.3">
      <c r="B3" s="17" t="s">
        <v>269</v>
      </c>
      <c r="C3" s="18">
        <v>43891</v>
      </c>
      <c r="D3" s="18">
        <v>44256</v>
      </c>
      <c r="E3" s="18">
        <v>44621</v>
      </c>
      <c r="F3" s="18">
        <v>44986</v>
      </c>
      <c r="G3" s="18">
        <v>45352</v>
      </c>
      <c r="H3" s="18">
        <v>45717</v>
      </c>
      <c r="I3" s="18">
        <v>46082</v>
      </c>
    </row>
    <row r="4" spans="2:9" x14ac:dyDescent="0.3">
      <c r="B4" s="2" t="s">
        <v>243</v>
      </c>
      <c r="C4" s="96">
        <v>648</v>
      </c>
      <c r="D4" s="96">
        <v>648</v>
      </c>
      <c r="E4" s="96">
        <v>648</v>
      </c>
      <c r="F4" s="96">
        <v>648</v>
      </c>
      <c r="G4" s="96">
        <v>651</v>
      </c>
      <c r="H4" s="96">
        <v>651</v>
      </c>
      <c r="I4" s="96">
        <v>652</v>
      </c>
    </row>
    <row r="5" spans="2:9" x14ac:dyDescent="0.3">
      <c r="B5" s="2" t="s">
        <v>12</v>
      </c>
      <c r="C5" s="96">
        <v>10432</v>
      </c>
      <c r="D5" s="96">
        <v>11536</v>
      </c>
      <c r="E5" s="96">
        <v>13030</v>
      </c>
      <c r="F5" s="96">
        <v>15430</v>
      </c>
      <c r="G5" s="96">
        <v>18047</v>
      </c>
      <c r="H5" s="96">
        <v>20777</v>
      </c>
      <c r="I5" s="96">
        <v>23812</v>
      </c>
    </row>
    <row r="6" spans="2:9" x14ac:dyDescent="0.3">
      <c r="B6" s="2" t="s">
        <v>244</v>
      </c>
      <c r="C6" s="98"/>
      <c r="D6" s="98"/>
      <c r="E6" s="98"/>
      <c r="F6" s="98"/>
      <c r="G6" s="98"/>
      <c r="H6" s="98"/>
      <c r="I6" s="98"/>
    </row>
    <row r="7" spans="2:9" x14ac:dyDescent="0.3">
      <c r="B7" t="s">
        <v>245</v>
      </c>
      <c r="C7" s="99">
        <v>0</v>
      </c>
      <c r="D7" s="99">
        <v>0</v>
      </c>
      <c r="E7" s="99">
        <v>0</v>
      </c>
      <c r="F7" s="99">
        <v>0</v>
      </c>
      <c r="G7" s="99">
        <v>0</v>
      </c>
      <c r="H7" s="99">
        <v>0</v>
      </c>
      <c r="I7" s="99">
        <v>0</v>
      </c>
    </row>
    <row r="8" spans="2:9" x14ac:dyDescent="0.3">
      <c r="B8" t="s">
        <v>246</v>
      </c>
      <c r="C8" s="99">
        <v>4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965</v>
      </c>
    </row>
    <row r="9" spans="2:9" x14ac:dyDescent="0.3">
      <c r="B9" t="s">
        <v>247</v>
      </c>
      <c r="C9" s="99">
        <v>295</v>
      </c>
      <c r="D9" s="99">
        <v>393</v>
      </c>
      <c r="E9" s="99">
        <v>647</v>
      </c>
      <c r="F9" s="99">
        <v>643</v>
      </c>
      <c r="G9" s="99">
        <v>592</v>
      </c>
      <c r="H9" s="99">
        <v>820</v>
      </c>
      <c r="I9" s="99">
        <v>1460</v>
      </c>
    </row>
    <row r="10" spans="2:9" x14ac:dyDescent="0.3">
      <c r="B10" t="s">
        <v>248</v>
      </c>
      <c r="C10" s="99">
        <v>34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/>
    </row>
    <row r="11" spans="2:9" x14ac:dyDescent="0.3">
      <c r="B11" s="2" t="s">
        <v>249</v>
      </c>
      <c r="C11" s="94"/>
      <c r="D11" s="94"/>
      <c r="E11" s="94"/>
      <c r="F11" s="94"/>
      <c r="G11" s="94"/>
      <c r="H11" s="94"/>
      <c r="I11" s="94"/>
    </row>
    <row r="12" spans="2:9" x14ac:dyDescent="0.3">
      <c r="B12" t="s">
        <v>335</v>
      </c>
      <c r="C12" s="94">
        <v>0</v>
      </c>
      <c r="D12" s="94">
        <v>0</v>
      </c>
      <c r="E12" s="94">
        <v>0</v>
      </c>
      <c r="F12" s="94">
        <v>0</v>
      </c>
      <c r="G12" s="94">
        <v>0</v>
      </c>
      <c r="H12" s="94">
        <v>-1</v>
      </c>
      <c r="I12" s="94">
        <v>-2</v>
      </c>
    </row>
    <row r="13" spans="2:9" x14ac:dyDescent="0.3">
      <c r="B13" t="s">
        <v>250</v>
      </c>
      <c r="C13" s="99">
        <v>433</v>
      </c>
      <c r="D13" s="99">
        <v>578</v>
      </c>
      <c r="E13" s="99">
        <v>589</v>
      </c>
      <c r="F13" s="99">
        <v>754</v>
      </c>
      <c r="G13" s="99">
        <v>985</v>
      </c>
      <c r="H13" s="99">
        <v>1071</v>
      </c>
      <c r="I13" s="99">
        <v>1338</v>
      </c>
    </row>
    <row r="14" spans="2:9" x14ac:dyDescent="0.3">
      <c r="B14" t="s">
        <v>251</v>
      </c>
      <c r="C14" s="99">
        <v>229</v>
      </c>
      <c r="D14" s="99">
        <v>500</v>
      </c>
      <c r="E14" s="99">
        <v>557</v>
      </c>
      <c r="F14" s="99">
        <v>629</v>
      </c>
      <c r="G14" s="99">
        <v>898</v>
      </c>
      <c r="H14" s="99">
        <v>996</v>
      </c>
      <c r="I14" s="99">
        <v>1299</v>
      </c>
    </row>
    <row r="15" spans="2:9" x14ac:dyDescent="0.3">
      <c r="B15" s="93" t="s">
        <v>82</v>
      </c>
      <c r="C15" s="95">
        <v>12076</v>
      </c>
      <c r="D15" s="95">
        <v>13655</v>
      </c>
      <c r="E15" s="95">
        <v>15471</v>
      </c>
      <c r="F15" s="95">
        <v>18105</v>
      </c>
      <c r="G15" s="95">
        <v>21172</v>
      </c>
      <c r="H15" s="95">
        <v>24313</v>
      </c>
      <c r="I15" s="95">
        <v>29524</v>
      </c>
    </row>
    <row r="16" spans="2:9" x14ac:dyDescent="0.3">
      <c r="B16" s="2"/>
      <c r="C16" s="94"/>
      <c r="D16" s="94"/>
      <c r="E16" s="94"/>
      <c r="F16" s="94"/>
      <c r="G16" s="94"/>
      <c r="H16" s="94"/>
      <c r="I16" s="94"/>
    </row>
    <row r="17" spans="2:9" x14ac:dyDescent="0.3">
      <c r="B17" s="2" t="s">
        <v>252</v>
      </c>
      <c r="C17" s="94"/>
      <c r="D17" s="94"/>
      <c r="E17" s="94"/>
      <c r="F17" s="94"/>
      <c r="G17" s="94"/>
      <c r="H17" s="94"/>
      <c r="I17" s="94"/>
    </row>
    <row r="18" spans="2:9" x14ac:dyDescent="0.3">
      <c r="B18" t="s">
        <v>336</v>
      </c>
      <c r="C18" s="99">
        <v>2740</v>
      </c>
      <c r="D18" s="99">
        <v>3483</v>
      </c>
      <c r="E18" s="99">
        <v>4527</v>
      </c>
      <c r="F18" s="99">
        <v>5519</v>
      </c>
      <c r="G18" s="99">
        <v>6904</v>
      </c>
      <c r="H18" s="99">
        <v>8595</v>
      </c>
      <c r="I18" s="99">
        <v>10432</v>
      </c>
    </row>
    <row r="19" spans="2:9" x14ac:dyDescent="0.3">
      <c r="B19" t="s">
        <v>253</v>
      </c>
      <c r="C19" s="99">
        <v>3139</v>
      </c>
      <c r="D19" s="99">
        <v>3649</v>
      </c>
      <c r="E19" s="99">
        <v>4938</v>
      </c>
      <c r="F19" s="99">
        <v>6201</v>
      </c>
      <c r="G19" s="99">
        <v>7062</v>
      </c>
      <c r="H19" s="94">
        <v>16206</v>
      </c>
      <c r="I19" s="98">
        <v>10391</v>
      </c>
    </row>
    <row r="20" spans="2:9" x14ac:dyDescent="0.3">
      <c r="B20" t="s">
        <v>254</v>
      </c>
      <c r="C20" s="99">
        <v>272</v>
      </c>
      <c r="D20" s="99">
        <v>352</v>
      </c>
      <c r="E20" s="99">
        <v>491</v>
      </c>
      <c r="F20" s="99">
        <v>656</v>
      </c>
      <c r="G20" s="99">
        <v>870</v>
      </c>
      <c r="H20" s="99">
        <v>1141</v>
      </c>
      <c r="I20" s="99">
        <v>1446</v>
      </c>
    </row>
    <row r="21" spans="2:9" x14ac:dyDescent="0.3">
      <c r="B21" t="s">
        <v>255</v>
      </c>
      <c r="C21" s="99">
        <v>39</v>
      </c>
      <c r="D21" s="99">
        <v>50</v>
      </c>
      <c r="E21" s="99">
        <v>73</v>
      </c>
      <c r="F21" s="99">
        <v>85</v>
      </c>
      <c r="G21" s="99">
        <v>97</v>
      </c>
      <c r="H21" s="99">
        <v>115</v>
      </c>
      <c r="I21" s="99">
        <v>140</v>
      </c>
    </row>
    <row r="22" spans="2:9" x14ac:dyDescent="0.3">
      <c r="B22" t="s">
        <v>256</v>
      </c>
      <c r="C22" s="94">
        <v>95</v>
      </c>
      <c r="D22" s="94">
        <v>119</v>
      </c>
      <c r="E22" s="94">
        <v>153</v>
      </c>
      <c r="F22" s="94">
        <v>190</v>
      </c>
      <c r="G22" s="94">
        <v>219</v>
      </c>
      <c r="H22" s="94">
        <v>276</v>
      </c>
      <c r="I22" s="99">
        <v>372</v>
      </c>
    </row>
    <row r="23" spans="2:9" x14ac:dyDescent="0.3">
      <c r="B23" t="s">
        <v>257</v>
      </c>
      <c r="C23" s="99">
        <v>476</v>
      </c>
      <c r="D23" s="99">
        <v>581</v>
      </c>
      <c r="E23" s="99">
        <v>772</v>
      </c>
      <c r="F23" s="99">
        <v>968</v>
      </c>
      <c r="G23" s="99">
        <v>1205</v>
      </c>
      <c r="H23" s="99">
        <v>1515</v>
      </c>
      <c r="I23" s="99">
        <v>1954</v>
      </c>
    </row>
    <row r="24" spans="2:9" x14ac:dyDescent="0.3">
      <c r="B24" t="s">
        <v>337</v>
      </c>
      <c r="C24" s="94">
        <v>4</v>
      </c>
      <c r="D24" s="94">
        <v>4</v>
      </c>
      <c r="E24" s="94">
        <v>3</v>
      </c>
      <c r="F24" s="94">
        <v>15</v>
      </c>
      <c r="G24" s="94">
        <v>17</v>
      </c>
      <c r="H24" s="94">
        <v>6</v>
      </c>
      <c r="I24" s="99">
        <v>8</v>
      </c>
    </row>
    <row r="25" spans="2:9" x14ac:dyDescent="0.3">
      <c r="B25" t="s">
        <v>258</v>
      </c>
      <c r="C25" s="99">
        <v>78</v>
      </c>
      <c r="D25" s="99">
        <v>78</v>
      </c>
      <c r="E25" s="99">
        <v>78</v>
      </c>
      <c r="F25" s="99">
        <v>78</v>
      </c>
      <c r="G25" s="99">
        <v>78</v>
      </c>
      <c r="H25" s="99">
        <v>78</v>
      </c>
      <c r="I25" s="99">
        <v>78</v>
      </c>
    </row>
    <row r="26" spans="2:9" x14ac:dyDescent="0.3">
      <c r="B26" t="s">
        <v>259</v>
      </c>
      <c r="C26" s="94">
        <v>82</v>
      </c>
      <c r="D26" s="94">
        <v>81</v>
      </c>
      <c r="E26" s="94">
        <v>91</v>
      </c>
      <c r="F26" s="94">
        <v>105</v>
      </c>
      <c r="G26" s="94">
        <v>119</v>
      </c>
      <c r="H26" s="94">
        <v>124</v>
      </c>
      <c r="I26" s="99">
        <v>140</v>
      </c>
    </row>
    <row r="27" spans="2:9" x14ac:dyDescent="0.3">
      <c r="B27" s="2" t="s">
        <v>260</v>
      </c>
      <c r="C27" s="99">
        <v>6927</v>
      </c>
      <c r="D27" s="99">
        <v>8396</v>
      </c>
      <c r="E27" s="99">
        <v>11127</v>
      </c>
      <c r="F27" s="99">
        <v>13816</v>
      </c>
      <c r="G27" s="99">
        <v>16571</v>
      </c>
      <c r="H27" s="99">
        <v>20106</v>
      </c>
      <c r="I27" s="99">
        <v>24960</v>
      </c>
    </row>
    <row r="28" spans="2:9" x14ac:dyDescent="0.3">
      <c r="B28" s="2" t="s">
        <v>261</v>
      </c>
      <c r="C28" s="96">
        <v>979</v>
      </c>
      <c r="D28" s="96">
        <v>1387</v>
      </c>
      <c r="E28" s="96">
        <v>1867</v>
      </c>
      <c r="F28" s="96">
        <v>2476</v>
      </c>
      <c r="G28" s="96">
        <v>3156</v>
      </c>
      <c r="H28" s="96">
        <v>3900</v>
      </c>
      <c r="I28" s="96">
        <v>4870</v>
      </c>
    </row>
    <row r="29" spans="2:9" x14ac:dyDescent="0.3">
      <c r="B29" s="148" t="s">
        <v>14</v>
      </c>
      <c r="C29" s="147">
        <f>C27-C28</f>
        <v>5948</v>
      </c>
      <c r="D29" s="147">
        <f t="shared" ref="D29:H29" si="0">D27-D28</f>
        <v>7009</v>
      </c>
      <c r="E29" s="147">
        <f t="shared" si="0"/>
        <v>9260</v>
      </c>
      <c r="F29" s="147">
        <f t="shared" si="0"/>
        <v>11340</v>
      </c>
      <c r="G29" s="147">
        <f t="shared" si="0"/>
        <v>13415</v>
      </c>
      <c r="H29" s="147">
        <f t="shared" si="0"/>
        <v>16206</v>
      </c>
      <c r="I29" s="147">
        <f>I27-I28</f>
        <v>20090</v>
      </c>
    </row>
    <row r="30" spans="2:9" x14ac:dyDescent="0.3">
      <c r="B30" s="2"/>
      <c r="C30" s="97"/>
      <c r="D30" s="97"/>
      <c r="E30" s="97"/>
      <c r="F30" s="97"/>
      <c r="G30" s="97"/>
      <c r="H30" s="97"/>
      <c r="I30" s="97"/>
    </row>
    <row r="31" spans="2:9" x14ac:dyDescent="0.3">
      <c r="B31" s="2" t="s">
        <v>262</v>
      </c>
      <c r="C31" s="99">
        <v>364</v>
      </c>
      <c r="D31" s="99">
        <v>1020</v>
      </c>
      <c r="E31" s="99">
        <v>1129</v>
      </c>
      <c r="F31" s="99">
        <v>829</v>
      </c>
      <c r="G31" s="99">
        <v>935</v>
      </c>
      <c r="H31" s="99">
        <v>1099</v>
      </c>
      <c r="I31" s="99">
        <v>1300</v>
      </c>
    </row>
    <row r="32" spans="2:9" x14ac:dyDescent="0.3">
      <c r="B32" s="2" t="s">
        <v>16</v>
      </c>
      <c r="C32" s="94">
        <v>15</v>
      </c>
      <c r="D32" s="94">
        <v>3</v>
      </c>
      <c r="E32" s="94">
        <v>6</v>
      </c>
      <c r="F32" s="94">
        <v>202</v>
      </c>
      <c r="G32" s="94">
        <v>107</v>
      </c>
      <c r="H32" s="94">
        <v>3</v>
      </c>
      <c r="I32" s="94">
        <v>4</v>
      </c>
    </row>
    <row r="33" spans="2:9" x14ac:dyDescent="0.3">
      <c r="B33" s="2"/>
      <c r="C33" s="94"/>
      <c r="D33" s="94"/>
      <c r="E33" s="94"/>
      <c r="F33" s="94"/>
      <c r="G33" s="94"/>
      <c r="H33" s="94"/>
      <c r="I33" s="94"/>
    </row>
    <row r="34" spans="2:9" x14ac:dyDescent="0.3">
      <c r="B34" s="2" t="s">
        <v>263</v>
      </c>
      <c r="C34" s="94"/>
      <c r="D34" s="94"/>
      <c r="E34" s="94"/>
      <c r="F34" s="94"/>
      <c r="G34" s="94"/>
      <c r="H34" s="94"/>
      <c r="I34" s="94"/>
    </row>
    <row r="35" spans="2:9" x14ac:dyDescent="0.3">
      <c r="B35" t="s">
        <v>264</v>
      </c>
      <c r="C35" s="99">
        <v>1947</v>
      </c>
      <c r="D35" s="99">
        <v>2248</v>
      </c>
      <c r="E35" s="99">
        <v>2743</v>
      </c>
      <c r="F35" s="99">
        <v>3243</v>
      </c>
      <c r="G35" s="99">
        <v>3927</v>
      </c>
      <c r="H35" s="99">
        <v>5044</v>
      </c>
      <c r="I35" s="99">
        <v>5901</v>
      </c>
    </row>
    <row r="36" spans="2:9" x14ac:dyDescent="0.3">
      <c r="B36" t="s">
        <v>265</v>
      </c>
      <c r="C36" s="99">
        <v>20</v>
      </c>
      <c r="D36" s="99">
        <v>44</v>
      </c>
      <c r="E36" s="99">
        <v>67</v>
      </c>
      <c r="F36" s="99">
        <v>62</v>
      </c>
      <c r="G36" s="99">
        <v>166</v>
      </c>
      <c r="H36" s="99">
        <v>154</v>
      </c>
      <c r="I36" s="99">
        <v>149</v>
      </c>
    </row>
    <row r="37" spans="2:9" x14ac:dyDescent="0.3">
      <c r="B37" t="s">
        <v>266</v>
      </c>
      <c r="C37" s="99">
        <v>108</v>
      </c>
      <c r="D37" s="99">
        <v>1446</v>
      </c>
      <c r="E37" s="99">
        <v>299</v>
      </c>
      <c r="F37" s="99">
        <v>1408</v>
      </c>
      <c r="G37" s="99">
        <v>638</v>
      </c>
      <c r="H37" s="99">
        <v>358</v>
      </c>
      <c r="I37" s="99">
        <v>304</v>
      </c>
    </row>
    <row r="38" spans="2:9" x14ac:dyDescent="0.3">
      <c r="B38" t="s">
        <v>267</v>
      </c>
      <c r="C38" s="99">
        <v>101</v>
      </c>
      <c r="D38" s="99">
        <v>81</v>
      </c>
      <c r="E38" s="99">
        <v>109</v>
      </c>
      <c r="F38" s="99">
        <v>97</v>
      </c>
      <c r="G38" s="99">
        <v>105</v>
      </c>
      <c r="H38" s="99">
        <v>126</v>
      </c>
      <c r="I38" s="99">
        <v>197</v>
      </c>
    </row>
    <row r="39" spans="2:9" x14ac:dyDescent="0.3">
      <c r="B39" t="s">
        <v>268</v>
      </c>
      <c r="C39" s="94">
        <v>3574</v>
      </c>
      <c r="D39" s="94">
        <v>1806</v>
      </c>
      <c r="E39" s="94">
        <v>1859</v>
      </c>
      <c r="F39" s="94">
        <v>922</v>
      </c>
      <c r="G39" s="94">
        <v>1879</v>
      </c>
      <c r="H39" s="94">
        <v>1321</v>
      </c>
      <c r="I39" s="94">
        <v>1580</v>
      </c>
    </row>
    <row r="40" spans="2:9" x14ac:dyDescent="0.3">
      <c r="B40" s="93" t="s">
        <v>121</v>
      </c>
      <c r="C40" s="95">
        <v>12076</v>
      </c>
      <c r="D40" s="95">
        <v>13655</v>
      </c>
      <c r="E40" s="95">
        <v>15471</v>
      </c>
      <c r="F40" s="95">
        <v>18105</v>
      </c>
      <c r="G40" s="95">
        <v>21172</v>
      </c>
      <c r="H40" s="95">
        <v>24313</v>
      </c>
      <c r="I40" s="95">
        <v>29524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719C-E7EC-4616-88F7-C3FD36D27829}">
  <dimension ref="B1:I36"/>
  <sheetViews>
    <sheetView showGridLines="0" zoomScale="110" workbookViewId="0">
      <selection activeCell="C13" sqref="C13"/>
    </sheetView>
  </sheetViews>
  <sheetFormatPr defaultRowHeight="14.4" x14ac:dyDescent="0.3"/>
  <cols>
    <col min="1" max="2" width="25.77734375" bestFit="1" customWidth="1"/>
  </cols>
  <sheetData>
    <row r="1" spans="2:9" ht="15" thickBot="1" x14ac:dyDescent="0.35">
      <c r="C1" s="20">
        <v>43891</v>
      </c>
      <c r="D1" s="20">
        <v>44256</v>
      </c>
      <c r="E1" s="20">
        <v>44621</v>
      </c>
      <c r="F1" s="20">
        <v>44986</v>
      </c>
      <c r="G1" s="20">
        <v>45352</v>
      </c>
      <c r="H1" s="20">
        <v>45717</v>
      </c>
      <c r="I1" s="20">
        <v>46082</v>
      </c>
    </row>
    <row r="2" spans="2:9" x14ac:dyDescent="0.3">
      <c r="B2" s="2" t="s">
        <v>86</v>
      </c>
      <c r="C2" s="21">
        <v>1280</v>
      </c>
      <c r="D2" s="21">
        <v>1375</v>
      </c>
      <c r="E2" s="21">
        <v>1372</v>
      </c>
      <c r="F2" s="21">
        <v>2630</v>
      </c>
      <c r="G2" s="21">
        <v>2746</v>
      </c>
      <c r="H2" s="21">
        <v>2463</v>
      </c>
      <c r="I2" s="21">
        <v>3467</v>
      </c>
    </row>
    <row r="3" spans="2:9" x14ac:dyDescent="0.3">
      <c r="B3" t="s">
        <v>87</v>
      </c>
      <c r="C3" s="19">
        <v>2149</v>
      </c>
      <c r="D3" s="19">
        <v>1764</v>
      </c>
      <c r="E3" s="19">
        <v>2515</v>
      </c>
      <c r="F3" s="19">
        <v>3659</v>
      </c>
      <c r="G3" s="19">
        <v>4131</v>
      </c>
      <c r="H3" s="19">
        <v>4535</v>
      </c>
      <c r="I3" s="19">
        <v>5233</v>
      </c>
    </row>
    <row r="4" spans="2:9" x14ac:dyDescent="0.3">
      <c r="B4" t="s">
        <v>44</v>
      </c>
      <c r="C4">
        <v>45</v>
      </c>
      <c r="D4">
        <v>-24</v>
      </c>
      <c r="E4">
        <v>-23</v>
      </c>
      <c r="F4">
        <v>5</v>
      </c>
      <c r="G4">
        <v>-104</v>
      </c>
      <c r="H4" s="19">
        <v>13</v>
      </c>
      <c r="I4" s="19">
        <v>4</v>
      </c>
    </row>
    <row r="5" spans="2:9" x14ac:dyDescent="0.3">
      <c r="B5" t="s">
        <v>30</v>
      </c>
      <c r="C5">
        <v>-339</v>
      </c>
      <c r="D5">
        <v>-301</v>
      </c>
      <c r="E5">
        <v>-494</v>
      </c>
      <c r="F5">
        <v>-501</v>
      </c>
      <c r="G5">
        <v>-684</v>
      </c>
      <c r="H5">
        <v>-1117</v>
      </c>
      <c r="I5">
        <v>-856</v>
      </c>
    </row>
    <row r="6" spans="2:9" x14ac:dyDescent="0.3">
      <c r="B6" t="s">
        <v>88</v>
      </c>
      <c r="C6">
        <v>-30</v>
      </c>
      <c r="D6">
        <v>145</v>
      </c>
      <c r="E6">
        <v>11</v>
      </c>
      <c r="F6">
        <v>165</v>
      </c>
      <c r="G6">
        <v>231</v>
      </c>
      <c r="H6">
        <v>86</v>
      </c>
      <c r="I6">
        <v>267</v>
      </c>
    </row>
    <row r="7" spans="2:9" x14ac:dyDescent="0.3">
      <c r="B7" t="s">
        <v>338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2:9" x14ac:dyDescent="0.3">
      <c r="B8" t="s">
        <v>339</v>
      </c>
      <c r="C8">
        <v>2</v>
      </c>
      <c r="D8">
        <v>12</v>
      </c>
      <c r="E8">
        <v>-3</v>
      </c>
      <c r="F8">
        <v>0</v>
      </c>
      <c r="G8">
        <v>0</v>
      </c>
      <c r="H8">
        <v>0</v>
      </c>
      <c r="I8">
        <v>0</v>
      </c>
    </row>
    <row r="9" spans="2:9" x14ac:dyDescent="0.3">
      <c r="B9" t="s">
        <v>89</v>
      </c>
      <c r="C9">
        <v>-54</v>
      </c>
      <c r="D9">
        <v>41</v>
      </c>
      <c r="E9">
        <v>-73</v>
      </c>
      <c r="F9">
        <v>12</v>
      </c>
      <c r="G9">
        <v>-87</v>
      </c>
      <c r="H9">
        <v>-94</v>
      </c>
      <c r="I9">
        <v>-114</v>
      </c>
    </row>
    <row r="10" spans="2:9" x14ac:dyDescent="0.3">
      <c r="B10" t="s">
        <v>90</v>
      </c>
      <c r="C10">
        <v>-376</v>
      </c>
      <c r="D10">
        <v>-127</v>
      </c>
      <c r="E10">
        <v>-582</v>
      </c>
      <c r="F10">
        <v>-320</v>
      </c>
      <c r="G10">
        <v>-644</v>
      </c>
      <c r="H10">
        <v>-1113</v>
      </c>
      <c r="I10">
        <v>-699</v>
      </c>
    </row>
    <row r="11" spans="2:9" x14ac:dyDescent="0.3">
      <c r="B11" t="s">
        <v>92</v>
      </c>
      <c r="C11">
        <v>-492</v>
      </c>
      <c r="D11">
        <v>-262</v>
      </c>
      <c r="E11">
        <v>-560</v>
      </c>
      <c r="F11">
        <v>-709</v>
      </c>
      <c r="G11">
        <v>-742</v>
      </c>
      <c r="H11">
        <v>-959</v>
      </c>
      <c r="I11">
        <v>-1068</v>
      </c>
    </row>
    <row r="12" spans="2:9" x14ac:dyDescent="0.3">
      <c r="B12" s="2" t="s">
        <v>94</v>
      </c>
      <c r="C12" s="21">
        <v>-4657</v>
      </c>
      <c r="D12" s="21">
        <v>-1110</v>
      </c>
      <c r="E12" s="21">
        <v>-1289</v>
      </c>
      <c r="F12" s="21">
        <v>-2313</v>
      </c>
      <c r="G12" s="21">
        <v>-2468</v>
      </c>
      <c r="H12" s="21">
        <v>-2185</v>
      </c>
      <c r="I12" s="21">
        <v>-4207</v>
      </c>
    </row>
    <row r="13" spans="2:9" x14ac:dyDescent="0.3">
      <c r="B13" t="s">
        <v>95</v>
      </c>
      <c r="C13">
        <v>-1712</v>
      </c>
      <c r="D13">
        <v>-2029</v>
      </c>
      <c r="E13">
        <v>-2410</v>
      </c>
      <c r="F13">
        <v>-2212</v>
      </c>
      <c r="G13">
        <v>-2731</v>
      </c>
      <c r="H13">
        <v>-3423</v>
      </c>
      <c r="I13">
        <v>-4113</v>
      </c>
    </row>
    <row r="14" spans="2:9" x14ac:dyDescent="0.3">
      <c r="B14" t="s">
        <v>96</v>
      </c>
      <c r="C14">
        <v>6</v>
      </c>
      <c r="D14">
        <v>2</v>
      </c>
      <c r="E14">
        <v>21</v>
      </c>
      <c r="F14">
        <v>5</v>
      </c>
      <c r="G14">
        <v>9</v>
      </c>
      <c r="H14">
        <v>6</v>
      </c>
      <c r="I14">
        <v>0</v>
      </c>
    </row>
    <row r="15" spans="2:9" x14ac:dyDescent="0.3">
      <c r="B15" t="s">
        <v>97</v>
      </c>
      <c r="C15" s="19">
        <v>0</v>
      </c>
      <c r="D15" s="19">
        <v>0</v>
      </c>
      <c r="E15" s="19">
        <v>0</v>
      </c>
      <c r="F15" s="19">
        <v>-193</v>
      </c>
      <c r="G15" s="19">
        <v>-4201</v>
      </c>
      <c r="H15" s="19">
        <v>-4948</v>
      </c>
      <c r="I15" s="19">
        <v>-3119</v>
      </c>
    </row>
    <row r="16" spans="2:9" x14ac:dyDescent="0.3">
      <c r="B16" t="s">
        <v>98</v>
      </c>
      <c r="C16" s="19">
        <v>232</v>
      </c>
      <c r="D16" s="19">
        <v>3</v>
      </c>
      <c r="E16" s="19">
        <v>4</v>
      </c>
      <c r="F16" s="19">
        <v>6</v>
      </c>
      <c r="G16" s="19">
        <v>4324</v>
      </c>
      <c r="H16" s="19">
        <v>5074</v>
      </c>
      <c r="I16" s="19">
        <v>3123</v>
      </c>
    </row>
    <row r="17" spans="2:9" x14ac:dyDescent="0.3">
      <c r="B17" t="s">
        <v>340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2:9" x14ac:dyDescent="0.3">
      <c r="B18" t="s">
        <v>99</v>
      </c>
      <c r="C18">
        <v>12</v>
      </c>
      <c r="D18">
        <v>129</v>
      </c>
      <c r="E18">
        <v>43</v>
      </c>
      <c r="F18">
        <v>39</v>
      </c>
      <c r="G18">
        <v>262</v>
      </c>
      <c r="H18">
        <v>103</v>
      </c>
      <c r="I18">
        <v>44</v>
      </c>
    </row>
    <row r="19" spans="2:9" x14ac:dyDescent="0.3">
      <c r="B19" t="s">
        <v>341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2:9" x14ac:dyDescent="0.3">
      <c r="B20" t="s">
        <v>100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2:9" x14ac:dyDescent="0.3">
      <c r="B21" t="s">
        <v>101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2:9" x14ac:dyDescent="0.3">
      <c r="B22" t="s">
        <v>104</v>
      </c>
      <c r="C22">
        <v>-3194</v>
      </c>
      <c r="D22">
        <v>786</v>
      </c>
      <c r="E22" s="19">
        <v>1054</v>
      </c>
      <c r="F22">
        <v>42</v>
      </c>
      <c r="G22">
        <v>-131</v>
      </c>
      <c r="H22" s="19">
        <v>1004</v>
      </c>
      <c r="I22" s="19">
        <v>-141</v>
      </c>
    </row>
    <row r="23" spans="2:9" x14ac:dyDescent="0.3">
      <c r="B23" s="2" t="s">
        <v>105</v>
      </c>
      <c r="C23" s="2">
        <v>3357</v>
      </c>
      <c r="D23" s="2">
        <v>-180</v>
      </c>
      <c r="E23" s="21">
        <v>-179</v>
      </c>
      <c r="F23" s="2">
        <v>-205</v>
      </c>
      <c r="G23" s="2">
        <v>-148</v>
      </c>
      <c r="H23" s="21">
        <v>-259</v>
      </c>
      <c r="I23" s="21">
        <v>288</v>
      </c>
    </row>
    <row r="24" spans="2:9" x14ac:dyDescent="0.3">
      <c r="B24" t="s">
        <v>106</v>
      </c>
      <c r="C24">
        <v>110</v>
      </c>
      <c r="D24">
        <v>0</v>
      </c>
      <c r="E24" s="19">
        <v>0</v>
      </c>
      <c r="F24">
        <v>15</v>
      </c>
      <c r="G24">
        <v>75</v>
      </c>
      <c r="H24" s="19">
        <v>0</v>
      </c>
      <c r="I24" s="19">
        <v>37</v>
      </c>
    </row>
    <row r="25" spans="2:9" x14ac:dyDescent="0.3">
      <c r="B25" t="s">
        <v>107</v>
      </c>
      <c r="C25">
        <v>300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2:9" x14ac:dyDescent="0.3">
      <c r="B26" t="s">
        <v>342</v>
      </c>
      <c r="C26">
        <v>-512</v>
      </c>
      <c r="D26">
        <v>-34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2:9" x14ac:dyDescent="0.3">
      <c r="B27" t="s">
        <v>108</v>
      </c>
      <c r="C27">
        <v>1100</v>
      </c>
      <c r="D27">
        <v>200</v>
      </c>
      <c r="E27">
        <v>248</v>
      </c>
      <c r="F27">
        <v>0</v>
      </c>
      <c r="G27">
        <v>0</v>
      </c>
      <c r="H27">
        <v>0</v>
      </c>
      <c r="I27">
        <v>1588</v>
      </c>
    </row>
    <row r="28" spans="2:9" x14ac:dyDescent="0.3">
      <c r="B28" t="s">
        <v>109</v>
      </c>
      <c r="C28">
        <v>-1550</v>
      </c>
      <c r="D28">
        <v>-204</v>
      </c>
      <c r="E28">
        <v>-248</v>
      </c>
      <c r="F28">
        <v>0</v>
      </c>
      <c r="G28">
        <v>0</v>
      </c>
      <c r="H28">
        <v>0</v>
      </c>
      <c r="I28">
        <v>-1003</v>
      </c>
    </row>
    <row r="29" spans="2:9" x14ac:dyDescent="0.3">
      <c r="B29" t="s">
        <v>110</v>
      </c>
      <c r="C29">
        <v>-68</v>
      </c>
      <c r="D29">
        <v>-44</v>
      </c>
      <c r="E29">
        <v>-54</v>
      </c>
      <c r="F29">
        <v>-67</v>
      </c>
      <c r="G29">
        <v>-58</v>
      </c>
      <c r="H29">
        <v>-69</v>
      </c>
      <c r="I29">
        <v>-141</v>
      </c>
    </row>
    <row r="30" spans="2:9" x14ac:dyDescent="0.3">
      <c r="B30" t="s">
        <v>111</v>
      </c>
      <c r="C30">
        <v>-100</v>
      </c>
      <c r="D30">
        <v>-98</v>
      </c>
      <c r="E30">
        <v>-125</v>
      </c>
      <c r="F30">
        <v>-153</v>
      </c>
      <c r="G30">
        <v>-164</v>
      </c>
      <c r="H30">
        <v>-190</v>
      </c>
      <c r="I30">
        <v>-194</v>
      </c>
    </row>
    <row r="31" spans="2:9" x14ac:dyDescent="0.3">
      <c r="B31" t="s">
        <v>343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 s="19">
        <v>0</v>
      </c>
    </row>
    <row r="32" spans="2:9" x14ac:dyDescent="0.3">
      <c r="B32" t="s">
        <v>344</v>
      </c>
      <c r="C32" s="19">
        <v>0</v>
      </c>
      <c r="D32">
        <v>0</v>
      </c>
      <c r="E32" s="19">
        <v>0</v>
      </c>
      <c r="F32" s="19">
        <v>0</v>
      </c>
      <c r="G32" s="19">
        <v>0</v>
      </c>
      <c r="H32" s="19">
        <v>0</v>
      </c>
      <c r="I32" s="19">
        <v>1</v>
      </c>
    </row>
    <row r="33" spans="2:9" ht="15" thickBot="1" x14ac:dyDescent="0.35">
      <c r="B33" t="s">
        <v>112</v>
      </c>
      <c r="C33">
        <v>4077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2:9" ht="15" thickBot="1" x14ac:dyDescent="0.35">
      <c r="B34" s="149" t="s">
        <v>21</v>
      </c>
      <c r="C34" s="149">
        <v>-19</v>
      </c>
      <c r="D34" s="149">
        <v>86</v>
      </c>
      <c r="E34" s="149">
        <v>-96</v>
      </c>
      <c r="F34" s="149">
        <v>112</v>
      </c>
      <c r="G34" s="149">
        <v>130</v>
      </c>
      <c r="H34" s="149">
        <v>18</v>
      </c>
      <c r="I34" s="149">
        <v>-452</v>
      </c>
    </row>
    <row r="35" spans="2:9" ht="15" thickTop="1" x14ac:dyDescent="0.3">
      <c r="B35" t="s">
        <v>113</v>
      </c>
      <c r="C35">
        <v>-426</v>
      </c>
      <c r="D35">
        <v>-652</v>
      </c>
      <c r="E35">
        <v>-1017</v>
      </c>
      <c r="F35">
        <v>424</v>
      </c>
      <c r="G35">
        <v>24</v>
      </c>
      <c r="H35">
        <v>-954</v>
      </c>
      <c r="I35">
        <v>-646</v>
      </c>
    </row>
    <row r="36" spans="2:9" x14ac:dyDescent="0.3">
      <c r="B36" t="s">
        <v>345</v>
      </c>
      <c r="C36">
        <v>0.83</v>
      </c>
      <c r="D36">
        <v>0.94</v>
      </c>
      <c r="E36">
        <v>0.77</v>
      </c>
      <c r="F36">
        <v>0.92</v>
      </c>
      <c r="G36">
        <v>0.85</v>
      </c>
      <c r="H36">
        <v>0.76</v>
      </c>
      <c r="I36">
        <v>0.87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45808-5D93-4BF9-98C4-D8F97A8972C8}">
  <dimension ref="B1:O8"/>
  <sheetViews>
    <sheetView zoomScale="138" workbookViewId="0">
      <selection activeCell="M9" sqref="M9"/>
    </sheetView>
  </sheetViews>
  <sheetFormatPr defaultRowHeight="14.4" x14ac:dyDescent="0.3"/>
  <cols>
    <col min="4" max="5" width="9" bestFit="1" customWidth="1"/>
    <col min="6" max="6" width="9" customWidth="1"/>
    <col min="7" max="8" width="9" bestFit="1" customWidth="1"/>
    <col min="9" max="9" width="9" customWidth="1"/>
    <col min="10" max="10" width="9.77734375" bestFit="1" customWidth="1"/>
    <col min="11" max="11" width="9.5546875" bestFit="1" customWidth="1"/>
    <col min="12" max="12" width="9" bestFit="1" customWidth="1"/>
  </cols>
  <sheetData>
    <row r="1" spans="2:15" x14ac:dyDescent="0.3">
      <c r="B1" t="s">
        <v>359</v>
      </c>
      <c r="C1" t="s">
        <v>360</v>
      </c>
      <c r="D1" t="s">
        <v>361</v>
      </c>
      <c r="E1" t="s">
        <v>362</v>
      </c>
      <c r="F1" t="s">
        <v>373</v>
      </c>
      <c r="G1" t="s">
        <v>363</v>
      </c>
      <c r="H1" t="s">
        <v>364</v>
      </c>
      <c r="I1" t="s">
        <v>352</v>
      </c>
      <c r="J1" t="s">
        <v>374</v>
      </c>
      <c r="K1" t="s">
        <v>365</v>
      </c>
      <c r="L1" t="s">
        <v>366</v>
      </c>
      <c r="M1" t="s">
        <v>367</v>
      </c>
      <c r="N1" t="s">
        <v>67</v>
      </c>
    </row>
    <row r="2" spans="2:15" x14ac:dyDescent="0.3">
      <c r="B2">
        <v>1</v>
      </c>
      <c r="C2" t="s">
        <v>330</v>
      </c>
      <c r="D2" s="133">
        <v>4018.8</v>
      </c>
      <c r="E2" s="133">
        <v>65.22</v>
      </c>
      <c r="F2">
        <f>E2*D2</f>
        <v>262106.136</v>
      </c>
      <c r="G2" s="133">
        <v>2424.9899999999998</v>
      </c>
      <c r="H2" s="133">
        <v>303.77999999999997</v>
      </c>
      <c r="I2" s="133">
        <f>G2-H2</f>
        <v>2121.21</v>
      </c>
      <c r="J2" s="133">
        <f>F2+G2-H2</f>
        <v>264227.34599999996</v>
      </c>
      <c r="K2" s="133">
        <v>264245.82</v>
      </c>
      <c r="L2" s="133">
        <v>71255.570000000007</v>
      </c>
      <c r="M2" s="133">
        <v>3057.49</v>
      </c>
      <c r="N2" s="133">
        <v>5465.3022190000011</v>
      </c>
    </row>
    <row r="3" spans="2:15" x14ac:dyDescent="0.3">
      <c r="B3">
        <v>2</v>
      </c>
      <c r="C3" t="s">
        <v>331</v>
      </c>
      <c r="D3" s="133">
        <v>108.04</v>
      </c>
      <c r="E3" s="133">
        <v>468.43</v>
      </c>
      <c r="F3">
        <f t="shared" ref="F3:F8" si="0">E3*D3</f>
        <v>50609.177200000006</v>
      </c>
      <c r="G3" s="133">
        <v>1987.98</v>
      </c>
      <c r="H3" s="133">
        <v>594.89</v>
      </c>
      <c r="I3" s="133">
        <f t="shared" ref="I3:I8" si="1">G3-H3</f>
        <v>1393.0900000000001</v>
      </c>
      <c r="J3" s="133">
        <f t="shared" ref="J3:J8" si="2">F3+G3-H3</f>
        <v>52002.267200000009</v>
      </c>
      <c r="K3" s="133">
        <v>52002.36</v>
      </c>
      <c r="L3" s="133">
        <v>13493.01</v>
      </c>
      <c r="M3" s="133">
        <v>891.92</v>
      </c>
      <c r="N3" s="133">
        <v>2071.1770350000002</v>
      </c>
    </row>
    <row r="4" spans="2:15" x14ac:dyDescent="0.3">
      <c r="B4">
        <v>3</v>
      </c>
      <c r="C4" t="s">
        <v>368</v>
      </c>
      <c r="D4" s="133">
        <v>724.65</v>
      </c>
      <c r="E4" s="133">
        <v>7.95</v>
      </c>
      <c r="F4">
        <f t="shared" si="0"/>
        <v>5760.9674999999997</v>
      </c>
      <c r="G4" s="133">
        <v>957.59</v>
      </c>
      <c r="H4" s="133">
        <v>19.53</v>
      </c>
      <c r="I4" s="133">
        <f t="shared" si="1"/>
        <v>938.06000000000006</v>
      </c>
      <c r="J4" s="133">
        <f t="shared" si="2"/>
        <v>6699.0275000000001</v>
      </c>
      <c r="K4" s="133">
        <v>6702.51</v>
      </c>
      <c r="L4" s="133">
        <v>3992.95</v>
      </c>
      <c r="M4" s="133">
        <v>137.61000000000001</v>
      </c>
      <c r="N4" s="133">
        <v>562.60665499999993</v>
      </c>
    </row>
    <row r="5" spans="2:15" x14ac:dyDescent="0.3">
      <c r="B5">
        <v>4</v>
      </c>
      <c r="C5" t="s">
        <v>369</v>
      </c>
      <c r="D5" s="133">
        <v>129.63999999999999</v>
      </c>
      <c r="E5" s="133">
        <v>38.47</v>
      </c>
      <c r="F5">
        <f t="shared" si="0"/>
        <v>4987.2507999999989</v>
      </c>
      <c r="G5" s="133">
        <v>1996.98</v>
      </c>
      <c r="H5" s="133">
        <v>49.75</v>
      </c>
      <c r="I5" s="133">
        <f t="shared" si="1"/>
        <v>1947.23</v>
      </c>
      <c r="J5" s="133">
        <f t="shared" si="2"/>
        <v>6934.4807999999994</v>
      </c>
      <c r="K5" s="133">
        <v>6935.11</v>
      </c>
      <c r="L5" s="133">
        <v>7183.26</v>
      </c>
      <c r="M5" s="133">
        <v>107.14</v>
      </c>
      <c r="N5" s="133">
        <v>446.08044600000005</v>
      </c>
    </row>
    <row r="6" spans="2:15" x14ac:dyDescent="0.3">
      <c r="B6">
        <v>5</v>
      </c>
      <c r="C6" t="s">
        <v>370</v>
      </c>
      <c r="D6" s="133">
        <v>377.75</v>
      </c>
      <c r="E6" s="133">
        <v>11.02</v>
      </c>
      <c r="F6">
        <f t="shared" si="0"/>
        <v>4162.8050000000003</v>
      </c>
      <c r="G6" s="133">
        <v>3316.68</v>
      </c>
      <c r="H6" s="133">
        <v>12.71</v>
      </c>
      <c r="I6" s="133">
        <f t="shared" si="1"/>
        <v>3303.97</v>
      </c>
      <c r="J6" s="133">
        <f t="shared" si="2"/>
        <v>7466.7750000000005</v>
      </c>
      <c r="K6" s="133">
        <v>7466.99</v>
      </c>
      <c r="L6" s="133">
        <v>5173.6400000000003</v>
      </c>
      <c r="M6" s="133">
        <v>-34.590000000000003</v>
      </c>
      <c r="N6" s="133">
        <v>807.60520399999996</v>
      </c>
    </row>
    <row r="7" spans="2:15" x14ac:dyDescent="0.3">
      <c r="B7">
        <v>6</v>
      </c>
      <c r="C7" t="s">
        <v>371</v>
      </c>
      <c r="D7" s="133">
        <v>227.65</v>
      </c>
      <c r="E7" s="133">
        <v>7.04</v>
      </c>
      <c r="F7">
        <f t="shared" si="0"/>
        <v>1602.6559999999999</v>
      </c>
      <c r="G7" s="133">
        <v>37.97</v>
      </c>
      <c r="H7" s="133">
        <v>0.43</v>
      </c>
      <c r="I7" s="133">
        <f t="shared" si="1"/>
        <v>37.54</v>
      </c>
      <c r="J7" s="133">
        <f t="shared" si="2"/>
        <v>1640.1959999999999</v>
      </c>
      <c r="K7" s="133">
        <v>1640.98</v>
      </c>
      <c r="L7" s="133">
        <v>2.13</v>
      </c>
      <c r="M7" s="133">
        <v>-0.18</v>
      </c>
      <c r="N7" s="133">
        <v>0.59000999999999992</v>
      </c>
      <c r="O7" s="133"/>
    </row>
    <row r="8" spans="2:15" x14ac:dyDescent="0.3">
      <c r="B8">
        <v>7</v>
      </c>
      <c r="C8" t="s">
        <v>372</v>
      </c>
      <c r="D8" s="133">
        <v>223.44</v>
      </c>
      <c r="E8" s="133">
        <v>3.34</v>
      </c>
      <c r="F8">
        <f t="shared" si="0"/>
        <v>746.28959999999995</v>
      </c>
      <c r="G8" s="133">
        <v>163.49</v>
      </c>
      <c r="H8" s="133">
        <v>24.06</v>
      </c>
      <c r="I8" s="133">
        <f t="shared" si="1"/>
        <v>139.43</v>
      </c>
      <c r="J8" s="133">
        <f t="shared" si="2"/>
        <v>885.71960000000001</v>
      </c>
      <c r="K8" s="133">
        <v>885.73</v>
      </c>
      <c r="L8" s="133">
        <v>1048.33</v>
      </c>
      <c r="M8" s="133">
        <v>39.049999999999997</v>
      </c>
      <c r="N8" s="133">
        <v>83.02773599999999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Financials&gt;&gt;</vt:lpstr>
      <vt:lpstr>Historicial Financials</vt:lpstr>
      <vt:lpstr>Common Size Statement</vt:lpstr>
      <vt:lpstr>Ratio Analysis</vt:lpstr>
      <vt:lpstr>Forecasting</vt:lpstr>
      <vt:lpstr>WACC</vt:lpstr>
      <vt:lpstr>Beta</vt:lpstr>
      <vt:lpstr>Intrinsic Growth</vt:lpstr>
      <vt:lpstr>DCF</vt:lpstr>
      <vt:lpstr>Relative Comps</vt:lpstr>
      <vt:lpstr>Football Field Analysis</vt:lpstr>
      <vt:lpstr>Data &gt;&gt;</vt:lpstr>
      <vt:lpstr>Data Sheet</vt:lpstr>
      <vt:lpstr>Data for IG</vt:lpstr>
      <vt:lpstr>Cashflow</vt:lpstr>
      <vt:lpstr>Data_Relative Comps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pilumk@outlook.com</cp:lastModifiedBy>
  <cp:lastPrinted>2012-12-06T18:14:13Z</cp:lastPrinted>
  <dcterms:created xsi:type="dcterms:W3CDTF">2012-08-17T09:55:37Z</dcterms:created>
  <dcterms:modified xsi:type="dcterms:W3CDTF">2026-08-01T18:46:04Z</dcterms:modified>
</cp:coreProperties>
</file>